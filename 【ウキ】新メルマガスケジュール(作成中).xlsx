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6414_編集版" sheetId="1" r:id="rId5"/>
    <sheet state="visible" name="ルール" sheetId="2" r:id="rId6"/>
    <sheet state="visible" name="新規" sheetId="3" r:id="rId7"/>
    <sheet state="visible" name="リスト" sheetId="4" r:id="rId8"/>
    <sheet state="visible" name="特殊配信マスタ" sheetId="5" r:id="rId9"/>
    <sheet state="visible" name="自動求人特集" sheetId="6" r:id="rId10"/>
    <sheet state="visible" name="月末増発" sheetId="7" r:id="rId11"/>
    <sheet state="visible" name="MAｓ" sheetId="8" r:id="rId12"/>
    <sheet state="visible" name="PR管理" sheetId="9" r:id="rId13"/>
    <sheet state="visible" name="MA" sheetId="10" r:id="rId14"/>
    <sheet state="visible" name="長期休暇対応" sheetId="11" r:id="rId15"/>
    <sheet state="visible" name="配信停止メルマガ一覧" sheetId="12" r:id="rId16"/>
    <sheet state="visible" name="商品系管理" sheetId="13" r:id="rId17"/>
    <sheet state="visible" name="26414_編集版 のコピー" sheetId="14" r:id="rId18"/>
  </sheets>
  <definedNames>
    <definedName hidden="1" localSheetId="2" name="_xlnm._FilterDatabase">'新規'!$A$1:$Q$18</definedName>
    <definedName hidden="1" localSheetId="3" name="_xlnm._FilterDatabase">'リスト'!$A$2:$Q$349</definedName>
    <definedName hidden="1" localSheetId="7" name="_xlnm._FilterDatabase">'MAｓ'!$A$1:$L$1</definedName>
    <definedName hidden="1" localSheetId="9" name="_xlnm._FilterDatabase">MA!$A$1:$S$9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必ず火曜日にしてください。(隔週がうまく反映されません)</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おまとめ便配信時間につきメルマガ配信不可です。(当日新規会員除く)
</t>
      </text>
    </comment>
    <comment authorId="0" ref="B6">
      <text>
        <t xml:space="preserve">おまとめ便配信時間につきメルマガ配信不可です。(当日新規会員除く)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基準日（A1/B1を開始した週の火曜）を入力</t>
      </text>
    </comment>
    <comment authorId="0" ref="B1">
      <text>
        <t xml:space="preserve">編集版の日付
</t>
      </text>
    </comment>
    <comment authorId="0" ref="P4">
      <text>
        <t xml:space="preserve">設定内容：
https://docs.google.com/spreadsheets/d/16wJJDyYTGHtmNDudewhn5FOOD7L6IpyHWdsxQD3dmfM/edit?gid=970900620#gid=970900620&amp;range=224:224</t>
      </text>
    </comment>
    <comment authorId="0" ref="P6">
      <text>
        <t xml:space="preserve">条件はこちらです！
https://docs.google.com/spreadsheets/d/16afl0qEXXMcJ6lgej9zZy5hwf6XmDA4PIc5EnOslMPU/edit?gid=249368657#gid=249368657&amp;range=A30:G31
件名のみ毎週手動で変更しているので、こちらと一致しているかご確認お願いいたします！
https://docs.google.com/spreadsheets/d/16afl0qEXXMcJ6lgej9zZy5hwf6XmDA4PIc5EnOslMPU/edit?gid=1784109536#gid=1784109536</t>
      </text>
    </comment>
    <comment authorId="0" ref="O7">
      <text>
        <t xml:space="preserve">掲出企業が10社以下になってないか必ず確認</t>
      </text>
    </comment>
    <comment authorId="0" ref="B8">
      <text>
        <t xml:space="preserve">おまとめ便配信時間につきメルマガ配信不可です。(当日新規会員除く)
</t>
      </text>
    </comment>
    <comment authorId="0" ref="P13">
      <text>
        <t xml:space="preserve">indexごとにちゃんと求人抽出があるか確認</t>
      </text>
    </comment>
    <comment authorId="0" ref="O14">
      <text>
        <t xml:space="preserve">2025/10/18配信より、3つ目の条件が抽出されていないので、毎度確認する。
抽出されていたら
「★梅田阪急ビル・新大阪阪急ビルでのお仕事」
を本文に追加</t>
      </text>
    </comment>
    <comment authorId="0" ref="P14">
      <text>
        <t xml:space="preserve">indexごとにちゃんと求人抽出があるか確認</t>
      </text>
    </comment>
    <comment authorId="0" ref="O19">
      <text>
        <t xml:space="preserve">金曜以降、求人そろってるか確認後配信予約
※この自動求人特集は、フリーテキストでURLひっぱっているだけなので、特集の求人件数が上限を超えていても問題ないです！</t>
      </text>
    </comment>
    <comment authorId="0" ref="O23">
      <text>
        <t xml:space="preserve">横浜線は求人があるか要確認</t>
      </text>
    </comment>
    <comment authorId="0" ref="E28">
      <text>
        <t xml:space="preserve">必掲出求人
?utm_source=adm&amp;utm_medium=email&amp;utm_campaign=uki_adm_126&amp;waad=yu8vcy23&amp;routeway=85</t>
      </text>
    </comment>
    <comment authorId="0" ref="E29">
      <text>
        <t xml:space="preserve">必掲出求人
?utm_source=adm&amp;utm_medium=email&amp;utm_campaign=uki_adm_128&amp;waad=RFj1M18B&amp;routeway=85</t>
      </text>
    </comment>
    <comment authorId="0" ref="O32">
      <text>
        <t xml:space="preserve">掲出企業が10社以下になってないか必ず確認</t>
      </text>
    </comment>
    <comment authorId="0" ref="O34">
      <text>
        <t xml:space="preserve">求人特集が700件以下か確認
https://woman-type.jp/job-area/osaka/23261/f/</t>
      </text>
    </comment>
    <comment authorId="0" ref="P34">
      <text>
        <t xml:space="preserve">求人特集が700件以下か確認
https://woman-type.jp/job-area/osaka/23261/f/</t>
      </text>
    </comment>
    <comment authorId="0" ref="E43">
      <text>
        <t xml:space="preserve">必掲出求人
?utm_source=adm&amp;utm_medium=email&amp;utm_campaign=uki_adm_173&amp;routeway=85</t>
      </text>
    </comment>
    <comment authorId="0" ref="E44">
      <text>
        <t xml:space="preserve">必掲出求人
?utm_source=adm&amp;utm_medium=email&amp;utm_campaign=uki_adm_175&amp;routeway=85</t>
      </text>
    </comment>
    <comment authorId="0" ref="B46">
      <text>
        <t xml:space="preserve">おまとめ便配信時間につきメルマガ配信不可です。(当日新規会員除く)
</t>
      </text>
    </comment>
    <comment authorId="0" ref="O46">
      <text>
        <t xml:space="preserve">設定スプシはこちら
https://docs.google.com/spreadsheets/d/1SPBhgiqNyK02NU3wZ12Qb53RyyvCjT4wqohplc_jGYo/edit?gid=0#gid=0</t>
      </text>
    </comment>
    <comment authorId="0" ref="P46">
      <text>
        <t xml:space="preserve">シートに記載の必携出求人が出ているか・件名になっているかご確認お願いいたします！
https://docs.google.com/spreadsheets/d/1SPBhgiqNyK02NU3wZ12Qb53RyyvCjT4wqohplc_jGYo/edit?gid=0#gid=0</t>
      </text>
    </comment>
    <comment authorId="0" ref="B50">
      <text>
        <t xml:space="preserve">おまとめ便配信時間につきメルマガ配信不可です。(当日新規会員除く)
</t>
      </text>
    </comment>
    <comment authorId="0" ref="P52">
      <text>
        <t xml:space="preserve">文面こちらです
先週コピーです。
https://docs.google.com/spreadsheets/d/17AK9knGldR84IrFgGP0Q4LdxWGkXdyrGS3YtzPF_yuY/edit?gid=1441980861#gid=1441980861&amp;range=43:43</t>
      </text>
    </comment>
    <comment authorId="0" ref="O54">
      <text>
        <t xml:space="preserve">求人が問題ないか確認（タイトルとあっているか）
</t>
      </text>
    </comment>
    <comment authorId="0" ref="O62">
      <text>
        <t xml:space="preserve">季節ごとに件名と文面を変更
https://docs.google.com/spreadsheets/d/1_zL1zhn7dgc0QlwI1zlrpAAt-u0fs_2-NiCBqstvYak/edit?gid=599876261#gid=599876261&amp;range=B6:L45
春：3月～6月2週目
夏：6月3週目～9月
秋：10月～11月	
冬：12月～2月	</t>
      </text>
    </comment>
    <comment authorId="0" ref="O72">
      <text>
        <t xml:space="preserve">文面はこちらです
https://docs.google.com/spreadsheets/d/1LvmaJz-o8SmQ4kDOmimmE8XAFa_h17tWFmTWskaxN8Q/edit?gid=0#gid=0&amp;range=155:155</t>
      </text>
    </comment>
    <comment authorId="0" ref="O75">
      <text>
        <t xml:space="preserve">文面はこちらです
https://docs.google.com/spreadsheets/d/1LvmaJz-o8SmQ4kDOmimmE8XAFa_h17tWFmTWskaxN8Q/edit?gid=0#gid=0&amp;range=156:156</t>
      </text>
    </comment>
    <comment authorId="0" ref="O81">
      <text>
        <t xml:space="preserve">求人が5件以下であれば配信停止</t>
      </text>
    </comment>
    <comment authorId="0" ref="P88">
      <text>
        <t xml:space="preserve">文面条件こちら
https://docs.google.com/spreadsheets/d/1SLvT5o94TrYKBw2wowGDPfEI1QXg3aRM50QUtQkeAmE/edit?gid=1137747840#gid=1137747840</t>
      </text>
    </comment>
    <comment authorId="0" ref="E90">
      <text>
        <t xml:space="preserve">必掲出求人
?utm_source=adm&amp;utm_medium=email&amp;utm_campaign=uki_adm_127&amp;waad=XDUF0n9q&amp;routeway=85</t>
      </text>
    </comment>
    <comment authorId="0" ref="E91">
      <text>
        <t xml:space="preserve">必掲出求人
?utm_source=adm&amp;utm_medium=email&amp;utm_campaign=uki_adm_129&amp;waad=N9lGq1HB&amp;routeway=85</t>
      </text>
    </comment>
    <comment authorId="0" ref="E94">
      <text>
        <t xml:space="preserve">特集ID　18564</t>
      </text>
    </comment>
    <comment authorId="0" ref="B100">
      <text>
        <t xml:space="preserve">おまとめ便配信時間につきメルマガ配信不可です。(当日新規会員除く)
</t>
      </text>
    </comment>
    <comment authorId="0" ref="O106">
      <text>
        <t xml:space="preserve">※3週目のみ配信でそれ以外の週はグレーにしておく</t>
      </text>
    </comment>
    <comment authorId="0" ref="O111">
      <text>
        <t xml:space="preserve">60代は求人を確認し「60代活躍中」であることを確認</t>
      </text>
    </comment>
    <comment authorId="0" ref="O118">
      <text>
        <t xml:space="preserve">文面はこちらです
https://docs.google.com/spreadsheets/d/1LvmaJz-o8SmQ4kDOmimmE8XAFa_h17tWFmTWskaxN8Q/edit?gid=0#gid=0&amp;range=157:157</t>
      </text>
    </comment>
    <comment authorId="0" ref="O121">
      <text>
        <t xml:space="preserve">文面はこちらです
https://docs.google.com/spreadsheets/d/1LvmaJz-o8SmQ4kDOmimmE8XAFa_h17tWFmTWskaxN8Q/edit?gid=0#gid=0&amp;range=158:158</t>
      </text>
    </comment>
    <comment authorId="0" ref="B130">
      <text>
        <t xml:space="preserve">おまとめ便配信時間につきメルマガ配信不可です。(当日新規会員除く)
</t>
      </text>
    </comment>
    <comment authorId="0" ref="B131">
      <text>
        <t xml:space="preserve">おまとめ便配信時間につきメルマガ配信不可です。(当日新規会員除く)
</t>
      </text>
    </comment>
    <comment authorId="0" ref="B132">
      <text>
        <t xml:space="preserve">おまとめ便配信時間につきメルマガ配信不可です。(当日新規会員除く)
</t>
      </text>
    </comment>
    <comment authorId="0" ref="B133">
      <text>
        <t xml:space="preserve">おまとめ便配信時間につきメルマガ配信不可です。(当日新規会員除く)
</t>
      </text>
    </comment>
    <comment authorId="0" ref="B134">
      <text>
        <t xml:space="preserve">おまとめ便配信時間につきメルマガ配信不可です。(当日新規会員除く)
</t>
      </text>
    </comment>
    <comment authorId="0" ref="P134">
      <text>
        <t xml:space="preserve">配信日時の確認のみ</t>
      </text>
    </comment>
    <comment authorId="0" ref="O149">
      <text>
        <t xml:space="preserve">必携出求人に求人IDを設定
最終ログイン1600日で設定</t>
      </text>
    </comment>
    <comment authorId="0" ref="P149">
      <text>
        <t xml:space="preserve">引き続きエラーにより配信条件変更しております。
ログイン360日
→3.6万通</t>
      </text>
    </comment>
    <comment authorId="0" ref="O152">
      <text>
        <t xml:space="preserve">予約まで</t>
      </text>
    </comment>
    <comment authorId="0" ref="P152">
      <text>
        <t xml:space="preserve">配信日時の確認のみ</t>
      </text>
    </comment>
    <comment authorId="0" ref="O155">
      <text>
        <t xml:space="preserve">予約まで</t>
      </text>
    </comment>
    <comment authorId="0" ref="P155">
      <text>
        <t xml:space="preserve">配信日時の確認のみ</t>
      </text>
    </comment>
    <comment authorId="0" ref="O156">
      <text>
        <t xml:space="preserve">予約まで
</t>
      </text>
    </comment>
    <comment authorId="0" ref="P156">
      <text>
        <t xml:space="preserve">配信日時の確認のみ</t>
      </text>
    </comment>
    <comment authorId="0" ref="P166">
      <text>
        <t xml:space="preserve">文面はこちら
https://docs.google.com/spreadsheets/d/1SLvT5o94TrYKBw2wowGDPfEI1QXg3aRM50QUtQkeAmE/edit?gid=1137747840#gid=1137747840</t>
      </text>
    </comment>
    <comment authorId="0" ref="O173">
      <text>
        <t xml:space="preserve">金曜以降、求人が十分にあるか確認してから予約
</t>
      </text>
    </comment>
    <comment authorId="0" ref="O174">
      <text>
        <t xml:space="preserve">金曜以降、求人が十分にあるか確認してから予約
</t>
      </text>
    </comment>
    <comment authorId="0" ref="E175">
      <text>
        <t xml:space="preserve">※事象解消次第、最終レジュメ更新日30日以内(配信数0.5)→最終ログイン日90日以内(配信数2.5)に変更予定</t>
      </text>
    </comment>
    <comment authorId="0" ref="O175">
      <text>
        <t xml:space="preserve">金曜以降、求人が十分にあるか確認してから予約</t>
      </text>
    </comment>
    <comment authorId="0" ref="B176">
      <text>
        <t xml:space="preserve">おまとめ便配信時間につきメルマガ配信不可です。(当日新規会員除く)
</t>
      </text>
    </comment>
    <comment authorId="0" ref="B177">
      <text>
        <t xml:space="preserve">おまとめ便配信時間につきメルマガ配信不可です。(当日新規会員除く)
</t>
      </text>
    </comment>
    <comment authorId="0" ref="B178">
      <text>
        <t xml:space="preserve">おまとめ便配信時間につきメルマガ配信不可です。(当日新規会員除く)
</t>
      </text>
    </comment>
    <comment authorId="0" ref="B179">
      <text>
        <t xml:space="preserve">おまとめ便配信時間につきメルマガ配信不可です。(当日新規会員除く)
</t>
      </text>
    </comment>
    <comment authorId="0" ref="B180">
      <text>
        <t xml:space="preserve">おまとめ便配信時間につきメルマガ配信不可です。(当日新規会員除く)
</t>
      </text>
    </comment>
    <comment authorId="0" ref="P180">
      <text>
        <t xml:space="preserve">配信日時の確認のみ</t>
      </text>
    </comment>
    <comment authorId="0" ref="B181">
      <text>
        <t xml:space="preserve">おまとめ便配信時間につきメルマガ配信不可です。(当日新規会員除く)
</t>
      </text>
    </comment>
    <comment authorId="0" ref="O187">
      <text>
        <t xml:space="preserve">経験者は求人があるか確認</t>
      </text>
    </comment>
    <comment authorId="0" ref="P208">
      <text>
        <t xml:space="preserve">文面こちらになります。
https://docs.google.com/spreadsheets/d/17AK9knGldR84IrFgGP0Q4LdxWGkXdyrGS3YtzPF_yuY/edit?gid=431776649#gid=431776649&amp;range=1:1</t>
      </text>
    </comment>
    <comment authorId="0" ref="O214">
      <text>
        <t xml:space="preserve">予約まで</t>
      </text>
    </comment>
    <comment authorId="0" ref="P214">
      <text>
        <t xml:space="preserve">配信日時の確認のみ</t>
      </text>
    </comment>
    <comment authorId="0" ref="O215">
      <text>
        <t xml:space="preserve">予約まで</t>
      </text>
    </comment>
    <comment authorId="0" ref="P215">
      <text>
        <t xml:space="preserve">配信日時の確認のみ</t>
      </text>
    </comment>
    <comment authorId="0" ref="O216">
      <text>
        <t xml:space="preserve">予約まで</t>
      </text>
    </comment>
    <comment authorId="0" ref="P216">
      <text>
        <t xml:space="preserve">配信日時の確認のみ</t>
      </text>
    </comment>
    <comment authorId="0" ref="P217">
      <text>
        <t xml:space="preserve">文面こちらです。
https://docs.google.com/spreadsheets/d/17AK9knGldR84IrFgGP0Q4LdxWGkXdyrGS3YtzPF_yuY/edit?gid=1325706824#gid=1325706824</t>
      </text>
    </comment>
    <comment authorId="0" ref="E218">
      <text>
        <t xml:space="preserve">必掲出求人
?utm_source=adm&amp;utm_medium=email&amp;utm_campaign=uki_adm_174&amp;routeway=85</t>
      </text>
    </comment>
    <comment authorId="0" ref="E219">
      <text>
        <t xml:space="preserve">必掲出求人
?utm_source=adm&amp;utm_medium=email&amp;utm_campaign=uki_adm_176&amp;routeway=85</t>
      </text>
    </comment>
    <comment authorId="0" ref="B225">
      <text>
        <t xml:space="preserve">おまとめ便配信時間につきメルマガ配信不可です。(当日新規会員除く)
</t>
      </text>
    </comment>
    <comment authorId="0" ref="B226">
      <text>
        <t xml:space="preserve">おまとめ便配信時間につきメルマガ配信不可です。(当日新規会員除く)
</t>
      </text>
    </comment>
    <comment authorId="0" ref="B227">
      <text>
        <t xml:space="preserve">おまとめ便配信時間につきメルマガ配信不可です。(当日新規会員除く)
</t>
      </text>
    </comment>
    <comment authorId="0" ref="B228">
      <text>
        <t xml:space="preserve">おまとめ便配信時間につきメルマガ配信不可です。(当日新規会員除く)
</t>
      </text>
    </comment>
    <comment authorId="0" ref="B229">
      <text>
        <t xml:space="preserve">おまとめ便配信時間につきメルマガ配信不可です。(当日新規会員除く)
</t>
      </text>
    </comment>
    <comment authorId="0" ref="B230">
      <text>
        <t xml:space="preserve">おまとめ便配信時間につきメルマガ配信不可です。(当日新規会員除く)
</t>
      </text>
    </comment>
    <comment authorId="0" ref="P230">
      <text>
        <t xml:space="preserve">配信日時の確認のみ</t>
      </text>
    </comment>
    <comment authorId="0" ref="P240">
      <text>
        <t xml:space="preserve">文面
https://docs.google.com/spreadsheets/d/1SLvT5o94TrYKBw2wowGDPfEI1QXg3aRM50QUtQkeAmE/edit?gid=1137747840#gid=1137747840</t>
      </text>
    </comment>
    <comment authorId="0" ref="B258">
      <text>
        <t xml:space="preserve">おまとめ便配信時間につきメルマガ配信不可です。(当日新規会員除く)
</t>
      </text>
    </comment>
    <comment authorId="0" ref="B259">
      <text>
        <t xml:space="preserve">おまとめ便配信時間につきメルマガ配信不可です。(当日新規会員除く)
</t>
      </text>
    </comment>
    <comment authorId="0" ref="B260">
      <text>
        <t xml:space="preserve">おまとめ便配信時間につきメルマガ配信不可です。(当日新規会員除く)
</t>
      </text>
    </comment>
    <comment authorId="0" ref="B261">
      <text>
        <t xml:space="preserve">おまとめ便配信時間につきメルマガ配信不可です。(当日新規会員除く)
</t>
      </text>
    </comment>
    <comment authorId="0" ref="P261">
      <text>
        <t xml:space="preserve">配信日時の確認のみ</t>
      </text>
    </comment>
    <comment authorId="0" ref="P278">
      <text>
        <t xml:space="preserve">文面こちらになります。
https://docs.google.com/spreadsheets/d/17AK9knGldR84IrFgGP0Q4LdxWGkXdyrGS3YtzPF_yuY/edit?gid=431776649#gid=431776649</t>
      </text>
    </comment>
    <comment authorId="0" ref="B292">
      <text>
        <t xml:space="preserve">おまとめ便配信時間につきメルマガ配信不可です。(当日新規会員除く)
</t>
      </text>
    </comment>
    <comment authorId="0" ref="B293">
      <text>
        <t xml:space="preserve">おまとめ便配信時間につきメルマガ配信不可です。(当日新規会員除く)
</t>
      </text>
    </comment>
    <comment authorId="0" ref="B294">
      <text>
        <t xml:space="preserve">おまとめ便配信時間につきメルマガ配信不可です。(当日新規会員除く)
</t>
      </text>
    </comment>
    <comment authorId="0" ref="P294">
      <text>
        <t xml:space="preserve">配信日時の確認のみ</t>
      </text>
    </comment>
    <comment authorId="0" ref="O320">
      <text>
        <t xml:space="preserve">必携出求人に求人IDを設定</t>
      </text>
    </comment>
    <comment authorId="0" ref="O322">
      <text>
        <t xml:space="preserve">火曜以降に求人が充分にあるか確認しながら配信</t>
      </text>
    </comment>
    <comment authorId="0" ref="P325">
      <text>
        <t xml:space="preserve">文面こちらです。
https://docs.google.com/spreadsheets/d/17AK9knGldR84IrFgGP0Q4LdxWGkXdyrGS3YtzPF_yuY/edit?gid=1921654921#gid=1921654921</t>
      </text>
    </comment>
    <comment authorId="0" ref="P327">
      <text>
        <t xml:space="preserve">文面はこちら
https://docs.google.com/spreadsheets/d/1SLvT5o94TrYKBw2wowGDPfEI1QXg3aRM50QUtQkeAmE/edit?gid=1137747840#gid=1137747840</t>
      </text>
    </comment>
    <comment authorId="0" ref="E329">
      <text>
        <t xml:space="preserve">必掲出求人
?utm_source=adm&amp;utm_medium=email&amp;utm_campaign=uki_adm_224&amp;routeway=85</t>
      </text>
    </comment>
    <comment authorId="0" ref="E330">
      <text>
        <t xml:space="preserve">必掲出求人
?utm_source=adm&amp;utm_medium=email&amp;utm_campaign=uki_adm_225&amp;routeway=85</t>
      </text>
    </comment>
    <comment authorId="0" ref="E331">
      <text>
        <t xml:space="preserve">必掲出求人
?utm_source=adm&amp;utm_medium=email&amp;utm_campaign=uki_adm_226&amp;routeway=85</t>
      </text>
    </comment>
    <comment authorId="0" ref="E332">
      <text>
        <t xml:space="preserve">必掲出求人
?utm_source=adm&amp;utm_medium=email&amp;utm_campaign=uki_adm_227&amp;routeway=85</t>
      </text>
    </comment>
    <comment authorId="0" ref="E333">
      <text>
        <t xml:space="preserve">必掲出求人
?utm_source=adm&amp;utm_medium=email&amp;utm_campaign=uki_adm_228&amp;routeway=85</t>
      </text>
    </comment>
    <comment authorId="0" ref="E334">
      <text>
        <t xml:space="preserve">必掲出求人
?utm_source=adm&amp;utm_medium=email&amp;utm_campaign=uki_adm_229&amp;routeway=85</t>
      </text>
    </comment>
    <comment authorId="0" ref="P335">
      <text>
        <t xml:space="preserve">文面はこちらです
https://docs.google.com/document/d/15LrPWRNSqeZcGVnrja0vIQUy65qnCnci8nhu2xwaB2A/edit?tab=t.0</t>
      </text>
    </comment>
    <comment authorId="0" ref="B337">
      <text>
        <t xml:space="preserve">おまとめ便配信時間につきメルマガ配信不可です。(当日新規会員除く)
</t>
      </text>
    </comment>
    <comment authorId="0" ref="B338">
      <text>
        <t xml:space="preserve">おまとめ便配信時間につきメルマガ配信不可です。(当日新規会員除く)
</t>
      </text>
    </comment>
    <comment authorId="0" ref="B339">
      <text>
        <t xml:space="preserve">おまとめ便配信時間につきメルマガ配信不可です。(当日新規会員除く)
</t>
      </text>
    </comment>
    <comment authorId="0" ref="B340">
      <text>
        <t xml:space="preserve">おまとめ便配信時間につきメルマガ配信不可です。(当日新規会員除く)
</t>
      </text>
    </comment>
    <comment authorId="0" ref="B341">
      <text>
        <t xml:space="preserve">おまとめ便配信時間につきメルマガ配信不可です。(当日新規会員除く)
</t>
      </text>
    </comment>
    <comment authorId="0" ref="P341">
      <text>
        <t xml:space="preserve">配信日時の確認のみ</t>
      </text>
    </comment>
    <comment authorId="0" ref="B342">
      <text>
        <t xml:space="preserve">おまとめ便配信時間につきメルマガ配信不可です。(当日新規会員除く)
</t>
      </text>
    </comment>
    <comment authorId="0" ref="B343">
      <text>
        <t xml:space="preserve">おまとめ便配信時間につきメルマガ配信不可です。(当日新規会員除く)
</t>
      </text>
    </comment>
    <comment authorId="0" ref="P351">
      <text>
        <t xml:space="preserve">抽出求人以下より上位15求人になります。
https://lookerstudio.google.com/u/0/reporting/276b1a3a-b079-480a-bdb4-9d3d71a49d6e/page/xklOC</t>
      </text>
    </comment>
    <comment authorId="0" ref="P355">
      <text>
        <t xml:space="preserve">新規会員登録日の日付範囲を指定
過去過去　180　日　～　30　日以内
必携出はこちら
https://docs.google.com/spreadsheets/d/16afl0qEXXMcJ6lgej9zZy5hwf6XmDA4PIc5EnOslMPU/edit?gid=92905626#gid=92905626</t>
      </text>
    </comment>
    <comment authorId="0" ref="E357">
      <text>
        <t xml:space="preserve">15時　6.5万通　ID140 z_新規フリー634
https://docs.google.com/spreadsheets/d/1MVNy4hhQlho4Wwg0oiWEVZnaM3mS9LfmJg68ZbNvsKQ/edit#gid=92555075</t>
      </text>
    </comment>
    <comment authorId="0" ref="P359">
      <text>
        <t xml:space="preserve">文面こちらになります
https://docs.google.com/spreadsheets/d/17AK9knGldR84IrFgGP0Q4LdxWGkXdyrGS3YtzPF_yuY/edit?gid=603206883#gid=603206883</t>
      </text>
    </comment>
    <comment authorId="0" ref="O360">
      <text>
        <t xml:space="preserve">時期により文面/条件変更検討</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基準日（A1/B1を開始した週の火曜）を入力</t>
      </text>
    </comment>
    <comment authorId="0" ref="B1">
      <text>
        <t xml:space="preserve">編集版の日付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おまとめ便配信時間につきメルマガ配信不可です。(当日新規会員除く)
</t>
      </text>
    </comment>
    <comment authorId="0" ref="B5">
      <text>
        <t xml:space="preserve">おまとめ便配信時間につきメルマガ配信不可です。(当日新規会員除く)
</t>
      </text>
    </comment>
    <comment authorId="0" ref="B6">
      <text>
        <t xml:space="preserve">おまとめ便配信時間につきメルマガ配信不可です。(当日新規会員除く)
</t>
      </text>
    </comment>
    <comment authorId="0" ref="B7">
      <text>
        <t xml:space="preserve">おまとめ便配信時間につきメルマガ配信不可です。(当日新規会員除く)
</t>
      </text>
    </comment>
    <comment authorId="0" ref="B8">
      <text>
        <t xml:space="preserve">おまとめ便配信時間につきメルマガ配信不可です。(当日新規会員除く)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必掲出求人
?utm_source=adm&amp;utm_medium=email&amp;utm_campaign=uki_adm_129&amp;waad=N9lGq1HB&amp;routeway=85</t>
      </text>
    </comment>
    <comment authorId="0" ref="G5">
      <text>
        <t xml:space="preserve">必掲出求人
?utm_source=adm&amp;utm_medium=email&amp;utm_campaign=uki_adm_129&amp;waad=N9lGq1HB&amp;routeway=85</t>
      </text>
    </comment>
    <comment authorId="0" ref="G6">
      <text>
        <t xml:space="preserve">必掲出求人
?utm_source=adm&amp;utm_medium=email&amp;utm_campaign=uki_adm_129&amp;waad=N9lGq1HB&amp;routeway=85</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6">
      <text>
        <t xml:space="preserve">タスク
スケジュールにコメント入れる</t>
      </text>
    </comment>
    <comment authorId="0" ref="C369">
      <text>
        <t xml:space="preserve">2023.10月～担当者変更
原田さん→松浦悠真さん</t>
      </text>
    </comment>
    <comment authorId="0" ref="C395">
      <text>
        <t xml:space="preserve">2023.10月～担当者変更
原田さん→松浦悠真さん</t>
      </text>
    </comment>
    <comment authorId="0" ref="C433">
      <text>
        <t xml:space="preserve">2023.10月～担当者変更
原田さん→松浦悠真さん</t>
      </text>
    </comment>
    <comment authorId="0" ref="C461">
      <text>
        <t xml:space="preserve">2023.10月～担当者変更
原田さん→松浦悠真さん</t>
      </text>
    </comment>
    <comment authorId="0" ref="C462">
      <text>
        <t xml:space="preserve">2023.1月以降
作業担当者が本多さん→小櫻めぐみさんへ変更</t>
      </text>
    </comment>
    <comment authorId="0" ref="C467">
      <text>
        <t xml:space="preserve">2023.1月以降
作業担当者が本多さん→小櫻めぐみさんへ変更</t>
      </text>
    </comment>
    <comment authorId="0" ref="C477">
      <text>
        <t xml:space="preserve">2023.1月以降
作業担当者が本多さん→小櫻めぐみさんへ変更</t>
      </text>
    </comment>
    <comment authorId="0" ref="C486">
      <text>
        <t xml:space="preserve">2023.10月～担当者変更
原田さん→松浦悠真さん</t>
      </text>
    </comment>
    <comment authorId="0" ref="C487">
      <text>
        <t xml:space="preserve">2023.1月以降
作業担当者が本多さん→小櫻めぐみさんへ変更</t>
      </text>
    </comment>
    <comment authorId="0" ref="C490">
      <text>
        <t xml:space="preserve">2023.1月以降
作業担当者が本多さん→小櫻めぐみさんへ変更</t>
      </text>
    </comment>
    <comment authorId="0" ref="C514">
      <text>
        <t xml:space="preserve">2023.10月～担当者変更
原田さん→松浦悠真さん</t>
      </text>
    </comment>
    <comment authorId="0" ref="C529">
      <text>
        <t xml:space="preserve">2023.1月以降
作業担当者が本多さん→小櫻めぐみさんへ変更</t>
      </text>
    </comment>
    <comment authorId="0" ref="C550">
      <text>
        <t xml:space="preserve">2023.10月～担当者変更
原田さん→松浦悠真さん</t>
      </text>
    </comment>
    <comment authorId="0" ref="C586">
      <text>
        <t xml:space="preserve">2023.10月～担当者変更
原田さん→松浦悠真さん
2024.4月～
CC：山田達郎さん→中村真太郎さん</t>
      </text>
    </comment>
    <comment authorId="0" ref="D592">
      <text>
        <t xml:space="preserve">【ウキメルマガ】お盆連休期間中の配信について／掲載終了前+UP・救済メルマガ（UP10）</t>
      </text>
    </comment>
    <comment authorId="0" ref="D593">
      <text>
        <t xml:space="preserve">【ウキメルマガ】お盆連休期間中の配信について／編集部オススメ・TP部メルマガ</t>
      </text>
    </comment>
    <comment authorId="0" ref="D594">
      <text>
        <t xml:space="preserve">【type・ウキメルマガ】お盆連休期間中の配信について／関西・東海</t>
      </text>
    </comment>
    <comment authorId="0" ref="D604">
      <text>
        <t xml:space="preserve">【type・ウキメルマガ】お盆連休期間中の配信について／推進部
</t>
      </text>
    </comment>
    <comment authorId="0" ref="D608">
      <text>
        <t xml:space="preserve">【ウキメルマガ】お盆連休期間中の配信について／Womantype</t>
      </text>
    </comment>
    <comment authorId="0" ref="C611">
      <text>
        <t xml:space="preserve">2023.10月～担当者変更
原田さん→松浦悠真さん
2024.4月～
CC：山田達郎さん→中村真太郎さん</t>
      </text>
    </comment>
    <comment authorId="0" ref="C680">
      <text>
        <t xml:space="preserve">2023.10月～担当者変更
原田さん→松浦悠真さん</t>
      </text>
    </comment>
    <comment authorId="0" ref="D680">
      <text>
        <t xml:space="preserve">お盆期間中の神奈川メルマガについて</t>
      </text>
    </comment>
    <comment authorId="0" ref="D685">
      <text>
        <t xml:space="preserve">【ウキメルマガ】お盆連休期間中の配信について／掲載終了前+UP・救済メルマガ（UP10）</t>
      </text>
    </comment>
    <comment authorId="0" ref="D686">
      <text>
        <t xml:space="preserve">【ウキメルマガ】お盆連休期間中の配信について／編集部オススメ・TP部メルマガ</t>
      </text>
    </comment>
    <comment authorId="0" ref="D688">
      <text>
        <t xml:space="preserve">【type・ウキメルマガ】お盆連休期間中の配信について／関西・東海</t>
      </text>
    </comment>
    <comment authorId="0" ref="D702">
      <text>
        <t xml:space="preserve">【ウキメルマガ】お盆連休期間中の配信について／Womantype</t>
      </text>
    </comment>
    <comment authorId="0" ref="C706">
      <text>
        <t xml:space="preserve">2023.10月～担当者変更
原田さん→松浦悠真さん</t>
      </text>
    </comment>
    <comment authorId="0" ref="D708">
      <text>
        <t xml:space="preserve">【ウキメルマガ】お盆連休期間中の対応について／SP版ウキポリ・SWAT版ウキポリ</t>
      </text>
    </comment>
    <comment authorId="0" ref="C763">
      <text>
        <t xml:space="preserve">2023.10月～担当者変更
原田さん→松浦悠真さん</t>
      </text>
    </comment>
    <comment authorId="0" ref="D763">
      <text>
        <t xml:space="preserve">お盆期間中の神奈川メルマガについて</t>
      </text>
    </comment>
    <comment authorId="0" ref="D768">
      <text>
        <t xml:space="preserve">【ウキメルマガ】お盆連休期間中の配信について／掲載終了前+UP・救済メルマガ（UP10）</t>
      </text>
    </comment>
    <comment authorId="0" ref="D769">
      <text>
        <t xml:space="preserve">【ウキメルマガ】お盆連休期間中の配信について／編集部オススメ・TP部メルマガ</t>
      </text>
    </comment>
    <comment authorId="0" ref="C771">
      <text>
        <t xml:space="preserve">メルマガ業務●type・ウキ／関西・東海メルマガ</t>
      </text>
    </comment>
    <comment authorId="0" ref="D771">
      <text>
        <t xml:space="preserve">【type・ウキメルマガ】お盆連休期間中の配信について／関西・東海</t>
      </text>
    </comment>
    <comment authorId="0" ref="D772">
      <text>
        <t xml:space="preserve">【type・ウキメルマガ】お盆連休期間中の配信について／関西・東海</t>
      </text>
    </comment>
    <comment authorId="0" ref="C782">
      <text>
        <t xml:space="preserve">参考メール
メルマガ入稿●type・ウキ／推進部メルマガ</t>
      </text>
    </comment>
    <comment authorId="0" ref="C796">
      <text>
        <t xml:space="preserve">参考メール
メルマガ業務●type・ウキ／関西・東海メルマガ</t>
      </text>
    </comment>
    <comment authorId="0" ref="C797">
      <text>
        <t xml:space="preserve">参考メール
メルマガ業務●type・ウキ／関西・東海メルマガ</t>
      </text>
    </comment>
    <comment authorId="0" ref="C804">
      <text>
        <t xml:space="preserve">参考メール
メルマガ入稿●type・ウキ／推進部メルマガ</t>
      </text>
    </comment>
    <comment authorId="0" ref="C815">
      <text>
        <t xml:space="preserve">参考メール
メルマガ業務●type・ウキ／関西・東海メルマガ</t>
      </text>
    </comment>
    <comment authorId="0" ref="C816">
      <text>
        <t xml:space="preserve">参考メール
メルマガ業務●type・ウキ／関西・東海メルマガ</t>
      </text>
    </comment>
    <comment authorId="0" ref="D829">
      <text>
        <t xml:space="preserve">【ウキメルマガ】お盆連休期間中の配信について／掲載終了前+UP・救済メルマガ（UP10）</t>
      </text>
    </comment>
    <comment authorId="0" ref="B831">
      <text>
        <t xml:space="preserve">メルマガ入稿●ウキ／IT派遣
配信直前の金曜午前中にメールで入稿される</t>
      </text>
    </comment>
    <comment authorId="0" ref="D832">
      <text>
        <t xml:space="preserve">【ウキメルマガ】お盆連休期間中の配信について／編集部オススメ・TP部メルマガ</t>
      </text>
    </comment>
    <comment authorId="0" ref="D833">
      <text>
        <t xml:space="preserve">【ウキメルマガ】お盆連休期間中の配信について／掲載終了前+UP・救済メルマガ（UP10）</t>
      </text>
    </comment>
    <comment authorId="0" ref="D834">
      <text>
        <t xml:space="preserve">【ウキメルマガ】お盆連休期間中の配信について／編集部オススメ・TP部メルマガ</t>
      </text>
    </comment>
    <comment authorId="0" ref="C835">
      <text>
        <t xml:space="preserve">参考メール
メルマガ業務●type・ウキ／関西・東海メルマガ</t>
      </text>
    </comment>
    <comment authorId="0" ref="C836">
      <text>
        <t xml:space="preserve">参考メール
メルマガ業務●type・ウキ／関西・東海メルマガ</t>
      </text>
    </comment>
    <comment authorId="0" ref="C845">
      <text>
        <t xml:space="preserve">参考メール
メルマガ入稿●type・ウキ／推進部メルマガ</t>
      </text>
    </comment>
    <comment authorId="0" ref="B856">
      <text>
        <t xml:space="preserve">メルマガ入稿●ウキ／IT派遣
配信直前の金曜午前中にメールで入稿される</t>
      </text>
    </comment>
    <comment authorId="0" ref="C860">
      <text>
        <t xml:space="preserve">参考メール
メルマガ業務●type・ウキ／関西・東海メルマガ</t>
      </text>
    </comment>
    <comment authorId="0" ref="C861">
      <text>
        <t xml:space="preserve">参考メール
メルマガ業務●type・ウキ／関西・東海メルマガ</t>
      </text>
    </comment>
    <comment authorId="0" ref="C890">
      <text>
        <t xml:space="preserve">参考メール
メルマガ入稿●type・ウキ／推進部メルマガ</t>
      </text>
    </comment>
    <comment authorId="0" ref="C938">
      <text>
        <t xml:space="preserve">【ウキメルマガ】お盆休業期間中の配信について／掲載終了前+UP・救済メルマガ（UP10）</t>
      </text>
    </comment>
    <comment authorId="0" ref="D938">
      <text>
        <t xml:space="preserve">【ウキメルマガ】お盆連休期間中の配信について／掲載終了前+UP・救済メルマガ（UP10）</t>
      </text>
    </comment>
    <comment authorId="0" ref="B940">
      <text>
        <t xml:space="preserve">メルマガ入稿●ウキ／IT派遣
配信直前の金曜午前中にメールで入稿される</t>
      </text>
    </comment>
    <comment authorId="0" ref="D941">
      <text>
        <t xml:space="preserve">【ウキメルマガ】お盆連休期間中の配信について／編集部オススメ・TP部メルマガ</t>
      </text>
    </comment>
    <comment authorId="0" ref="D942">
      <text>
        <t xml:space="preserve">【ウキメルマガ】お盆連休期間中の配信について／掲載終了前+UP・救済メルマガ（UP10）</t>
      </text>
    </comment>
    <comment authorId="0" ref="D943">
      <text>
        <t xml:space="preserve">【ウキメルマガ】お盆連休期間中の配信について／編集部オススメ・TP部メルマガ</t>
      </text>
    </comment>
    <comment authorId="0" ref="C944">
      <text>
        <t xml:space="preserve">参考メール
メルマガ業務●type・ウキ／関西・東海メルマガ</t>
      </text>
    </comment>
    <comment authorId="0" ref="C945">
      <text>
        <t xml:space="preserve">参考メール
メルマガ業務●type・ウキ／関西・東海メルマガ</t>
      </text>
    </comment>
    <comment authorId="0" ref="C954">
      <text>
        <t xml:space="preserve">参考メール
メルマガ入稿●type・ウキ／推進部メルマガ</t>
      </text>
    </comment>
    <comment authorId="0" ref="B966">
      <text>
        <t xml:space="preserve">メルマガ入稿●ウキ／IT派遣
配信直前の金曜午前中にメールで入稿される</t>
      </text>
    </comment>
    <comment authorId="0" ref="C970">
      <text>
        <t xml:space="preserve">参考メール
メルマガ業務●type・ウキ／関西・東海メルマガ</t>
      </text>
    </comment>
    <comment authorId="0" ref="C971">
      <text>
        <t xml:space="preserve">参考メール
メルマガ業務●type・ウキ／関西・東海メルマガ</t>
      </text>
    </comment>
    <comment authorId="0" ref="C996">
      <text>
        <t xml:space="preserve">参考メール
メルマガ入稿●type・ウキ／推進部メルマガ</t>
      </text>
    </comment>
    <comment authorId="0" ref="C1025">
      <text>
        <t xml:space="preserve">2023.10月～担当者変更
原田さん→松浦悠真さん</t>
      </text>
    </comment>
    <comment authorId="0" ref="D1031">
      <text>
        <t xml:space="preserve">【ウキメルマガ】お盆連休期間中の配信について／編集部オススメ・TP部メルマガ</t>
      </text>
    </comment>
    <comment authorId="0" ref="C1032">
      <text>
        <t xml:space="preserve">参考メール
メルマガ業務●type・ウキ／関西・東海メルマガ</t>
      </text>
    </comment>
    <comment authorId="0" ref="C1033">
      <text>
        <t xml:space="preserve">参考メール
メルマガ業務●type・ウキ／関西・東海メルマガ</t>
      </text>
    </comment>
    <comment authorId="0" ref="C1040">
      <text>
        <t xml:space="preserve">参考メール
メルマガ入稿●type・ウキ／推進部メルマガ</t>
      </text>
    </comment>
    <comment authorId="0" ref="C1050">
      <text>
        <t xml:space="preserve">【ウキメルマガ】お盆休業期間中の配信について／掲載終了前+UP・救済メルマガ（UP10）</t>
      </text>
    </comment>
    <comment authorId="0" ref="D1050">
      <text>
        <t xml:space="preserve">【ウキメルマガ】お盆連休期間中の配信について／掲載終了前+UP・救済メルマガ（UP10）</t>
      </text>
    </comment>
    <comment authorId="0" ref="B1052">
      <text>
        <t xml:space="preserve">メルマガ入稿●ウキ／IT派遣
配信直前の金曜午前中にメールで入稿される</t>
      </text>
    </comment>
    <comment authorId="0" ref="D1053">
      <text>
        <t xml:space="preserve">【ウキメルマガ】お盆連休期間中の配信について／編集部オススメ・TP部メルマガ</t>
      </text>
    </comment>
    <comment authorId="0" ref="D1054">
      <text>
        <t xml:space="preserve">【ウキメルマガ】お盆連休期間中の配信について／掲載終了前+UP・救済メルマガ（UP10）</t>
      </text>
    </comment>
    <comment authorId="0" ref="C1056">
      <text>
        <t xml:space="preserve">参考メール
メルマガ業務●type・ウキ／関西・東海メルマガ</t>
      </text>
    </comment>
    <comment authorId="0" ref="C1057">
      <text>
        <t xml:space="preserve">参考メール
メルマガ業務●type・ウキ／関西・東海メルマガ</t>
      </text>
    </comment>
    <comment authorId="0" ref="C1066">
      <text>
        <t xml:space="preserve">参考メール
メルマガ入稿●type・ウキ／推進部メルマガ</t>
      </text>
    </comment>
    <comment authorId="0" ref="B1078">
      <text>
        <t xml:space="preserve">メルマガ入稿●ウキ／IT派遣
配信直前の金曜午前中にメールで入稿される</t>
      </text>
    </comment>
    <comment authorId="0" ref="C1082">
      <text>
        <t xml:space="preserve">参考メール
メルマガ業務●type・ウキ／関西・東海メルマガ</t>
      </text>
    </comment>
    <comment authorId="0" ref="C1083">
      <text>
        <t xml:space="preserve">参考メール
メルマガ業務●type・ウキ／関西・東海メルマガ</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3">
      <text>
        <t xml:space="preserve">3回配信合計</t>
      </text>
    </comment>
  </commentList>
</comments>
</file>

<file path=xl/sharedStrings.xml><?xml version="1.0" encoding="utf-8"?>
<sst xmlns="http://schemas.openxmlformats.org/spreadsheetml/2006/main" count="7402" uniqueCount="1452">
  <si>
    <t>メルマガ内容</t>
  </si>
  <si>
    <t>通数</t>
  </si>
  <si>
    <t>設定者</t>
  </si>
  <si>
    <t>確認者</t>
  </si>
  <si>
    <t>計</t>
  </si>
  <si>
    <t>26/4/14_編集版のルール</t>
  </si>
  <si>
    <t>ルール内容</t>
  </si>
  <si>
    <t>書式（色）</t>
  </si>
  <si>
    <t>人間</t>
  </si>
  <si>
    <t>Gemini</t>
  </si>
  <si>
    <t>**設定・確認完了**</t>
  </si>
  <si>
    <t>赤</t>
  </si>
  <si>
    <t>確定版の設定・確認ごと手動で各自塗りつぶす</t>
  </si>
  <si>
    <t>**設定中（未確認）**</t>
  </si>
  <si>
    <t>なし</t>
  </si>
  <si>
    <t>**配信停止・未着手**</t>
  </si>
  <si>
    <t>グレー</t>
  </si>
  <si>
    <t>設定者RPAのR</t>
  </si>
  <si>
    <t>水色</t>
  </si>
  <si>
    <t>確定後</t>
  </si>
  <si>
    <t>26/4/14(日付)_編集版を操作し、確定後は_確定版を新規作成する</t>
  </si>
  <si>
    <t>編集版</t>
  </si>
  <si>
    <t>リストとかマスタの条件書式を、編集版に相続したい。たとえば、C17が隔週Aなので緑に塗りつぶされてるのでそれを反映。そして配信停止の時はグレーになる</t>
  </si>
  <si>
    <t>リストシートの種別</t>
  </si>
  <si>
    <t>緑</t>
  </si>
  <si>
    <t>ピンクと週替わりに配信</t>
  </si>
  <si>
    <t>ピンク</t>
  </si>
  <si>
    <t>緑と週替わりに配信</t>
  </si>
  <si>
    <t>特殊配信マスタのぴじしょん</t>
  </si>
  <si>
    <t>チェック観点</t>
  </si>
  <si>
    <t>１</t>
  </si>
  <si>
    <t>日付と色のチェック</t>
  </si>
  <si>
    <t>火曜日からスタートしているか</t>
  </si>
  <si>
    <t>隔週が緑⇒桃⇒緑⇒と毎週変わっているか</t>
  </si>
  <si>
    <t>２</t>
  </si>
  <si>
    <t>ポジションマッチ</t>
  </si>
  <si>
    <t>A3・B3の時「◇ポジションマッチ 関西」がオープンする</t>
  </si>
  <si>
    <t>A1⇒A2⇒A3→A1→A2・・と毎週回る。Bも同様。どちらも3の時関西も配信する週になる</t>
  </si>
  <si>
    <t>３</t>
  </si>
  <si>
    <t>☆IT派遣［全］</t>
  </si>
  <si>
    <t>└(第2・第4日曜)x月はx日・x日</t>
  </si>
  <si>
    <t>月初作成時に記載しておく</t>
  </si>
  <si>
    <t>４</t>
  </si>
  <si>
    <t>毎月は配信</t>
  </si>
  <si>
    <t>月末1週間前は普段は閉じているグループをオープン</t>
  </si>
  <si>
    <t>配信しない曜日はグレーアウトしておく</t>
  </si>
  <si>
    <t>月末増発シートと内容があっているか確認</t>
  </si>
  <si>
    <t>５</t>
  </si>
  <si>
    <t>検</t>
  </si>
  <si>
    <t>イレギュラー</t>
  </si>
  <si>
    <t>水色に塗る</t>
  </si>
  <si>
    <t>６</t>
  </si>
  <si>
    <t>PR挿入</t>
  </si>
  <si>
    <t>└PR128掲載中(5/8迄)</t>
  </si>
  <si>
    <t>└PR128削除(5/8迄)</t>
  </si>
  <si>
    <t>└PR128削除(5/8迄)、PR129追加(6/5迄)</t>
  </si>
  <si>
    <t>起票・終了したらレ点忘れず</t>
  </si>
  <si>
    <t>７</t>
  </si>
  <si>
    <t>月初1日に要対応　20時の「当日新規会員」の荒木さんの名前の部分に以下コメント追加</t>
  </si>
  <si>
    <t>「月初のため文面変更をお願い致します！」</t>
  </si>
  <si>
    <t>→このメルマガは毎月リード文を変更しております。そのため毎月1日に文面変更の依頼を荒木さんにコメントでしております。</t>
  </si>
  <si>
    <t>参考：11/30のシートの12/1の該当箇所のコメントをご確認ください。</t>
  </si>
  <si>
    <t>８</t>
  </si>
  <si>
    <t>前週のRPA化コメントの確認</t>
  </si>
  <si>
    <t>９</t>
  </si>
  <si>
    <t>求人特集（35歳以上）</t>
  </si>
  <si>
    <t>└求人特集配信日のみオープン</t>
  </si>
  <si>
    <t>\\cdc-fs00.cdc.local\career\00_全社共有\01_企画課\求人特集一覧</t>
  </si>
  <si>
    <t>求人特集の「30代・40代歓迎!ベテラン歓迎の求人特集」がある場合は、掲載される次の日（水か土）に16万通配信</t>
  </si>
  <si>
    <t>増枠シート・スプレッドシートに「求人特集（35歳以上）」と記載　※この特集のみ特別対応</t>
  </si>
  <si>
    <t>※参考例：4/19週の4/23(土)18時　求人特集（35歳以上） 16万通</t>
  </si>
  <si>
    <t>５．</t>
  </si>
  <si>
    <t>長期休暇・・・休暇前後も含め休日の対応をチェック</t>
  </si>
  <si>
    <t>マスタ</t>
  </si>
  <si>
    <t>リスト</t>
  </si>
  <si>
    <t>毎週固定配信</t>
  </si>
  <si>
    <t>特殊配信マスタ</t>
  </si>
  <si>
    <t>ポジションマッチなどのサイクル配信</t>
  </si>
  <si>
    <t>新規</t>
  </si>
  <si>
    <t>検証中やイレギュラー配信</t>
  </si>
  <si>
    <t>メルマガスケジュール作成メーカー：仕様書 (Rule.md)</t>
  </si>
  <si>
    <t>1. 全体コンセプト</t>
  </si>
  <si>
    <t>スプレッドシート上の「マスタ（リスト・特殊配信）」に基づき、指定された期間（通常1週間：火〜月）の配信スケジュールを自動生成する。</t>
  </si>
  <si>
    <t>BOSS-Sへの入稿作業および、チーム内での進捗管理（色塗り）を効率化することを目的とする。</t>
  </si>
  <si>
    <t>2. スケジュール生成ロジック</t>
  </si>
  <si>
    <t>2.1 基本配信（「リスト」シート参照）</t>
  </si>
  <si>
    <t>毎週配信: 指定した曜日に該当するものをすべて抽出。</t>
  </si>
  <si>
    <t>隔週配信（A/B）: * 実行時に「今週がA週かB週か」を判定（またはユーザーが指定）。</t>
  </si>
  <si>
    <t>隔週Aの週は「隔週A」のみ、Bの週は「隔週B」のみを抽出。</t>
  </si>
  <si>
    <t>セル色：マスタに基づき「緑」または「ピンク」を適用。</t>
  </si>
  <si>
    <t>2.2 特殊配信（「特殊配信マスタ」シート参照）</t>
  </si>
  <si>
    <t>ポジションマッチ (A1〜A3 / B1〜B3):</t>
  </si>
  <si>
    <t>3週間で1サイクル（1→2→3）のローテーション。</t>
  </si>
  <si>
    <t>先週の値を参照し、次回の番号を自動セット。</t>
  </si>
  <si>
    <t>関西枠の開放: サイクルが「3」の時のみ、関西用の配信枠を追加する。</t>
  </si>
  <si>
    <t>第X日曜限定配信:</t>
  </si>
  <si>
    <t>例：第2・第4日曜のみ配信される「IT派遣」など、日付から自動判定して挿入。</t>
  </si>
  <si>
    <t>2.3 特殊ルール（「PR管理」「長期休暇」参照）</t>
  </si>
  <si>
    <t>PR差込: PR管理シートで「終了」になっていないIDを、指定されたメルマガ枠に自動結合。</t>
  </si>
  <si>
    <t>長期休暇モード: * 休暇用フラグがONの場合、「長期休暇対応」シートの配信有無・連絡事項を優先。</t>
  </si>
  <si>
    <t>通常の生成ロジックをスキップ、または配信停止（グレーアウト）処理を行う。</t>
  </si>
  <si>
    <t>3. シート構成・UI仕様</t>
  </si>
  <si>
    <t>3.1 生成されるシート（編集版）</t>
  </si>
  <si>
    <t>シート名: yy/m/d_編集版（例：26/4/21_編集版）</t>
  </si>
  <si>
    <t>レイアウト: カレンダー形式。1日を1ブロックとし、横に「火・水・木...」と並べる。</t>
  </si>
  <si>
    <t>項目: メルマガ内容、通数、計、設定者、確認者。</t>
  </si>
  <si>
    <t>3.2 ステータス管理（色塗りルール）</t>
  </si>
  <si>
    <t>自動着色（生成時）:</t>
  </si>
  <si>
    <t>設定者が「R」の場合：セルを 水色（RPA枠）にする。</t>
  </si>
  <si>
    <t>配信停止フラグがTRUEの場合：セルを グレー にする。</t>
  </si>
  <si>
    <t>手動更新トリガー（条件付き書式）:</t>
  </si>
  <si>
    <t>「設定者」と「確認者」の両方のセルに名前が入力された場合：該当行または名前セルを 赤色 に変更する。</t>
  </si>
  <si>
    <t>4. GAS実装機能（メソッド定義案）</t>
  </si>
  <si>
    <t>関数名</t>
  </si>
  <si>
    <t>役割</t>
  </si>
  <si>
    <t>onOpen()</t>
  </si>
  <si>
    <t>スプシ上部に「スケジュール作成メニュー」を表示。</t>
  </si>
  <si>
    <t>getCurrentCycle()</t>
  </si>
  <si>
    <t>前回のシート名から、現在の隔週(A/B)とポジションマッチ(1-3)を特定。</t>
  </si>
  <si>
    <t>generateSheet()</t>
  </si>
  <si>
    <t>メインロジック。日付計算、マスタ抽出、セル結合、書式設定を実行。</t>
  </si>
  <si>
    <t>applyPR()</t>
  </si>
  <si>
    <t>PR管理シートと照合し、文言やIDを自動挿入。</t>
  </si>
  <si>
    <t>createFinalVersion()</t>
  </si>
  <si>
    <t>編集版から「確定版」を別シートとして書き出し。</t>
  </si>
  <si>
    <t>5. 運用フロー（イメージ）</t>
  </si>
  <si>
    <t>操作パネル で「次週の開始日（火）」を入力。</t>
  </si>
  <si>
    <t>作成ボタン を押すと、GASがマスタを走査。</t>
  </si>
  <si>
    <t>自動生成 された新しいシートに、今週必要な枠がすべて並ぶ。</t>
  </si>
  <si>
    <t>担当者 が作業完了後、名前を入力 → 自動で赤色に！</t>
  </si>
  <si>
    <t>広報 閲覧専用の「カレンダー」シートへ自動同期。</t>
  </si>
  <si>
    <t>★自動求人特集メルマガ★</t>
  </si>
  <si>
    <t>求人数が700超えてないか、毎週チェックしてから配信設定</t>
  </si>
  <si>
    <t>Q1回くらいで確認※200件以下を保つこと、危ないものはRPA外す</t>
  </si>
  <si>
    <t>→本部対応：1000件超えるとアウト。手動はその時点でみているので700件まで大丈夫としている。これはQ1回確認にしたので200件以下をボーダーラインとしている。</t>
  </si>
  <si>
    <t>曜日</t>
  </si>
  <si>
    <t>時間</t>
  </si>
  <si>
    <t>開始</t>
  </si>
  <si>
    <t>終了</t>
  </si>
  <si>
    <t>種別</t>
  </si>
  <si>
    <t>PR</t>
  </si>
  <si>
    <t>形式</t>
  </si>
  <si>
    <t>対象年齢</t>
  </si>
  <si>
    <t>対象現住所</t>
  </si>
  <si>
    <t>自動求人特集ID</t>
  </si>
  <si>
    <t>備考</t>
  </si>
  <si>
    <t>配信停止</t>
  </si>
  <si>
    <t>サイクル</t>
  </si>
  <si>
    <t>今週サイクル(内部)</t>
  </si>
  <si>
    <t>今週非配信(内部)</t>
  </si>
  <si>
    <t>5月入社可能</t>
  </si>
  <si>
    <t>フリー</t>
  </si>
  <si>
    <t>＜配信条件＞※2万通 
年齢：35歳～60歳以上
最終ログイン日：40</t>
  </si>
  <si>
    <t>石</t>
  </si>
  <si>
    <t>部</t>
  </si>
  <si>
    <t>フルリモート×フレックス_エンジニア</t>
  </si>
  <si>
    <t>抽出</t>
  </si>
  <si>
    <t>有給取得率</t>
  </si>
  <si>
    <t>武</t>
  </si>
  <si>
    <t>保育士_幼稚園教諭</t>
  </si>
  <si>
    <t>スプシ</t>
  </si>
  <si>
    <t>26/04</t>
  </si>
  <si>
    <t>JAD特集</t>
  </si>
  <si>
    <t>AP</t>
  </si>
  <si>
    <t>4/18(土) ～4/25(土)　4回
期間：4月18日～4月25日
通数：2万通
配信日：
配信対象：最終ログイン日から7日以内（19517人が該当）
抽出ID：20929
1社あたりの上限職種数：全て　
抽出上限社数：150社</t>
  </si>
  <si>
    <t>エンジニアフェア</t>
  </si>
  <si>
    <t>type課</t>
  </si>
  <si>
    <t>3/10(火)～4/7(火)
　現住所：関東  
　新規会員の指定：最新レジュメ更新日からの経過日数を指定
　経過日数を指定：※上限の8.5万通以下になるよう設定お願いいたします。
　※文面にも記載いたします。</t>
  </si>
  <si>
    <t>有給取得率②</t>
  </si>
  <si>
    <t>フルリモート×フレックス_エンジニア＿関西</t>
  </si>
  <si>
    <t>有給取得率①</t>
  </si>
  <si>
    <t>火</t>
  </si>
  <si>
    <t>ランキング×WEBマーケティング</t>
  </si>
  <si>
    <t>隔週A</t>
  </si>
  <si>
    <t>ECサイト運用_未経験</t>
  </si>
  <si>
    <t>福</t>
  </si>
  <si>
    <t>引っ越し特典</t>
  </si>
  <si>
    <t>金</t>
  </si>
  <si>
    <t>外部人気求人ランキング</t>
  </si>
  <si>
    <t>TP部_リモート×未経験OKの求人特集</t>
  </si>
  <si>
    <t>２回目転職×称号</t>
  </si>
  <si>
    <t>月</t>
  </si>
  <si>
    <t>未経験OK_専門性の高い事務</t>
  </si>
  <si>
    <t>超好条件_営業</t>
  </si>
  <si>
    <t>水</t>
  </si>
  <si>
    <t>過去会員×フルリモート×未経験歓迎</t>
  </si>
  <si>
    <t>土</t>
  </si>
  <si>
    <t>フレックス_ランキング</t>
  </si>
  <si>
    <t>高層ビルで働く_首都圏</t>
  </si>
  <si>
    <t>高層ビルで働く_大阪</t>
  </si>
  <si>
    <t>京都市で働く</t>
  </si>
  <si>
    <t>熊本市で働く</t>
  </si>
  <si>
    <t>広島市で働く</t>
  </si>
  <si>
    <t>美容業界×未経験歓迎</t>
  </si>
  <si>
    <t>日</t>
  </si>
  <si>
    <t>関西_フルリモート_求人特集</t>
  </si>
  <si>
    <t>コスメ業界_希望</t>
  </si>
  <si>
    <t>木</t>
  </si>
  <si>
    <t>TP部_働きやすい企業特集</t>
  </si>
  <si>
    <t>埼玉_路線</t>
  </si>
  <si>
    <t>内</t>
  </si>
  <si>
    <t>神奈川_路線</t>
  </si>
  <si>
    <t>千葉_路線</t>
  </si>
  <si>
    <t>大阪_路線</t>
  </si>
  <si>
    <t>東京_路線_事務</t>
  </si>
  <si>
    <t>相模原市で働く</t>
  </si>
  <si>
    <t>隔週B</t>
  </si>
  <si>
    <t>☆エンジニア_経験_35歳以上_首都圏版</t>
  </si>
  <si>
    <t>☆エンジニア_未経験_35歳以上_首都圏版</t>
  </si>
  <si>
    <t>全員面接</t>
  </si>
  <si>
    <t>高収入_未経験OK</t>
  </si>
  <si>
    <t>TP部_リモートOK×女性管理職在籍の求人特集</t>
  </si>
  <si>
    <t>四国で働く</t>
  </si>
  <si>
    <t>大阪で働く</t>
  </si>
  <si>
    <t>東北で働く</t>
  </si>
  <si>
    <t>北陸で働く</t>
  </si>
  <si>
    <t>埼玉_路線_B</t>
  </si>
  <si>
    <t>神奈川_路線_B</t>
  </si>
  <si>
    <t>千葉_路線_B</t>
  </si>
  <si>
    <t>東京_路線_事務_B</t>
  </si>
  <si>
    <t>外資系企業</t>
  </si>
  <si>
    <t>人気検索KW_営業系希望</t>
  </si>
  <si>
    <t>☆営業_経験_35歳以上_首都圏版</t>
  </si>
  <si>
    <t>荒</t>
  </si>
  <si>
    <t>☆営業_未経験_35歳以上_首都圏版</t>
  </si>
  <si>
    <t>駅直結_営業販サコンサル</t>
  </si>
  <si>
    <t>再募集メルマガ</t>
  </si>
  <si>
    <t>事務‗新宿駅×駅チカ</t>
  </si>
  <si>
    <t>関西_アドバイザー・カウンセラー_未経験</t>
  </si>
  <si>
    <t>宅地建物取引士資格あり</t>
  </si>
  <si>
    <t>海外旅行し放題メルマガ</t>
  </si>
  <si>
    <t>人気検索KW_事務系希望_関西</t>
  </si>
  <si>
    <t>40代正社員×新着求人特集</t>
  </si>
  <si>
    <t>時短×月給30万円以上_関西</t>
  </si>
  <si>
    <t>販サ経験者_ハイブランド</t>
  </si>
  <si>
    <t>上場_エンジニア経験</t>
  </si>
  <si>
    <t>英語_リモートOK_月25万以上_未経験OK</t>
  </si>
  <si>
    <t>人気検索KW_クリエイティブ系希望</t>
  </si>
  <si>
    <t>首都圏‗営業×リモート×フレックス</t>
  </si>
  <si>
    <t>首都圏‗事務×リモート×フレックス</t>
  </si>
  <si>
    <t>関西_自己PR不要_リモート未経験_事務</t>
  </si>
  <si>
    <t>毎週配信</t>
  </si>
  <si>
    <t>自動求人</t>
  </si>
  <si>
    <t>https://woman-type.jp/job-office/24376/f/</t>
  </si>
  <si>
    <t>R</t>
  </si>
  <si>
    <t>応募から1日_好条件営業ランキング</t>
  </si>
  <si>
    <t>快適な在宅ワーク</t>
  </si>
  <si>
    <t>推し活_残業なし_休日120日以上_月給30万以上</t>
  </si>
  <si>
    <t>ランキング_クリエイティブ（Web）_希望</t>
  </si>
  <si>
    <t>ランキング_営業（マーケ）_希望</t>
  </si>
  <si>
    <t>ランキング_事務（一般事務）_希望</t>
  </si>
  <si>
    <t>事務_販サ経験者向け_東京</t>
  </si>
  <si>
    <t>面接1回</t>
  </si>
  <si>
    <t>面接1回_35歳以上</t>
  </si>
  <si>
    <t>事務（経理）_希望</t>
  </si>
  <si>
    <t>★新着総合_首都圏 A</t>
  </si>
  <si>
    <t>平</t>
  </si>
  <si>
    <t>★新着総合_西日本 A</t>
  </si>
  <si>
    <t>★新着総合_東海 A</t>
  </si>
  <si>
    <t>★新着総合_北海道・東北 A</t>
  </si>
  <si>
    <t>★新着総合_北関東・甲信越・北陸 A</t>
  </si>
  <si>
    <t>福祉事務</t>
  </si>
  <si>
    <t>福祉事務_35歳以上</t>
  </si>
  <si>
    <t>未経験向け急募求人_クリエイティブ</t>
  </si>
  <si>
    <t>未経験向け急募求人_営業</t>
  </si>
  <si>
    <t>未経験向け急募求人_事務</t>
  </si>
  <si>
    <t>好条件×業務委託</t>
  </si>
  <si>
    <t>好条件×契約社員</t>
  </si>
  <si>
    <t>35歳以上向け A</t>
  </si>
  <si>
    <t>育児両立_フレックス</t>
  </si>
  <si>
    <t>◇応募ランキング A</t>
  </si>
  <si>
    <t>仙台_リモートOK_未経験</t>
  </si>
  <si>
    <t>大阪_リモートOK_未経験</t>
  </si>
  <si>
    <t>単独求人訴求メルマガ_B</t>
  </si>
  <si>
    <t>福岡_リモートOK_未経験</t>
  </si>
  <si>
    <t>☆エンジニア_経験_首都圏版</t>
  </si>
  <si>
    <t>☆エンジニア_未経験_首都圏版</t>
  </si>
  <si>
    <t>35歳以上向け_関西 A</t>
  </si>
  <si>
    <t>40代ラスト転職</t>
  </si>
  <si>
    <t>TP部_営業_現住所</t>
  </si>
  <si>
    <t>フルリモート_全国_エンジニア</t>
  </si>
  <si>
    <t>フルリモート_全国_営業</t>
  </si>
  <si>
    <t>フルリモート_全国_事務</t>
  </si>
  <si>
    <t>未経験_研修・資格_事務系_関西</t>
  </si>
  <si>
    <t>未経験_研修・資格_事務系_首都圏</t>
  </si>
  <si>
    <t>当日新規会員</t>
  </si>
  <si>
    <t>WEB面接・コロナ対策</t>
  </si>
  <si>
    <t>ランキング_事務（貿易事務）_希望</t>
  </si>
  <si>
    <t>応募から1日_好条件事務ランキング</t>
  </si>
  <si>
    <t>応募から3日会員</t>
  </si>
  <si>
    <t>データ入力×リモートOK</t>
  </si>
  <si>
    <t>フルリモート×好条件</t>
  </si>
  <si>
    <t>既婚者</t>
  </si>
  <si>
    <t>梅田で働く</t>
  </si>
  <si>
    <t>未婚者</t>
  </si>
  <si>
    <t>40~60代活躍中</t>
  </si>
  <si>
    <t>ランキング_事務（経理）_希望</t>
  </si>
  <si>
    <t>子育手当</t>
  </si>
  <si>
    <t>クリエイティブ（その他）_希望</t>
  </si>
  <si>
    <t>今週の人気求人ランキング</t>
  </si>
  <si>
    <t>事務（広報）_希望</t>
  </si>
  <si>
    <t>★新着総合_首都圏 B</t>
  </si>
  <si>
    <t>★新着総合_西日本 B</t>
  </si>
  <si>
    <t>★新着総合_東海 B</t>
  </si>
  <si>
    <t>★新着総合_北海道・東北 B</t>
  </si>
  <si>
    <t>★新着総合_北関東・甲信越・北陸 B</t>
  </si>
  <si>
    <t>フルリモート_全国</t>
  </si>
  <si>
    <t>リモート手当あり</t>
  </si>
  <si>
    <t>営業（その他）_希望</t>
  </si>
  <si>
    <t>事務（医療事務）_希望</t>
  </si>
  <si>
    <t>☆Womantype[全]</t>
  </si>
  <si>
    <t>経験_アパレル・コスメ</t>
  </si>
  <si>
    <t>経験_一般事務</t>
  </si>
  <si>
    <t>経験_営業</t>
  </si>
  <si>
    <t>残業したくない</t>
  </si>
  <si>
    <t>残業したくない_関西</t>
  </si>
  <si>
    <t>住宅手当あり_首都圏</t>
  </si>
  <si>
    <t>住宅手当あり_首都圏_35歳以上</t>
  </si>
  <si>
    <t>ウルトラ好条件</t>
  </si>
  <si>
    <t>希望業種_人材サービス</t>
  </si>
  <si>
    <t>◇掲載終了前+UP_35歳以上 B</t>
  </si>
  <si>
    <t>◇掲載終了前+UP_関西 B</t>
  </si>
  <si>
    <t>webデザイナー×未経験歓迎_希望</t>
  </si>
  <si>
    <t>高収入_リモート_営業</t>
  </si>
  <si>
    <t>高収入_リモート_事務</t>
  </si>
  <si>
    <t>◇掲載終了前+UP B</t>
  </si>
  <si>
    <t>年収600万円以上</t>
  </si>
  <si>
    <t>https://woman-type.jp/job-condition/46/3317/f/</t>
  </si>
  <si>
    <t>ランキング_事務（広報）_希望</t>
  </si>
  <si>
    <t>直近新規登録会員向け</t>
  </si>
  <si>
    <t>☆TP部_事務_希望地</t>
  </si>
  <si>
    <t>クリエイティブ総合ランキング</t>
  </si>
  <si>
    <t>関西_未経験リモート_事務</t>
  </si>
  <si>
    <t>★納品対策</t>
  </si>
  <si>
    <t>リモートワーク B</t>
  </si>
  <si>
    <t>美容業界×事務_希望</t>
  </si>
  <si>
    <t>☆関西</t>
  </si>
  <si>
    <t>☆東海</t>
  </si>
  <si>
    <t>希望勤務地_埼玉</t>
  </si>
  <si>
    <t>希望勤務地_千葉</t>
  </si>
  <si>
    <t>希望勤務地_東京</t>
  </si>
  <si>
    <t>大手・上場企業×事務</t>
  </si>
  <si>
    <t>ランキング_事務（医療事務）_希望</t>
  </si>
  <si>
    <t>営業（キャリアカウンセラー）_希望</t>
  </si>
  <si>
    <t>事務職 B</t>
  </si>
  <si>
    <t>事務職_35歳以上 B</t>
  </si>
  <si>
    <t>事務職_関西 B</t>
  </si>
  <si>
    <t>単独求人訴求メルマガ_C</t>
  </si>
  <si>
    <t>自己PR不要_フルリモート</t>
  </si>
  <si>
    <t>https://woman-type.jp/job-area/district3/24436/f/</t>
  </si>
  <si>
    <t>事務_経験_35歳以上_首都圏版</t>
  </si>
  <si>
    <t>事務_未経験_35歳以上_首都圏版</t>
  </si>
  <si>
    <t>事務_未経験_休眠会員_首都圏版</t>
  </si>
  <si>
    <t>中国地方で働く</t>
  </si>
  <si>
    <t>自己PR不要_35歳以上</t>
  </si>
  <si>
    <t>https://woman-type.jp/job-area/24936/f/</t>
  </si>
  <si>
    <t>関西‗超好条件_事務</t>
  </si>
  <si>
    <t>全国_超好条件_事務</t>
  </si>
  <si>
    <t>超好条件_エンジニア</t>
  </si>
  <si>
    <t>36歳以上正社員求人</t>
  </si>
  <si>
    <t>広報・マーケティング_リモート_未経験</t>
  </si>
  <si>
    <t>国認定企業</t>
  </si>
  <si>
    <t>新規会員向け_フルリモート×未経験歓迎</t>
  </si>
  <si>
    <t>不動産×事務</t>
  </si>
  <si>
    <t>フルフレックス</t>
  </si>
  <si>
    <t>営業_カタカナ職業</t>
  </si>
  <si>
    <t>★求人特集(35歳未満) A</t>
  </si>
  <si>
    <t>50代事務</t>
  </si>
  <si>
    <t>ランキング_エンジニア（IT系）_希望</t>
  </si>
  <si>
    <t>ランキング_クリエイティブ（その他）_希望</t>
  </si>
  <si>
    <t>ランキング_営業（その他）_希望</t>
  </si>
  <si>
    <t>ランキング_事務（営業事務）_希望</t>
  </si>
  <si>
    <t>裁量労働制</t>
  </si>
  <si>
    <t>時短×リモート</t>
  </si>
  <si>
    <t>40代未経験_正社員</t>
  </si>
  <si>
    <t>https://woman-type.jp/job-condition/10/24298/f/</t>
  </si>
  <si>
    <t>子育て支援</t>
  </si>
  <si>
    <t>趣味・興味メルマガ_A</t>
  </si>
  <si>
    <t>事務（総務・人事）_希望</t>
  </si>
  <si>
    <t>自己PR不要_リモート未経験_事務</t>
  </si>
  <si>
    <t>https://woman-type.jp/job-office/24336/f/</t>
  </si>
  <si>
    <t>自己PR不要_リモート未経験_営業</t>
  </si>
  <si>
    <t>https://woman-type.jp/job-sales/24356/f/</t>
  </si>
  <si>
    <t>自己PR不要_残業無_未経験_販サ</t>
  </si>
  <si>
    <t>https://woman-type.jp/job-service/24358/f/</t>
  </si>
  <si>
    <t>自己PR不要_リモート未経験_エンジニア</t>
  </si>
  <si>
    <t>https://woman-type.jp/job-engineer/24876/f/</t>
  </si>
  <si>
    <t>休日120日_就業中_関西</t>
  </si>
  <si>
    <t>休日120日_未就業</t>
  </si>
  <si>
    <t>◇掲載終了前+UP A</t>
  </si>
  <si>
    <t>◇掲載終了前+UP_35歳以上 A</t>
  </si>
  <si>
    <t>◇掲載終了前+UP_関西 A</t>
  </si>
  <si>
    <t>関西単独求人メルマガ_A</t>
  </si>
  <si>
    <t>営業（コールセンター）_希望</t>
  </si>
  <si>
    <t>事務（金融関連）_希望</t>
  </si>
  <si>
    <t>転職回数不問</t>
  </si>
  <si>
    <t>年収UP_関西</t>
  </si>
  <si>
    <t>副業OK×リモート_ランキング</t>
  </si>
  <si>
    <t>☆推進課</t>
  </si>
  <si>
    <t>☆推進課_35歳以上</t>
  </si>
  <si>
    <t>☆推進課_関西</t>
  </si>
  <si>
    <t>掲載終了間近_人気求人ランキング</t>
  </si>
  <si>
    <t>☆営業_経験_首都圏版</t>
  </si>
  <si>
    <t>☆営業_未経験_首都圏版</t>
  </si>
  <si>
    <t>駅直結_事務</t>
  </si>
  <si>
    <t>フルリモート×正社員</t>
  </si>
  <si>
    <t>渋谷・恵比寿勤務_事務</t>
  </si>
  <si>
    <t>未経験_研修・資格_エンジニア系_首都圏</t>
  </si>
  <si>
    <t>六本木勤務</t>
  </si>
  <si>
    <t>これから人気</t>
  </si>
  <si>
    <t>ユニークな福利厚生制度_B</t>
  </si>
  <si>
    <t>大手上場_35歳以上 A</t>
  </si>
  <si>
    <t>大手上場_関西 A</t>
  </si>
  <si>
    <t>大手上場_第二新卒 A</t>
  </si>
  <si>
    <t>◇ウキにしか掲載していない求人</t>
  </si>
  <si>
    <t>年収UP_営業</t>
  </si>
  <si>
    <t>年収UP_事務</t>
  </si>
  <si>
    <t>年収UP_販サ</t>
  </si>
  <si>
    <t>★求人特集(35歳未満） B</t>
  </si>
  <si>
    <t>NPS取得アンケート</t>
  </si>
  <si>
    <t>単独求人訴求メルマガ_A</t>
  </si>
  <si>
    <t>検討中ランキング_事務</t>
  </si>
  <si>
    <t>趣味・興味メルマガ_B</t>
  </si>
  <si>
    <t>ランキング_営業（キャリアカウンセラー）_希望</t>
  </si>
  <si>
    <t>ランキング_事務（総務・人事）_希望</t>
  </si>
  <si>
    <t>☆横浜</t>
  </si>
  <si>
    <t>事務（貿易事務）_希望</t>
  </si>
  <si>
    <t>販サ（フロント）_希望</t>
  </si>
  <si>
    <t>☆救済メルマガ(UP10)</t>
  </si>
  <si>
    <t>横浜駅で働く</t>
  </si>
  <si>
    <t>札幌駅で働く</t>
  </si>
  <si>
    <t>新大阪駅・本町駅で働く</t>
  </si>
  <si>
    <t>仙台駅で働く</t>
  </si>
  <si>
    <t>大宮浦和で働く</t>
  </si>
  <si>
    <t>博多区で働く</t>
  </si>
  <si>
    <t>関西限定事務求人特集</t>
  </si>
  <si>
    <t>賞与3ヶ月以上×リモート_ランキング</t>
  </si>
  <si>
    <t>フルリモート×未経験歓迎</t>
  </si>
  <si>
    <t>35歳以上向け B</t>
  </si>
  <si>
    <t>35歳以上向け_関西 B</t>
  </si>
  <si>
    <t>35歳未満_PV多い求人</t>
  </si>
  <si>
    <t>月給30万以上_ランキング</t>
  </si>
  <si>
    <t>検討中ランキング_クリエイティブ</t>
  </si>
  <si>
    <t>検討中ランキング_販サ</t>
  </si>
  <si>
    <t>事務（一般事務）_希望</t>
  </si>
  <si>
    <t>40代再就職</t>
  </si>
  <si>
    <t>40代再就職_関西</t>
  </si>
  <si>
    <t>人気検索KW_事務系希望</t>
  </si>
  <si>
    <t>これから人気×エンジニア</t>
  </si>
  <si>
    <t>これから人気×リモート</t>
  </si>
  <si>
    <t>これから人気×リモート×営業</t>
  </si>
  <si>
    <t>これから人気×販サ</t>
  </si>
  <si>
    <t>応募ランキング C</t>
  </si>
  <si>
    <t>語学を活かせる</t>
  </si>
  <si>
    <t>関西単独求人メルマガ_B</t>
  </si>
  <si>
    <t>事務（営業事務）_希望</t>
  </si>
  <si>
    <t>★ウキポリ[全]</t>
  </si>
  <si>
    <t>フルリモート_35歳以上</t>
  </si>
  <si>
    <t>事務・営業職経験者向け</t>
  </si>
  <si>
    <t>プライベート重視_35歳以上</t>
  </si>
  <si>
    <t>月曜日はリモート×フレックスで働く</t>
  </si>
  <si>
    <t>☆TP部メルマガ</t>
  </si>
  <si>
    <t>☆TP部メルマガ_未就業</t>
  </si>
  <si>
    <t>ランキング_販サ（フロント）_希望</t>
  </si>
  <si>
    <t>上場_営業経験</t>
  </si>
  <si>
    <t>上場_事務経験</t>
  </si>
  <si>
    <t>上場_販サ経験</t>
  </si>
  <si>
    <t>異業種提案_事務</t>
  </si>
  <si>
    <t>正社員_関西</t>
  </si>
  <si>
    <t>リモート_ランキング</t>
  </si>
  <si>
    <t>名駅・栄駅で働く</t>
  </si>
  <si>
    <t>年収500万以上_未経験歓迎</t>
  </si>
  <si>
    <t>https://woman-type.jp/job-condition/10/12077/f/</t>
  </si>
  <si>
    <t>新着_クリエイティブ</t>
  </si>
  <si>
    <t>新着_企画営業</t>
  </si>
  <si>
    <t>新着_経理</t>
  </si>
  <si>
    <t>新着_事務</t>
  </si>
  <si>
    <t>新着_人事</t>
  </si>
  <si>
    <t>ランキング_営業（BtoB）_希望</t>
  </si>
  <si>
    <t>ランキング_事務（秘書）_希望</t>
  </si>
  <si>
    <t>関西限定求人特集</t>
  </si>
  <si>
    <t>フルリモートランキング</t>
  </si>
  <si>
    <t>経験活かせる_営業</t>
  </si>
  <si>
    <t>経験活かせる_事務</t>
  </si>
  <si>
    <t>副業OK</t>
  </si>
  <si>
    <t>クリエイティブ（Web）_希望</t>
  </si>
  <si>
    <t>コロナ禍_事務_首都圏</t>
  </si>
  <si>
    <t>応募ランキング B</t>
  </si>
  <si>
    <t>応募ランキングB_全国</t>
  </si>
  <si>
    <t xml:space="preserve">丸の内・大手町・有楽町_残業少_事務 </t>
  </si>
  <si>
    <t>資格活かせる_簿記</t>
  </si>
  <si>
    <t>新規会員向け_自己PR不要_求人特集</t>
  </si>
  <si>
    <t>☆TP部_事務_現住所</t>
  </si>
  <si>
    <t>リモートワーク A_35歳以上</t>
  </si>
  <si>
    <t>関西‗リモート×フレックス</t>
  </si>
  <si>
    <t>営業（マーケ）_希望</t>
  </si>
  <si>
    <t>事務（その他）_希望</t>
  </si>
  <si>
    <t>エンジニア限定_単独求人メルマガ</t>
  </si>
  <si>
    <t>年休130日以上_残業10時間以下</t>
  </si>
  <si>
    <t>東海_リモート</t>
  </si>
  <si>
    <t>☆販サ_経験_35歳以上_首都圏版</t>
  </si>
  <si>
    <t>☆販サ_経験_35歳以上_全国版</t>
  </si>
  <si>
    <t>☆販サ_経験_首都圏版</t>
  </si>
  <si>
    <t>☆販サ_経験_全国版</t>
  </si>
  <si>
    <t>☆販サ_未経験_35歳以上_首都圏版</t>
  </si>
  <si>
    <t>☆販サ_未経験_首都圏版</t>
  </si>
  <si>
    <t>40代事務ランキング</t>
  </si>
  <si>
    <t>未経験エンジニア希望向け_首都圏</t>
  </si>
  <si>
    <t>事務職 A</t>
  </si>
  <si>
    <t>事務職_35歳以上 A_ランキング</t>
  </si>
  <si>
    <t>事務職_関西 A</t>
  </si>
  <si>
    <t>首都圏_フルリモート_求人特集</t>
  </si>
  <si>
    <t>未経験_研修・資格_クリエイティブ系_埼玉神奈川千葉</t>
  </si>
  <si>
    <t>未経験_研修・資格_クリエイティブ系_東京</t>
  </si>
  <si>
    <t>学歴不問×大手上場企業</t>
  </si>
  <si>
    <t>新働きやすさ_A</t>
  </si>
  <si>
    <t>新働きやすさ_A_関西</t>
  </si>
  <si>
    <t>髪色・服装自由_事務</t>
  </si>
  <si>
    <t>スカウトリマインド</t>
  </si>
  <si>
    <t>毎月配信</t>
  </si>
  <si>
    <t>アプリ人気</t>
  </si>
  <si>
    <t>時短×リモート_関西</t>
  </si>
  <si>
    <t>週休3日OK_ランキング</t>
  </si>
  <si>
    <t>全国募集</t>
  </si>
  <si>
    <t>フルリモートランキング_新規30日以降</t>
  </si>
  <si>
    <t>フルリモートランキング_新規8日から29日</t>
  </si>
  <si>
    <t>レコメンドリマインド</t>
  </si>
  <si>
    <t>自己PR不要×面接1回</t>
  </si>
  <si>
    <t>人気単独求人_おまとめメルマガ</t>
  </si>
  <si>
    <t>内定まで最短</t>
  </si>
  <si>
    <t>ミライさんリマインド</t>
  </si>
  <si>
    <t>首都圏_アドバイザー・カウンセラー_未経験</t>
  </si>
  <si>
    <t>お祝い金あり</t>
  </si>
  <si>
    <t>増発_フレキシブル事務</t>
  </si>
  <si>
    <t>10時以降出社</t>
  </si>
  <si>
    <t>ふるさと納税メルマガ</t>
  </si>
  <si>
    <t>美容クリニックで働く</t>
  </si>
  <si>
    <t>◇ポジションマッチ A1</t>
  </si>
  <si>
    <t>特殊配信</t>
  </si>
  <si>
    <r>
      <rPr>
        <rFont val="Arial"/>
        <color rgb="FF1155CC"/>
        <sz val="8.0"/>
        <u/>
      </rPr>
      <t>◇ポジションマッチ B</t>
    </r>
    <r>
      <rPr>
        <rFont val="Arial"/>
        <color rgb="FF1F1F1F"/>
        <sz val="8.0"/>
        <u/>
      </rPr>
      <t>1</t>
    </r>
  </si>
  <si>
    <t>◇ポジションマッチ_36歳以上 A1</t>
  </si>
  <si>
    <t>◇ポジションマッチ_36歳以上 B1</t>
  </si>
  <si>
    <t>◇ポジションマッチ A2</t>
  </si>
  <si>
    <t>◇ポジションマッチ B2</t>
  </si>
  <si>
    <t>◇ポジションマッチ_36歳以上 A2</t>
  </si>
  <si>
    <t>◇ポジションマッチ_36歳以上 B2</t>
  </si>
  <si>
    <r>
      <rPr>
        <rFont val="Arial"/>
        <color rgb="FF1155CC"/>
        <sz val="8.0"/>
        <u/>
      </rPr>
      <t>◇ポジションマッチ A</t>
    </r>
    <r>
      <rPr>
        <rFont val="Arial"/>
        <color rgb="FF1F1F1F"/>
        <sz val="8.0"/>
        <u/>
      </rPr>
      <t>3</t>
    </r>
  </si>
  <si>
    <r>
      <rPr>
        <rFont val="Arial"/>
        <color rgb="FF1155CC"/>
        <sz val="8.0"/>
        <u/>
      </rPr>
      <t>◇ポジションマッチ B</t>
    </r>
    <r>
      <rPr>
        <rFont val="Arial"/>
        <color rgb="FF1F1F1F"/>
        <sz val="8.0"/>
        <u/>
      </rPr>
      <t>3</t>
    </r>
  </si>
  <si>
    <t>◇ポジションマッチ_36歳以上 A3</t>
  </si>
  <si>
    <t>◇ポジションマッチ_36歳以上 B3</t>
  </si>
  <si>
    <t>◇ポジションマッチ 関西</t>
  </si>
  <si>
    <t>自動求人特集</t>
  </si>
  <si>
    <t>700件以上は配信停止</t>
  </si>
  <si>
    <t>求人数</t>
  </si>
  <si>
    <t>日付</t>
  </si>
  <si>
    <t>閲覧履歴ペース（BB）　配信</t>
  </si>
  <si>
    <t>応募フォーム離脱直後（C）　配信</t>
  </si>
  <si>
    <t>購入履歴ペース（PO）　配信</t>
  </si>
  <si>
    <t>【うき】　 メルマガPR 管理表</t>
  </si>
  <si>
    <t>▼ルール▼</t>
  </si>
  <si>
    <t>・PRが終了したら、グレーにする</t>
  </si>
  <si>
    <t>・新着メルマガPRも管理表に入れる</t>
  </si>
  <si>
    <t>※リストに記載が無い場合、把握漏れの可能性があります。ご連絡下さい。（2018/1/23荒木）</t>
  </si>
  <si>
    <t>名称</t>
  </si>
  <si>
    <t>開始日</t>
  </si>
  <si>
    <t>終了日</t>
  </si>
  <si>
    <t>PR文面</t>
  </si>
  <si>
    <t>挿入箇所</t>
  </si>
  <si>
    <t>PRが入るメルマガ※自動で入ります(完全一致)</t>
  </si>
  <si>
    <t>完全一致チェック(リスト未登録)</t>
  </si>
  <si>
    <t>PR_TARGETS(内部)</t>
  </si>
  <si>
    <t>エンジニア専門サイトPR
未経験者(経験職種無・未経験OK)</t>
  </si>
  <si>
    <t>┏.+゜☆+.━━━━━━━━ ━.+゜☆+. ゜┓
～未経験からでも大丈夫◎　目指せ手に職！ITエンジニア～
ITエンジニア求人を様々な検索方法で探せる！
＼エンジニア専門サイトはこちら／
http://woman.type.jp/s/engineer/?utm_source=adm&amp;utm_medium=email&amp;utm_campaign=adm_pr_11
┗.+゜☆+. ゜━ ━━━━━━━━.+゜☆+.┛</t>
  </si>
  <si>
    <t>リード文の下に入れる
※他のPRも差し込んでいる場合は
こちらのPRを最上部にする
※今後新しくPRを差し込むときは下になってしまっても問題ないです</t>
  </si>
  <si>
    <t>エンジニア専門サイトPR
(経験者※経験職種有)</t>
  </si>
  <si>
    <t>エンジニア専門サイトPR
(希望職種のみ)</t>
  </si>
  <si>
    <t>IT・Web （経験）大特集</t>
  </si>
  <si>
    <t>"┏━━━★期間限定特集★━━━━┓
◆スキルアップしながら長く働く！エンジニア経験者のためのIT・Web業界大特集◆
https://woman-type.jp/s/itweb/?utm_source=adm&amp;utm_medium=email&amp;utm_campaign=adm_pr_2
┗━━━━━━━━━━━━━━━┛"</t>
  </si>
  <si>
    <t>リード文の下に入れる
※他のPRも差し込んでいる場合は
こちらのPRを最上部にする</t>
  </si>
  <si>
    <t>NO</t>
  </si>
  <si>
    <t>シナリオ名</t>
  </si>
  <si>
    <t>誰に</t>
  </si>
  <si>
    <t>なぜ
（ユーザー心理）</t>
  </si>
  <si>
    <t>何を
（アクション）</t>
  </si>
  <si>
    <t>いつ</t>
  </si>
  <si>
    <t>対象者抽出条件</t>
  </si>
  <si>
    <t>メール内に差し込むデータ</t>
  </si>
  <si>
    <t>連携先</t>
  </si>
  <si>
    <t>希望条件記入促進</t>
  </si>
  <si>
    <r>
      <rPr>
        <rFont val="メイリオ, monospace"/>
        <color rgb="FF000000"/>
        <sz val="9.0"/>
      </rPr>
      <t xml:space="preserve">希望条件(職種・勤務地・業種)が未登録のユーザー
</t>
    </r>
    <r>
      <rPr>
        <rFont val="メイリオ, monospace"/>
        <color rgb="FFFF9900"/>
        <sz val="9.0"/>
      </rPr>
      <t>→何も登録していない値がNULLのユーザー(8/25)</t>
    </r>
  </si>
  <si>
    <t>・希望条件の記入が必要なことに気づいていない
 ・登録時に面倒だったのでまだ記入していない</t>
  </si>
  <si>
    <t>・希望条件を登録すると希望にあった求人が受け取れたり、メリットがあることを訴求
 ・閲覧履歴ベースのレコメンド求人</t>
  </si>
  <si>
    <t>登録後1日経過時点
16時
※10/27スタート</t>
  </si>
  <si>
    <t>・メルマガフラグON
 ・前日に新規登録した
 ・応募実績なし</t>
  </si>
  <si>
    <r>
      <rPr>
        <rFont val="メイリオ, monospace"/>
        <color rgb="FFFF9900"/>
        <sz val="9.0"/>
      </rPr>
      <t>・</t>
    </r>
    <r>
      <rPr>
        <rFont val="メイリオ, monospace"/>
        <color rgb="FFFF9900"/>
        <sz val="9.0"/>
        <u/>
      </rPr>
      <t>希望を登録する</t>
    </r>
    <r>
      <rPr>
        <rFont val="メイリオ, monospace"/>
        <color rgb="FFFF9900"/>
        <sz val="9.0"/>
      </rPr>
      <t>のアクションボタン
(/mypage/suitable/)
・女の転職typeのオススメ機能
スカウト一覧(/scout/)
あなたに関心のある企業一覧(/company-interest/)
条件マッチオファー一覧(/scout/)
検討中フォルダ(/review/)</t>
    </r>
    <r>
      <rPr>
        <rFont val="メイリオ, monospace"/>
        <color rgb="FF000000"/>
        <sz val="9.0"/>
      </rPr>
      <t xml:space="preserve">
 ・閲覧履歴ベースのレコメンド求人10件
</t>
    </r>
    <r>
      <rPr>
        <rFont val="メイリオ, monospace"/>
        <color rgb="FFFF0000"/>
        <sz val="9.0"/>
      </rPr>
      <t>BB相関</t>
    </r>
  </si>
  <si>
    <t>女の転職DB
シルバーエッグ</t>
  </si>
  <si>
    <t>登録後フォロー</t>
  </si>
  <si>
    <r>
      <rPr>
        <rFont val="メイリオ, monospace"/>
        <color rgb="FFFF9900"/>
        <sz val="9.0"/>
      </rPr>
      <t>2日前</t>
    </r>
    <r>
      <rPr>
        <rFont val="メイリオ, monospace"/>
        <color rgb="FF000000"/>
        <sz val="9.0"/>
      </rPr>
      <t>に会員登録したユーザー</t>
    </r>
  </si>
  <si>
    <t>登録したけど、ウキをどうやって使えばいいかわからない</t>
  </si>
  <si>
    <t>ウキの特徴やメリット・ノウハウ記事</t>
  </si>
  <si>
    <r>
      <rPr>
        <rFont val="メイリオ, monospace"/>
        <color rgb="FF000000"/>
        <sz val="9.0"/>
      </rPr>
      <t>登録後</t>
    </r>
    <r>
      <rPr>
        <rFont val="メイリオ, monospace"/>
        <color rgb="FFFF0000"/>
        <sz val="9.0"/>
      </rPr>
      <t>2日</t>
    </r>
    <r>
      <rPr>
        <rFont val="メイリオ, monospace"/>
        <color rgb="FF000000"/>
        <sz val="9.0"/>
      </rPr>
      <t>経過時点
8時
※10/27スタート</t>
    </r>
  </si>
  <si>
    <t>・女の転職typeの3つの特徴
・活用術(KW検索・あなたの希望に合う求人・志向に合う求人ランキング)
・WT記事 失敗しない転職の流れ</t>
  </si>
  <si>
    <t>女の転職DB</t>
  </si>
  <si>
    <t>初応募後フォロー</t>
  </si>
  <si>
    <t>前日に初応募したユーザー</t>
  </si>
  <si>
    <t>・応募したけど応募完了メールしか届いていないし、もっと応募しようと思えない
・応募したけどこの後どうしたらいいかよくわからない</t>
  </si>
  <si>
    <t>応募した求人と、面接対策・今後の選考に関するノウハウ記事</t>
  </si>
  <si>
    <t>初回応募完了した次の日
12時
※10/27スタート</t>
  </si>
  <si>
    <r>
      <rPr>
        <rFont val="メイリオ, monospace"/>
        <color rgb="FF000000"/>
        <sz val="9.0"/>
      </rPr>
      <t>・メルマガフラグON
・前日に初回応募
・登録が直近</t>
    </r>
    <r>
      <rPr>
        <rFont val="メイリオ, monospace"/>
        <color rgb="FFFF9900"/>
        <sz val="9.0"/>
      </rPr>
      <t>150日</t>
    </r>
    <r>
      <rPr>
        <rFont val="メイリオ, monospace"/>
        <color rgb="FF000000"/>
        <sz val="9.0"/>
      </rPr>
      <t>以内</t>
    </r>
  </si>
  <si>
    <r>
      <rPr>
        <rFont val="メイリオ, monospace"/>
        <color rgb="FF000000"/>
        <sz val="9.0"/>
      </rPr>
      <t>・ウキで初回応募した求人情報</t>
    </r>
    <r>
      <rPr>
        <rFont val="メイリオ, monospace"/>
        <color rgb="FFFF9900"/>
        <sz val="9.0"/>
      </rPr>
      <t>1件</t>
    </r>
    <r>
      <rPr>
        <rFont val="メイリオ, monospace"/>
        <color rgb="FF000000"/>
        <sz val="9.0"/>
      </rPr>
      <t>（</t>
    </r>
    <r>
      <rPr>
        <rFont val="メイリオ, monospace"/>
        <strike/>
        <color rgb="FF000000"/>
        <sz val="9.0"/>
      </rPr>
      <t>社名・</t>
    </r>
    <r>
      <rPr>
        <rFont val="メイリオ, monospace"/>
        <color rgb="FF000000"/>
        <sz val="9.0"/>
      </rPr>
      <t>職種・</t>
    </r>
    <r>
      <rPr>
        <rFont val="メイリオ, monospace"/>
        <strike/>
        <color rgb="FF000000"/>
        <sz val="9.0"/>
      </rPr>
      <t>TOP画像・給与・勤務地</t>
    </r>
    <r>
      <rPr>
        <rFont val="メイリオ, monospace"/>
        <color rgb="FF000000"/>
        <sz val="9.0"/>
      </rPr>
      <t>・</t>
    </r>
    <r>
      <rPr>
        <rFont val="メイリオ, monospace"/>
        <color rgb="FFFF9900"/>
        <sz val="9.0"/>
      </rPr>
      <t>面接対策ページへの導線</t>
    </r>
    <r>
      <rPr>
        <rFont val="メイリオ, monospace"/>
        <color rgb="FF000000"/>
        <sz val="9.0"/>
      </rPr>
      <t xml:space="preserve">）
</t>
    </r>
    <r>
      <rPr>
        <rFont val="メイリオ, monospace"/>
        <color rgb="FFFF9900"/>
        <sz val="9.0"/>
      </rPr>
      <t xml:space="preserve">※文字リンクでリード内に掲出
</t>
    </r>
    <r>
      <rPr>
        <rFont val="メイリオ, monospace"/>
        <color rgb="FF000000"/>
        <sz val="9.0"/>
      </rPr>
      <t>・ノウハウ記事
・WT記事</t>
    </r>
  </si>
  <si>
    <t>検討中リマインド</t>
  </si>
  <si>
    <t>検討中に求人を保存したユーザー</t>
  </si>
  <si>
    <t>検討中にとりあえず求人を保存しただけで、検討中に保存したことを忘れて放置している</t>
  </si>
  <si>
    <t>検討中に保存した求人と、保存している求人に相関のある求人特集とノウハウコンテンツ</t>
  </si>
  <si>
    <r>
      <rPr>
        <rFont val="メイリオ, monospace"/>
        <color rgb="FFFF9900"/>
        <sz val="9.0"/>
      </rPr>
      <t xml:space="preserve">3日に1回
</t>
    </r>
    <r>
      <rPr>
        <rFont val="メイリオ, monospace"/>
        <color rgb="FF000000"/>
        <sz val="9.0"/>
      </rPr>
      <t>18時
※10/29スタート</t>
    </r>
  </si>
  <si>
    <r>
      <rPr>
        <rFont val="メイリオ, monospace"/>
        <color rgb="FF000000"/>
        <sz val="9.0"/>
      </rPr>
      <t>・メルマガフラグON
・</t>
    </r>
    <r>
      <rPr>
        <rFont val="メイリオ, monospace"/>
        <color rgb="FFFF9900"/>
        <sz val="9.0"/>
      </rPr>
      <t>3日以内</t>
    </r>
    <r>
      <rPr>
        <rFont val="メイリオ, monospace"/>
        <color rgb="FF000000"/>
        <sz val="9.0"/>
      </rPr>
      <t xml:space="preserve">に新規求人を保存(CR_DT)
</t>
    </r>
    <r>
      <rPr>
        <rFont val="メイリオ, monospace"/>
        <strike/>
        <color rgb="FF000000"/>
        <sz val="9.0"/>
      </rPr>
      <t xml:space="preserve">・保存した求人に未応募
</t>
    </r>
    <r>
      <rPr>
        <rFont val="メイリオ, monospace"/>
        <color rgb="FFFF0000"/>
        <sz val="9.0"/>
      </rPr>
      <t>→スクリプトで制御。未応募の求人が無い場合は何も出さない(0923木村)</t>
    </r>
  </si>
  <si>
    <r>
      <rPr>
        <rFont val="メイリオ, monospace"/>
        <color rgb="FF000000"/>
        <sz val="9.0"/>
      </rPr>
      <t>・</t>
    </r>
    <r>
      <rPr>
        <rFont val="メイリオ, monospace"/>
        <color rgb="FFFF9900"/>
        <sz val="9.0"/>
      </rPr>
      <t>3日以内</t>
    </r>
    <r>
      <rPr>
        <rFont val="メイリオ, monospace"/>
        <color rgb="FF000000"/>
        <sz val="9.0"/>
      </rPr>
      <t>に検討中に保存した新規求人情報(社名・職種・</t>
    </r>
    <r>
      <rPr>
        <rFont val="メイリオ, monospace"/>
        <color rgb="FFFF9900"/>
        <sz val="9.0"/>
      </rPr>
      <t>対象勤務地・</t>
    </r>
    <r>
      <rPr>
        <rFont val="メイリオ, monospace"/>
        <color rgb="FFFF0000"/>
        <sz val="9.0"/>
      </rPr>
      <t>給与</t>
    </r>
    <r>
      <rPr>
        <rFont val="メイリオ, monospace"/>
        <color rgb="FFFF9900"/>
        <sz val="9.0"/>
      </rPr>
      <t>・TOP画像</t>
    </r>
    <r>
      <rPr>
        <rFont val="メイリオ, monospace"/>
        <color rgb="FF000000"/>
        <sz val="9.0"/>
      </rPr>
      <t>)最大</t>
    </r>
    <r>
      <rPr>
        <rFont val="メイリオ, monospace"/>
        <color rgb="FFFF0000"/>
        <sz val="9.0"/>
      </rPr>
      <t xml:space="preserve">7件
</t>
    </r>
    <r>
      <rPr>
        <rFont val="メイリオ, monospace"/>
        <color rgb="FF000000"/>
        <sz val="9.0"/>
      </rPr>
      <t xml:space="preserve">※テキストは最大10件
・検討中リストへの導線
・求人特集ピックアップ
</t>
    </r>
    <r>
      <rPr>
        <rFont val="メイリオ, monospace"/>
        <color rgb="FFFF9900"/>
        <sz val="9.0"/>
      </rPr>
      <t xml:space="preserve">・アカデミア記事
</t>
    </r>
    <r>
      <rPr>
        <rFont val="メイリオ, monospace"/>
        <color rgb="FFFF0000"/>
        <sz val="9.0"/>
      </rPr>
      <t>・SETレコメンド（BB相関）10件
→検討中をキーにしないので、出せる求人数の制限なし（木村10/12）</t>
    </r>
  </si>
  <si>
    <r>
      <rPr>
        <rFont val="メイリオ, monospace"/>
        <color rgb="FF000000"/>
        <sz val="9.0"/>
      </rPr>
      <t>購入履歴ベース</t>
    </r>
    <r>
      <rPr>
        <rFont val="メイリオ, monospace"/>
        <color rgb="FFD5D0D0"/>
        <sz val="9.0"/>
      </rPr>
      <t>_希望勤務地</t>
    </r>
  </si>
  <si>
    <t>求人に応募したユーザー</t>
  </si>
  <si>
    <t>自分が応募した求人と条件が似ている求人をもっと見たい</t>
  </si>
  <si>
    <t>応募した求人と相関のある求人</t>
  </si>
  <si>
    <r>
      <rPr>
        <rFont val="メイリオ, monospace"/>
        <color rgb="FFFF9900"/>
        <sz val="9.0"/>
      </rPr>
      <t xml:space="preserve">毎日
</t>
    </r>
    <r>
      <rPr>
        <rFont val="メイリオ, monospace"/>
        <color rgb="FF000000"/>
        <sz val="9.0"/>
      </rPr>
      <t>20時
※10/26スタート</t>
    </r>
  </si>
  <si>
    <t>・メルマガフラグON
・直近150日以内に応募あり
・直近30日以内にウキへの訪問あり</t>
  </si>
  <si>
    <r>
      <rPr>
        <rFont val="メイリオ, monospace"/>
        <color rgb="FF000000"/>
        <sz val="9.0"/>
      </rPr>
      <t xml:space="preserve">・購入履歴ベースのレコメンド求人
20件
・求人特集ピックアップ3件
※一度応募した求人は除外
</t>
    </r>
    <r>
      <rPr>
        <rFont val="メイリオ, monospace"/>
        <color rgb="FFFF0000"/>
        <sz val="9.0"/>
      </rPr>
      <t>PO相関
→出せる求人数の制限なし（木村10/12）</t>
    </r>
  </si>
  <si>
    <r>
      <rPr>
        <rFont val="メイリオ, monospace"/>
        <color rgb="FF000000"/>
        <sz val="9.0"/>
      </rPr>
      <t>閲覧履歴ベース</t>
    </r>
    <r>
      <rPr>
        <rFont val="メイリオ, monospace"/>
        <color rgb="FFD5D0D0"/>
        <sz val="9.0"/>
      </rPr>
      <t>_希望勤務地</t>
    </r>
  </si>
  <si>
    <t>求人を閲覧したユーザー</t>
  </si>
  <si>
    <t>自分が気になっている求人と似ている求人を見たい</t>
  </si>
  <si>
    <t>閲覧した求人に相関性のある求人</t>
  </si>
  <si>
    <t>毎日
19時
※10/26スタート</t>
  </si>
  <si>
    <t>・メルマガフラグON
・直近30日以内に求人詳細のPV1以上</t>
  </si>
  <si>
    <r>
      <rPr>
        <rFont val="メイリオ, monospace"/>
        <color rgb="FF000000"/>
        <sz val="9.0"/>
      </rPr>
      <t>・</t>
    </r>
    <r>
      <rPr>
        <rFont val="メイリオ, monospace"/>
        <strike/>
        <color rgb="FF000000"/>
        <sz val="9.0"/>
      </rPr>
      <t>希望勤務地に勤務地が合う、</t>
    </r>
    <r>
      <rPr>
        <rFont val="メイリオ, monospace"/>
        <color rgb="FF000000"/>
        <sz val="9.0"/>
      </rPr>
      <t xml:space="preserve">閲覧履歴ベースのレコメンド求人20件
・求人特集ピックアップ3件
※一度応募した求人は除外
</t>
    </r>
    <r>
      <rPr>
        <rFont val="メイリオ, monospace"/>
        <color rgb="FFFF0000"/>
        <sz val="9.0"/>
      </rPr>
      <t>BB相関
→出せる求人数の制限なし（木村10/12）</t>
    </r>
  </si>
  <si>
    <t>応募F離脱直後</t>
  </si>
  <si>
    <t>応募Fを閲覧後、応募せずに離脱したユーザー</t>
  </si>
  <si>
    <t>・記載することが多くて面倒なので後回しにした
・ほかの求人と迷ってるので一旦保留にした
・自分の資格や職務経歴を忘れてしまったので確認してから応募したい</t>
  </si>
  <si>
    <t>応募Fを離脱して応募しなかった求人</t>
  </si>
  <si>
    <r>
      <rPr>
        <rFont val="Arial"/>
        <color rgb="FFFF9900"/>
        <sz val="9.0"/>
      </rPr>
      <t xml:space="preserve">毎日
18時
</t>
    </r>
    <r>
      <rPr>
        <rFont val="Arial"/>
        <color rgb="FF000000"/>
        <sz val="9.0"/>
      </rPr>
      <t>※10/26スタート</t>
    </r>
  </si>
  <si>
    <t>・メルマガフラグON
・応募F離脱後N時間以内
・応募F離脱した求人に応募していない</t>
  </si>
  <si>
    <r>
      <rPr>
        <rFont val="Arial"/>
        <color theme="1"/>
        <sz val="9.0"/>
      </rPr>
      <t xml:space="preserve">・応募Fを離脱して、応募もされていない求人上限20件
・閲覧履歴ベースのレコメンド求人20件
</t>
    </r>
    <r>
      <rPr>
        <rFont val="Arial"/>
        <color rgb="FFFF0000"/>
        <sz val="9.0"/>
      </rPr>
      <t>F離脱した求人をキーにしたBB相関
→出せる求人数の制限なし（木村10/12）</t>
    </r>
  </si>
  <si>
    <t>掲載終了求人リマインド</t>
  </si>
  <si>
    <t>検討中に求人を保存したが、該当求人に応募していないユーザー</t>
  </si>
  <si>
    <t>・その求人に興味を持ったので一旦保存したけど、応募に躊躇している
・比較検討しようと思って保存したけど、保存しただけで満足した
・保存したのを忘れてた</t>
  </si>
  <si>
    <t>検討中に保存したけど応募しておらず、掲載終了間近の求人</t>
  </si>
  <si>
    <t>3日に1回
15時
※10/27スタート</t>
  </si>
  <si>
    <r>
      <rPr>
        <rFont val="メイリオ, monospace"/>
        <color rgb="FF000000"/>
        <sz val="9.0"/>
      </rPr>
      <t xml:space="preserve">・メルマガフラグON
</t>
    </r>
    <r>
      <rPr>
        <rFont val="メイリオ, monospace"/>
        <strike/>
        <color rgb="FF000000"/>
        <sz val="9.0"/>
      </rPr>
      <t xml:space="preserve">・保存した求人に未応募
</t>
    </r>
    <r>
      <rPr>
        <rFont val="メイリオ, monospace"/>
        <color rgb="FF000000"/>
        <sz val="9.0"/>
      </rPr>
      <t>・検討中に保存している求人があと3日で掲載終了するものを持っているユーザ</t>
    </r>
  </si>
  <si>
    <r>
      <rPr>
        <rFont val="メイリオ, monospace"/>
        <color rgb="FF000000"/>
        <sz val="9.0"/>
      </rPr>
      <t>・検討中に保存しており</t>
    </r>
    <r>
      <rPr>
        <rFont val="メイリオ, monospace"/>
        <color rgb="FFFF0000"/>
        <sz val="9.0"/>
      </rPr>
      <t>3日以内</t>
    </r>
    <r>
      <rPr>
        <rFont val="メイリオ, monospace"/>
        <color rgb="FF000000"/>
        <sz val="9.0"/>
      </rPr>
      <t>に掲載終了する求人情報(社名・職種・</t>
    </r>
    <r>
      <rPr>
        <rFont val="メイリオ, monospace"/>
        <color rgb="FFFF9900"/>
        <sz val="9.0"/>
      </rPr>
      <t>掲載終了予定日</t>
    </r>
    <r>
      <rPr>
        <rFont val="メイリオ, monospace"/>
        <color rgb="FF000000"/>
        <sz val="9.0"/>
      </rPr>
      <t>)</t>
    </r>
    <r>
      <rPr>
        <rFont val="メイリオ, monospace"/>
        <color rgb="FFFF0000"/>
        <sz val="9.0"/>
      </rPr>
      <t xml:space="preserve">5件
</t>
    </r>
    <r>
      <rPr>
        <rFont val="メイリオ, monospace"/>
        <color rgb="FF000000"/>
        <sz val="9.0"/>
      </rPr>
      <t xml:space="preserve">※テキストは最大10件
・検討中リストへの導線
</t>
    </r>
    <r>
      <rPr>
        <rFont val="メイリオ, monospace"/>
        <color rgb="FFFF0000"/>
        <sz val="9.0"/>
      </rPr>
      <t>BB相関
→出せる求人数の制限なし（木村10/12）</t>
    </r>
  </si>
  <si>
    <r>
      <rPr>
        <rFont val="メイリオ, monospace"/>
        <color rgb="FF000000"/>
        <sz val="9.0"/>
      </rPr>
      <t xml:space="preserve">女の転職DB
</t>
    </r>
    <r>
      <rPr>
        <rFont val="メイリオ, monospace"/>
        <color rgb="FFFF9900"/>
        <sz val="9.0"/>
      </rPr>
      <t>シルバーエッグ</t>
    </r>
  </si>
  <si>
    <t>2020年_GW</t>
  </si>
  <si>
    <t>配信日</t>
  </si>
  <si>
    <t>メルマガ名</t>
  </si>
  <si>
    <t>関係部署</t>
  </si>
  <si>
    <t>配信有無</t>
  </si>
  <si>
    <t>連絡</t>
  </si>
  <si>
    <t>救済UP対策</t>
  </si>
  <si>
    <t>制作 藤本さん</t>
  </si>
  <si>
    <t>更新なし</t>
  </si>
  <si>
    <t>編集部オススメ</t>
  </si>
  <si>
    <t>TP 田口さん</t>
  </si>
  <si>
    <t>配信休止</t>
  </si>
  <si>
    <t>推進課メルマガ</t>
  </si>
  <si>
    <t>推進部 有馬さん</t>
  </si>
  <si>
    <t>（ウキ向け）typeの求人</t>
  </si>
  <si>
    <t>typeチーム</t>
  </si>
  <si>
    <t>通常配信</t>
  </si>
  <si>
    <t>Womantype</t>
  </si>
  <si>
    <t>MT課</t>
  </si>
  <si>
    <t>配信あり。5/1(金）入稿〆切</t>
  </si>
  <si>
    <t>救済メルマガUP10</t>
  </si>
  <si>
    <t>横浜メルマガ</t>
  </si>
  <si>
    <t>ベイ</t>
  </si>
  <si>
    <t>ウキポリ</t>
  </si>
  <si>
    <t>田川さん</t>
  </si>
  <si>
    <t>TP部メルマガ</t>
  </si>
  <si>
    <t>関西メルマガ</t>
  </si>
  <si>
    <t>代理店課</t>
  </si>
  <si>
    <t>東海メルマガ</t>
  </si>
  <si>
    <t>岸さん</t>
  </si>
  <si>
    <t>配信あり。5/8(金）入稿〆切</t>
  </si>
  <si>
    <t>2020年_年末年始</t>
  </si>
  <si>
    <t>新着総合5本</t>
  </si>
  <si>
    <t>メルマガPR(商品)差込なしで配信。</t>
  </si>
  <si>
    <t>求人特集(35歳未満) A</t>
  </si>
  <si>
    <t>12/26(土)にずらして配信</t>
  </si>
  <si>
    <t>掲載終了前+UP3本</t>
  </si>
  <si>
    <t>制作_江橋さん、本多さん</t>
  </si>
  <si>
    <t>制作UP救済求人の差し込み無しで配信。</t>
  </si>
  <si>
    <t>済</t>
  </si>
  <si>
    <t>推進課</t>
  </si>
  <si>
    <t>推進_飯弘さん</t>
  </si>
  <si>
    <t>17時以降すべて</t>
  </si>
  <si>
    <t>終日</t>
  </si>
  <si>
    <t>MT_秋元さん</t>
  </si>
  <si>
    <t>求人特集(35歳未満) B</t>
  </si>
  <si>
    <t>横浜</t>
  </si>
  <si>
    <t>営業_霞さん</t>
  </si>
  <si>
    <t>差込なし。代替で「希望勤務地_神奈川」を配信。</t>
  </si>
  <si>
    <t>救済メルマガ(UP10)</t>
  </si>
  <si>
    <t>TP_田口さん</t>
  </si>
  <si>
    <t>掲載終了3本</t>
  </si>
  <si>
    <t>制作_本多さん</t>
  </si>
  <si>
    <t>関西、東海</t>
  </si>
  <si>
    <t>代理店_河合さん</t>
  </si>
  <si>
    <t>2021年_GW</t>
  </si>
  <si>
    <t>TP 田口さん、吉江さん</t>
  </si>
  <si>
    <t>ー</t>
  </si>
  <si>
    <t>制作 江橋さん、本多さん</t>
  </si>
  <si>
    <t>通常配信、入稿〆を前倒してエントリー</t>
  </si>
  <si>
    <t>◯</t>
  </si>
  <si>
    <t>新着総合8本</t>
  </si>
  <si>
    <t>掲載終了前+UP A</t>
  </si>
  <si>
    <t>差し込みなしで配信を打診中</t>
  </si>
  <si>
    <t>△</t>
  </si>
  <si>
    <t>火曜更新がなく、配信する特集がないので配信休止</t>
  </si>
  <si>
    <t>小林佳奈さん</t>
  </si>
  <si>
    <t>2021年_7月下旬の4連休（木～日）</t>
  </si>
  <si>
    <t>新着総合</t>
  </si>
  <si>
    <t>-</t>
  </si>
  <si>
    <t>差込なしのイレギュラー文面で配信。</t>
  </si>
  <si>
    <t>不要</t>
  </si>
  <si>
    <t>TW_秋元さん</t>
  </si>
  <si>
    <t>入稿を金曜AM〆⇒水曜AM〆に早めてもらう。</t>
  </si>
  <si>
    <t>編集部オススメ_営業</t>
  </si>
  <si>
    <t>TP_吉江さん</t>
  </si>
  <si>
    <t>typeと協働</t>
  </si>
  <si>
    <t>求人特集(35歳未満） B</t>
  </si>
  <si>
    <t>金曜更新がないので配信休止</t>
  </si>
  <si>
    <t>入稿を木曜〆⇒火曜〆に早めてもらう。</t>
  </si>
  <si>
    <t>営業_花澤さん、紅谷さん</t>
  </si>
  <si>
    <t>エントリーを木曜〆⇒水曜AM〆に前倒してもらう。</t>
  </si>
  <si>
    <t>IT派遣</t>
  </si>
  <si>
    <t>CDI_羽根さん、北島さん</t>
  </si>
  <si>
    <t>TP部メルマガ×2本</t>
  </si>
  <si>
    <t>掲載終了前+UP B</t>
  </si>
  <si>
    <t>2021年_お盆（8/7土～8/15日）</t>
  </si>
  <si>
    <t>杉浦メモ</t>
  </si>
  <si>
    <t>差込なしで配信</t>
  </si>
  <si>
    <t>（火12・13）新着総合5本・・・更新が無いため、メルマガPR（商品）の差込無し+通常文面とは異なるイレギュラー文面での配信。</t>
  </si>
  <si>
    <t>18時のエンジニア系</t>
  </si>
  <si>
    <t>営業 花澤さん紅谷さん</t>
  </si>
  <si>
    <t>エントリーフォームで配信休止予告済み</t>
  </si>
  <si>
    <t>火曜更新がないので配信休止</t>
  </si>
  <si>
    <t>編集部オススメ_事務</t>
  </si>
  <si>
    <t>TP 吉江さん</t>
  </si>
  <si>
    <t>手動対応が必要&amp;設定後の求人変更が起きた場合に対応不可なため配信不可</t>
  </si>
  <si>
    <t>18時の営業系</t>
  </si>
  <si>
    <t>推進課から文面がもらえないため配信不可</t>
  </si>
  <si>
    <t>18時の販サ系</t>
  </si>
  <si>
    <t>文面入稿なし、typeADMから抽出している</t>
  </si>
  <si>
    <t>TW 秋元さん</t>
  </si>
  <si>
    <t>文面もらえないため配信不可</t>
  </si>
  <si>
    <t>配信休止。代替で「希望勤務地_神奈川」を配信。</t>
  </si>
  <si>
    <t>エントリーができないから配信不可</t>
  </si>
  <si>
    <t>配信休止。代替で「救済メルマガ(UP10)_イレギュラー」を配信。</t>
  </si>
  <si>
    <t>エントリーできないため配信休止</t>
  </si>
  <si>
    <t>関西</t>
  </si>
  <si>
    <t>代理店課　河合さん</t>
  </si>
  <si>
    <t>代理店課から文面もらえないから配信休止</t>
  </si>
  <si>
    <t>東海</t>
  </si>
  <si>
    <t>以下、川村の個人的メモを畳んでます</t>
  </si>
  <si>
    <t>■エントリーなしで配信⇒必掲出求人なしの旨をスケジュールにも記載</t>
  </si>
  <si>
    <t>（土16）救済メルマガ(UP10)　→エントリーなしの連絡を制作藤本さんに。</t>
  </si>
  <si>
    <t>（日18）販サ4本　→調整済み</t>
  </si>
  <si>
    <t>（月8）掲載終了3本　→エントリーなしの連絡を制作藤本さん、本多令奈さん に。</t>
  </si>
  <si>
    <t>（水08）求人特集(35歳未満) A・・・火曜更新がないため、配信する求人特集がないのでお休み。</t>
  </si>
  <si>
    <t>（水14）編集部オススメ・・・他サイトでの求人掲載有無確認を行っているため前日設定が必須。今回はお休み。</t>
  </si>
  <si>
    <t>このメールは抽出じゃなくてフリー文面だから、たとえば前週金曜に設定して（火曜に職種名変わって）水曜配信とかだと死亡する。</t>
  </si>
  <si>
    <t>■入稿・エントリーを早めるor配信休止</t>
  </si>
  <si>
    <t>木曜午前中までに入稿・エントリーしてもらう。もっと早くてもよい。</t>
  </si>
  <si>
    <t>この連絡調整をお願いします。</t>
  </si>
  <si>
    <t>（水17）推進課　→飯弘さん。配信中止。</t>
  </si>
  <si>
    <t>（金17）Womantype　→MT秋元さん。入稿前倒し。</t>
  </si>
  <si>
    <t>（土14）横浜　→ベイ鎌田さん　差込なし</t>
  </si>
  <si>
    <t>（日19）TP部メルマガ　→TP田口さん。配信中止。</t>
  </si>
  <si>
    <t>（月14）関西、東海　→代理店課</t>
  </si>
  <si>
    <t>※ベイと代理店課はtypeと連携して連絡、調整する。</t>
  </si>
  <si>
    <t>商品の入稿がないから差し込めない。でも新着求人は推したいからスペシャルテンプレートで配信はしたいよ、という意味。</t>
  </si>
  <si>
    <t>（水13）掲載終了前+UP3本・・・制作UP救済求人の差込無しでの配信。</t>
  </si>
  <si>
    <t>2021年_年末年始</t>
  </si>
  <si>
    <t>2022年2月11日（金）祝日対応</t>
  </si>
  <si>
    <t>メルマガPR(商品)差込なしで配信。
スケジュール表に「イレギュラー文面で設定」とコメントを追加</t>
  </si>
  <si>
    <t>更新日（求人入れ替えに当たる火金）がお休みでも、新着総合は送れる！けど、新規入稿商品は全部ナシなので商品のPRも入稿ナシです！</t>
  </si>
  <si>
    <t>入稿〆切を2/9（水）に変更</t>
  </si>
  <si>
    <t>営アシ_藤村さん</t>
  </si>
  <si>
    <t>エントリー〆が水曜18時のため配信に間に合うため配信</t>
  </si>
  <si>
    <t>typeと協働　type課に確認</t>
  </si>
  <si>
    <t>制作_桑原さん、本多さん</t>
  </si>
  <si>
    <t>エントリー〆を木曜午前中に変更</t>
  </si>
  <si>
    <r>
      <rPr>
        <rFont val="Arial, Helvetica, sans-serif"/>
        <color rgb="FF1155CC"/>
        <u/>
      </rPr>
      <t>求人特集の更新がない</t>
    </r>
    <r>
      <rPr>
        <rFont val="Arial, Helvetica, sans-serif"/>
        <color rgb="FF222222"/>
      </rPr>
      <t>ため配信停止</t>
    </r>
  </si>
  <si>
    <t>営業 花澤さん紅谷さん富田さん</t>
  </si>
  <si>
    <t>エントリー〆を2/9（水）に変更</t>
  </si>
  <si>
    <t>エントリー〆切を2/10（木）午前に変更</t>
  </si>
  <si>
    <t>IT派遣　加藤さん　木村さん　川村さん</t>
  </si>
  <si>
    <t>入稿〆切を2/10（木）午前中までにお願いする</t>
  </si>
  <si>
    <t>杉浦さんご対応くださる</t>
  </si>
  <si>
    <t>制作_本多さん　Cc：桑原さん</t>
  </si>
  <si>
    <t>代理店_井上さん</t>
  </si>
  <si>
    <t>2022年2月23日（水）祝日対応</t>
  </si>
  <si>
    <t>火曜12時〆切　→　月曜12時〆切</t>
  </si>
  <si>
    <t>2022年3月20日（日）～19時までメンテでサイト停止・3月21日（月）祝日</t>
  </si>
  <si>
    <r>
      <rPr>
        <color rgb="FF1155CC"/>
        <u/>
      </rPr>
      <t>SWAT版ウキポリ</t>
    </r>
    <r>
      <rPr/>
      <t>はエントリーがあるのでご注意ください！</t>
    </r>
  </si>
  <si>
    <t>エントリー〆切を3/17（木）午前に変更</t>
  </si>
  <si>
    <t>変更しなくてOK</t>
  </si>
  <si>
    <t>納品対策</t>
  </si>
  <si>
    <t>通常通り配信</t>
  </si>
  <si>
    <t>商品「女の転職ｔｙｐｅ　スマホ版採用応援リンク　第一特集」を受注した企業を配信（求人特集に登録してメルマガ配信）
受注がある限り配信可能</t>
  </si>
  <si>
    <t>入稿を3/17（木）午前までの締め切りに変更</t>
  </si>
  <si>
    <t>ポジションマッチ A2</t>
  </si>
  <si>
    <t>新着総合（8本）</t>
  </si>
  <si>
    <t>3/22（火）納品のメルマガPR（商品）があるので通常文面で配信だと思います！</t>
  </si>
  <si>
    <t>応募ランキング A</t>
  </si>
  <si>
    <t>除外企業の設定をしてくださっていそう？更新とは関係なさそうなので通常配信でお願いします！</t>
  </si>
  <si>
    <t>2022年_GW</t>
  </si>
  <si>
    <t>祝日：4/29（金）、5/3（火）、5/4（水）、5/5（木）</t>
  </si>
  <si>
    <t>MT_柴田さん　Cc：TW課</t>
  </si>
  <si>
    <t>入稿〆切を4/27（水）に変更</t>
  </si>
  <si>
    <t>4/29(金)に設定ができないため配信休止</t>
  </si>
  <si>
    <r>
      <rPr>
        <rFont val="Arial, Helvetica, sans-serif"/>
        <color rgb="FF1155CC"/>
        <u/>
      </rPr>
      <t>求人特集の更新がない</t>
    </r>
    <r>
      <rPr>
        <rFont val="Arial, Helvetica, sans-serif"/>
        <color rgb="FF222222"/>
      </rPr>
      <t>ため配信停止</t>
    </r>
  </si>
  <si>
    <t>エントリー〆を4/27（水）に変更</t>
  </si>
  <si>
    <t>エントリー〆切を4/28（木）午前に変更</t>
  </si>
  <si>
    <t>入稿〆切を4/28（木）午前中までにお願いする　
→　typeは4/27（水）中までに〆切変更</t>
  </si>
  <si>
    <t>5/3(火)に設定ができないため配信休止</t>
  </si>
  <si>
    <t>5/3(火)のエントリーを停止、差込なしで配信</t>
  </si>
  <si>
    <t>コメントに「差込なしで配信」</t>
  </si>
  <si>
    <t>推進課メルマガ3本</t>
  </si>
  <si>
    <t>推進_小林晃輝さん</t>
  </si>
  <si>
    <t>typeと協働　→　河西さん配信</t>
  </si>
  <si>
    <t>5/4(水)のエントリー停止のため配信停止</t>
  </si>
  <si>
    <t>typeと協働　→　鎌田</t>
  </si>
  <si>
    <t>5/5(木)のエントリー停止のため配信停止</t>
  </si>
  <si>
    <r>
      <rPr>
        <rFont val="Arial, Helvetica, sans-serif"/>
        <color rgb="FF1155CC"/>
        <u/>
      </rPr>
      <t>求人特集の更新が</t>
    </r>
    <r>
      <rPr>
        <rFont val="Arial, Helvetica, sans-serif"/>
        <color rgb="FF222222"/>
      </rPr>
      <t>あるため配信</t>
    </r>
  </si>
  <si>
    <t>5/3(火)～5/5(木)のエントリーを停止のため配信休止</t>
  </si>
  <si>
    <t>エントリー〆切が5/6（金）午前のため配信可能</t>
  </si>
  <si>
    <t>IT派遣　木村さん　中島さん　加藤さん</t>
  </si>
  <si>
    <t>入稿〆切を4/28（木）午前中までにお願いする</t>
  </si>
  <si>
    <t>typeと協働　→　ウキのみ</t>
  </si>
  <si>
    <t>入稿〆切が5/6(金)午前のため配信可能
→　typeは配信停止</t>
  </si>
  <si>
    <t>5/3(火)～5/5(木)のエントリーを停止のため差込なしで配信</t>
  </si>
  <si>
    <t>2022年7月18日（月）祝日対応</t>
  </si>
  <si>
    <t>金曜12時〆切 → 通常運営でOK</t>
  </si>
  <si>
    <t>変更なしでOK</t>
  </si>
  <si>
    <t>ポジションマッチ A3</t>
  </si>
  <si>
    <t>2022年_お盆（8/11木～8/17水）</t>
  </si>
  <si>
    <r>
      <rPr>
        <rFont val="Arial, Helvetica, sans-serif"/>
        <color rgb="FF222222"/>
      </rPr>
      <t>営業 花澤さん紅谷さん</t>
    </r>
    <r>
      <rPr>
        <rFont val="Arial, Helvetica, sans-serif"/>
        <strike/>
        <color rgb="FF222222"/>
      </rPr>
      <t>富田さん</t>
    </r>
  </si>
  <si>
    <t>TW 柴田さん</t>
  </si>
  <si>
    <t>配信なしでOKとのこと</t>
  </si>
  <si>
    <t>平山さん、原田さん、営アシsales-assistant@type.jp</t>
  </si>
  <si>
    <t>8/9AMで前倒し</t>
  </si>
  <si>
    <t>typeと協働　→　鎌田メール（河西さんも入れる）</t>
  </si>
  <si>
    <r>
      <rPr>
        <rFont val="Arial, Helvetica, sans-serif"/>
        <b/>
        <color rgb="FF222222"/>
      </rPr>
      <t>営業 花澤さん紅谷さん</t>
    </r>
    <r>
      <rPr>
        <rFont val="Arial, Helvetica, sans-serif"/>
        <b/>
        <strike/>
        <color rgb="FF222222"/>
      </rPr>
      <t>富田さん</t>
    </r>
  </si>
  <si>
    <r>
      <rPr>
        <rFont val="Arial, Helvetica, sans-serif"/>
        <b/>
        <color rgb="FF222222"/>
      </rPr>
      <t>配信休止</t>
    </r>
    <r>
      <rPr>
        <rFont val="Arial, Helvetica, sans-serif"/>
        <b/>
        <color rgb="FFFF0000"/>
      </rPr>
      <t>→配信有、エントリー期間8/9(火)中に変更</t>
    </r>
  </si>
  <si>
    <t>水曜午前中で入稿〆切変更</t>
  </si>
  <si>
    <t>代理店_西山さん</t>
  </si>
  <si>
    <t>typeと協働　→　河西さんから連絡してくださる</t>
  </si>
  <si>
    <t>シンデレラパックにある商品「女の転職ｔｙｐｅ　スマホ版採用応援リンク　第一特集」を受注した企業を配信（求人特集に登録してメルマガ配信）
受注がある限り配信可能</t>
  </si>
  <si>
    <r>
      <rPr>
        <rFont val="Arial, Helvetica, sans-serif"/>
        <b/>
        <color rgb="FF222222"/>
      </rPr>
      <t>営業 花澤さん紅谷さん</t>
    </r>
    <r>
      <rPr>
        <rFont val="Arial, Helvetica, sans-serif"/>
        <b/>
        <strike/>
        <color rgb="FF222222"/>
      </rPr>
      <t>富田さん</t>
    </r>
  </si>
  <si>
    <r>
      <rPr>
        <rFont val="Arial, Helvetica, sans-serif"/>
        <b/>
        <color rgb="FF222222"/>
      </rPr>
      <t>差込なしで配信</t>
    </r>
    <r>
      <rPr>
        <rFont val="Arial, Helvetica, sans-serif"/>
        <b/>
        <color rgb="FFFF0000"/>
      </rPr>
      <t>→差し込み有、エントリー期間8/9(火)中に変更</t>
    </r>
  </si>
  <si>
    <r>
      <rPr>
        <rFont val="Arial, Helvetica, sans-serif"/>
        <b/>
        <color rgb="FF222222"/>
      </rPr>
      <t>営業 花澤さん紅谷さん</t>
    </r>
    <r>
      <rPr>
        <rFont val="Arial, Helvetica, sans-serif"/>
        <b/>
        <strike/>
        <color rgb="FF222222"/>
      </rPr>
      <t>富田さん</t>
    </r>
  </si>
  <si>
    <r>
      <rPr>
        <rFont val="Arial, Helvetica, sans-serif"/>
        <b/>
        <color rgb="FF222222"/>
      </rPr>
      <t>差込なしで配信</t>
    </r>
    <r>
      <rPr>
        <rFont val="Arial, Helvetica, sans-serif"/>
        <b/>
        <color rgb="FFFF0000"/>
      </rPr>
      <t>→差し込み有、エントリー期間8/9(火)中に変更</t>
    </r>
  </si>
  <si>
    <r>
      <rPr>
        <rFont val="Arial, Helvetica, sans-serif"/>
        <b/>
        <color rgb="FF222222"/>
      </rPr>
      <t>営業 花澤さん紅谷さん</t>
    </r>
    <r>
      <rPr>
        <rFont val="Arial, Helvetica, sans-serif"/>
        <b/>
        <strike/>
        <color rgb="FF222222"/>
      </rPr>
      <t>富田さん</t>
    </r>
  </si>
  <si>
    <r>
      <rPr>
        <rFont val="Arial, Helvetica, sans-serif"/>
        <b/>
        <color rgb="FF222222"/>
      </rPr>
      <t>差込なしで配信</t>
    </r>
    <r>
      <rPr>
        <rFont val="Arial, Helvetica, sans-serif"/>
        <b/>
        <color rgb="FFFF0000"/>
      </rPr>
      <t>→差し込み有、エントリー期間8/9(火)中に変更</t>
    </r>
  </si>
  <si>
    <t>配信休止　エントリー受付なし</t>
  </si>
  <si>
    <r>
      <rPr>
        <rFont val="Arial, Helvetica, sans-serif"/>
        <b/>
        <color rgb="FF222222"/>
      </rPr>
      <t>営業 花澤さん紅谷さん</t>
    </r>
    <r>
      <rPr>
        <rFont val="Arial, Helvetica, sans-serif"/>
        <b/>
        <strike/>
        <color rgb="FF222222"/>
      </rPr>
      <t>富田さん</t>
    </r>
  </si>
  <si>
    <r>
      <rPr>
        <rFont val="Arial, Helvetica, sans-serif"/>
        <b/>
        <color rgb="FF222222"/>
      </rPr>
      <t>営業 花澤さん紅谷さん</t>
    </r>
    <r>
      <rPr>
        <rFont val="Arial, Helvetica, sans-serif"/>
        <b/>
        <strike/>
        <color rgb="FF222222"/>
      </rPr>
      <t>富田さん</t>
    </r>
  </si>
  <si>
    <r>
      <rPr>
        <rFont val="Arial, Helvetica, sans-serif"/>
        <b/>
        <color rgb="FF222222"/>
      </rPr>
      <t>営業 花澤さん紅谷さん</t>
    </r>
    <r>
      <rPr>
        <rFont val="Arial, Helvetica, sans-serif"/>
        <b/>
        <strike/>
        <color rgb="FF222222"/>
      </rPr>
      <t>富田さん</t>
    </r>
  </si>
  <si>
    <r>
      <rPr>
        <rFont val="Arial, Helvetica, sans-serif"/>
        <b/>
        <color rgb="FF222222"/>
      </rPr>
      <t>営業 花澤さん紅谷さん</t>
    </r>
    <r>
      <rPr>
        <rFont val="Arial, Helvetica, sans-serif"/>
        <b/>
        <strike/>
        <color rgb="FF222222"/>
      </rPr>
      <t>富田さん</t>
    </r>
  </si>
  <si>
    <t>2022年9月23日（金曜）祝日対応</t>
  </si>
  <si>
    <t>ポジションマッチ B2</t>
  </si>
  <si>
    <t>入稿〆切を9/21（水）に変更</t>
  </si>
  <si>
    <t>件名：メルマガ業務●ウキ／お盆休みのTP部メルマガについて　を参考</t>
  </si>
  <si>
    <t>エントリー〆を水曜中に変更</t>
  </si>
  <si>
    <t>件名：メルマガ業務●ウキ／お盆休みのUP救済関連のエントリー〆について　を参考</t>
  </si>
  <si>
    <t>水曜中で入稿〆切変更</t>
  </si>
  <si>
    <t>件名：メルマガ業務●ウキ：8/14（日）配信のIT派遣メルマガについて　を参考</t>
  </si>
  <si>
    <t>2022年_マスタ改修期間（10/22～10/24）</t>
  </si>
  <si>
    <t>営業 _石川翔一さん、紅谷さん</t>
  </si>
  <si>
    <t>IT派遣　木村さん　中島さん</t>
  </si>
  <si>
    <t>2022年11月3日（木曜）祝日対応</t>
  </si>
  <si>
    <t>件名：メルマガ業務●ウキ</t>
  </si>
  <si>
    <t>基本的に他部署依頼の入稿系は前日12時までの〆切</t>
  </si>
  <si>
    <t>求人特集の更新があるため配信</t>
  </si>
  <si>
    <t>エントリーは火曜なので通常配信</t>
  </si>
  <si>
    <t>11/3日(木)が祝日のためエントリー期間を10/31(月)～11/1(火)</t>
  </si>
  <si>
    <t>TW 関口さん　Cc：TW課</t>
  </si>
  <si>
    <t>入稿〆切を11/2（水）に変更</t>
  </si>
  <si>
    <t>2022年11月23日（水曜）祝日対応</t>
  </si>
  <si>
    <t>推進_布施さん</t>
  </si>
  <si>
    <t>推進部 推進課 火曜午前締切</t>
  </si>
  <si>
    <t>2022年12月29日から2023年1月3日　年末年始休日対応</t>
  </si>
  <si>
    <t>3つメール送る</t>
  </si>
  <si>
    <t>差し込みなしで配信</t>
  </si>
  <si>
    <t>推進課　　　停止　1/4の分12/26までにもらえたら配信</t>
  </si>
  <si>
    <t>ポジションマッチB1</t>
  </si>
  <si>
    <t>横浜　　　　停止　原田梓さん、鈴木順恵さん</t>
  </si>
  <si>
    <t>関西・東海　停止</t>
  </si>
  <si>
    <t>sales-assistant@type.jpのみ(島原さん)</t>
  </si>
  <si>
    <t>12/31(土)17時から1/1(日)終日</t>
  </si>
  <si>
    <t>営業 _石川翔一さん、畑さん、㏄花澤さん</t>
  </si>
  <si>
    <t>ポジションマッチB2</t>
  </si>
  <si>
    <t>メルマガPR(商品)差込なしで配信。 
スケジュール表に「イレギュラー文面で設定」とコメントを追加</t>
  </si>
  <si>
    <t>応募ランキング</t>
  </si>
  <si>
    <t>1/4の分12/26までにもらえるようなので配信</t>
  </si>
  <si>
    <t>2023年2月23日（木）祝日対応</t>
  </si>
  <si>
    <t>TW 柴田さん　Cc：TW課</t>
  </si>
  <si>
    <t>入稿〆切を2/22（水）AM中に変更</t>
  </si>
  <si>
    <t>2023年3月21日（火）祝日対応</t>
  </si>
  <si>
    <t>入稿〆切を3/20（月）AM中に変更</t>
  </si>
  <si>
    <t>typeと協働（担当者と連絡取り合う）</t>
  </si>
  <si>
    <t>2023年5月3(水)~7日（日）GW対応</t>
  </si>
  <si>
    <t>休みの前後1日も注視</t>
  </si>
  <si>
    <t>連絡、3日はＯＫの旨</t>
  </si>
  <si>
    <t>通常配信※前倒し設定可能</t>
  </si>
  <si>
    <t>平田さん確認→×ならtypeに共有</t>
  </si>
  <si>
    <t>TW 光谷さん　Cc：TW課</t>
  </si>
  <si>
    <t>入稿〆切5/2（火）AM中に変更</t>
  </si>
  <si>
    <t>原田梓 &lt;a-harata@type.jp&gt;
Cc:        arp_assistant@type.jp,</t>
  </si>
  <si>
    <t>平田さん確認</t>
  </si>
  <si>
    <t>typeと協働(佐藤さん・野村さん・ウキ停止するけどtypeどうするか→西山さんにメール)</t>
  </si>
  <si>
    <t>※全部グレーアウト。戻すときにコメントしておく</t>
  </si>
  <si>
    <t>2023年6月4日（日）BOSS-Cメンテ対応</t>
  </si>
  <si>
    <t xml:space="preserve">6/3(土)18時に配信日だけ変更する旨お伝えする　</t>
  </si>
  <si>
    <t xml:space="preserve">6/5(月)19時に配信日だけ変更する旨お伝えする　</t>
  </si>
  <si>
    <t>2023年7月17日（月）祝日対応</t>
  </si>
  <si>
    <t>2023年_お盆（8/11金～8/20日）</t>
  </si>
  <si>
    <t>通常は配信当日AMに設定するとのこと</t>
  </si>
  <si>
    <t>山田達郎さん、原田さん、営アシsales-assistant@type.jp</t>
  </si>
  <si>
    <t>8/7AMで前倒し</t>
  </si>
  <si>
    <t>typeと協働　→　佐藤さんから連絡してくださる</t>
  </si>
  <si>
    <r>
      <rPr>
        <rFont val="Arial, Helvetica, sans-serif"/>
        <color rgb="FF222222"/>
      </rPr>
      <t>配信休止</t>
    </r>
    <r>
      <rPr>
        <rFont val="Arial, Helvetica, sans-serif"/>
        <color rgb="FFFF0000"/>
      </rPr>
      <t>→配信有、エントリー期間8/9(水)中に変更</t>
    </r>
  </si>
  <si>
    <t>営業 石川翔一さん、畑さん</t>
  </si>
  <si>
    <r>
      <rPr>
        <rFont val="Arial, Helvetica, sans-serif"/>
        <color rgb="FF222222"/>
      </rPr>
      <t>配信休止</t>
    </r>
    <r>
      <rPr>
        <rFont val="Arial, Helvetica, sans-serif"/>
        <color rgb="FFFF0000"/>
      </rPr>
      <t>→配信有、エントリー期間8/9(水)中に変更</t>
    </r>
  </si>
  <si>
    <r>
      <rPr>
        <rFont val="Arial, Helvetica, sans-serif"/>
        <color rgb="FF222222"/>
      </rPr>
      <t>配信休止</t>
    </r>
    <r>
      <rPr>
        <rFont val="Arial, Helvetica, sans-serif"/>
        <color rgb="FFFF0000"/>
      </rPr>
      <t>→配信有、エントリー期間8/9(水)中に変更</t>
    </r>
  </si>
  <si>
    <t>IT派遣　木村さん　中島さん　Cc：ITH事業部 登録部</t>
  </si>
  <si>
    <t>木曜午前中で入稿〆切変更</t>
  </si>
  <si>
    <t>内田さん確認済み　基本的に他部署依頼の入稿系は前日12時までの〆切　※隔週配信なので、配信日が連休に被る場合のみ広報が必要</t>
  </si>
  <si>
    <r>
      <rPr>
        <rFont val="Arial, Helvetica, sans-serif"/>
        <color rgb="FF222222"/>
      </rPr>
      <t>差込なしで配信</t>
    </r>
    <r>
      <rPr>
        <rFont val="Arial, Helvetica, sans-serif"/>
        <color rgb="FFFF0000"/>
      </rPr>
      <t>→配信有、エントリー期間8/9(水)中に変更</t>
    </r>
  </si>
  <si>
    <t>代理店_中嶋さん</t>
  </si>
  <si>
    <t>シンデレラパックにある商品「女の転職ｔｙｐｅ　スマホ版採用応援リンク　第一特集」を受注した企業を配信（求人特集に登録してメルマガ配信）
受注がある限り配信可能 　念のため松下さん確認済</t>
  </si>
  <si>
    <r>
      <rPr>
        <rFont val="Arial, Helvetica, sans-serif"/>
        <color rgb="FF222222"/>
      </rPr>
      <t>差込なしで配信</t>
    </r>
    <r>
      <rPr>
        <rFont val="Arial, Helvetica, sans-serif"/>
        <color rgb="FFFF0000"/>
      </rPr>
      <t>→差し込み有、エントリー期間8/9(水)中に変更</t>
    </r>
  </si>
  <si>
    <r>
      <rPr>
        <rFont val="Arial, Helvetica, sans-serif"/>
        <color rgb="FF222222"/>
      </rPr>
      <t>火曜更新がないので</t>
    </r>
    <r>
      <rPr>
        <rFont val="Arial, Helvetica, sans-serif"/>
        <color rgb="FFFF0000"/>
      </rPr>
      <t>配信停止</t>
    </r>
  </si>
  <si>
    <r>
      <rPr>
        <rFont val="Arial, Helvetica, sans-serif"/>
        <color rgb="FF222222"/>
      </rPr>
      <t>差込なしで配信</t>
    </r>
    <r>
      <rPr>
        <rFont val="Arial, Helvetica, sans-serif"/>
        <color rgb="FFFF0000"/>
      </rPr>
      <t>→差し込み有、エントリー期間8/9(水)中に変更</t>
    </r>
  </si>
  <si>
    <t>推進_布施舞奈味さん</t>
  </si>
  <si>
    <t>8/7に入稿締め切りを前倒し</t>
  </si>
  <si>
    <t>typeと協働　→　佐藤さんから連絡してくださる？</t>
  </si>
  <si>
    <r>
      <rPr>
        <rFont val="Arial, Helvetica, sans-serif"/>
        <color rgb="FF222222"/>
      </rPr>
      <t>差込なしで配信</t>
    </r>
    <r>
      <rPr>
        <rFont val="Arial, Helvetica, sans-serif"/>
        <color rgb="FFFF0000"/>
      </rPr>
      <t>→差し込み有、エントリー期間8/9(水)中に変更</t>
    </r>
  </si>
  <si>
    <t xml:space="preserve"> 山田達郎さん、原田さん、営アシsales-assistant@type.jp</t>
  </si>
  <si>
    <t>シンデレラパックにある商品「女の転職ｔｙｐｅ　スマホ版採用応援リンク　第一特集」を受注した企業を配信（求人特集に登録してメルマガ配信）
受注がある限り配信可能 　念のため松下さん確認</t>
  </si>
  <si>
    <t>2023年9月18日（月）祝日対応</t>
  </si>
  <si>
    <t>2023年10月9日（月）祝日対応</t>
  </si>
  <si>
    <r>
      <rPr>
        <rFont val="Arial, Helvetica, sans-serif"/>
        <color rgb="FF222222"/>
      </rPr>
      <t xml:space="preserve">金曜12時〆切 → </t>
    </r>
    <r>
      <rPr>
        <rFont val="Arial, Helvetica, sans-serif"/>
        <b/>
        <color rgb="FF222222"/>
      </rPr>
      <t>通常運営</t>
    </r>
    <r>
      <rPr>
        <rFont val="Arial, Helvetica, sans-serif"/>
        <color rgb="FF222222"/>
      </rPr>
      <t>でOK</t>
    </r>
  </si>
  <si>
    <r>
      <rPr>
        <rFont val="Arial, Helvetica, sans-serif"/>
        <color rgb="FF222222"/>
      </rPr>
      <t xml:space="preserve">金曜12時〆切 → </t>
    </r>
    <r>
      <rPr>
        <rFont val="Arial, Helvetica, sans-serif"/>
        <b/>
        <color rgb="FF222222"/>
      </rPr>
      <t>通常運営</t>
    </r>
    <r>
      <rPr>
        <rFont val="Arial, Helvetica, sans-serif"/>
        <color rgb="FF222222"/>
      </rPr>
      <t>でOK</t>
    </r>
  </si>
  <si>
    <t>2023年11月3日（金）祝日対応</t>
  </si>
  <si>
    <t>山田達郎さん、原田さん、営アシeh_eiashi@type.jp</t>
  </si>
  <si>
    <t>10/31（火）AMで前倒し</t>
  </si>
  <si>
    <t>typeと協働　→　若松から連絡済</t>
  </si>
  <si>
    <r>
      <rPr>
        <rFont val="Arial, Helvetica, sans-serif"/>
        <color rgb="FF222222"/>
      </rPr>
      <t>配信休止</t>
    </r>
    <r>
      <rPr>
        <rFont val="Arial, Helvetica, sans-serif"/>
        <color rgb="FFFF0000"/>
      </rPr>
      <t>→配信有、エントリー期間11/1(水)中に変更</t>
    </r>
  </si>
  <si>
    <r>
      <rPr>
        <rFont val="Arial, Helvetica, sans-serif"/>
        <color rgb="FF222222"/>
      </rPr>
      <t>配信休止</t>
    </r>
    <r>
      <rPr>
        <rFont val="Arial, Helvetica, sans-serif"/>
        <color rgb="FFFF0000"/>
      </rPr>
      <t>→配信有、エントリー期間11/1(水)中に変更</t>
    </r>
  </si>
  <si>
    <r>
      <rPr>
        <rFont val="Arial, Helvetica, sans-serif"/>
        <color rgb="FF222222"/>
      </rPr>
      <t>配信休止</t>
    </r>
    <r>
      <rPr>
        <rFont val="Arial, Helvetica, sans-serif"/>
        <color rgb="FFFF0000"/>
      </rPr>
      <t>→配信有、エントリー期間11/1(水)中に変更</t>
    </r>
  </si>
  <si>
    <r>
      <rPr>
        <rFont val="Arial, Helvetica, sans-serif"/>
        <color rgb="FF222222"/>
      </rPr>
      <t>差込なしで配信</t>
    </r>
    <r>
      <rPr>
        <rFont val="Arial, Helvetica, sans-serif"/>
        <color rgb="FFFF0000"/>
      </rPr>
      <t>→配信有、エントリー期間11/1(水)中に変更</t>
    </r>
  </si>
  <si>
    <t>木曜日、代理店課に該当の求人特集を直接更新していただいてる。関西…16243 代理店課特集(関西)</t>
  </si>
  <si>
    <t>木曜日、代理店課に該当の求人特集を直接更新していただいてる。東海…16223 代理店課特集(東海)</t>
  </si>
  <si>
    <t>2023年11月23日（木）祝日対応</t>
  </si>
  <si>
    <r>
      <rPr>
        <rFont val="Arial, Helvetica, sans-serif"/>
        <color rgb="FF222222"/>
      </rPr>
      <t>差込なしで配信</t>
    </r>
    <r>
      <rPr>
        <rFont val="Arial, Helvetica, sans-serif"/>
        <color rgb="FFFF0000"/>
      </rPr>
      <t>→差し込み有、通常通り配信</t>
    </r>
  </si>
  <si>
    <r>
      <rPr>
        <rFont val="Arial, Helvetica, sans-serif"/>
        <color rgb="FF222222"/>
      </rPr>
      <t>配信休止</t>
    </r>
    <r>
      <rPr>
        <rFont val="Arial, Helvetica, sans-serif"/>
        <color rgb="FFFF0000"/>
      </rPr>
      <t>→配信有、エントリー期間11/22(水)中に変更</t>
    </r>
  </si>
  <si>
    <r>
      <rPr>
        <rFont val="Arial, Helvetica, sans-serif"/>
        <color rgb="FF222222"/>
      </rPr>
      <t>配信休止</t>
    </r>
    <r>
      <rPr>
        <rFont val="Arial, Helvetica, sans-serif"/>
        <color rgb="FFFF0000"/>
      </rPr>
      <t>→配信有、エントリー期間11/20(月)～11/21(火)中に変更</t>
    </r>
  </si>
  <si>
    <t>typeと協働　→　若松から連絡</t>
  </si>
  <si>
    <r>
      <rPr>
        <rFont val="Arial, Helvetica, sans-serif"/>
        <color rgb="FF222222"/>
      </rPr>
      <t>差込なしで配信</t>
    </r>
    <r>
      <rPr>
        <rFont val="Arial, Helvetica, sans-serif"/>
        <color rgb="FFFF0000"/>
      </rPr>
      <t>→差し込み有、エントリー期間11/22(水)中に変更</t>
    </r>
  </si>
  <si>
    <r>
      <rPr>
        <rFont val="Arial, Helvetica, sans-serif"/>
        <color rgb="FF222222"/>
      </rPr>
      <t>差込なしで配信</t>
    </r>
    <r>
      <rPr>
        <rFont val="Arial, Helvetica, sans-serif"/>
        <color rgb="FFFF0000"/>
      </rPr>
      <t>→差し込み有、エントリー期間11/22(水)中に変更</t>
    </r>
  </si>
  <si>
    <r>
      <rPr>
        <rFont val="Arial, Helvetica, sans-serif"/>
        <color rgb="FF222222"/>
      </rPr>
      <t>差込なしで配信</t>
    </r>
    <r>
      <rPr>
        <rFont val="Arial, Helvetica, sans-serif"/>
        <color rgb="FFFF0000"/>
      </rPr>
      <t>→差し込み有、エントリー期間11/22(水)中に変更</t>
    </r>
  </si>
  <si>
    <t>2023年12月29日から2024年1月3日　年末年始休日対応
2024年1月8日（月）　祝日対応</t>
  </si>
  <si>
    <t>山田達郎さん、松浦さん、営アシsales-assistant@type.jp</t>
  </si>
  <si>
    <t>12/26AMに入稿締め切りを前倒し</t>
  </si>
  <si>
    <t>typeと協働　→　若松から連絡する　（参考）メール件名：【type・ウキメルマガ】お盆期間中の配信について</t>
  </si>
  <si>
    <r>
      <rPr>
        <rFont val="Arial, Helvetica, sans-serif"/>
        <color rgb="FF222222"/>
      </rPr>
      <t>配信休止</t>
    </r>
    <r>
      <rPr>
        <rFont val="Arial, Helvetica, sans-serif"/>
        <color rgb="FFFF0000"/>
      </rPr>
      <t>→配信有、エントリー期間12/27(水)中に変更</t>
    </r>
  </si>
  <si>
    <r>
      <rPr>
        <rFont val="Arial, Helvetica, sans-serif"/>
        <b/>
        <color rgb="FFFF0000"/>
      </rPr>
      <t xml:space="preserve">配信停止　</t>
    </r>
    <r>
      <rPr>
        <rFont val="Arial, Helvetica, sans-serif"/>
        <color rgb="FFFF0000"/>
      </rPr>
      <t>金曜更新がないため</t>
    </r>
  </si>
  <si>
    <r>
      <rPr>
        <rFont val="Arial, Helvetica, sans-serif"/>
        <color rgb="FF222222"/>
      </rPr>
      <t>配信休止</t>
    </r>
    <r>
      <rPr>
        <rFont val="Arial, Helvetica, sans-serif"/>
        <color rgb="FFFF0000"/>
      </rPr>
      <t>→配信有、エントリー期間12/27(水)中に変更</t>
    </r>
  </si>
  <si>
    <r>
      <rPr>
        <rFont val="Arial"/>
        <b/>
        <color rgb="FFFF0000"/>
      </rPr>
      <t>配信停止</t>
    </r>
    <r>
      <rPr>
        <rFont val="Arial"/>
        <b val="0"/>
        <color rgb="FFFF0000"/>
      </rPr>
      <t xml:space="preserve">　※毎年12/31 17時～1/1終日の間、メルマガを停止している</t>
    </r>
  </si>
  <si>
    <t>IT派遣　岩間理穂さん　中島さん　Cc：ITH事業部 登録部</t>
  </si>
  <si>
    <r>
      <rPr>
        <rFont val="Arial"/>
        <b/>
        <color rgb="FFFF0000"/>
      </rPr>
      <t>配信停止</t>
    </r>
    <r>
      <rPr>
        <rFont val="Arial"/>
        <b val="0"/>
        <color rgb="FFFF0000"/>
      </rPr>
      <t xml:space="preserve">　※毎年12/31 17時～1/1終日の間、メルマガを停止している</t>
    </r>
  </si>
  <si>
    <r>
      <rPr>
        <rFont val="Arial"/>
        <b/>
        <color rgb="FFFF0000"/>
      </rPr>
      <t>配信停止</t>
    </r>
    <r>
      <rPr>
        <rFont val="Arial"/>
        <b val="0"/>
        <color rgb="FFFF0000"/>
      </rPr>
      <t xml:space="preserve">　※毎年12/31 17時～1/1終日の間、メルマガを停止している</t>
    </r>
  </si>
  <si>
    <r>
      <rPr>
        <rFont val="Arial"/>
        <b/>
        <color rgb="FFFF0000"/>
      </rPr>
      <t>配信停止</t>
    </r>
    <r>
      <rPr>
        <rFont val="Arial"/>
        <b val="0"/>
        <color rgb="FFFF0000"/>
      </rPr>
      <t xml:space="preserve">　※毎年12/31 17時～1/1終日の間、メルマガを停止している</t>
    </r>
  </si>
  <si>
    <t>typeと協働　→　若松から連絡する</t>
  </si>
  <si>
    <r>
      <rPr>
        <rFont val="Arial"/>
        <b/>
        <color rgb="FFFF0000"/>
      </rPr>
      <t>配信停止</t>
    </r>
    <r>
      <rPr>
        <rFont val="Arial"/>
        <b val="0"/>
        <color rgb="FFFF0000"/>
      </rPr>
      <t xml:space="preserve">　※毎年12/31 17時～1/1終日の間、メルマガを停止している</t>
    </r>
  </si>
  <si>
    <r>
      <rPr>
        <rFont val="Arial"/>
        <b/>
        <color rgb="FFFF0000"/>
      </rPr>
      <t>配信停止</t>
    </r>
    <r>
      <rPr>
        <rFont val="Arial"/>
        <b val="0"/>
        <color rgb="FFFF0000"/>
      </rPr>
      <t xml:space="preserve">　※毎年12/31 17時～1/1終日の間、メルマガを停止している</t>
    </r>
  </si>
  <si>
    <t>シンデレラパックにある商品「女の転職ｔｙｐｅ　スマホ版採用応援リンク　第一特集」を受注した企業を配信（求人特集に登録してメルマガ配信）
受注がある限り配信可能 　念のため設定者QAチーム松下さんへ確認済</t>
  </si>
  <si>
    <r>
      <rPr>
        <rFont val="Arial, Helvetica, sans-serif"/>
        <color rgb="FF222222"/>
      </rPr>
      <t>差込なしで配信</t>
    </r>
    <r>
      <rPr>
        <rFont val="Arial, Helvetica, sans-serif"/>
        <color rgb="FFFF0000"/>
      </rPr>
      <t>→差し込み有、エントリー期間12/27(水)中に変更</t>
    </r>
  </si>
  <si>
    <r>
      <rPr>
        <rFont val="Arial, Helvetica, sans-serif"/>
        <color rgb="FF222222"/>
      </rPr>
      <t>差込なしで配信</t>
    </r>
    <r>
      <rPr>
        <rFont val="Arial, Helvetica, sans-serif"/>
        <color rgb="FFFF0000"/>
      </rPr>
      <t>→差し込み有、エントリー期間12/27(水)中に変更</t>
    </r>
  </si>
  <si>
    <r>
      <rPr>
        <rFont val="Arial, Helvetica, sans-serif"/>
        <b/>
        <color rgb="FFFF0000"/>
      </rPr>
      <t xml:space="preserve">配信停止　</t>
    </r>
    <r>
      <rPr>
        <rFont val="Arial, Helvetica, sans-serif"/>
        <color rgb="FFFF0000"/>
      </rPr>
      <t>火曜更新がないため</t>
    </r>
  </si>
  <si>
    <r>
      <rPr>
        <rFont val="Arial, Helvetica, sans-serif"/>
        <b/>
        <color rgb="FFFF0000"/>
      </rPr>
      <t>配信停止</t>
    </r>
    <r>
      <rPr>
        <rFont val="Arial, Helvetica, sans-serif"/>
        <color rgb="FFFF0000"/>
      </rPr>
      <t xml:space="preserve">　12/26AMに入稿締め切りを前倒し</t>
    </r>
  </si>
  <si>
    <t>配信直前の毎週火曜に、推進部が直接BOSS-Sの求人特集に企業を設定しているとの事。</t>
  </si>
  <si>
    <r>
      <rPr>
        <rFont val="Arial, Helvetica, sans-serif"/>
        <color rgb="FF222222"/>
      </rPr>
      <t>差込なしで配信</t>
    </r>
    <r>
      <rPr>
        <rFont val="Arial, Helvetica, sans-serif"/>
        <color rgb="FFFF0000"/>
      </rPr>
      <t>→差し込み有、エントリー期間12/27(水)中に変更</t>
    </r>
  </si>
  <si>
    <t>金曜更新あり→通常運営でOK</t>
  </si>
  <si>
    <t xml:space="preserve"> 山田達郎さん、松浦さん、営アシsales-assistant@type.jp</t>
  </si>
  <si>
    <r>
      <rPr>
        <rFont val="Arial, Helvetica, sans-serif"/>
        <color rgb="FF222222"/>
      </rPr>
      <t>配信休止</t>
    </r>
    <r>
      <rPr>
        <rFont val="Arial, Helvetica, sans-serif"/>
        <color rgb="FFFF0000"/>
      </rPr>
      <t>→配信有、エントリー期間1/4(木)中に変更</t>
    </r>
  </si>
  <si>
    <t>2024年2月12日（月）祝日対応</t>
  </si>
  <si>
    <r>
      <rPr>
        <rFont val="Arial, Helvetica, sans-serif"/>
        <color rgb="FF222222"/>
      </rPr>
      <t xml:space="preserve">金曜12時〆切 → </t>
    </r>
    <r>
      <rPr>
        <rFont val="Arial, Helvetica, sans-serif"/>
        <b/>
        <color rgb="FF222222"/>
      </rPr>
      <t>通常運営</t>
    </r>
    <r>
      <rPr>
        <rFont val="Arial, Helvetica, sans-serif"/>
        <color rgb="FF222222"/>
      </rPr>
      <t>でOK</t>
    </r>
  </si>
  <si>
    <r>
      <rPr>
        <rFont val="Arial, Helvetica, sans-serif"/>
        <color rgb="FF222222"/>
      </rPr>
      <t xml:space="preserve">金曜12時〆切 → </t>
    </r>
    <r>
      <rPr>
        <rFont val="Arial, Helvetica, sans-serif"/>
        <b/>
        <color rgb="FF222222"/>
      </rPr>
      <t>通常運営</t>
    </r>
    <r>
      <rPr>
        <rFont val="Arial, Helvetica, sans-serif"/>
        <color rgb="FF222222"/>
      </rPr>
      <t>でOK</t>
    </r>
  </si>
  <si>
    <t>2024年2月23日（金）祝日対応</t>
  </si>
  <si>
    <t>今後全員一斉送信でもいいと思う＆祝日あるから対応方法考えてよってメールにしたいな</t>
  </si>
  <si>
    <t>←配信停止のため今回より対応不要？(横尾)
　→これに代わるものが「TP部_事務_希望地」になります。連絡不要。(杉浦さんに確認済み：本部)</t>
  </si>
  <si>
    <t>山田達郎さん、松浦悠真さん、営アシeh_eiashi@type.jp</t>
  </si>
  <si>
    <r>
      <rPr>
        <rFont val="Arial, Helvetica, sans-serif"/>
        <color theme="1"/>
      </rPr>
      <t xml:space="preserve">2/21（水）エントリー締切なので配信可
通常配信
</t>
    </r>
    <r>
      <rPr>
        <rFont val="Arial, Helvetica, sans-serif"/>
        <color rgb="FFFF0000"/>
      </rPr>
      <t>→差し込みなしで配信。</t>
    </r>
  </si>
  <si>
    <r>
      <rPr>
        <rFont val="Arial"/>
        <color theme="1"/>
      </rPr>
      <t xml:space="preserve">typeと協働　</t>
    </r>
    <r>
      <rPr>
        <rFont val="Arial"/>
        <color rgb="FFFF0000"/>
      </rPr>
      <t>今回連絡無→次回は連絡しておいたほうがよさそうです。</t>
    </r>
    <r>
      <rPr>
        <rFont val="Arial"/>
        <color theme="1"/>
      </rPr>
      <t xml:space="preserve">
</t>
    </r>
    <r>
      <rPr>
        <rFont val="Arial"/>
        <color rgb="FFFF0000"/>
      </rPr>
      <t>設定当日シート確認したところエントリー無く、
type課佐藤さんから差し込みなしで配信する旨のメール連絡していただきました。</t>
    </r>
  </si>
  <si>
    <t>制作_桑原さん、小櫻さん</t>
  </si>
  <si>
    <t>配信有、エントリー期間2/21(水)中に変更</t>
  </si>
  <si>
    <t>←2/21（水）中にエントリー可能であれば配信、そうでなければ配信停止で連絡でよいと思います（杉浦）</t>
  </si>
  <si>
    <t>←2/13週にエントリー期間変更になることのリマインドお願い致します（杉浦）</t>
  </si>
  <si>
    <t>ITH事業部 中島さん</t>
  </si>
  <si>
    <t>配信有、入稿2/22(木)AM中に変更</t>
  </si>
  <si>
    <t>配信スキップ</t>
  </si>
  <si>
    <t>typeと協働　→　type課と確認お願い致します！2/21（水）中に求人特集紐づけが可能であれば配信、そうでなければ配信停止で良いと思います（杉浦）</t>
  </si>
  <si>
    <t>TP部_事務_希望地</t>
  </si>
  <si>
    <t>2024年3月20日（水）祝日対応</t>
  </si>
  <si>
    <t>SWAT版ウキポリのエントリーは前週木曜締めなので対応不要。
通常配信</t>
  </si>
  <si>
    <t>8時
求人特集(35歳未満) A</t>
  </si>
  <si>
    <t>火・金午前中のサイト更新で内容が更新される。その企業を引っぱってきて作成している。サイト更新があれば配信可能。
通常配信</t>
  </si>
  <si>
    <t>制作_薄井さん、小櫻さん</t>
  </si>
  <si>
    <t>エントリーは火曜12時締めなので対応不要。
通常配信</t>
  </si>
  <si>
    <t>17時
推進課</t>
  </si>
  <si>
    <t>配信直前の毎週火曜に、推進部が直接BOSS-Sの求人特集に企業を設定している。
火曜午前中登録完了で対応⇒通常配信</t>
  </si>
  <si>
    <t>必要：
済</t>
  </si>
  <si>
    <t>typeと協働　→　本部から連絡。
　件名：メルマガ入稿●type・ウキ／推進部メルマガ</t>
  </si>
  <si>
    <t>TP部_事務_現住所</t>
  </si>
  <si>
    <t>エントリーは前週金曜締めなので対応不要。
通常配信</t>
  </si>
  <si>
    <t>18時
TP部_働きやすい企業特集</t>
  </si>
  <si>
    <t>通常配信で、連絡等も不要。</t>
  </si>
  <si>
    <t>隔週で同じ求人を引っぱってきている？？ような話だったかと。</t>
  </si>
  <si>
    <t>メディア営業　松浦さん
CC:山田さん、町田さん</t>
  </si>
  <si>
    <t>エントリー締めが水曜のため、前倒しorスキップ確認が必要。
火曜中エントリーで対応⇒通常配信</t>
  </si>
  <si>
    <r>
      <rPr>
        <rFont val="Arial"/>
        <color theme="1"/>
      </rPr>
      <t xml:space="preserve">typeと協働　→　本部から連絡。
　件名：【type・ウキメルマガ】来週3/20(水)のエントリーについて／神奈川・横浜求人救済系
</t>
    </r>
    <r>
      <rPr>
        <rFont val="Arial"/>
        <b/>
        <color rgb="FFFF0000"/>
      </rPr>
      <t>※CDI営業企画課 は全然関係ないアドレスなので必ず抜いてください</t>
    </r>
  </si>
  <si>
    <t>2024年4月29日（月）祝日対応
2024年5月  3日（金）～  5月6日（月）GW対応</t>
  </si>
  <si>
    <t>連絡
※黄背景はメール連絡済み</t>
  </si>
  <si>
    <t>制作_小櫻さん　Cc：薄井さん</t>
  </si>
  <si>
    <r>
      <rPr>
        <rFont val="Arial, Helvetica, sans-serif"/>
        <color rgb="FF000000"/>
        <sz val="10.0"/>
      </rPr>
      <t xml:space="preserve">金曜12時〆切なので問題ない。
</t>
    </r>
    <r>
      <rPr>
        <rFont val="Arial, Helvetica, sans-serif"/>
        <color rgb="FF000000"/>
        <sz val="10.0"/>
      </rPr>
      <t>通常配信</t>
    </r>
  </si>
  <si>
    <t>19日がエントリー締めなので問題ない。
通常配信</t>
  </si>
  <si>
    <t>データは金曜に更新される。でも金曜休みでも特に連絡は不要。
通常配信</t>
  </si>
  <si>
    <r>
      <rPr>
        <rFont val="Arial, Helvetica, sans-serif"/>
        <color rgb="FF000000"/>
        <sz val="10.0"/>
      </rPr>
      <t xml:space="preserve">金曜12時〆切 → </t>
    </r>
    <r>
      <rPr>
        <rFont val="Arial, Helvetica, sans-serif"/>
        <color rgb="FF000000"/>
        <sz val="10.0"/>
      </rPr>
      <t>通常運営</t>
    </r>
    <r>
      <rPr>
        <rFont val="Arial, Helvetica, sans-serif"/>
        <color rgb="FF000000"/>
        <sz val="10.0"/>
      </rPr>
      <t>でOK</t>
    </r>
  </si>
  <si>
    <t>荒木さんが設定くださっている。特に連絡不要。
通常配信</t>
  </si>
  <si>
    <r>
      <rPr>
        <rFont val="Arial, Helvetica, sans-serif"/>
        <color rgb="FF1155CC"/>
        <u/>
      </rPr>
      <t xml:space="preserve">参照：type／女の転職typeのGWを挟む入稿スケジュールのお知らせ
</t>
    </r>
    <r>
      <rPr>
        <rFont val="Arial, Helvetica, sans-serif"/>
      </rPr>
      <t>「広告・オプション」部分確認。</t>
    </r>
  </si>
  <si>
    <t>「メルマガPR」という商品の受注があれば設定する。
通常は配信当日AMに設定するとのこと。</t>
  </si>
  <si>
    <t>商品系ではなさそう。特に連絡するところはない。</t>
  </si>
  <si>
    <t>営業_石川翔一さん、斉藤さん</t>
  </si>
  <si>
    <t>通常配信（木曜エントリー締め）</t>
  </si>
  <si>
    <t>連休前に神谷さんがRPA設定するのでスケジュール早めに出す。
通常配信</t>
  </si>
  <si>
    <r>
      <rPr>
        <rFont val="Arial, Helvetica, sans-serif"/>
        <color rgb="FF1155CC"/>
        <u/>
      </rPr>
      <t xml:space="preserve">参照：type／女の転職typeのGWを挟む入稿スケジュールのお知らせ
</t>
    </r>
    <r>
      <rPr>
        <rFont val="Arial, Helvetica, sans-serif"/>
        <color rgb="FF000000"/>
      </rPr>
      <t>「広告・オプション」部分確認。</t>
    </r>
  </si>
  <si>
    <t>メルマガPR(商品)差込なしで配信。
スケジュールに「イレギュラー文面で設定」とコメント挿入。</t>
  </si>
  <si>
    <t>5/1中に入稿を依頼。
⇒5/1入稿で対応。</t>
  </si>
  <si>
    <t>済み</t>
  </si>
  <si>
    <r>
      <rPr>
        <rFont val="Arial, Helvetica, sans-serif"/>
        <color theme="1"/>
      </rPr>
      <t>松浦悠真さん、町田さん
CC：</t>
    </r>
    <r>
      <rPr>
        <rFont val="Arial, Helvetica, sans-serif"/>
        <strike/>
        <color theme="1"/>
      </rPr>
      <t>山田達郎さん</t>
    </r>
    <r>
      <rPr>
        <rFont val="Arial, Helvetica, sans-serif"/>
        <color theme="1"/>
      </rPr>
      <t>→中村真太郎さん</t>
    </r>
  </si>
  <si>
    <t>5/1(水)中にエントリーがない場合
配信スキップとなりますのでご注意ください。
的な連絡を入れておく。
⇒通常配信</t>
  </si>
  <si>
    <r>
      <rPr>
        <rFont val="Arial"/>
        <color theme="1"/>
      </rPr>
      <t xml:space="preserve">typeと協働　</t>
    </r>
    <r>
      <rPr>
        <rFont val="Arial"/>
        <color rgb="FFFF0000"/>
      </rPr>
      <t>今回(2月)連絡無→次回は連絡しておいたほうがよさそうです。</t>
    </r>
    <r>
      <rPr>
        <rFont val="Arial"/>
        <color theme="1"/>
      </rPr>
      <t xml:space="preserve">
</t>
    </r>
    <r>
      <rPr>
        <rFont val="Arial"/>
        <color rgb="FFFF0000"/>
      </rPr>
      <t>設定当日シート確認したところエントリー無く、
type課佐藤さんから差し込みなしで配信する旨のメール連絡していただきました。</t>
    </r>
  </si>
  <si>
    <t>制作_小櫻さん</t>
  </si>
  <si>
    <t>エントリー5/1(水)中で可能なら配信、難しければスキップ
5/1中入稿⇒通常配信</t>
  </si>
  <si>
    <t>「金曜更新がないので配信休止」となっていましたが、スキップで問題ないですか？→配信休止
他部署への連絡も不要？？→不要。</t>
  </si>
  <si>
    <t>エントリー5/1(水)中のリマインドメール送信。
5/1中エントリー⇒通常配信</t>
  </si>
  <si>
    <t>今回配信週ではないため対応不要。</t>
  </si>
  <si>
    <t>必要</t>
  </si>
  <si>
    <t>エントリー5/1(水)中で可能なら配信、難しければスキップ
4/29は通常配信の旨併せて伝える。
⇒配信スキップ</t>
  </si>
  <si>
    <t>4/26(金)がエントリー締めなので問題ない。
通常配信</t>
  </si>
  <si>
    <r>
      <rPr>
        <rFont val="Arial, Helvetica, sans-serif"/>
        <color rgb="FF1155CC"/>
        <u/>
      </rPr>
      <t xml:space="preserve">参照：type／女の転職typeのGWを挟む入稿スケジュールのお知らせ
</t>
    </r>
    <r>
      <rPr>
        <rFont val="Arial, Helvetica, sans-serif"/>
        <color rgb="FF000000"/>
      </rPr>
      <t>「広告・オプション」部分確認。</t>
    </r>
  </si>
  <si>
    <t>5/3(金)エントリー締め。5/7(火)中エントリーで問題ない旨念のため連絡。
その時に併せて4/29,5/6通常配信も伝える。</t>
  </si>
  <si>
    <t>※締め切りが連休に被るものについて、ピック出来ていない可能性があります...(もとぶ)</t>
  </si>
  <si>
    <t xml:space="preserve">2024年7月15日（月）祝日対応
</t>
  </si>
  <si>
    <t>制作_堤智美さん　Cc：薄井真理子さん</t>
  </si>
  <si>
    <r>
      <rPr>
        <rFont val="Arial"/>
        <color rgb="FF000000"/>
      </rPr>
      <t xml:space="preserve">金曜12時〆切なので問題ない。
</t>
    </r>
    <r>
      <rPr>
        <rFont val="Arial"/>
        <color rgb="FF000000"/>
      </rPr>
      <t>通常配信</t>
    </r>
  </si>
  <si>
    <t>5日がエントリー締めなので問題ない。
通常配信</t>
  </si>
  <si>
    <r>
      <rPr>
        <rFont val="Arial"/>
        <color rgb="FF000000"/>
      </rPr>
      <t xml:space="preserve">金曜12時〆切 → </t>
    </r>
    <r>
      <rPr>
        <rFont val="Arial"/>
        <color rgb="FF000000"/>
      </rPr>
      <t>通常運営</t>
    </r>
    <r>
      <rPr>
        <rFont val="Arial"/>
        <color rgb="FF000000"/>
      </rPr>
      <t>でOK</t>
    </r>
  </si>
  <si>
    <r>
      <rPr>
        <rFont val="Arial"/>
        <color rgb="FF1155CC"/>
        <u/>
      </rPr>
      <t xml:space="preserve">参照：type／女の転職typeのGWを挟む入稿スケジュールのお知らせ
</t>
    </r>
    <r>
      <rPr>
        <rFont val="Arial"/>
        <color rgb="FF000000"/>
        <u/>
      </rPr>
      <t>「広告・オプション」部分確認。</t>
    </r>
  </si>
  <si>
    <t>2024年_お盆（8/10土～8/18日）</t>
  </si>
  <si>
    <t>参照：type／女の転職typeのGWを挟む入稿スケジュールのお知らせ(https://sites.google.com/type.jp/medimap/%E5%90%84%E7%A8%AE%E8%B3%87%E6%96%99/%E5%85%A5%E7%A8%BF%E3%82%B9%E3%82%B1%E3%82%B8%E3%83%A5%E3%83%BC%E3%83%AB?authuser=0)
「広告・オプション」部分確認。
「メルマガPR」という商品の受注があれば設定する。
通常は配信当日AMに設定するとのこと。</t>
  </si>
  <si>
    <t>武政、本部確認済み</t>
  </si>
  <si>
    <t>荒木さんが設定くださっている。特に連絡不要。</t>
  </si>
  <si>
    <t>松浦悠真さん
CC：中村真太郎さん、町田有希さん</t>
  </si>
  <si>
    <t>8/5AM入稿〆切変更で前倒し
前倒し無し、通常運用。typeとは別で連絡。</t>
  </si>
  <si>
    <t>通常運用で問題ない旨平田さんに確認済み。</t>
  </si>
  <si>
    <t>営業_斉藤美香子さん
CC：畑さん、石川邦之さん</t>
  </si>
  <si>
    <t>通常運用で問題ない旨荒木さんに確認済み。</t>
  </si>
  <si>
    <t>金曜12時入稿締め切り
通常運用で問題ない旨平田さんに確認済み。（設定者の内田さんお休みのため）</t>
  </si>
  <si>
    <t>8/2入稿分は通常配信(このメルマガ)。8/9入稿分での配信はスキップ。8/16入稿分は8/20(火)中の入稿で配信可能。
本部確認済み</t>
  </si>
  <si>
    <t>8/7(水)中入稿〆切変更(前倒し)
配信あり</t>
  </si>
  <si>
    <t>typeと共同（佐藤さんに共有）</t>
  </si>
  <si>
    <t>関西・東海</t>
  </si>
  <si>
    <t>荒木さんが設定くださっている。特に連絡不要。
本部確認済み</t>
  </si>
  <si>
    <t>レ</t>
  </si>
  <si>
    <t>typeと共通でよい</t>
  </si>
  <si>
    <t>メルマガPR(商品)差込なしで配信。
スケジュール表に「メルマガPR(商品)差込なしです。イレギュラー文面で設定お願いします。」とコメントを追加</t>
  </si>
  <si>
    <t>本部確認済み</t>
  </si>
  <si>
    <r>
      <rPr>
        <rFont val="Arial, Helvetica, sans-serif"/>
        <color rgb="FF000000"/>
      </rPr>
      <t>火曜更新がないので</t>
    </r>
    <r>
      <rPr>
        <rFont val="Arial, Helvetica, sans-serif"/>
        <color rgb="FF000000"/>
      </rPr>
      <t>配信停止</t>
    </r>
  </si>
  <si>
    <t>火曜入稿締め、水曜配信。</t>
  </si>
  <si>
    <t>推進_中村優花さん</t>
  </si>
  <si>
    <t>松浦悠真さん
CC：中村真太郎さん、町田有希さん</t>
  </si>
  <si>
    <t>17日は配信スキップのメールを送る</t>
  </si>
  <si>
    <t>15日入稿文スキップは配信スキップのメールを送る</t>
  </si>
  <si>
    <t>18日日曜日分は配信スキップか確認</t>
  </si>
  <si>
    <t>13日入稿文スキップ</t>
  </si>
  <si>
    <t>8/2入稿分は通常配信。8/9入稿分での配信はスキップ。8/16入稿分は8/20(火)中の入稿で配信可能。
本部確認済み</t>
  </si>
  <si>
    <t>スキップ</t>
  </si>
  <si>
    <t>19日(月) AM入稿〆切変更</t>
  </si>
  <si>
    <t>19日午前中までに入稿で配信可能
そうでなければ、差し込みなしで配信する旨のメール</t>
  </si>
  <si>
    <t>2024年9月16日（月）祝日対応</t>
  </si>
  <si>
    <t>金曜12時〆切なので問題ない。
通常配信</t>
  </si>
  <si>
    <r>
      <rPr>
        <rFont val="Arial"/>
        <color rgb="FF1155CC"/>
        <u/>
      </rPr>
      <t xml:space="preserve">参照：type／女の転職typeのGWを挟む入稿スケジュールのお知らせ
</t>
    </r>
    <r>
      <rPr>
        <rFont val="Arial"/>
        <color rgb="FF000000"/>
        <u/>
      </rPr>
      <t>「広告・オプション」部分確認。</t>
    </r>
  </si>
  <si>
    <t>2024年9月23日（月）祝日対応</t>
  </si>
  <si>
    <r>
      <rPr>
        <rFont val="Arial"/>
        <color rgb="FF1155CC"/>
        <u/>
      </rPr>
      <t xml:space="preserve">参照：type／女の転職typeのGWを挟む入稿スケジュールのお知らせ
</t>
    </r>
    <r>
      <rPr>
        <rFont val="Arial"/>
        <color rgb="FF000000"/>
        <u/>
      </rPr>
      <t>「広告・オプション」部分確認。</t>
    </r>
  </si>
  <si>
    <t>2024年10月14日（月）祝日対応</t>
  </si>
  <si>
    <r>
      <rPr>
        <rFont val="Arial, Helvetica, sans-serif"/>
        <color rgb="FF222222"/>
      </rPr>
      <t xml:space="preserve">金曜12時〆切 → </t>
    </r>
    <r>
      <rPr>
        <rFont val="Arial, Helvetica, sans-serif"/>
        <b/>
        <color rgb="FF222222"/>
      </rPr>
      <t>通常運営</t>
    </r>
    <r>
      <rPr>
        <rFont val="Arial, Helvetica, sans-serif"/>
        <color rgb="FF222222"/>
      </rPr>
      <t>でOK</t>
    </r>
  </si>
  <si>
    <r>
      <rPr>
        <rFont val="Arial, Helvetica, sans-serif"/>
        <color rgb="FF222222"/>
      </rPr>
      <t xml:space="preserve">金曜12時〆切 → </t>
    </r>
    <r>
      <rPr>
        <rFont val="Arial, Helvetica, sans-serif"/>
        <b/>
        <color rgb="FF222222"/>
      </rPr>
      <t>通常運営</t>
    </r>
    <r>
      <rPr>
        <rFont val="Arial, Helvetica, sans-serif"/>
        <color rgb="FF222222"/>
      </rPr>
      <t>でOK</t>
    </r>
  </si>
  <si>
    <t>2024年11月4日（月）祝日対応</t>
  </si>
  <si>
    <r>
      <rPr>
        <rFont val="Arial, Helvetica, sans-serif"/>
        <b/>
        <color rgb="FF222222"/>
      </rPr>
      <t>通常運営</t>
    </r>
    <r>
      <rPr>
        <rFont val="Arial, Helvetica, sans-serif"/>
        <color rgb="FF222222"/>
      </rPr>
      <t>でOK</t>
    </r>
  </si>
  <si>
    <r>
      <rPr>
        <rFont val="Arial, Helvetica, sans-serif"/>
        <color rgb="FF222222"/>
      </rPr>
      <t xml:space="preserve"> </t>
    </r>
    <r>
      <rPr>
        <rFont val="Arial, Helvetica, sans-serif"/>
        <b/>
        <color rgb="FF222222"/>
      </rPr>
      <t>通常運営</t>
    </r>
    <r>
      <rPr>
        <rFont val="Arial, Helvetica, sans-serif"/>
        <color rgb="FF222222"/>
      </rPr>
      <t>でOK</t>
    </r>
  </si>
  <si>
    <t>2024年12月28日から2025年1月6日　年末年始休日対応</t>
  </si>
  <si>
    <t>概要(この欄までコピペお願いします)</t>
  </si>
  <si>
    <t>荒木さんが設定くださっている。</t>
  </si>
  <si>
    <t>連絡必要メルマガ</t>
  </si>
  <si>
    <t>メール作成</t>
  </si>
  <si>
    <t>内容</t>
  </si>
  <si>
    <t>type共通</t>
  </si>
  <si>
    <t>担当</t>
  </si>
  <si>
    <t>対応</t>
  </si>
  <si>
    <t>認識すり合わせ：
求人特集ページから求人抽出して作成するメルマガ。長期休暇対応は不要。</t>
  </si>
  <si>
    <t>お盆期間中の神奈川メルマガについて</t>
  </si>
  <si>
    <t>共通</t>
  </si>
  <si>
    <t>武政</t>
  </si>
  <si>
    <t>2024年12月28日(土)	入稿前倒し依頼
2025年1月4日(土)	配信停止</t>
  </si>
  <si>
    <t>掲載前終了UP</t>
  </si>
  <si>
    <t>【ウキメルマガ】お盆連休期間中の配信について／掲載終了前+UP・救済メルマガ（UP10）</t>
  </si>
  <si>
    <t>ウキのみ</t>
  </si>
  <si>
    <t>本部さん</t>
  </si>
  <si>
    <t>認識すり合わせ：
火・金のサイト更新で求人が入れ替わるため、金曜サイト更新がない場合、水曜配信のAとかぶるため配信停止にする必要がある。その際でも連絡は不要。</t>
  </si>
  <si>
    <t>TP系</t>
  </si>
  <si>
    <t>【ウキメルマガ】お盆連休期間中の配信について／編集部オススメ・TP部メルマガ</t>
  </si>
  <si>
    <t>山田達郎さん、松浦さん、営アシsales-assistant@type.jp
後ほど担当者 要確認！！</t>
  </si>
  <si>
    <t>12月24日（火）入稿前倒し依頼　通常配信</t>
  </si>
  <si>
    <t>typeと協働／（参考）メール件名：【type・ウキメルマガ】お盆期間中の配信について
毎週水曜エントリー〆、エントリーが連休中の場合も配信スキップ。</t>
  </si>
  <si>
    <t>【type・ウキメルマガ】お盆連休期間中の配信について／関西・東海</t>
  </si>
  <si>
    <t>2024年12月30日(月)	入稿前倒し依頼
2025年1月6日(月)	配信停止</t>
  </si>
  <si>
    <t>制作 堤 智美さん
cc：薄井 真理子さん</t>
  </si>
  <si>
    <t>毎週木曜エントリー〆。</t>
  </si>
  <si>
    <t>【type・ウキメルマガ】お盆連休期間中の配信について／推進部</t>
  </si>
  <si>
    <t>2025年1月1日(水)	配信停止(日程都合)</t>
  </si>
  <si>
    <t>ウキポリ[全]</t>
  </si>
  <si>
    <t>営業 斉藤 美香子さん
cc：畑 幸歩さん、森 秀将さん</t>
  </si>
  <si>
    <t>通常配信
連係ミスでエントリー無し⇒配信停止。</t>
  </si>
  <si>
    <t>毎週木曜エントリー〆。
認識の齟齬によりエントリー無し⇒配信停止。次回より通常配信分も合わせてメールに記載する。</t>
  </si>
  <si>
    <t>【ウキメルマガ】お盆連休期間中の配信について／Womantype</t>
  </si>
  <si>
    <t>12/27(金)　通常配信
Womantype　配信停止</t>
  </si>
  <si>
    <t>IT派遣［全］</t>
  </si>
  <si>
    <t>IT派遣　岩間理穂さん　中島さん　Cc：ITH事業部 登録部
後ほど担当者 要確認！！</t>
  </si>
  <si>
    <t>第２，第４日曜配信</t>
  </si>
  <si>
    <t>18時の営業系、18時のエンジニア系、</t>
  </si>
  <si>
    <t>【ウキメルマガ】お盆連休期間中の対応について／SP版ウキポリ・SWAT版ウキポリ</t>
  </si>
  <si>
    <t>12/31(火)、1/1(水)　配信停止
1/2(木)　通常配信　　　1/7(火)～1/9(木)　1/6(月)午前エントリー〆で可能なら配信可。</t>
  </si>
  <si>
    <t>毎週金曜12時エントリー〆。</t>
  </si>
  <si>
    <t>ウキポリ系</t>
  </si>
  <si>
    <t>12/29(日)　通常配信
1/5(日)　配信停止</t>
  </si>
  <si>
    <t>QAチームにエントリーの被りなど確認を共有する際に追記</t>
  </si>
  <si>
    <t>毎週火曜エントリー〆。(2412より運用変更-以前は配信前週金曜〆でした)</t>
  </si>
  <si>
    <t>シンデレラパックにある商品「女の転職ｔｙｐｅ　スマホ版採用応援リンク　第一特集」を受注した企業を配信（求人特集に登録してメルマガ配信）
受注がある限り配信可能。</t>
  </si>
  <si>
    <t>代理店_保母さん</t>
  </si>
  <si>
    <t>認識のすり合わせ：
火・金更新(納品)分が前日(木)には確認でき、それをシステム(BOSS-S？)に代理店課で登録している。
typeと協働</t>
  </si>
  <si>
    <t>typeと協働。木曜にメールで連絡が入る。入稿を前倒すと金曜分が拾えず、その分は次回入稿に入れ込む。
木曜日、代理店課に該当の求人特集を直接更新していただいてる。関西…16243 代理店課特集(関西)</t>
  </si>
  <si>
    <t>typeと協働。木曜にメールで連絡が入る。入稿を前倒すと金曜分が拾えず、その分は次回入稿に入れ込む。
木曜日、代理店課に該当の求人特集を直接更新していただいてる。東海…16223 代理店課特集(東海)</t>
  </si>
  <si>
    <t>スケジュールの定期連絡時にこのシートも確認いただくように案内する。
設定上不都合等ありましたら連絡いただきたく。的な文面で。</t>
  </si>
  <si>
    <r>
      <rPr>
        <rFont val="Arial"/>
        <b/>
        <color rgb="FFFF0000"/>
      </rPr>
      <t>配信停止</t>
    </r>
    <r>
      <rPr>
        <rFont val="Arial"/>
        <b val="0"/>
        <color rgb="FFFF0000"/>
      </rPr>
      <t xml:space="preserve">　※毎年12/31 17時～1/1終日の間、メルマガを停止している</t>
    </r>
  </si>
  <si>
    <r>
      <rPr>
        <rFont val="Arial"/>
        <b/>
        <color rgb="FFFF0000"/>
      </rPr>
      <t>配信停止</t>
    </r>
    <r>
      <rPr>
        <rFont val="Arial"/>
        <b val="0"/>
        <color rgb="FFFF0000"/>
      </rPr>
      <t xml:space="preserve">　※毎年12/31 17時～1/1終日の間、メルマガを停止している</t>
    </r>
  </si>
  <si>
    <r>
      <rPr>
        <rFont val="Arial"/>
        <b/>
        <color rgb="FFFF0000"/>
      </rPr>
      <t>配信停止</t>
    </r>
    <r>
      <rPr>
        <rFont val="Arial"/>
        <b val="0"/>
        <color rgb="FFFF0000"/>
      </rPr>
      <t xml:space="preserve">　※毎年12/31 17時～1/1終日の間、メルマガを停止している</t>
    </r>
  </si>
  <si>
    <r>
      <rPr>
        <rFont val="Arial"/>
        <b/>
        <color rgb="FFFF0000"/>
      </rPr>
      <t>配信停止</t>
    </r>
    <r>
      <rPr>
        <rFont val="Arial"/>
        <b val="0"/>
        <color rgb="FFFF0000"/>
      </rPr>
      <t xml:space="preserve">　※毎年12/31 17時～1/1終日の間、メルマガを停止している</t>
    </r>
  </si>
  <si>
    <t>火曜エントリー〆</t>
  </si>
  <si>
    <t>推進_布施舞奈味さん
担当要確認、中村さんだと思う</t>
  </si>
  <si>
    <r>
      <rPr>
        <rFont val="Arial"/>
        <b/>
        <color rgb="FFFF0000"/>
      </rPr>
      <t>配信停止</t>
    </r>
    <r>
      <rPr>
        <rFont val="Arial"/>
        <b val="0"/>
        <color rgb="FFFF0000"/>
      </rPr>
      <t xml:space="preserve">　※毎年12/31 17時～1/1終日の間、メルマガを停止している</t>
    </r>
  </si>
  <si>
    <t>typeと協働
配信直前の毎週火曜に、推進部が直接BOSS-Sの求人特集に企業を設定しているとの事。</t>
  </si>
  <si>
    <r>
      <rPr>
        <rFont val="Arial"/>
        <b/>
        <color rgb="FFFF0000"/>
      </rPr>
      <t>配信停止</t>
    </r>
    <r>
      <rPr>
        <rFont val="Arial"/>
        <b val="0"/>
        <color rgb="FFFF0000"/>
      </rPr>
      <t xml:space="preserve">　※毎年12/31 17時～1/1終日の間、メルマガを停止している</t>
    </r>
  </si>
  <si>
    <t>12/26(木)前倒し</t>
  </si>
  <si>
    <t>差し込み無しで配信</t>
  </si>
  <si>
    <t>エントリー〆を1/6(月)AMに変更
期限までにエントリー無い場合差し込みなし</t>
  </si>
  <si>
    <t>2025年1月13日（月）　祝日対応</t>
  </si>
  <si>
    <r>
      <rPr>
        <rFont val="Arial, Helvetica, sans-serif"/>
        <b/>
        <color rgb="FF222222"/>
      </rPr>
      <t>通常運営</t>
    </r>
    <r>
      <rPr>
        <rFont val="Arial, Helvetica, sans-serif"/>
        <color rgb="FF222222"/>
      </rPr>
      <t>でOK</t>
    </r>
  </si>
  <si>
    <r>
      <rPr>
        <rFont val="Arial, Helvetica, sans-serif"/>
        <color rgb="FF222222"/>
      </rPr>
      <t xml:space="preserve"> </t>
    </r>
    <r>
      <rPr>
        <rFont val="Arial, Helvetica, sans-serif"/>
        <b/>
        <color rgb="FF222222"/>
      </rPr>
      <t>通常運営</t>
    </r>
    <r>
      <rPr>
        <rFont val="Arial, Helvetica, sans-serif"/>
        <color rgb="FF222222"/>
      </rPr>
      <t>でOK</t>
    </r>
  </si>
  <si>
    <t>2025年2月11日（火）祝日対応</t>
  </si>
  <si>
    <t>入稿〆切を2/10（月）AM中に変更</t>
  </si>
  <si>
    <t>2025/02/12（水）求人抽出に変更</t>
  </si>
  <si>
    <t>2025年2月24日（月）　祝日対応</t>
  </si>
  <si>
    <r>
      <rPr>
        <rFont val="Arial, Helvetica, sans-serif"/>
        <b/>
        <color rgb="FF222222"/>
      </rPr>
      <t>通常運営</t>
    </r>
    <r>
      <rPr>
        <rFont val="Arial, Helvetica, sans-serif"/>
        <color rgb="FF222222"/>
      </rPr>
      <t>でOK</t>
    </r>
  </si>
  <si>
    <r>
      <rPr>
        <rFont val="Arial, Helvetica, sans-serif"/>
        <color rgb="FF222222"/>
      </rPr>
      <t xml:space="preserve"> </t>
    </r>
    <r>
      <rPr>
        <rFont val="Arial, Helvetica, sans-serif"/>
        <b/>
        <color rgb="FF222222"/>
      </rPr>
      <t>通常運営</t>
    </r>
    <r>
      <rPr>
        <rFont val="Arial, Helvetica, sans-serif"/>
        <color rgb="FF222222"/>
      </rPr>
      <t>でOK</t>
    </r>
  </si>
  <si>
    <t>営業 _小林さん</t>
  </si>
  <si>
    <t>2025年3月20日(木)　祝日対応</t>
  </si>
  <si>
    <t>通常配信で問題ない旨平田さんに確認済みです。</t>
  </si>
  <si>
    <t>入稿前倒し：3/19(水)AM中
要連絡</t>
  </si>
  <si>
    <t>エントリー前倒し：3/19(水)中
シート確認して、、、連絡したほうがいいと思う。</t>
  </si>
  <si>
    <t>営業 小林大翼さん
cc：畑 幸歩さん、森秀将さん</t>
  </si>
  <si>
    <t>毎週木曜エントリー〆。
教訓：認識の齟齬によりエントリー無し⇒配信停止。次回より通常配信分も合わせてメールに記載する。</t>
  </si>
  <si>
    <r>
      <rPr>
        <rFont val="Arial, Helvetica, sans-serif"/>
        <strike/>
        <color rgb="FFFF0000"/>
      </rPr>
      <t>24日週，31日週に配信　　【ご相談】3/20配信分ウキメルマガについて</t>
    </r>
    <r>
      <rPr>
        <rFont val="Arial, Helvetica, sans-serif"/>
        <color rgb="FFFF0000"/>
      </rPr>
      <t xml:space="preserve">
通常金曜にメールで入稿っぽいため連絡不要：通常配信</t>
    </r>
  </si>
  <si>
    <t>毎週金曜にメールで入稿される。</t>
  </si>
  <si>
    <t>3/19(水)に入稿を前田推すと金曜更新分が拾えないと思うので、
金曜午前中入稿でいけるかを設定者に確認して、問題なければ連絡。</t>
  </si>
  <si>
    <t>typeと協働。木曜にメールで連絡が入る。入稿を前倒すと金曜分が拾えず、その分は次回入稿に入れ込む。
木曜日、代理店課に該当の求人特集を直接更新していただいてる。東海…16223 代理店課特集(東海)</t>
  </si>
  <si>
    <t>2025年4月29日（火）祝日対応
2025年5月  3日（土）～  5月6日（火）GW対応</t>
  </si>
  <si>
    <t>メルマガPR(商品)差込なしで配信。
スケジュールに「イレギュラー文面で設定」とコメント追加。</t>
  </si>
  <si>
    <t>小林大翼さん(daisuke.kobayashi@type.jp)</t>
  </si>
  <si>
    <t>木曜エントリー〆</t>
  </si>
  <si>
    <t>入稿〆切を4/28(月)AM中に変更。
通常配信</t>
  </si>
  <si>
    <t>小林由佳さん(yuka.kobayashi@type.jp)</t>
  </si>
  <si>
    <t>入稿〆切を4/28(月)AM中に変更※２
対応問題ないかをtypeと確認し、推進へ連絡。</t>
  </si>
  <si>
    <t>神谷さん</t>
  </si>
  <si>
    <t>4/30(水)求人抽出に変更。配信日当日設定。</t>
  </si>
  <si>
    <t>本部から神谷さんに連絡します。</t>
  </si>
  <si>
    <t>4/28(月)エントリー〆に前倒し。
通常配信</t>
  </si>
  <si>
    <t>▼GW後半▼</t>
  </si>
  <si>
    <t>松浦悠真さん(yuma.matsuura@type.jp)
cc：町田有希さん(yuki.machida@type.jp)、営業サポート課(sales-assistant@type.jp)</t>
  </si>
  <si>
    <t>通常配信
(「通常配信」の旨連絡済み。)</t>
  </si>
  <si>
    <t xml:space="preserve">　</t>
  </si>
  <si>
    <t>代理店 保母佳紀さん(y-hobo@type.jp)</t>
  </si>
  <si>
    <t>設定：内田さん、確認：平田さん</t>
  </si>
  <si>
    <t>設定：荒木さん、確認：平田さん</t>
  </si>
  <si>
    <t>除外企業の設定をしてくださっていそう？
更新とは関係なさそうなので通常配信？？</t>
  </si>
  <si>
    <t>5/1(木)AM中に対応いただけるなら配信
※２と併せて連絡。</t>
  </si>
  <si>
    <t>5/7(水)求人抽出に変更。配信日当日設定。
通常配信</t>
  </si>
  <si>
    <t>5/7(水)AM中にエントリー後倒し。
通常配信</t>
  </si>
  <si>
    <t>※本部確認分反映済み (4/18金 更新)。</t>
  </si>
  <si>
    <t>2025年7月21日（月）　祝日対応</t>
  </si>
  <si>
    <t>設定：内田さん、確認：平田さん
通常配信</t>
  </si>
  <si>
    <t>設定：荒木さん、確認：平田さん
通常配信</t>
  </si>
  <si>
    <t xml:space="preserve">斉藤美香子さん(m-saito@type.jp)
cc:森秀将さん(h-mori@type.jp)
</t>
  </si>
  <si>
    <t>2025年8月9日（土）～  8月17日（日）お盆対応</t>
  </si>
  <si>
    <t>本部確認</t>
  </si>
  <si>
    <t>石原確認</t>
  </si>
  <si>
    <t>◇ポジションマッチ</t>
  </si>
  <si>
    <t>配信前日の木曜午前中に入稿される。</t>
  </si>
  <si>
    <t>この認識で合ってる？？：
火・金のサイト更新で求人が入れ替わるため、金曜サイト更新がない場合、水曜配信のAとかぶるため配信停止にする必要がある。その際でも連絡は不要。</t>
  </si>
  <si>
    <t>ウキは通常配信で問題ないです。
typeも通常配信で問題ないか念のため確認ください。</t>
  </si>
  <si>
    <t>制作_堤智美さん
cc：薄井真理子さん</t>
  </si>
  <si>
    <t>通常配信
②：念のため通常配信の旨連絡</t>
  </si>
  <si>
    <t>連絡済
②</t>
  </si>
  <si>
    <t>通常配信
①：念のため通常配信の旨連絡。</t>
  </si>
  <si>
    <t>連絡済
①</t>
  </si>
  <si>
    <t>IT派遣　岩間理穂さん　中島さん
Cc：ITH事業部 登録部（3051@type.jp）</t>
  </si>
  <si>
    <t>配信直前の金曜午前中にメールで入稿される。</t>
  </si>
  <si>
    <t>通常配信
⑤：念のため通常配信の旨連絡</t>
  </si>
  <si>
    <t>連絡済
⑤</t>
  </si>
  <si>
    <t>制作_堤智美さん
Cc：薄井真理子さん</t>
  </si>
  <si>
    <t>金曜12時入稿締め切り</t>
  </si>
  <si>
    <t>商品系ではなさそう。抽出メルマガだし、特に連絡するところはなさそう...。</t>
  </si>
  <si>
    <t>☆エンジニア系</t>
  </si>
  <si>
    <t>前週木曜エントリー〆。</t>
  </si>
  <si>
    <t>火曜更新がないので配信停止</t>
  </si>
  <si>
    <t>この認識で合ってる？？：
火・金のサイト更新で求人が入れ替わるため、火曜サイト更新がない場合、土曜配信のBとかぶるため配信停止にする必要がある。その際でも連絡は不要。</t>
  </si>
  <si>
    <t>☆営業系</t>
  </si>
  <si>
    <t>連絡済
③</t>
  </si>
  <si>
    <t>連絡済
④</t>
  </si>
  <si>
    <t>☆販サ系</t>
  </si>
  <si>
    <t>TW 光谷さん　cc：TW課</t>
  </si>
  <si>
    <t>連絡済
⑥</t>
  </si>
  <si>
    <t>金曜更新がないので配信停止</t>
  </si>
  <si>
    <t>連絡済
⑦</t>
  </si>
  <si>
    <t>連絡済</t>
  </si>
  <si>
    <t>入稿〆切を8/8(金)AM中に変更 or 入稿日変更が難しい場合、配信スキップ</t>
  </si>
  <si>
    <t>連絡済
⑧</t>
  </si>
  <si>
    <t>この認識で合ってる？？：
火・金更新(納品)分が前日(木)には確認でき、それをシステム(BOSS-S？)に代理店課で登録している。
typeと協働</t>
  </si>
  <si>
    <t>通常配信
7/18(月)午前中までにエントリーがない場合差し込みなしで配信</t>
  </si>
  <si>
    <t>※本部確認済み(7/25)</t>
  </si>
  <si>
    <t>2025年9月15日（月）祝日対応</t>
  </si>
  <si>
    <r>
      <rPr>
        <rFont val="Arial"/>
        <color rgb="FF1155CC"/>
        <u/>
      </rPr>
      <t xml:space="preserve">参照：type／女の転職typeのGWを挟む入稿スケジュールのお知らせ
</t>
    </r>
    <r>
      <rPr>
        <rFont val="Arial"/>
        <color rgb="FF000000"/>
        <u/>
      </rPr>
      <t>「広告・オプション」部分確認。</t>
    </r>
  </si>
  <si>
    <t>2025年9月23日（火）祝日対応</t>
  </si>
  <si>
    <t>メルマガPR(商品)差込なしで配信。 
スケジュール表に「メルマガPR(商品)差込なしです。イレギュラー文面で設定お願いします。」とコメントを追加</t>
  </si>
  <si>
    <t>入稿〆切を9/22（月）AM中に変更</t>
  </si>
  <si>
    <t>2025/09/24（水）求人抽出に変更</t>
  </si>
  <si>
    <t>2025年10月13日（月）祝日対応</t>
  </si>
  <si>
    <r>
      <rPr>
        <rFont val="Arial"/>
        <color rgb="FF1155CC"/>
        <u/>
      </rPr>
      <t xml:space="preserve">参照：type／女の転職typeのGWを挟む入稿スケジュールのお知らせ
</t>
    </r>
    <r>
      <rPr>
        <rFont val="Arial"/>
        <color rgb="FF000000"/>
        <u/>
      </rPr>
      <t>「広告・オプション」部分確認。</t>
    </r>
  </si>
  <si>
    <t>2025年11月3日（月）祝日対応</t>
  </si>
  <si>
    <r>
      <rPr>
        <rFont val="Arial"/>
        <color rgb="FF1155CC"/>
        <u/>
      </rPr>
      <t xml:space="preserve">参照：type／女の転職typeのGWを挟む入稿スケジュールのお知らせ
</t>
    </r>
    <r>
      <rPr>
        <rFont val="Arial"/>
        <color rgb="FF000000"/>
        <u/>
      </rPr>
      <t>「広告・オプション」部分確認。</t>
    </r>
  </si>
  <si>
    <t>2025年11月24日（月）祝日対応</t>
  </si>
  <si>
    <r>
      <rPr>
        <rFont val="Arial"/>
        <color rgb="FF1155CC"/>
        <u/>
      </rPr>
      <t xml:space="preserve">参照：type／女の転職typeのGWを挟む入稿スケジュールのお知らせ
</t>
    </r>
    <r>
      <rPr>
        <rFont val="Arial"/>
        <color rgb="FF000000"/>
        <u/>
      </rPr>
      <t>「広告・オプション」部分確認。</t>
    </r>
  </si>
  <si>
    <t>2025年12月27日（土）～  1月4日（日）年末年始対応</t>
  </si>
  <si>
    <t>WT 光谷さん　Cc：WT（woman-type@type.jp）</t>
  </si>
  <si>
    <t>ウキは通常配信で問題ない。typeもそれで問題ないか確認。前回は火曜入稿前倒しで対応。⑦：type確認後連絡検討</t>
  </si>
  <si>
    <t>連絡済み
⑦</t>
  </si>
  <si>
    <t>連絡済み
②</t>
  </si>
  <si>
    <t xml:space="preserve">村上瑞恵さん(m-murakami@type.jp)
cc:森秀将さん(h-mori@type.jp)
</t>
  </si>
  <si>
    <t>連絡済み
①</t>
  </si>
  <si>
    <t>IT派遣　中島ほのかさん（honoka.nakajima@type.jp）
Cc：ITH事業部 登録部（3051@type.jp）</t>
  </si>
  <si>
    <t>通常配信
⑨：念のため通常配信の旨連絡</t>
  </si>
  <si>
    <t>要連絡
⑨</t>
  </si>
  <si>
    <t>要連絡
⑤</t>
  </si>
  <si>
    <t>通常配信
12/25木と同じ求人差し込み(12/23火 入稿〆)なので連絡も不要かと。</t>
  </si>
  <si>
    <t>ウキは通常配信で問題ない。typeもそれで問題ないか確認。前回は火曜入稿前倒しで対応。⑧：typeと調整後連絡検討</t>
  </si>
  <si>
    <t>連絡済み
⑧</t>
  </si>
  <si>
    <t>差し込みなしで配信
要連絡：①</t>
  </si>
  <si>
    <t>配信停止
要連絡：②</t>
  </si>
  <si>
    <t>ウキフェア</t>
  </si>
  <si>
    <t>配信日変更⇒12/29(月) 15時</t>
  </si>
  <si>
    <t>本部独断で変更検討中。
石原くん確認OKならこちらで進めようと思います。</t>
  </si>
  <si>
    <t>配信停止　※毎年12/31 17時～1/1終日の間、メルマガを停止している
要連絡：③</t>
  </si>
  <si>
    <t>連絡済み
③</t>
  </si>
  <si>
    <t>配信停止　※毎年12/31 17時～1/1終日の間、メルマガを停止している
要連絡：①</t>
  </si>
  <si>
    <t>12/29(月) 11時 6.9万通 で配信。12/26(金)抽出依頼済み。
コメントで「掲載期間を必ず確認」と記載。</t>
  </si>
  <si>
    <t>連絡済み
④</t>
  </si>
  <si>
    <t>配信停止　※毎年12/31 17時～1/1終日の間、メルマガを停止している
要連絡：⑤</t>
  </si>
  <si>
    <t>配信停止
要連絡：⑥</t>
  </si>
  <si>
    <t>要連絡
⑥</t>
  </si>
  <si>
    <t>配信停止
要連絡：⑦</t>
  </si>
  <si>
    <t>配信停止
要連絡：①</t>
  </si>
  <si>
    <t>配信停止
要連絡：⑨</t>
  </si>
  <si>
    <t>配信停止
要連絡：⑤</t>
  </si>
  <si>
    <t>配信停止
要連絡：⑧</t>
  </si>
  <si>
    <t>エントリー前倒し可能か確認。1/5(月)午前中エントリーで差し込み可能、無ければ差し込みなしで配信。</t>
  </si>
  <si>
    <t>本部確認済み_25/12/05</t>
  </si>
  <si>
    <t>2026年1月12日（月）祝日対応</t>
  </si>
  <si>
    <r>
      <rPr>
        <rFont val="Arial"/>
        <color rgb="FF1155CC"/>
        <u/>
      </rPr>
      <t xml:space="preserve">参照：type／女の転職typeのGWを挟む入稿スケジュールのお知らせ
</t>
    </r>
    <r>
      <rPr>
        <rFont val="Arial"/>
        <color rgb="FF000000"/>
        <u/>
      </rPr>
      <t>「広告・オプション」部分確認。</t>
    </r>
  </si>
  <si>
    <t>2026年2月11日（水）祝日対応</t>
  </si>
  <si>
    <t>火・金午前中のサイト更新で内容が更新される。サイト更新があれば配信可能。
通常配信</t>
  </si>
  <si>
    <t>配信直前の毎週火曜に、推進部が直接BOSS-Sの求人特集に企業を設定している。
通常配信</t>
  </si>
  <si>
    <t>前週木曜エントリー〆。
通常配信</t>
  </si>
  <si>
    <t>火曜日設定
通常配信</t>
  </si>
  <si>
    <t>毎週火曜エントリー〆。
通常配信</t>
  </si>
  <si>
    <t>配信当日AMに設定するので通常配信</t>
  </si>
  <si>
    <t>配信前日の木曜午前中に入稿される。
通常配信</t>
  </si>
  <si>
    <t>2026年2月23日（月）祝日対応</t>
  </si>
  <si>
    <r>
      <rPr>
        <rFont val="Arial"/>
        <color rgb="FF1155CC"/>
        <u/>
      </rPr>
      <t xml:space="preserve">参照：type／女の転職typeのGWを挟む入稿スケジュールのお知らせ
</t>
    </r>
    <r>
      <rPr>
        <rFont val="Arial"/>
        <color rgb="FF000000"/>
        <u/>
      </rPr>
      <t>「広告・オプション」部分確認。</t>
    </r>
  </si>
  <si>
    <t>2026年3月20日（月）祝日対応</t>
  </si>
  <si>
    <t>小林大翼さん &lt;daisuke.kobayashi@type.jp&gt;、営アシeh_eiashi@type.jp</t>
  </si>
  <si>
    <r>
      <rPr>
        <rFont val="Arial, Helvetica, sans-serif"/>
        <color theme="1"/>
      </rPr>
      <t xml:space="preserve">2/21（水）エントリー締切なので配信可
通常配信
</t>
    </r>
    <r>
      <rPr>
        <rFont val="Arial, Helvetica, sans-serif"/>
        <color rgb="FFFF0000"/>
      </rPr>
      <t>→差し込みなしで配信。</t>
    </r>
  </si>
  <si>
    <t>エントリー〆3/18(水)中に変更で配信。</t>
  </si>
  <si>
    <t>要</t>
  </si>
  <si>
    <t>本部連絡完了。</t>
  </si>
  <si>
    <t>エントリー期間3/18(水)中に変更して配信。</t>
  </si>
  <si>
    <t>入稿3/19(木)AM中に変更して配信。</t>
  </si>
  <si>
    <t>入稿3/19(木)AM中に変更可能か連絡</t>
  </si>
  <si>
    <t>本部連絡済み-返信待ち</t>
  </si>
  <si>
    <t>通常配信(3/17〆)</t>
  </si>
  <si>
    <r>
      <rPr>
        <rFont val="Arial, Helvetica, sans-serif"/>
        <color rgb="FFFF0000"/>
        <sz val="10.0"/>
      </rPr>
      <t xml:space="preserve">3/18(水)中に求人特集紐づけが可能であれば配信、そうでなければ配信停止
</t>
    </r>
    <r>
      <rPr>
        <rFont val="Arial, Helvetica, sans-serif"/>
        <color theme="1"/>
        <sz val="10.0"/>
      </rPr>
      <t>ウキは通常配信で問題ない。typeもそれで問題ないか確認。前回は火曜入稿前倒しで対応。⑧：typeと調整後連絡検討</t>
    </r>
  </si>
  <si>
    <t>連絡完了</t>
  </si>
  <si>
    <r>
      <rPr>
        <rFont val="Arial, Helvetica, sans-serif"/>
        <color rgb="FFFF0000"/>
        <sz val="10.0"/>
      </rPr>
      <t xml:space="preserve">3/18(水)中に求人特集紐づけが可能であれば配信、そうでなければ配信停止
</t>
    </r>
    <r>
      <rPr>
        <rFont val="Arial, Helvetica, sans-serif"/>
        <color theme="1"/>
        <sz val="10.0"/>
      </rPr>
      <t>ウキは通常配信で問題ない。typeもそれで問題ないか確認。前回は火曜入稿前倒しで対応。⑧：typeと調整後連絡検討</t>
    </r>
  </si>
  <si>
    <t>2026年4月29日（水）祝日対応</t>
  </si>
  <si>
    <t>毎週火曜エントリー〆を4/27月に前倒しで配信可能：⑤</t>
  </si>
  <si>
    <t>前回は火曜入稿前倒しで対応。4/28火入稿前倒しで
問題ないかtype確認。決定内容で連絡：⑦</t>
  </si>
  <si>
    <t>要連絡
⑦</t>
  </si>
  <si>
    <t>要連絡
②</t>
  </si>
  <si>
    <t>要連絡
①</t>
  </si>
  <si>
    <t>毎週火曜エントリー〆を4/27月に前倒しで配信可能：⑤
4/30木と同じ求人差し込み。</t>
  </si>
  <si>
    <t>配信停止条件：</t>
  </si>
  <si>
    <t>検証メルマガレギュレーション</t>
  </si>
  <si>
    <t>NO.</t>
  </si>
  <si>
    <t>件名</t>
  </si>
  <si>
    <t>本文</t>
  </si>
  <si>
    <t>配信対象</t>
  </si>
  <si>
    <t>求人抽出条件</t>
  </si>
  <si>
    <r>
      <rPr>
        <rFont val="Noto Sans JP"/>
        <b/>
        <color theme="1"/>
      </rPr>
      <t xml:space="preserve">配信日
</t>
    </r>
    <r>
      <rPr>
        <rFont val="Noto Sans JP"/>
        <b/>
        <color theme="1"/>
        <sz val="7.0"/>
      </rPr>
      <t>配信最終日</t>
    </r>
  </si>
  <si>
    <t>配信曜日</t>
  </si>
  <si>
    <t>配信時間</t>
  </si>
  <si>
    <r>
      <rPr>
        <rFont val="Noto Sans JP"/>
        <b/>
        <color theme="1"/>
      </rPr>
      <t xml:space="preserve">配信数
</t>
    </r>
    <r>
      <rPr>
        <rFont val="Noto Sans JP"/>
        <b/>
        <color theme="1"/>
        <sz val="7.0"/>
      </rPr>
      <t>3回合計</t>
    </r>
  </si>
  <si>
    <r>
      <rPr>
        <rFont val="Noto Sans JP"/>
        <b/>
        <color theme="1"/>
      </rPr>
      <t xml:space="preserve">クリック数 
</t>
    </r>
    <r>
      <rPr>
        <rFont val="Noto Sans JP"/>
        <b/>
        <color theme="1"/>
        <sz val="7.0"/>
      </rPr>
      <t>3回合計</t>
    </r>
  </si>
  <si>
    <r>
      <rPr>
        <rFont val="Noto Sans JP"/>
        <b/>
        <color theme="1"/>
      </rPr>
      <t xml:space="preserve">応募数 
</t>
    </r>
    <r>
      <rPr>
        <rFont val="Noto Sans JP"/>
        <b/>
        <color theme="1"/>
        <sz val="7.0"/>
      </rPr>
      <t>3回合計</t>
    </r>
  </si>
  <si>
    <r>
      <rPr>
        <rFont val="Noto Sans JP"/>
        <b/>
        <color theme="1"/>
      </rPr>
      <t xml:space="preserve">CTR
</t>
    </r>
    <r>
      <rPr>
        <rFont val="Noto Sans JP"/>
        <b/>
        <color theme="1"/>
        <sz val="7.0"/>
      </rPr>
      <t>3回平均</t>
    </r>
  </si>
  <si>
    <r>
      <rPr>
        <rFont val="Noto Sans JP"/>
        <b/>
        <color theme="1"/>
      </rPr>
      <t xml:space="preserve">CVR
</t>
    </r>
    <r>
      <rPr>
        <rFont val="Noto Sans JP"/>
        <b/>
        <color theme="1"/>
        <sz val="7.0"/>
      </rPr>
      <t>3回平均</t>
    </r>
  </si>
  <si>
    <r>
      <rPr>
        <rFont val="Noto Sans JP"/>
        <b/>
        <color theme="1"/>
      </rPr>
      <t xml:space="preserve">配信CVR
</t>
    </r>
    <r>
      <rPr>
        <rFont val="Noto Sans JP"/>
        <b/>
        <color theme="1"/>
        <sz val="7.0"/>
      </rPr>
      <t>3回平均</t>
    </r>
  </si>
  <si>
    <t>配信停止理由</t>
  </si>
  <si>
    <t>担当者</t>
  </si>
  <si>
    <t>施策シート</t>
  </si>
  <si>
    <t>大手上場 A</t>
  </si>
  <si>
    <t>【未経験でも応募可能！】大手･上場企業の人気求人ランキング - 女の転職type</t>
  </si>
  <si>
    <t>こんにちは、女の転職type編集部です。
本日は、編集部が厳選した“未経験OK”の大手・上場企業の求人をお届けします！
大手ならではの充実の福利厚生で安定してお仕事が可能です★
気になる求人はぜひチェックしてくださいね。
☆…━…‥…━…‥…━…‥…━…‥…━…
大手･上場企業の人気求人ランキング
…━…‥……━…‥…━…‥…━…‥…━…☆
☆■RANK■位☆
■COM_NAME■ 
■OFF_NAME■
-----------------------------------
[勤務地]■OFF_PLACE■
[給与]■OFF_SALARY■
[勤務時間]■OFF_OF_HOUR■
■OFF_URL■?utm_source=adm&amp;utm_medium=email&amp;utm_campaign=uki_adm_184&amp;routeway=85</t>
  </si>
  <si>
    <t>年齢：0～ 34 歳
希望勤務地：埼玉県 、千葉県 、東京都 、神奈川県
最新レジュメ更新日から180日以内</t>
  </si>
  <si>
    <t>PRコード：
職種未経験OK 、大手・上場企業 、福利厚生が充実
勤務地コード：首都圏</t>
  </si>
  <si>
    <t>20時</t>
  </si>
  <si>
    <t>CVRが配信CVR約0.02%台であったため、ブラッシュアップ
配信数を増加し、対象者の年齢の範囲を広げ人数を増やしたが応募数は増加せず。
未経験の大手上場のため、企業名で引きのある求人があまり抽出されないことで、
クリックにつながらないことが考えられる。</t>
  </si>
  <si>
    <t>［武政］短期施策</t>
  </si>
  <si>
    <t>BtoCからBtoB営業へ</t>
  </si>
  <si>
    <t>法人営業へ転身！個人営業の経験を活かせる求人特集 - 女の転職type</t>
  </si>
  <si>
    <t>こんにちは、女の転職type編集部です！
個人営業（BtoC）でご活躍されてきたあなたへ。
その豊富な経験とスキルで、新たな可能性を切り拓いてみませんか？
そんな経験が活かせる法人営業（BtoB）の求人を厳選してご紹介します！
土日祝休みや勤務時間が安定しやすいなど、働きやすさもBtoB営業の魅力の1つです！
どの求人も応募定員に達すると掲載が終わってしまうので、
気になる求人はぜひ早めにチェックしてくださいね♪
━☆━━━━━━━━━━━━━━━
土日祝休み・月残業20時間以内のBtoB求人
━━━━━━━━━━━━━━━☆━
≪■COM_NAME■≫
◎■OFF_NAME■
----------------------------------
■OFF_CATCHCOPY■
給与：■OFF_SALARY■
勤務地：■OFF_PLACE■
?utm_source=adm&amp;utm_medium=email&amp;utm_campaign=uki_adm_438&amp;routeway=85</t>
  </si>
  <si>
    <t>・経験業種：営業・企画・マーケティング系　個人営業（BtoC）
・最終ログインから120日以内　3000通(2094人) 
・希望勤務地：一都三県（未登録含む）</t>
  </si>
  <si>
    <t>・職種コード：法人営業（BtoB）
・PRコード：職種未経験OK、土日祝休み、残業月20時間以内（AND検索）
・勤務地：一都三県
・1社あたりの上限職種数：1
・抽出上限社数 ：30</t>
  </si>
  <si>
    <t>17時</t>
  </si>
  <si>
    <t>現在BtoCの仕事をしている人に向けたメルマガがなかった為、新規で作成
そもそも母数が少ないのと、BtoBを希望する人があまりいなかったと考えられる。
また配信を重ねるごとにCTRが減っていったためあまり求人が変わっていなかったことも考えられる。</t>
  </si>
  <si>
    <t>石原</t>
  </si>
  <si>
    <t>短期施策シート【石原】</t>
  </si>
  <si>
    <t>定着率の高い企業</t>
  </si>
  <si>
    <t>30代女性にオススメしたい定着率が高い企業特集 - 女の転職type</t>
  </si>
  <si>
    <t>こんにちは、女の転職type編集部です！
「会社・仕事内容が合わず退職を考えているけれど、次の選択肢が見つからない...」
「転職したい気持ちはあるけど、失敗したらどうしよう…」
「安定した職場に行きたい...」
今回はそんな方に向けて、定着率が高く、働きやすい環境のある企業をまとめてご紹介します！
どの求人も応募定員に達すると掲載が終わってしまうので、
気になる求人はぜひ早めにチェックしてくださいね♪
━☆━━━━━━━━━━━━━━━
30代にオススメの定着率の高い企業特集
━━━━━━━━━━━━━━━☆━
≪■COM_NAME■≫
◎■OFF_NAME■
----------------------------------
■OFF_CATCHCOPY■
給与：■OFF_SALARY■
勤務地：■OFF_PLACE■
?utm_source=adm&amp;utm_medium=email&amp;utm_campaign=uki_adm_447&amp;routeway=85</t>
  </si>
  <si>
    <t>・年齢：30歳を含む～39歳を含む
・希望勤務地：一都三県（未登録含む）
・最終ログインから60日以内 10000通(9874通)</t>
  </si>
  <si>
    <t xml:space="preserve">・フリーワード：定着率
・勤務地：一都三県
・1社あたりの上限職種数：1
・抽出上限社数 ：50
</t>
  </si>
  <si>
    <t>20代訴求の時と同じようにあまり伸びなかった
「定着率」というワードはあまり響かないか</t>
  </si>
  <si>
    <t>外資系企業_ランキング</t>
  </si>
  <si>
    <t>好待遇＆柔軟な働き方！外資系企業の人気求人ランキング - 女の転職type</t>
  </si>
  <si>
    <t>こんにちは、女の転職type編集部です。
本日は「外資系企業」に限定した人気求人ランキングをご紹介します！
外資系企業はフレックスタイムや福利厚生が充実している企業が多く、
好待遇で柔軟な働き方を叶えたい方にはオススメです。
どの求人も応募定員に達すると掲載が終わってしまうので、
気になる求人はぜひ早めにチェックしてくださいね♪
━━━━━━━━━━━━━━━━━
「外資系企業」限定人気求人ランキング
━━━━━━━━━━━━━━━━━
☆■RANK■位☆
■COM_NAME■
≫■OFF_NAME■
----------------------------------
給与：■OFF_SALARY■
勤務地：■OFF_PLACE■
■OFF_URL■?utm_source=adm&amp;utm_medium=email&amp;utm_campaign=uki_adm_445&amp;routeway=85</t>
  </si>
  <si>
    <t>・希望勤務地：一都三県（未登録含む）
・会員ステータス：直近30日以内にログインあり
→24,000通（23,431人）</t>
  </si>
  <si>
    <t>PRコード：外資系企業
勤務地コード：一都三県
ランキング種別：応募数順
求人の並び順：降順(多い→少ない)
表示形式：(抽出上限まで)該当する全ての職種
1社あたりの上限職種数：1
抽出上限社数：30</t>
  </si>
  <si>
    <t>ブラッシュアップの基準には満たないが、既存の数字も揺れが大きいので比較する月によっては超えているので悩ましいが、ランキングのためそこまで上位のラインナップが代わり映えしなかった可能性あり。既存の内容に戻して数字見てみる</t>
  </si>
  <si>
    <t>福島</t>
  </si>
  <si>
    <t>短期施策シート【福島】</t>
  </si>
  <si>
    <t>ランキング_介護・医療・福祉系</t>
  </si>
  <si>
    <t>未経験OK！プライベート充実の好条件求人が多数！介護・医療・福祉系の人気求人ランキング - 女の転職type</t>
  </si>
  <si>
    <t>こんばんは、女の転職type編集部です。
本日は未経験から始められる「介護・医療・福祉系」の人気求人をランキングでご紹介します！
プライベートを充実できる「休日120日以上」「残業少なめ」の好条件求人のみを厳選しています。
気になる求人はぜひチェックしてくださいね。
━☆━━━━━━━━━━━━━━━━━━━━━━━━
【未経験OK】介護・医療・福祉系の求人ランキング
━━━━━━━━━━━━━━━━━━━━━━━━☆━
☆■RANK■位☆
■OFF_NAME■
（■COM_NAME■）
-----------------------------------
■OFF_CATCHCOPY■
［勤務地］■OFF_PLACE■
［給与］■OFF_SALARY■
■OFF_URL■?utm_source=adm&amp;utm_medium=email&amp;utm_campaign=uki_adm_468&amp;routeway=85</t>
  </si>
  <si>
    <t>希望職種：介護・医療・福祉系        
最終ログイン日からの経過日数90日以内
→8,000通（7,312人）</t>
  </si>
  <si>
    <t>職種コード：介護・医療・福祉系
PRコード：職種未経験OK 、月残業20時間以内 、休日120日以上
ランキング種別：応募数順
求人の並び順：降順(多い→少ない)
表示形式：(抽出上限まで)該当する全ての職種
1社あたりの上限職種数：1
抽出上限社数：30</t>
  </si>
  <si>
    <t>3週の結果、0応募と厳しい着地となった。初回こそCTRが1.0％超えていたが、徐々に下がってしまった。
3週目に給与訴求に切り替えたが対象者減もあり、数字は上がらなかった。
元々介護・医療・福祉系のユーザーへのメルマガはほぼなく、目新しさで1週目はクリックされたが、求人が期待していた内容と異なり、
徐々に反応が悪くなったと言えそう。プライベート充実や給与といった訴求要因というよりも、職種ごとの専門性や内容に幅がある職種分類のため、そもそも一括りで訴求したときにランキング形式だと希望している職種に出会えない可能性があるのかもしれない</t>
  </si>
  <si>
    <t>ウキ初掲載求人</t>
  </si>
  <si>
    <t>★リモートワークOK&amp;フレックスのカスタマーサポートなど★女の転職type初掲載の優良求人！ - 女の転職type</t>
  </si>
  <si>
    <t xml:space="preserve">こんばんは、女の転職type編集部です！
今回は、今週から女の転職typeに初めて掲載する優良求人をピックアップしました！
普段の求人検索では出会えない新たなお仕事が発見できるかも★
気になる求人はぜひ早めにチェックしてくださいね♪
━☆━━━━━━━━━━━━━━━
★編集部厳選！女の転職type初掲載の優良求人
━━━━━━━━━━━━━━━☆━
▼ユーレカ株式会社
----------------------------------
◎カスタマーサポート/未経験OK/土日祝休/残業ほぼ0/フレックス/リモート有
黙々作業の事務じゃないから 接客販売スタッフからの キャリアチェンジにもピッタリ！
給与：◆月給：25万円～28万円 ※残業代は別途全額支給 ※試用期間は3ヶ月。．．．
勤務地：＼月3～4回のリモート活用も◎駅チカで通勤に便利！／ 東京都豊島区北大塚．．．
https://woman-type.jp/job-offer/743605/?utm_source=adm&amp;utm_medium=email&amp;utm_campaign=uki_adm_467&amp;routeway=85
▼シンエイホーム株式会社
----------------------------------
◎一般事務*未経験大歓迎*残業ほぼなし*マイカー通勤OK*完全週休2日制
【毎日定時で帰れる◎】 住み慣れた札幌の安定企業で 未経験から事務デビューを叶えませんか？
給与：◆時給1,300円 ※試用期間3ヵ月あり。期間中の給与・待遇の差異はあり．．．
勤務地：★マイカー通勤OK ★転勤なし  【清田営業所（統括本部）】 北海道札幌．．．
https://woman-type.jp/job-offer/743597/?utm_source=adm&amp;utm_medium=email&amp;utm_campaign=uki_adm_467&amp;routeway=85
▼社会福祉法人東益津福祉会
----------------------------------
◎採用・広報で組織づくりに貢献！“人をつなぐ”仕事ができる事務職
想いを届ける採用広報 あなたの経験が、高麓と未来の仲間をつなぐ力になる
給与：月給200,000円～300,000円（学歴、経験によって変動有り）
勤務地：静岡県焼津市坂本３８５−１
https://woman-type.jp/job-offer/743277/?utm_source=adm&amp;utm_medium=email&amp;utm_campaign=uki_adm_467&amp;routeway=85
▼株式会社みちのりトラベルジャパン
----------------------------------
◎営業サポート*年休120日*完全週休2日制*子育てママ活躍中*基本定時退社*
｡ﾟ+.日本の魅力を世界へ届ける営業サポート+.ﾟ ＼有休時間単位で取得OK＆定時退社でプライベート充実／
給与：月給235,000円〜月給312,500円  ※前職給与を最大限考慮しま．．．
勤務地：◆転勤なし／駅チカ勤務地「日比谷駅」徒歩3分◆  【本社】 東京都千代田．．．
https://woman-type.jp/job-offer/743471/?utm_source=adm&amp;utm_medium=email&amp;utm_campaign=uki_adm_467&amp;routeway=85
▼株式会社ＵＲコミュニティ
----------------------------------
◎総務経理＊未経験・ブランクOK＊賞与年2回＊定時17時40分＊奈良市
≪【URであ～る♪】のCMでおなじみ！≫ UR都市機構のグループ会社で長く活躍しませんか？
給与：月給：190,000 円   ■本給…190,000円  ■勤務評価手当．．．
勤務地：☆近鉄京都線「高の原」駅徒歩4分☆  【奈良住まいセンター】 奈良県奈良．．．
https://woman-type.jp/job-offer/743580/?utm_source=adm&amp;utm_medium=email&amp;utm_campaign=uki_adm_467&amp;routeway=85
▼ネスコ株式会社
----------------------------------
◎ジムインストラクター*未経験歓迎*ジム利用可*年末や夏季など長期休暇あり
＼全くの未経験からでもOK！／ 運動が好きを仕事にしませんか？
給与：月給22万9999円～25万9999円(経験により)＋賞与年2回(業績に．．．
勤務地：＜JR吉祥寺駅徒歩5分★リボーンマイセルフ 吉祥寺店＞ 東京都武蔵野市吉．．．
https://woman-type.jp/job-offer/743591/?utm_source=adm&amp;utm_medium=email&amp;utm_campaign=uki_adm_467&amp;routeway=85
▼株式会社ＪＶＣケンウッド・ビデオテック《東証プライム上場グループ》
----------------------------------
◎経理*正社員登用前提*実務未経験OK*服装自由*フレックス制*上場グループ
≪あなたの"好き"の近くで働ける職場≫ 話題のアーティストを支える経理のお仕事です◎
給与：◎月給23万円～＋賞与年2回（昨年実績4ヶ月分）＋交通費全額支給  ※経．．．
勤務地：＜国立競技場前でアクセス抜群！＞  東京都渋谷区神宮前2-13-19  ．．．
https://woman-type.jp/job-offer/743582/?utm_source=adm&amp;utm_medium=email&amp;utm_campaign=uki_adm_467&amp;routeway=85
▼株式会社三実通商
----------------------------------
◎事務スタッフ*未経験OK*年休127日*残業月10ｈ以下*転勤なし
仕事もプライベートもどちらも大事にしたい！ 未経験から働きやすさ抜群の事務ライフを手に入れませんか？
給与：月給23万円～28万円  ※あなたのスキル・能力を考慮して決定いたします
勤務地：★転勤なし！ ★駅チカの好立地  【本社】 東京都千代田区神田岩本町4　．．．
https://woman-type.jp/job-offer/743337/?utm_source=adm&amp;utm_medium=email&amp;utm_campaign=uki_adm_467&amp;routeway=85
━☆━━━━━━━━━━━━━━━
★今週から掲載の新着求人
━━━━━━━━━━━━━━━☆━
▼株式会社神戸製鋼所
----------------------------------
◎新規事業企画・推進（事業開発部／東京・兵庫）（H405）
『Team KOBELCO』として 未来に挑戦できる事業体を創り上げます。
給与：■想定年収：570万円～1,100万円（月例給＋賞与＋諸手当） ※残業手．．．
勤務地：■東京本社/東京都品川区北品川5-9-12　ONビル ■神戸本社/兵庫県．．．
https://woman-type.jp/job-offer/708198/?utm_source=adm&amp;utm_medium=email&amp;utm_campaign=uki_adm_467&amp;routeway=85
▼株式会社リベルテ
----------------------------------
◎フラワーコーディネーター(店長候補)*月8日休*服装自由*オープニング店舗有
お花本来が持つ美しさで、大切な思い出の1ページ、日々の暮らしを美しく彩ってください。
給与：【正社員】 月給24万円～+賞与年2回  ※研修期間6ヶ月あり。 その間．．．
勤務地：複数店舗で募集中！先輩からのサポートが受けられる店舗に配属♪  ＜ブライ．．．
https://woman-type.jp/job-offer/595114/?utm_source=adm&amp;utm_medium=email&amp;utm_campaign=uki_adm_467&amp;routeway=85
▼株式会社ヴィンテージカーズ
----------------------------------
◎事務スタッフ(簡単な経理含む)*残業少なめ*土日祝休み*30～40代活躍中
麻布十番駅から徒歩5分でアクセス良好♪ プライベート時間も充実！onとoffをしっかり切り替えて働けます！
給与：月給27万円以上 ※賞与年2回あり  ◆試用期間3ヶ月あり 　待遇・福利．．．
勤務地：東京都港区元麻布1-1-11
https://woman-type.jp/job-offer/744135/?utm_source=adm&amp;utm_medium=email&amp;utm_campaign=uki_adm_467&amp;routeway=85
▼株式会社タミヤホーム　東京事務所
----------------------------------
◎事務/月給25万円～/完全週休2日/残業月10h以内/未経験・第二新卒歓迎
変化を楽しむあなたに。"成長フェーズ"の"安定企業"で、 仕事も自分の時間も大切にした働き方を叶えよう◎
給与：◆月給25万円～43万円 ※前職の経験を考慮のうえ決定します ※月給には．．．
勤務地：＊最寄り駅「永田町」より徒歩3分 ＊駅チカ勤務で通勤をラクに♪  《東京．．．
https://woman-type.jp/job-offer/738757/?utm_source=adm&amp;utm_medium=email&amp;utm_campaign=uki_adm_467&amp;routeway=85
▼一般社団法人常仁会グループ
----------------------------------
◎経理事務★未経験OK*土日祝休*平均勤続年数10年以上*実働7h*育休復帰100％
全国展開する病院グループで事務デビュー！ 未経験でも、1～2年かけてじっくり育てます◎
給与：■月給21万1000円～25万8500円＋賞与年2回（昨年度実績4.27．．．
勤務地：★「永田町駅」「麹町駅」徒歩5分の駅チカ！ ★昨年移転したばかりのキレイ．．．
https://woman-type.jp/job-offer/738806/?utm_source=adm&amp;utm_medium=email&amp;utm_campaign=uki_adm_467&amp;routeway=85
▼サントリーパブリシティサービス株式会社　施設運営部【サントリーグループ】
----------------------------------
◎施設ガイド未経験OK*土日祝休み*17時台退社可*大阪駅直結*オープニング
【グラングリーン大阪で働く｜オープニング募集】 大手グループならではの働きやすさも魅力です♪
給与：月給23万8,000円＋賞与年2回＋各種手当  ※試用期間3ヶ月あり（期．．．
勤務地：★「大阪駅」「梅田駅」直結・グラングリーン大阪勤務★転勤なし  住所／大．．．
https://woman-type.jp/job-offer/744262/?utm_source=adm&amp;utm_medium=email&amp;utm_campaign=uki_adm_467&amp;routeway=85
▼株式会社生活の木
----------------------------------
◎アロマ・ハーブ専門店の店長/賞与実績最大6ヶ月分/残業月5h以内/完休2日制
働きやすさも大切にできる環境で アイデアを活かして、店舗づくりを手掛けませんか？
給与：月給23万6100円～＋各種手当（店長・家族手当など）＋賞与年2回+業績．．．
勤務地：＊下記店舗にて勤務となります ＊配属先は希望を最大限考慮いたします  ■．．．
https://woman-type.jp/job-offer/739479/?utm_source=adm&amp;utm_medium=email&amp;utm_campaign=uki_adm_467&amp;routeway=85
▼株式会社ＮＥＵＧＡＴＥ（ノイゲート）
----------------------------------
◎採用アシスタント*未経験OK*定時17時半*髪色/服装/ネイル自由
応募資格は【人がスキ】なこと！ あなたの愛嬌を活かして、採用をサポートしてくれませんか？
給与：★賞与年2回支給あり（過去支給実績：基本給の2ヶ月分） ★経験やスキルに．．．
勤務地：★赤坂駅から徒歩スグ  【本社】東京都港区赤坂6-3-12 リバービル赤．．．
https://woman-type.jp/job-offer/739388/?utm_source=adm&amp;utm_medium=email&amp;utm_campaign=uki_adm_467&amp;routeway=85
▼株式会社ジールコミュニケーションズ
----------------------------------
◎キャリアカウンセラー【HR事業部】/代表は元Jリーガー/未経験歓迎
時代にマッチした2つの事業を展開----。 ニーズは確実に拡大しています。
給与：【年収】282万円～420万円 【月給】24万円～+各種手当 ※経験・ス．．．
勤務地：東京都渋谷区東2-16-10　ヤナセ渋谷ビル4・5F  大阪府大阪市西区．．．
https://woman-type.jp/job-offer/571239/?utm_source=adm&amp;utm_medium=email&amp;utm_campaign=uki_adm_467&amp;routeway=85
▼三井不動産ビルマネジメント株式会社 ビジネスソリューション事業推進本部
----------------------------------
◎シェアオフィス受付◇月収27万円以上◇都心人気2拠点から選べる◇土日祝休
オフィスワークデビュー応援します♪ 安定基盤×自由度高く働ける環境で、 受付のお仕事にチャレンジ！
給与：【想定月給】278,800円～ ＊昇給制度あり ＊残業代別途全額支給 ＊．．．
勤務地：■ワークスタイリング汐留シティセンター 東京都港区東新橋1-5-2  ■．．．
https://woman-type.jp/job-offer/732648/?utm_source=adm&amp;utm_medium=email&amp;utm_campaign=uki_adm_467&amp;routeway=85
▼ダイト空調工業株式会社
----------------------------------
◎IT企画・推進*年休127日*残業5h未満/月平均*未経験歓迎！手厚い研修あり
＼データ分析からシステム導入、デザインまで経験可能／ 成長も、プライベートの充実も、ココで欲張る！
給与：◇月給28万円～35万円＋賞与2回＋決算賞与（8年連続支給） ◇資格手当．．．
勤務地：◇横浜オフィス勤務 ◇転勤なし ◇ゆくゆくはリモートも…！  ■横浜オフ．．．
https://woman-type.jp/job-offer/735101/?utm_source=adm&amp;utm_medium=email&amp;utm_campaign=uki_adm_467&amp;routeway=85
▼日証貿株式会社
----------------------------------
◎貿易事務*未経験大歓迎*産育休取得実績多数*月収27.5万も可*残業少なめ
ライフステージに左右されず腰を据えて働きたい方大歓迎！ あなたらしく貿易事務として活躍しませんか？
給与：★月収29万円以上も可能！ ★各種手当を豊富にご用意♪  月給22万円～．．．
勤務地：【東京勤務！転居を伴う転勤なし！リモートワークの案件あり】  東京都内（．．．
https://woman-type.jp/job-offer/699926/?utm_source=adm&amp;utm_medium=email&amp;utm_campaign=uki_adm_467&amp;routeway=85
▼株式会社ユアーズ・コーポレーション
----------------------------------
◎接客スタッフ*未経験OK*月給27万円～*日祝/GW/年末年始休み*キャリア復帰OK
＜お気軽応募歓迎！自己PRや志望動機は不要＞ 家族やプライベートなど、あなたの希望に寄り添います。
給与：★賞与年3回 ★未経験スタートでも平均年収410万円 ……… ■月給27．．．
勤務地：★転勤なし＆U・Iターン歓迎 ★店舗はすべて駅チカ＆お住まいやご希望を考．．．
https://woman-type.jp/job-offer/655521/?utm_source=adm&amp;utm_medium=email&amp;utm_campaign=uki_adm_467&amp;routeway=85
▼住友生命保険相互会社　埼玉中央支社　浦和営業第2支部
----------------------------------
◎ライフデザイナー(営業)＜浦和募集＞未経験歓迎☆異業種出身者の先輩活躍中
★入社後3ヶ月の研修でしっかり学べる！ キャリアアップもプライベート充実も♪
給与：月給21～35万円  ※固定残業代【おおむね15時間分(2.5万円～4.．．．
勤務地：【住友生命保険相互会社　埼玉中央支社　浦和営業第2支部】 埼玉県さいたま．．．
https://woman-type.jp/job-offer/681087/?utm_source=adm&amp;utm_medium=email&amp;utm_campaign=uki_adm_467&amp;routeway=85
▼住友生命保険相互会社　東京中央支社
----------------------------------
◎ライフデザイナー（未経験歓迎＆日本橋駅直結で通勤ラクラク！）
生活の不安、仕事の不安――すべてスミセイなら解消！ あなたは、今の生活スタイルに満足できていますか？
給与：月給23万円～35万円  ※経験・能力・前職年収を考慮の上、35万円を限．．．
勤務地：# 日本橋駅直結ビル # 転勤なし 東京都中央区日本橋2丁目1-10 柳．．．
https://woman-type.jp/job-offer/597593/?utm_source=adm&amp;utm_medium=email&amp;utm_campaign=uki_adm_467&amp;routeway=85
▼株式会社ＮＮＣグループ
----------------------------------
◎事務スタッフ｜全員未経験入社*月給27万円以上*基本定時退社*年休125日以上
完全未経験から安定したオフィスワークを！ 育成前提の採用なので、ゼロから安心して始められます◎
給与：＜初年度想定月収30万円！資格取得で大幅な給与UPも可能＞  月給27万．．．
勤務地：一都三県、または希望があれば全国のクライアント先での勤務となります。 ※．．．
https://woman-type.jp/job-offer/734267/?utm_source=adm&amp;utm_medium=email&amp;utm_campaign=uki_adm_467&amp;routeway=85
▼学校法人駿河台学園
----------------------------------
◎専門学校事務★未経験歓迎★一時金年2回★産育休取得実績多数★5連休もOK
＼働きやすさ抜群／ ワークライフバランスを保ちながら、 学生のターニングポイントに寄り添えます。
給与：★一時金年2回支給あり ★残業代全額支給  ◆月給23万円～ ◆想定年収．．．
勤務地：転勤なし！徒歩5分圏内で通勤も快適★  ◆駿台ITビジネスカレッジ ⇒〒．．．
https://woman-type.jp/job-offer/728685/?utm_source=adm&amp;utm_medium=email&amp;utm_campaign=uki_adm_467&amp;routeway=85
▼株式会社　時空テクノロジーズ
----------------------------------
◎カスタマーサクセス*月給27万円～*フルリモート*全国から応募可能
提供するのは、導入実績が伸び続ける自社システム。 お客様の課題や悩みに寄り添いませんか？
給与：月給27万円以上＋賞与1回  【月給27万円の場合】 ・基本給218,7．．．
勤務地：&lt;&lt;フルリモートワークのため全国で勤務可能&gt;&gt; 東京本社ですが、実際に大．．．
https://woman-type.jp/job-offer/653556/?utm_source=adm&amp;utm_medium=email&amp;utm_campaign=uki_adm_467&amp;routeway=85
▼株式会社スタッフサービス　オフィス事業本部 ミラエール推進部
----------------------------------
◎総務事務/スピード選考！/未経験OK/リモートあり/研修充実/残業少なめ
韓国語も学べる学習アプリで推し活もサポート★ 仕事も推し活もどちらも充実させませんか？
給与：☆年収例：年収325万(事務、27歳) 【月給】★2025年4月から給与．．．
勤務地：★リモートワーク（在宅勤務/在宅ワーク/テレワーク）もOK 東京都内（渋．．．
https://woman-type.jp/job-offer/521579/?utm_source=adm&amp;utm_medium=email&amp;utm_campaign=uki_adm_467&amp;routeway=85
▼株式会社シリウスコーポレーション
----------------------------------
◎販売スタッフ*未経験OK*月給25万～*賞与年2回*ノルマなし*青山/銀座/六本木
未経験歓迎！残業ほぼなし♪ 幅広い年代に愛される ラグジュアリーブランドkashwere
給与：【正社員】月給25万円～＋賞与年2回 ＋残業代全額支給 【アルバイト】時．．．
勤務地：＜駅徒歩3分以内！複数路線の利用が可能なのでアクセス良好！＞ 青山・六本．．．
https://woman-type.jp/job-offer/494475/?utm_source=adm&amp;utm_medium=email&amp;utm_campaign=uki_adm_467&amp;routeway=85
▼株式会社C・S・R
----------------------------------
◎営業事務*20～30代女性活躍中*人柄重視*お茶・コーヒー飲み放題*駅徒歩3分
＼ワークもライフもどっちも叶う／ とことん働きやすい事務のお仕事、未経験から始めてみませんか？
給与：月給22万円以上+諸手当  ※固定残業代（月20時間07分相当／30,0．．．
勤務地：【池袋駅から徒歩3分！駅チカでキレイなオフィスです♪】  ■東京本社 東．．．
https://woman-type.jp/job-offer/625489/?utm_source=adm&amp;utm_medium=email&amp;utm_campaign=uki_adm_467&amp;routeway=85
▼バレーパーキングシステムズ株式会社
----------------------------------
◎港区高級マンションのフロントコンシェルジュ*原則定時退社/月給23.5万円～
《落ち着いた空間で丁寧なおもてなしを実現》 富裕層を魅了する「上質な接客」を、あなたのものに。
給与：月給23万5000円以上＋各種手当＋賞与  ※試用期間3ヶ月は月給22.．．．
勤務地：～* 転勤はありません *～  ■東京都港区芝5丁目36-7 三田ベルジ．．．
https://woman-type.jp/job-offer/743445/?utm_source=adm&amp;utm_medium=email&amp;utm_campaign=uki_adm_467&amp;routeway=85
▼住友生命保険相互会社　京都支社
----------------------------------
◎ライフデザイナー(営業)駅チカオフィス*未経験スタート多数*京都市エリア
入社後の3か月間の研修で イチから丁寧に学べます♪
給与：月給19万円～35万円  ※上記には固定残業代【おおむね15時間分(2.．．．
勤務地：【住友生命保険相互会社　京都支社　新東山支部＆新山科支部】  ★新東山支．．．
https://woman-type.jp/job-offer/732752/?utm_source=adm&amp;utm_medium=email&amp;utm_campaign=uki_adm_467&amp;routeway=85
▼アズビル株式会社【プライム市場上場】
----------------------------------
◎事務スタッフ*賞与年2回*年休127日*1hごとの有給消化可*残業少なめ
☆＼IT経験を活かした事務職デビュー／☆ 東証プライム上場企業で安定キャリアを歩みませんか？
給与：★昇給年1回、賞与年2回あり！ ┗月給22万9090円～+交通費全額支給．．．
勤務地：◆藤沢テクノセンター 〒251-8522 神奈川県藤沢市川名1-12-2
https://woman-type.jp/job-offer/566242/?utm_source=adm&amp;utm_medium=email&amp;utm_campaign=uki_adm_467&amp;routeway=85
▼株式会社エーアールエー
----------------------------------
◎データ入力事務*未経験OK*17時退勤*残業無*ブランクOK*ママさん社員活躍
【ブランクOK！子育て中の社員多数】 未経験から始める事務＆正社員デビュー
給与：■月給25万円～35万円＋交通費などの手当 ★交通費支給（月3万円まで）．．．
勤務地：★職場近くにスーパーあり！ ┗帰り道に夜ご飯の買い物をして帰れます◎ ★．．．
https://woman-type.jp/job-offer/744307/?utm_source=adm&amp;utm_medium=email&amp;utm_campaign=uki_adm_467&amp;routeway=85
▼医療法人社団宏清会　新宿ＮＳビル歯科
----------------------------------
◎受付(歯科助手含む)／正社員・パート同時募集★駅チカ便利！未経験者歓迎！
勤務地は新宿西口高層ビル街にある｢新宿ＮＳビル｣ 異業種からの転職大歓迎！頑張りはきちんと評価します
給与：[正社員] Ａ(完全週休2日制)／月給23万5000円以上 Ｂ(隔週休2．．．
勤務地：東京都新宿区西新宿2-4-1 新宿ＮＳビル4Ｆ  ◆通勤ラクラク､アクセ．．．
https://woman-type.jp/job-offer/744213/?utm_source=adm&amp;utm_medium=email&amp;utm_campaign=uki_adm_467&amp;routeway=85
▼株式会社メトロ
----------------------------------
◎【一般事務】経験が活かせる*残業ほぼなし*私服OK*リモート相談可
＊―仕事もプライベートも安定を実現―＊ ワークライフバランスを叶えながらステップアップ◎
給与：月給22万円+各種手当+賞与年2回 ※経験やスキルを考慮して、優遇いたし．．．
勤務地：本社／東京都中央区銀座8-18-11 銀座エスシービル7階 ※転勤はあり．．．
https://woman-type.jp/job-offer/569673/?utm_source=adm&amp;utm_medium=email&amp;utm_campaign=uki_adm_467&amp;routeway=85
▼住友生命保険相互会社　神戸支社
----------------------------------
◎ライフデザイナー(営業)未経験歓迎♪安心の研修制度が充実♪尼崎市エリア
入社して約3か月の研修では、 保険・金融知識を基礎から学べる教育プログラムあり！
給与：月給21万円～35万円  ※上記には固定残業代【おおむね15時間分(2.．．．
勤務地：【住友生命保険相互会社　神戸支社　武庫之荘支部・尼崎支部・尼崎東支部】 ．．．
https://woman-type.jp/job-offer/732074/?utm_source=adm&amp;utm_medium=email&amp;utm_campaign=uki_adm_467&amp;routeway=85
▼ビッグクリエイト株式会社
----------------------------------
◎広報【SNS運用やPRなど】*未経験OK*残業少なめ*土日祝休み*5連休OK
SNSでも話題のドーナツ店【JACK IN THE DONUTS】などの PRやSNS運用に携われる♪
給与：★賞与年2回（6ヶ月分の営業利益の10%を分配） ★社割あり！全商品を5．．．
勤務地：★青山一丁目駅・外苑前駅から徒歩スグ  東京都港区北青山1-4-6 24．．．
https://woman-type.jp/job-offer/739890/?utm_source=adm&amp;utm_medium=email&amp;utm_campaign=uki_adm_467&amp;routeway=85
▼弁理士法人 谷・阿部特許事務所
----------------------------------
◎特許事務*未経験OK*赤坂駅から徒歩2分*リモート可*フレックス制
落ち着いて、じっくりと。 ストレスフリーな環境で、仕事に没頭しませんか？
給与：◇月給21.5万円～26万円+賞与年2回+通勤手当+昇給あり ※残業代全．．．
勤務地：＼お仕事に慣れてきたら週2回程度のリモートワーク可能！／ ◇本社：東京都．．．
https://woman-type.jp/job-offer/733240/?utm_source=adm&amp;utm_medium=email&amp;utm_campaign=uki_adm_467&amp;routeway=85
※掲載が終了している場合や条件に合わない場合は何卒ご了承ください。
◆転職活動をお手伝い！便利機能のご紹介
━━━━━━━━━━━━━━━★━
内定獲得者は平均７社に応募しています。
ちょっと多い…と感じた方も大丈夫！
自身の希望や経験にあった求人探しをお手伝いする便利機能をご紹介！
▼「スカウト」
あなたに興味を持った企業から応募依頼が届く！「面接確約」などの特別待遇が受けられる場合も！
https://woman-type.jp/scout/?utm_source=adm_temp&amp;utm_medium=email&amp;utm_campaign=uki_adm_temp3&amp;routeway=85
☆WEB履歴書から『職務内容』を登録しておくと、あなたの経験にあうスカウトが届きやすくなります。
↓↓スマホならテンプレートで簡単登録！
https://woman-type.jp/mypage/history/?utm_source=adm_temp&amp;utm_medium=email&amp;utm_campaign=uki_adm_temp2&amp;routeway=85#job-description
▼選考通過する可能性が高い求人を編集部がピックアップ！
「あなたに関心のある企業」
https://woman-type.jp/matching/?utm_source=adm_temp&amp;utm_medium=email&amp;utm_campaign=uki_adm_temp3&amp;routeway=85
▼「女の転職typeアプリ」のインストールはお済みですか？
希望条件をもとに「あなたにおすすめの求人」をピックアップ！
求人検索やメッセージ管理もアプリならラクラク♪
◎女の転職typeのスマホアプリ（無料）
https://woman-type.onelink.me/MoBt/gztauco9
---------------------------------
※本メールは送信専用アドレスです。ご返信ができませんのでご注意ください。
≫ よくある質問
https://woman-type.jp/s/support/?utm_source=adm_temp&amp;utm_medium=email&amp;utm_campaign=uki_adm_temp4&amp;routeway=85
---------------------------------
</t>
  </si>
  <si>
    <t>希望職種：販サ・営業・事務（興味あり・少し）
最終ログイン：30日
→31985人</t>
  </si>
  <si>
    <t xml:space="preserve">求人抽出条件：事務・営業・販サ
販サ
ネスコ株式会社　743591
営業
ユーレカ株式会社　743605
事務
株式会社三実通商　743337
株式会社みちのりトラベルジャパン　743471
株式会社ＵＲコミュニティ　西日本　743580
社会福祉法人東益津福祉会　743277
シンエイホーム株式会社　743597
株式会社ＪＶＣケンウッド・ビデオテック　743582
</t>
  </si>
  <si>
    <t>14時</t>
  </si>
  <si>
    <t>2回目配信時は、CVR0.18%と爆発したが、内容としては株式会社ｋｕｂｅｌｌパートナーが配信された影響で、
応募数が増加したことが考えられる。
再現性がないので継続して高い応募数を得ることは難しそうだが、
フルリモート好条件求人などが初めて掲載された場合にイレギュラーとして配信するのは良さそう。</t>
  </si>
  <si>
    <t>学歴不問_35歳以上</t>
  </si>
  <si>
    <t>サービス・販売職経験者向け</t>
  </si>
  <si>
    <t>チームで働く</t>
  </si>
  <si>
    <t>【未経験でも安心】人に相談できる／チームで働くお仕事特集 - 女の転職type</t>
  </si>
  <si>
    <t>こんにちは、女の転職type編集部です。
「職場の人間関係」って、仕事を選ぶうえで見えづらいけど、実はすごく大事。
質問しやすかったり、気軽に相談できる人がいたり、
そんな“チームで働ける”空気がある職場は、未経験でも安心できるもの。
今回は、「一人で抱えこまなくていい」、
そんな職場を集めた求人特集をお届けします。</t>
  </si>
  <si>
    <t>・最終ログインから30日以内 
→17533人
～49歳まで
一都三県</t>
  </si>
  <si>
    <t>職種未経験OK
キーワード：
チーム制
チームワーク
チーム体制</t>
  </si>
  <si>
    <t>派遣からデビュー</t>
  </si>
  <si>
    <t>【正社員デビューを応援している求人限定！】未経験OKの求人特集 - 女の転職type</t>
  </si>
  <si>
    <t>こんにちは、女の転職type編集部です。
転職って、なんとなく不安。
でも「ちょっとやってみたいかも」って気持ちは、
もしかしたら今が“その一歩目”かもしれません。
今回ご紹介するのは、
はじめての挑戦をしっかり応援してくれる“デビュー歓迎”の求人たち。
事務デビュー、営業デビュー、正社員デビュー…
あなたの“新しいはじまり”を受け入れてくれる職場が、きっとあります。</t>
  </si>
  <si>
    <t>・最終ログインから30日以内 
→11692人
雇用形態：契約社員紹介予定派遣・派遣アルバイト・パート</t>
  </si>
  <si>
    <t>職種未経験OK
キーワード：デビュー
正社員</t>
  </si>
  <si>
    <t>一般事務・営業アシスタント×未経験歓迎_希望</t>
  </si>
  <si>
    <t>未経験OK！一般事務・営業アシスタントの正社員求人 - 女の転職type</t>
  </si>
  <si>
    <t xml:space="preserve">こんにちは、女の転職type編集部です。
本日お届けするのは、大人気の【一般事務・営業アシスタント】×【未経験OK】の求人です！
どの求人も応募定員に達すると掲載が終わってしまうので、
気になる求人はぜひ早めにチェックしてくださいね！
━━━━━━━━━━━━━━━━━━━━━━
【一般事務・営業アシスタント】×【未経験OK】の求人
━━━━━━━━━━━━━━━━━━━━━━
（■COM_NAME■）
▼■OFF_NAME■
■OFF_CATCHCOPY■
-------------------------------
給与：■OFF_SALARY■
勤務地：■OFF_PLACE■
■OFF_URL■?utm_source=adm&amp;utm_medium=email&amp;utm_campaign=uki_adm_199&amp;routeway=85
※掲載が終了している場合や条件に合わない場合は何卒ご了承ください。
◆転職活動をお手伝い！便利機能のご紹介
━━━━━━━━━━━━━━━★━
内定獲得者は平均７社に応募しています。
ちょっと多い…と感じた方も大丈夫！
自身の希望や経験にあった求人探しをお手伝いする便利機能をご紹介！
▼「スカウト」
あなたに興味を持った企業から応募依頼が届く！「面接確約」などの特別待遇が受けられる場合も！
https://woman-type.jp/scout/?utm_source=adm_temp&amp;utm_medium=email&amp;utm_campaign=uki_adm_temp3&amp;routeway=85
☆WEB履歴書から『職務内容』を登録しておくと、あなたの経験にあうスカウトが届きやすくなります。
↓↓スマホならテンプレートで簡単登録！
https://woman-type.jp/mypage/history/?utm_source=adm_temp&amp;utm_medium=email&amp;utm_campaign=uki_adm_temp2&amp;routeway=85#job-description
▼選考通過する可能性が高い求人を編集部がピックアップ！
「あなたに関心のある企業」
https://woman-type.jp/matching/?utm_source=adm_temp&amp;utm_medium=email&amp;utm_campaign=uki_adm_temp3&amp;routeway=85
▼「女の転職typeアプリ」のインストールはお済みですか？
希望条件をもとに「あなたにおすすめの求人」をピックアップ！
求人検索やメッセージ管理もアプリならラクラク♪
◎女の転職typeのスマホアプリ（無料）
https://woman-type.onelink.me/MoBt/gztauco9
---------------------------------
※本メールは送信専用アドレスです。ご返信ができませんのでご注意ください。
≫ よくある質問
https://woman-type.jp/s/support/?utm_source=adm_temp&amp;utm_medium=email&amp;utm_campaign=uki_adm_temp4&amp;routeway=85
---------------------------------
</t>
  </si>
  <si>
    <t xml:space="preserve">経験職種：一般事務・営業事務、営業アシスタント経験者以外
希望職種：一般事務（ 興味がある 少し ）・営業事務、営業アシスタント（  興味がある  少し  ）
最終ログイン日からの経過日数を指定：ログイン40日
</t>
  </si>
  <si>
    <t>検索種別A-自動求人特集
1954 未経験OK！一般事務・営業アシスタントの正社員求人
319社</t>
  </si>
  <si>
    <t>&gt;2024/02/22　メールサーバー負荷を下げるために、大量配信の商品系メルマガの通数を見直した</t>
  </si>
  <si>
    <t>応募
（1配信あたり）</t>
  </si>
  <si>
    <t>変更前（設定）</t>
  </si>
  <si>
    <t>変更前
（通数）</t>
  </si>
  <si>
    <t>変更後（設定）</t>
  </si>
  <si>
    <t>変更後
（通数）</t>
  </si>
  <si>
    <t>5~7</t>
  </si>
  <si>
    <t>レジュメ更新日360日以内</t>
  </si>
  <si>
    <t>11万通</t>
  </si>
  <si>
    <t>レジュメ更新日180日以内</t>
  </si>
  <si>
    <t>7万通</t>
  </si>
  <si>
    <r>
      <rPr/>
      <t xml:space="preserve">→メディマップの営業資料に配信通数記載あり
</t>
    </r>
    <r>
      <rPr>
        <color rgb="FF1155CC"/>
        <u/>
      </rPr>
      <t>https://drive.google.com/drive/folders/1xCE0OLYDmi25JpGRmLxNm5hjiFvriGKJ</t>
    </r>
  </si>
  <si>
    <t>現住所：一都三県
入会時期：2017/08/01～現在</t>
  </si>
  <si>
    <t>16万通</t>
  </si>
  <si>
    <r>
      <rPr>
        <rFont val="&quot;Noto Sans JP&quot;, Arial"/>
        <color theme="1"/>
      </rPr>
      <t xml:space="preserve">現住所：一都三県
</t>
    </r>
    <r>
      <rPr>
        <rFont val="&quot;Noto Sans JP&quot;, Arial"/>
        <color rgb="FFFF0000"/>
      </rPr>
      <t>最終ログイン180日以内</t>
    </r>
  </si>
  <si>
    <t>5万通</t>
  </si>
  <si>
    <r>
      <rPr/>
      <t xml:space="preserve">→商品のメルマガPRに紐づいていて、パンフに「※PC版、スマホ版それぞれ約32万通配信されます」と記載ありなので営業確認した方がよさそう
</t>
    </r>
    <r>
      <rPr>
        <color rgb="FF1155CC"/>
        <u/>
      </rPr>
      <t>https://f.hubspotusercontent30.net/hubfs/6324080/00-pamphlet/woman/womantype-planguide-booklet-01.pdf</t>
    </r>
  </si>
  <si>
    <t>年齢：～34歳</t>
  </si>
  <si>
    <r>
      <rPr>
        <rFont val="&quot;Noto Sans JP&quot;, Arial"/>
        <color theme="1"/>
      </rPr>
      <t xml:space="preserve">年齢：～34歳
</t>
    </r>
    <r>
      <rPr>
        <rFont val="&quot;Noto Sans JP&quot;, Arial"/>
        <color rgb="FFFF0000"/>
      </rPr>
      <t>最終ログイン180日以内</t>
    </r>
  </si>
  <si>
    <r>
      <rPr/>
      <t xml:space="preserve">→メディマップの質問コーナーに記載あり
</t>
    </r>
    <r>
      <rPr>
        <color rgb="FF1155CC"/>
        <u/>
      </rPr>
      <t>https://docs.google.com/spreadsheets/d/16xGmrj4EBxZTHMVN-c2ydDDdMCW_s04mJYApUP3wRSY/edit#gid=1230167073</t>
    </r>
  </si>
  <si>
    <t>現住所：一都三県</t>
  </si>
  <si>
    <r>
      <rPr>
        <rFont val="&quot;Noto Sans JP&quot;, Arial"/>
        <color theme="1"/>
      </rPr>
      <t xml:space="preserve">現住所：一都三県
</t>
    </r>
    <r>
      <rPr>
        <rFont val="&quot;Noto Sans JP&quot;, Arial"/>
        <color rgb="FFFF0000"/>
      </rPr>
      <t>最終ログイン180日以内</t>
    </r>
  </si>
  <si>
    <r>
      <rPr/>
      <t xml:space="preserve">→商品のメルマガPRに紐づいていて、パンフに「※PC版、スマホ版それぞれ約32万通配信されます」と記載ありなので営業確認した方がよさそう
</t>
    </r>
    <r>
      <rPr>
        <color rgb="FF1155CC"/>
        <u/>
      </rPr>
      <t>https://f.hubspotusercontent30.net/hubfs/6324080/00-pamphlet/woman/womantype-planguide-booklet-01.pdf</t>
    </r>
  </si>
  <si>
    <t>★求人特集(35歳未満）B</t>
  </si>
  <si>
    <r>
      <rPr>
        <rFont val="&quot;Noto Sans JP&quot;, Arial"/>
        <color theme="1"/>
      </rPr>
      <t xml:space="preserve">年齢：～34歳
</t>
    </r>
    <r>
      <rPr>
        <rFont val="&quot;Noto Sans JP&quot;, Arial"/>
        <color rgb="FFFF0000"/>
      </rPr>
      <t>最終ログイン180日以内</t>
    </r>
  </si>
  <si>
    <r>
      <rPr/>
      <t xml:space="preserve">→メディマップの質問コーナーに記載あり
</t>
    </r>
    <r>
      <rPr>
        <color rgb="FF1155CC"/>
        <u/>
      </rPr>
      <t>https://docs.google.com/spreadsheets/d/16xGmrj4EBxZTHMVN-c2ydDDdMCW_s04mJYApUP3wRSY/edit#gid=1230167073</t>
    </r>
  </si>
  <si>
    <t>最終ログイン180日以内</t>
  </si>
  <si>
    <t>10万通</t>
  </si>
  <si>
    <r>
      <rPr/>
      <t xml:space="preserve">→メディマップの質問コーナーに記載あり
</t>
    </r>
    <r>
      <rPr>
        <color rgb="FF1155CC"/>
        <u/>
      </rPr>
      <t>https://docs.google.com/spreadsheets/d/16xGmrj4EBxZTHMVN-c2ydDDdMCW_s04mJYApUP3wRSY/edit#gid=1230167073</t>
    </r>
  </si>
  <si>
    <t>15~20</t>
  </si>
  <si>
    <t>年齢：～45歳
新規会員登録日経過820日以内</t>
  </si>
  <si>
    <r>
      <rPr>
        <rFont val="&quot;Noto Sans JP&quot;, Arial"/>
        <color theme="1"/>
      </rPr>
      <t xml:space="preserve">年齢：～45歳
</t>
    </r>
    <r>
      <rPr>
        <rFont val="&quot;Noto Sans JP&quot;, Arial"/>
        <color rgb="FFFF0000"/>
      </rPr>
      <t>レジュメ更新日180日以内</t>
    </r>
  </si>
  <si>
    <t>6万通</t>
  </si>
  <si>
    <t>ITH事業部より入稿
→第2・第4日曜に配信</t>
  </si>
  <si>
    <t>毎週</t>
  </si>
  <si>
    <t>特殊</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</si>
</sst>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yyyy&quot;/&quot;m&quot;/&quot;d&quot;(&quot;ddd)"/>
    <numFmt numFmtId="166" formatCode="m&quot;月&quot;d&quot;日&quot;"/>
    <numFmt numFmtId="167" formatCode="yyyy/mm/dd"/>
    <numFmt numFmtId="168" formatCode="ddd"/>
    <numFmt numFmtId="169" formatCode="yyyy&quot;年&quot;m&quot;月&quot;d&quot;日&quot;dddd"/>
    <numFmt numFmtId="170" formatCode="yyyy&quot;/&quot;m&quot;/&quot;d&quot;(&quot;ddd&quot;)&quot;"/>
    <numFmt numFmtId="171" formatCode="m&quot;/&quot;d&quot;(&quot;ddd&quot;)&quot;"/>
    <numFmt numFmtId="172" formatCode="yyyy/m/d"/>
    <numFmt numFmtId="173" formatCode="m/d"/>
  </numFmts>
  <fonts count="138">
    <font>
      <sz val="10.0"/>
      <color rgb="FF000000"/>
      <name val="Arial"/>
      <scheme val="minor"/>
    </font>
    <font>
      <sz val="8.0"/>
      <color rgb="FFFFFFFF"/>
      <name val="Noto Sans"/>
    </font>
    <font>
      <b/>
      <sz val="8.0"/>
      <color rgb="FFFFFFFF"/>
      <name val="Arial"/>
    </font>
    <font>
      <b/>
      <sz val="8.0"/>
      <color rgb="FFFFFFFF"/>
      <name val="Noto Sans"/>
    </font>
    <font>
      <sz val="8.0"/>
      <color theme="1"/>
      <name val="Arial"/>
    </font>
    <font>
      <sz val="8.0"/>
      <color theme="1"/>
      <name val="Noto Sans"/>
    </font>
    <font>
      <color theme="1"/>
      <name val="Arial"/>
      <scheme val="minor"/>
    </font>
    <font>
      <sz val="11.0"/>
      <color rgb="FF1F1F1F"/>
      <name val="&quot;Google Sans&quot;"/>
    </font>
    <font>
      <b/>
      <color theme="1"/>
      <name val="Arial"/>
      <scheme val="minor"/>
    </font>
    <font>
      <sz val="8.0"/>
      <color rgb="FF000000"/>
      <name val="Arial"/>
    </font>
    <font>
      <sz val="8.0"/>
      <color theme="1"/>
      <name val="&quot;Google Sans Mono&quot;"/>
    </font>
    <font>
      <sz val="8.0"/>
      <color theme="1"/>
      <name val="Arial"/>
      <scheme val="minor"/>
    </font>
    <font>
      <sz val="8.0"/>
      <color rgb="FF000000"/>
      <name val="Arial"/>
      <scheme val="minor"/>
    </font>
    <font>
      <color theme="1"/>
      <name val="&quot;Google Sans Mono&quot;"/>
    </font>
    <font>
      <u/>
      <sz val="8.0"/>
      <color rgb="FF0000FF"/>
      <name val="Arial"/>
    </font>
    <font>
      <sz val="8.0"/>
      <color rgb="FF000000"/>
      <name val="&quot;ＭＳ Ｐゴシック&quot;"/>
    </font>
    <font>
      <u/>
      <sz val="9.0"/>
      <color rgb="FF0000FF"/>
    </font>
    <font>
      <u/>
      <sz val="8.0"/>
      <color rgb="FF000000"/>
      <name val="Arial"/>
    </font>
    <font>
      <u/>
      <sz val="8.0"/>
      <color rgb="FF0000FF"/>
      <name val="Arial"/>
    </font>
    <font>
      <u/>
      <sz val="9.0"/>
      <color rgb="FF0000FF"/>
    </font>
    <font>
      <u/>
      <sz val="8.0"/>
      <color rgb="FF0000FF"/>
      <name val="Arial"/>
    </font>
    <font>
      <u/>
      <sz val="9.0"/>
      <color rgb="FF0000FF"/>
      <name val="Meiryo"/>
    </font>
    <font>
      <u/>
      <sz val="8.0"/>
      <color rgb="FF0000FF"/>
      <name val="Arial"/>
    </font>
    <font>
      <color theme="1"/>
      <name val="Arial"/>
    </font>
    <font>
      <sz val="8.0"/>
      <color rgb="FF000000"/>
      <name val="Roboto"/>
    </font>
    <font>
      <u/>
      <sz val="9.0"/>
      <color rgb="FF0000FF"/>
      <name val="Arial"/>
    </font>
    <font>
      <u/>
      <sz val="8.0"/>
      <color rgb="FF0000FF"/>
      <name val="Arial"/>
    </font>
    <font>
      <u/>
      <sz val="8.0"/>
      <color rgb="FF000000"/>
      <name val="Arial"/>
    </font>
    <font>
      <u/>
      <sz val="9.0"/>
      <color rgb="FF0000FF"/>
      <name val="Arial"/>
    </font>
    <font>
      <u/>
      <sz val="8.0"/>
      <color rgb="FF0000FF"/>
    </font>
    <font>
      <b/>
      <sz val="8.0"/>
      <color theme="1"/>
      <name val="Arial"/>
    </font>
    <font>
      <u/>
      <sz val="8.0"/>
      <color rgb="FF1155CC"/>
      <name val="Arial"/>
    </font>
    <font>
      <u/>
      <sz val="8.0"/>
      <color rgb="FF1155CC"/>
      <name val="Arial"/>
    </font>
    <font>
      <b/>
      <sz val="8.0"/>
      <color rgb="FFFF0000"/>
      <name val="Arial"/>
    </font>
    <font>
      <u/>
      <sz val="8.0"/>
      <color rgb="FF0000FF"/>
      <name val="&quot;Google Sans Mono&quot;"/>
    </font>
    <font>
      <u/>
      <sz val="8.0"/>
      <color rgb="FF0000FF"/>
      <name val="&quot;Google Sans Mono&quot;"/>
    </font>
    <font>
      <sz val="8.0"/>
      <color rgb="FF1F1F1F"/>
      <name val="&quot;Google Sans&quot;"/>
    </font>
    <font>
      <u/>
      <sz val="8.0"/>
      <color rgb="FF0000FF"/>
      <name val="Arial"/>
    </font>
    <font>
      <u/>
      <sz val="8.0"/>
      <color rgb="FF0000FF"/>
      <name val="Arial"/>
    </font>
    <font>
      <u/>
      <sz val="8.0"/>
      <color rgb="FF0000FF"/>
      <name val="Arial"/>
    </font>
    <font>
      <u/>
      <sz val="8.0"/>
      <color rgb="FF0000FF"/>
    </font>
    <font>
      <u/>
      <sz val="8.0"/>
      <color rgb="FF0000FF"/>
    </font>
    <font>
      <u/>
      <sz val="8.0"/>
      <color rgb="FF0000FF"/>
      <name val="Meiryo"/>
    </font>
    <font>
      <sz val="8.0"/>
      <color theme="1"/>
      <name val="Meiryo"/>
    </font>
    <font>
      <sz val="9.0"/>
      <color theme="1"/>
      <name val="Arial"/>
      <scheme val="minor"/>
    </font>
    <font>
      <sz val="6.0"/>
      <color theme="1"/>
      <name val="Arial"/>
    </font>
    <font>
      <b/>
      <sz val="6.0"/>
      <color theme="1"/>
      <name val="Arial"/>
    </font>
    <font>
      <sz val="6.0"/>
      <color rgb="FF0000FF"/>
      <name val="Arial"/>
    </font>
    <font/>
    <font>
      <b/>
      <color theme="1"/>
      <name val="Arial"/>
    </font>
    <font>
      <b/>
      <sz val="9.0"/>
      <color rgb="FF000000"/>
      <name val="メイリオ"/>
    </font>
    <font>
      <sz val="9.0"/>
      <color rgb="FF000000"/>
      <name val="メイリオ"/>
    </font>
    <font>
      <sz val="9.0"/>
      <color theme="1"/>
      <name val="Arial"/>
    </font>
    <font>
      <sz val="9.0"/>
      <color rgb="FFFF9900"/>
      <name val="メイリオ"/>
    </font>
    <font>
      <sz val="9.0"/>
      <color rgb="FFFF9900"/>
      <name val="Arial"/>
    </font>
    <font>
      <color rgb="FF222222"/>
      <name val="Arial"/>
    </font>
    <font>
      <sz val="11.0"/>
      <color rgb="FF000000"/>
      <name val="Inconsolata"/>
    </font>
    <font>
      <color rgb="FFFFFFFF"/>
      <name val="Arial"/>
      <scheme val="minor"/>
    </font>
    <font>
      <color rgb="FFFF0000"/>
      <name val="Arial"/>
      <scheme val="minor"/>
    </font>
    <font>
      <u/>
      <color rgb="FF1155CC"/>
    </font>
    <font>
      <u/>
      <color rgb="FF222222"/>
      <name val="Arial"/>
    </font>
    <font>
      <u/>
      <color rgb="FF1155CC"/>
      <name val="Arial"/>
    </font>
    <font>
      <u/>
      <color rgb="FF0000FF"/>
    </font>
    <font>
      <u/>
      <color rgb="FF222222"/>
      <name val="Arial"/>
    </font>
    <font>
      <b/>
      <color rgb="FF222222"/>
      <name val="Arial"/>
    </font>
    <font>
      <b/>
      <color rgb="FFF4295C"/>
      <name val="Arial"/>
      <scheme val="minor"/>
    </font>
    <font>
      <b/>
      <color rgb="FFFF0000"/>
      <name val="Arial"/>
    </font>
    <font>
      <sz val="12.0"/>
      <color theme="1"/>
      <name val="Arial"/>
      <scheme val="minor"/>
    </font>
    <font>
      <color rgb="FF000000"/>
      <name val="Arial"/>
    </font>
    <font>
      <b/>
      <color rgb="FFFF0000"/>
      <name val="Arial"/>
      <scheme val="minor"/>
    </font>
    <font>
      <u/>
      <color rgb="FF0000FF"/>
    </font>
    <font>
      <b/>
      <color rgb="FFFF00FF"/>
      <name val="Arial"/>
      <scheme val="minor"/>
    </font>
    <font>
      <color rgb="FFFF00FF"/>
      <name val="Arial"/>
    </font>
    <font>
      <color rgb="FFFF00FF"/>
      <name val="Arial"/>
      <scheme val="minor"/>
    </font>
    <font>
      <u/>
      <color rgb="FFFF00FF"/>
    </font>
    <font>
      <color rgb="FFFF0000"/>
      <name val="Arial"/>
    </font>
    <font>
      <color rgb="FF008000"/>
      <name val="Arial"/>
    </font>
    <font>
      <color rgb="FF008000"/>
      <name val="Arial"/>
      <scheme val="minor"/>
    </font>
    <font>
      <color rgb="FF9900FF"/>
      <name val="Arial"/>
      <scheme val="minor"/>
    </font>
    <font>
      <u/>
      <sz val="10.0"/>
      <color rgb="FF0000FF"/>
    </font>
    <font>
      <sz val="10.0"/>
      <color theme="1"/>
      <name val="Arial"/>
      <scheme val="minor"/>
    </font>
    <font>
      <u/>
      <sz val="10.0"/>
      <color rgb="FF0000FF"/>
      <name val="Arial"/>
    </font>
    <font>
      <sz val="10.0"/>
      <color rgb="FF000000"/>
      <name val="Arial"/>
    </font>
    <font>
      <u/>
      <color rgb="FF0000FF"/>
      <name val="Arial"/>
    </font>
    <font>
      <sz val="10.0"/>
      <color rgb="FFFF0000"/>
      <name val="Arial"/>
    </font>
    <font>
      <sz val="10.0"/>
      <color rgb="FFFF0000"/>
      <name val="Arial"/>
      <scheme val="minor"/>
    </font>
    <font>
      <u/>
      <sz val="10.0"/>
      <color rgb="FF0000FF"/>
      <name val="Arial"/>
    </font>
    <font>
      <u/>
      <sz val="10.0"/>
      <color rgb="FF0000FF"/>
      <name val="Arial"/>
    </font>
    <font>
      <u/>
      <color rgb="FF1155CC"/>
      <name val="Arial"/>
    </font>
    <font>
      <u/>
      <color rgb="FF1155CC"/>
      <name val="Arial"/>
    </font>
    <font>
      <color rgb="FF000000"/>
      <name val="Arial"/>
      <scheme val="minor"/>
    </font>
    <font>
      <u/>
      <color rgb="FF000000"/>
    </font>
    <font>
      <u/>
      <color rgb="FF000000"/>
    </font>
    <font>
      <u/>
      <color rgb="FF1155CC"/>
      <name val="Arial"/>
    </font>
    <font>
      <u/>
      <color rgb="FF1155CC"/>
      <name val="Arial"/>
    </font>
    <font>
      <u/>
      <color rgb="FF1155CC"/>
      <name val="Arial"/>
    </font>
    <font>
      <u/>
      <color rgb="FF1155CC"/>
      <name val="Arial"/>
    </font>
    <font>
      <u/>
      <sz val="8.0"/>
      <color rgb="FF1155CC"/>
      <name val="Arial"/>
    </font>
    <font>
      <u/>
      <sz val="8.0"/>
      <color rgb="FF1155CC"/>
      <name val="Arial"/>
    </font>
    <font>
      <u/>
      <sz val="10.0"/>
      <color rgb="FF0000FF"/>
      <name val="Arial"/>
    </font>
    <font>
      <u/>
      <sz val="8.0"/>
      <color rgb="FF0000FF"/>
      <name val="Arial"/>
    </font>
    <font>
      <u/>
      <sz val="8.0"/>
      <color rgb="FF0000FF"/>
      <name val="Arial"/>
    </font>
    <font>
      <u/>
      <sz val="8.0"/>
      <color rgb="FF0000FF"/>
      <name val="Arial"/>
    </font>
    <font>
      <u/>
      <sz val="8.0"/>
      <color rgb="FF0000FF"/>
      <name val="Arial"/>
    </font>
    <font>
      <u/>
      <sz val="8.0"/>
      <color rgb="FF0000FF"/>
      <name val="Arial"/>
    </font>
    <font>
      <b/>
      <color rgb="FF000000"/>
      <name val="Arial"/>
    </font>
    <font>
      <sz val="10.0"/>
      <color theme="1"/>
      <name val="Arial"/>
    </font>
    <font>
      <b/>
      <sz val="10.0"/>
      <color rgb="FF000000"/>
      <name val="Arial"/>
    </font>
    <font>
      <u/>
      <sz val="10.0"/>
      <color rgb="FF0000FF"/>
      <name val="Arial"/>
    </font>
    <font>
      <b/>
      <sz val="10.0"/>
      <color rgb="FFFF0000"/>
      <name val="Arial"/>
    </font>
    <font>
      <sz val="10.0"/>
      <color rgb="FF222222"/>
      <name val="Arial"/>
    </font>
    <font>
      <u/>
      <sz val="10.0"/>
      <color rgb="FF0000FF"/>
      <name val="Arial"/>
    </font>
    <font>
      <u/>
      <sz val="10.0"/>
      <color rgb="FF0000FF"/>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b/>
      <sz val="10.0"/>
      <color rgb="FFFF0000"/>
      <name val="Arial"/>
      <scheme val="minor"/>
    </font>
    <font>
      <u/>
      <sz val="10.0"/>
      <color rgb="FF0000FF"/>
      <name val="Arial"/>
    </font>
    <font>
      <b/>
      <color theme="1"/>
      <name val="Noto Sans JP"/>
    </font>
    <font>
      <b/>
      <u/>
      <color theme="1"/>
      <name val="Noto Sans JP"/>
    </font>
    <font>
      <b/>
      <sz val="9.0"/>
      <color rgb="FF1F1F1F"/>
      <name val="Noto Sans JP"/>
    </font>
    <font>
      <color theme="1"/>
      <name val="Noto Sans JP"/>
    </font>
    <font>
      <u/>
      <color theme="1"/>
      <name val="Noto Sans JP"/>
    </font>
    <font>
      <color rgb="FFFFFFFF"/>
      <name val="&quot;Noto Sans JP&quot;"/>
    </font>
    <font>
      <color theme="1"/>
      <name val="&quot;Noto Sans JP&quot;"/>
    </font>
    <font>
      <color rgb="FFFF0000"/>
      <name val="&quot;Noto Sans JP&quot;"/>
    </font>
    <font>
      <u/>
      <color rgb="FF0000FF"/>
    </font>
    <font>
      <u/>
      <sz val="8.0"/>
      <color rgb="FF0000FF"/>
      <name val="Arial"/>
    </font>
    <font>
      <u/>
      <sz val="8.0"/>
      <color rgb="FF1155CC"/>
      <name val="Noto Sans"/>
    </font>
    <font>
      <u/>
      <sz val="8.0"/>
      <color rgb="FF1155CC"/>
      <name val="Noto Sans"/>
    </font>
    <font>
      <u/>
      <sz val="8.0"/>
      <color rgb="FF0000FF"/>
      <name val="Noto Sans"/>
    </font>
    <font>
      <u/>
      <sz val="8.0"/>
      <color rgb="FF1155CC"/>
      <name val="Noto Sans"/>
    </font>
    <font>
      <u/>
      <sz val="8.0"/>
      <color rgb="FF0000FF"/>
      <name val="Noto Sans"/>
    </font>
  </fonts>
  <fills count="35">
    <fill>
      <patternFill patternType="none"/>
    </fill>
    <fill>
      <patternFill patternType="lightGray"/>
    </fill>
    <fill>
      <patternFill patternType="solid">
        <fgColor rgb="FFD82035"/>
        <bgColor rgb="FFD82035"/>
      </patternFill>
    </fill>
    <fill>
      <patternFill patternType="solid">
        <fgColor rgb="FF008000"/>
        <bgColor rgb="FF008000"/>
      </patternFill>
    </fill>
    <fill>
      <patternFill patternType="solid">
        <fgColor rgb="FFFF0000"/>
        <bgColor rgb="FFFF0000"/>
      </patternFill>
    </fill>
    <fill>
      <patternFill patternType="solid">
        <fgColor rgb="FF999999"/>
        <bgColor rgb="FF999999"/>
      </patternFill>
    </fill>
    <fill>
      <patternFill patternType="solid">
        <fgColor rgb="FF00FFFF"/>
        <bgColor rgb="FF00FFFF"/>
      </patternFill>
    </fill>
    <fill>
      <patternFill patternType="solid">
        <fgColor rgb="FFF0F4F9"/>
        <bgColor rgb="FFF0F4F9"/>
      </patternFill>
    </fill>
    <fill>
      <patternFill patternType="solid">
        <fgColor rgb="FFFFFFFF"/>
        <bgColor rgb="FFFFFFFF"/>
      </patternFill>
    </fill>
    <fill>
      <patternFill patternType="solid">
        <fgColor rgb="FF93C47D"/>
        <bgColor rgb="FF93C47D"/>
      </patternFill>
    </fill>
    <fill>
      <patternFill patternType="solid">
        <fgColor rgb="FFCFE2F3"/>
        <bgColor rgb="FFCFE2F3"/>
      </patternFill>
    </fill>
    <fill>
      <patternFill patternType="solid">
        <fgColor rgb="FFFFE1F6"/>
        <bgColor rgb="FFFFE1F6"/>
      </patternFill>
    </fill>
    <fill>
      <patternFill patternType="solid">
        <fgColor rgb="FFDDEBF7"/>
        <bgColor rgb="FFDDEBF7"/>
      </patternFill>
    </fill>
    <fill>
      <patternFill patternType="solid">
        <fgColor rgb="FFFCE5CD"/>
        <bgColor rgb="FFFCE5CD"/>
      </patternFill>
    </fill>
    <fill>
      <patternFill patternType="solid">
        <fgColor rgb="FFF4CCCC"/>
        <bgColor rgb="FFF4CCCC"/>
      </patternFill>
    </fill>
    <fill>
      <patternFill patternType="solid">
        <fgColor rgb="FF000000"/>
        <bgColor rgb="FF000000"/>
      </patternFill>
    </fill>
    <fill>
      <patternFill patternType="solid">
        <fgColor rgb="FFB7B7B7"/>
        <bgColor rgb="FFB7B7B7"/>
      </patternFill>
    </fill>
    <fill>
      <patternFill patternType="solid">
        <fgColor rgb="FFFFF2CC"/>
        <bgColor rgb="FFFFF2CC"/>
      </patternFill>
    </fill>
    <fill>
      <patternFill patternType="solid">
        <fgColor rgb="FFFFFF00"/>
        <bgColor rgb="FFFFFF00"/>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
      <patternFill patternType="solid">
        <fgColor rgb="FFFF00FF"/>
        <bgColor rgb="FFFF00FF"/>
      </patternFill>
    </fill>
    <fill>
      <patternFill patternType="solid">
        <fgColor rgb="FF00FF00"/>
        <bgColor rgb="FF00FF00"/>
      </patternFill>
    </fill>
    <fill>
      <patternFill patternType="solid">
        <fgColor rgb="FFFF9900"/>
        <bgColor rgb="FFFF9900"/>
      </patternFill>
    </fill>
    <fill>
      <patternFill patternType="solid">
        <fgColor rgb="FF9900FF"/>
        <bgColor rgb="FF9900FF"/>
      </patternFill>
    </fill>
    <fill>
      <patternFill patternType="solid">
        <fgColor rgb="FF4A86E8"/>
        <bgColor rgb="FF4A86E8"/>
      </patternFill>
    </fill>
    <fill>
      <patternFill patternType="solid">
        <fgColor rgb="FFB4A7D6"/>
        <bgColor rgb="FFB4A7D6"/>
      </patternFill>
    </fill>
    <fill>
      <patternFill patternType="solid">
        <fgColor rgb="FFFFDADF"/>
        <bgColor rgb="FFFFDADF"/>
      </patternFill>
    </fill>
    <fill>
      <patternFill patternType="solid">
        <fgColor rgb="FFCCCCCC"/>
        <bgColor rgb="FFCCCCCC"/>
      </patternFill>
    </fill>
    <fill>
      <patternFill patternType="solid">
        <fgColor rgb="FFFCCDF1"/>
        <bgColor rgb="FFFCCDF1"/>
      </patternFill>
    </fill>
    <fill>
      <patternFill patternType="solid">
        <fgColor rgb="FF434343"/>
        <bgColor rgb="FF434343"/>
      </patternFill>
    </fill>
    <fill>
      <patternFill patternType="solid">
        <fgColor rgb="FFE06666"/>
        <bgColor rgb="FFE06666"/>
      </patternFill>
    </fill>
    <fill>
      <patternFill patternType="solid">
        <fgColor rgb="FFF3F3F3"/>
        <bgColor rgb="FFF3F3F3"/>
      </patternFill>
    </fill>
  </fills>
  <borders count="3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double">
        <color rgb="FF000000"/>
      </bottom>
    </border>
    <border>
      <right/>
      <bottom style="thin">
        <color rgb="FF000000"/>
      </bottom>
    </border>
    <border>
      <bottom style="thin">
        <color rgb="FF000000"/>
      </bottom>
    </border>
    <border>
      <left style="thin">
        <color rgb="FF000000"/>
      </left>
      <right style="thin">
        <color rgb="FF000000"/>
      </right>
      <bottom style="double">
        <color rgb="FF000000"/>
      </bottom>
    </border>
    <border>
      <right style="thin">
        <color rgb="FF000000"/>
      </right>
      <bottom style="double">
        <color rgb="FF000000"/>
      </bottom>
    </border>
    <border>
      <right/>
    </border>
    <border>
      <right style="thin">
        <color rgb="FF000000"/>
      </right>
    </border>
    <border>
      <right style="thin">
        <color rgb="FF000000"/>
      </right>
      <top style="thin">
        <color rgb="FF000000"/>
      </top>
      <bottom style="double">
        <color rgb="FF000000"/>
      </bottom>
    </border>
    <border>
      <left style="hair">
        <color rgb="FF000000"/>
      </left>
      <right style="hair">
        <color rgb="FF000000"/>
      </right>
      <top style="thin">
        <color rgb="FF000000"/>
      </top>
    </border>
    <border>
      <right style="hair">
        <color rgb="FF000000"/>
      </right>
      <top style="thin">
        <color rgb="FF000000"/>
      </top>
    </border>
    <border>
      <bottom style="double">
        <color rgb="FF000000"/>
      </bottom>
    </border>
    <border>
      <left style="thin">
        <color rgb="FF000000"/>
      </left>
    </border>
    <border>
      <left style="thin">
        <color rgb="FF999999"/>
      </left>
      <right style="thin">
        <color rgb="FF999999"/>
      </right>
      <top style="thin">
        <color rgb="FF999999"/>
      </top>
      <bottom style="thin">
        <color rgb="FF999999"/>
      </bottom>
    </border>
    <border>
      <left style="hair">
        <color rgb="FF000000"/>
      </left>
    </border>
    <border>
      <left style="hair">
        <color rgb="FF000000"/>
      </left>
      <top style="thin">
        <color rgb="FF000000"/>
      </top>
    </border>
    <border>
      <left style="thin">
        <color rgb="FF999999"/>
      </left>
      <right style="thin">
        <color rgb="FF999999"/>
      </right>
      <top style="thin">
        <color rgb="FF999999"/>
      </top>
    </border>
    <border>
      <left style="hair">
        <color rgb="FF000000"/>
      </left>
      <right style="hair">
        <color rgb="FF000000"/>
      </right>
    </border>
    <border>
      <left style="thin">
        <color rgb="FF999999"/>
      </left>
      <right style="thin">
        <color rgb="FF999999"/>
      </right>
      <bottom style="thin">
        <color rgb="FF999999"/>
      </bottom>
    </border>
    <border>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s>
  <cellStyleXfs count="1">
    <xf borderId="0" fillId="0" fontId="0" numFmtId="0" applyAlignment="1" applyFont="1"/>
  </cellStyleXfs>
  <cellXfs count="604">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vertical="center"/>
    </xf>
    <xf borderId="1" fillId="3" fontId="2" numFmtId="165" xfId="0" applyAlignment="1" applyBorder="1" applyFill="1" applyFont="1" applyNumberFormat="1">
      <alignment horizontal="center" readingOrder="0" shrinkToFit="0" vertical="center" wrapText="0"/>
    </xf>
    <xf borderId="1" fillId="2" fontId="2" numFmtId="165" xfId="0" applyAlignment="1" applyBorder="1" applyFont="1" applyNumberFormat="1">
      <alignment horizontal="center" readingOrder="0" shrinkToFit="0" vertical="center" wrapText="0"/>
    </xf>
    <xf borderId="1" fillId="2" fontId="2" numFmtId="0" xfId="0" applyAlignment="1" applyBorder="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2" fontId="2" numFmtId="166" xfId="0" applyAlignment="1" applyBorder="1" applyFont="1" applyNumberFormat="1">
      <alignment horizontal="center" readingOrder="0" shrinkToFit="0" vertical="center" wrapText="0"/>
    </xf>
    <xf borderId="1" fillId="2" fontId="3" numFmtId="3" xfId="0" applyAlignment="1" applyBorder="1" applyFont="1" applyNumberFormat="1">
      <alignment horizontal="center" vertical="center"/>
    </xf>
    <xf borderId="1" fillId="0" fontId="4" numFmtId="0" xfId="0" applyAlignment="1" applyBorder="1" applyFont="1">
      <alignment horizontal="center" readingOrder="0" shrinkToFit="0" vertical="center" wrapText="0"/>
    </xf>
    <xf borderId="2" fillId="0" fontId="5" numFmtId="0" xfId="0" applyAlignment="1" applyBorder="1" applyFont="1">
      <alignment horizontal="right" vertical="center"/>
    </xf>
    <xf borderId="1" fillId="0" fontId="5" numFmtId="0" xfId="0" applyAlignment="1" applyBorder="1" applyFont="1">
      <alignment shrinkToFit="0" vertical="center" wrapText="0"/>
    </xf>
    <xf borderId="3" fillId="0" fontId="4" numFmtId="0" xfId="0" applyAlignment="1" applyBorder="1" applyFont="1">
      <alignment vertical="center"/>
    </xf>
    <xf borderId="1" fillId="0" fontId="5" numFmtId="0" xfId="0" applyAlignment="1" applyBorder="1" applyFont="1">
      <alignment vertical="center"/>
    </xf>
    <xf borderId="1" fillId="0" fontId="4" numFmtId="0" xfId="0" applyAlignment="1" applyBorder="1" applyFont="1">
      <alignment vertical="center"/>
    </xf>
    <xf borderId="0" fillId="0" fontId="6" numFmtId="0" xfId="0" applyAlignment="1" applyFont="1">
      <alignment readingOrder="0"/>
    </xf>
    <xf borderId="0" fillId="0" fontId="6" numFmtId="0" xfId="0" applyAlignment="1" applyFont="1">
      <alignment horizontal="left" readingOrder="0" shrinkToFit="0" wrapText="0"/>
    </xf>
    <xf borderId="0" fillId="0" fontId="6" numFmtId="0" xfId="0" applyAlignment="1" applyFont="1">
      <alignment horizontal="left" readingOrder="0" shrinkToFit="0" wrapText="1"/>
    </xf>
    <xf borderId="0" fillId="0" fontId="6" numFmtId="0" xfId="0" applyAlignment="1" applyFont="1">
      <alignment shrinkToFit="0" wrapText="0"/>
    </xf>
    <xf borderId="0" fillId="4" fontId="6" numFmtId="0" xfId="0" applyAlignment="1" applyFill="1" applyFont="1">
      <alignment readingOrder="0" shrinkToFit="0" wrapText="0"/>
    </xf>
    <xf borderId="0" fillId="0" fontId="6" numFmtId="0" xfId="0" applyAlignment="1" applyFont="1">
      <alignment readingOrder="0" shrinkToFit="0" wrapText="1"/>
    </xf>
    <xf borderId="0" fillId="0" fontId="6" numFmtId="0" xfId="0" applyAlignment="1" applyFont="1">
      <alignment shrinkToFit="0" wrapText="1"/>
    </xf>
    <xf borderId="0" fillId="0" fontId="6" numFmtId="0" xfId="0" applyAlignment="1" applyFont="1">
      <alignment readingOrder="0" shrinkToFit="0" wrapText="0"/>
    </xf>
    <xf borderId="0" fillId="5" fontId="6" numFmtId="0" xfId="0" applyAlignment="1" applyFill="1" applyFont="1">
      <alignment readingOrder="0" shrinkToFit="0" wrapText="0"/>
    </xf>
    <xf borderId="0" fillId="6" fontId="6" numFmtId="0" xfId="0" applyAlignment="1" applyFill="1" applyFont="1">
      <alignment readingOrder="0"/>
    </xf>
    <xf borderId="0" fillId="0" fontId="7" numFmtId="0" xfId="0" applyAlignment="1" applyFont="1">
      <alignment readingOrder="0"/>
    </xf>
    <xf borderId="0" fillId="0" fontId="6" numFmtId="167" xfId="0" applyAlignment="1" applyFont="1" applyNumberFormat="1">
      <alignment readingOrder="0"/>
    </xf>
    <xf borderId="0" fillId="0" fontId="6" numFmtId="0" xfId="0" applyFont="1"/>
    <xf borderId="1" fillId="0" fontId="6" numFmtId="49" xfId="0" applyAlignment="1" applyBorder="1" applyFont="1" applyNumberFormat="1">
      <alignment horizontal="center" readingOrder="0" shrinkToFit="0" vertical="center" wrapText="0"/>
    </xf>
    <xf borderId="1" fillId="0" fontId="6"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0"/>
    </xf>
    <xf borderId="1" fillId="0" fontId="6" numFmtId="0" xfId="0" applyAlignment="1" applyBorder="1" applyFont="1">
      <alignment horizontal="center" readingOrder="0" vertical="center"/>
    </xf>
    <xf borderId="1" fillId="0" fontId="6" numFmtId="0" xfId="0" applyAlignment="1" applyBorder="1" applyFont="1">
      <alignment horizontal="center" readingOrder="0" vertical="center"/>
    </xf>
    <xf borderId="1" fillId="0" fontId="8" numFmtId="0" xfId="0" applyAlignment="1" applyBorder="1" applyFont="1">
      <alignment horizontal="center" vertical="center"/>
    </xf>
    <xf borderId="1" fillId="0" fontId="4" numFmtId="168" xfId="0" applyAlignment="1" applyBorder="1" applyFont="1" applyNumberFormat="1">
      <alignment horizontal="center" readingOrder="0" shrinkToFit="0" vertical="center" wrapText="0"/>
    </xf>
    <xf borderId="1" fillId="0" fontId="9" numFmtId="0" xfId="0" applyAlignment="1" applyBorder="1" applyFont="1">
      <alignment horizontal="center" readingOrder="0" shrinkToFit="0" vertical="center" wrapText="0"/>
    </xf>
    <xf borderId="1" fillId="0" fontId="9" numFmtId="0" xfId="0" applyAlignment="1" applyBorder="1" applyFont="1">
      <alignment horizontal="center" readingOrder="0" shrinkToFit="0" vertical="center" wrapText="0"/>
    </xf>
    <xf borderId="1" fillId="0" fontId="4" numFmtId="0" xfId="0" applyAlignment="1" applyBorder="1" applyFont="1">
      <alignment horizontal="center" shrinkToFit="0" vertical="center" wrapText="0"/>
    </xf>
    <xf borderId="1" fillId="0" fontId="10" numFmtId="0" xfId="0" applyAlignment="1" applyBorder="1" applyFont="1">
      <alignment horizontal="center" shrinkToFit="0" wrapText="0"/>
    </xf>
    <xf borderId="1" fillId="0" fontId="9" numFmtId="0" xfId="0" applyAlignment="1" applyBorder="1" applyFont="1">
      <alignment horizontal="left" readingOrder="0" shrinkToFit="0" vertical="center" wrapText="0"/>
    </xf>
    <xf borderId="1" fillId="0" fontId="11"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1" fillId="0" fontId="4" numFmtId="0" xfId="0" applyAlignment="1" applyBorder="1" applyFont="1">
      <alignment horizontal="left" readingOrder="0" shrinkToFit="0" vertical="center" wrapText="0"/>
    </xf>
    <xf borderId="1" fillId="0" fontId="4"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1" fillId="0" fontId="4" numFmtId="49" xfId="0" applyAlignment="1" applyBorder="1" applyFont="1" applyNumberFormat="1">
      <alignment horizontal="center" readingOrder="0" shrinkToFit="0" vertical="center" wrapText="0"/>
    </xf>
    <xf borderId="1" fillId="0" fontId="4" numFmtId="0" xfId="0" applyAlignment="1" applyBorder="1" applyFont="1">
      <alignment horizontal="center" shrinkToFit="0" vertical="center" wrapText="0"/>
    </xf>
    <xf borderId="1" fillId="0" fontId="11" numFmtId="0" xfId="0" applyAlignment="1" applyBorder="1" applyFont="1">
      <alignment horizontal="left" readingOrder="0" shrinkToFit="0" vertical="center" wrapText="0"/>
    </xf>
    <xf borderId="1" fillId="0" fontId="9" numFmtId="0" xfId="0" applyAlignment="1" applyBorder="1" applyFont="1">
      <alignment horizontal="center" shrinkToFit="0" vertical="center" wrapText="0"/>
    </xf>
    <xf borderId="1" fillId="0" fontId="9" numFmtId="0" xfId="0" applyAlignment="1" applyBorder="1" applyFont="1">
      <alignment horizontal="left" shrinkToFit="0" vertical="center" wrapText="0"/>
    </xf>
    <xf borderId="1" fillId="0" fontId="12" numFmtId="0" xfId="0" applyAlignment="1" applyBorder="1" applyFont="1">
      <alignment horizontal="center" readingOrder="0" shrinkToFit="0" vertical="center" wrapText="0"/>
    </xf>
    <xf borderId="1" fillId="0" fontId="4" numFmtId="0" xfId="0" applyAlignment="1" applyBorder="1" applyFont="1">
      <alignment horizontal="left" shrinkToFit="0" vertical="center" wrapText="0"/>
    </xf>
    <xf borderId="1" fillId="0" fontId="12" numFmtId="0" xfId="0" applyAlignment="1" applyBorder="1" applyFont="1">
      <alignment horizontal="left" readingOrder="0" shrinkToFit="0" vertical="center" wrapText="0"/>
    </xf>
    <xf borderId="1" fillId="0" fontId="4" numFmtId="164" xfId="0" applyAlignment="1" applyBorder="1" applyFont="1" applyNumberFormat="1">
      <alignment horizontal="center" vertical="center"/>
    </xf>
    <xf borderId="1" fillId="0" fontId="4" numFmtId="165" xfId="0" applyAlignment="1" applyBorder="1" applyFont="1" applyNumberFormat="1">
      <alignment horizontal="center" vertical="center"/>
    </xf>
    <xf borderId="1" fillId="0" fontId="4" numFmtId="49" xfId="0" applyAlignment="1" applyBorder="1" applyFont="1" applyNumberFormat="1">
      <alignment horizontal="center" readingOrder="0" shrinkToFit="0" vertical="center" wrapText="0"/>
    </xf>
    <xf borderId="1" fillId="0" fontId="9"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11" numFmtId="0" xfId="0" applyAlignment="1" applyBorder="1" applyFont="1">
      <alignment horizontal="left" readingOrder="0" vertical="center"/>
    </xf>
    <xf borderId="1" fillId="0" fontId="4" numFmtId="0" xfId="0" applyAlignment="1" applyBorder="1" applyFont="1">
      <alignment horizontal="center" vertical="center"/>
    </xf>
    <xf borderId="1" fillId="0" fontId="13" numFmtId="0" xfId="0" applyAlignment="1" applyBorder="1" applyFont="1">
      <alignment vertical="center"/>
    </xf>
    <xf borderId="1" fillId="0" fontId="11" numFmtId="0" xfId="0" applyAlignment="1" applyBorder="1" applyFont="1">
      <alignment horizontal="center" readingOrder="0" vertical="center"/>
    </xf>
    <xf borderId="1" fillId="0" fontId="4" numFmtId="0" xfId="0" applyAlignment="1" applyBorder="1" applyFont="1">
      <alignment horizontal="left" readingOrder="0" vertical="center"/>
    </xf>
    <xf borderId="1" fillId="0" fontId="4" numFmtId="0" xfId="0" applyAlignment="1" applyBorder="1" applyFont="1">
      <alignment horizontal="center" readingOrder="0" shrinkToFit="0" vertical="center" wrapText="0"/>
    </xf>
    <xf borderId="1" fillId="0" fontId="14" numFmtId="0" xfId="0" applyAlignment="1" applyBorder="1" applyFont="1">
      <alignment horizontal="center" readingOrder="0" shrinkToFit="0" vertical="center" wrapText="0"/>
    </xf>
    <xf borderId="1" fillId="0" fontId="4" numFmtId="0" xfId="0" applyAlignment="1" applyBorder="1" applyFont="1">
      <alignment horizontal="center" readingOrder="0" vertical="center"/>
    </xf>
    <xf borderId="1" fillId="0" fontId="4" numFmtId="0" xfId="0" applyAlignment="1" applyBorder="1" applyFont="1">
      <alignment horizontal="left" readingOrder="0" vertical="center"/>
    </xf>
    <xf borderId="1" fillId="0" fontId="9" numFmtId="0" xfId="0" applyAlignment="1" applyBorder="1" applyFont="1">
      <alignment horizontal="center" vertical="center"/>
    </xf>
    <xf borderId="1" fillId="0" fontId="4" numFmtId="0" xfId="0" applyAlignment="1" applyBorder="1" applyFont="1">
      <alignment horizontal="center" vertical="center"/>
    </xf>
    <xf borderId="1" fillId="0" fontId="9"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1" fillId="0" fontId="4" numFmtId="0" xfId="0" applyAlignment="1" applyBorder="1" applyFont="1">
      <alignment horizontal="left" readingOrder="0" shrinkToFit="0" vertical="center" wrapText="0"/>
    </xf>
    <xf borderId="1" fillId="0" fontId="4" numFmtId="0" xfId="0" applyAlignment="1" applyBorder="1" applyFont="1">
      <alignment horizontal="center" readingOrder="0" shrinkToFit="0" vertical="center" wrapText="0"/>
    </xf>
    <xf borderId="1" fillId="0" fontId="15" numFmtId="0" xfId="0" applyAlignment="1" applyBorder="1" applyFont="1">
      <alignment horizontal="center" readingOrder="0" vertical="center"/>
    </xf>
    <xf borderId="1" fillId="0" fontId="12" numFmtId="0" xfId="0" applyAlignment="1" applyBorder="1" applyFont="1">
      <alignment horizontal="center" readingOrder="0" vertical="center"/>
    </xf>
    <xf borderId="1" fillId="0" fontId="4" numFmtId="0" xfId="0" applyAlignment="1" applyBorder="1" applyFont="1">
      <alignment horizontal="left" vertical="center"/>
    </xf>
    <xf borderId="1" fillId="0" fontId="16" numFmtId="0" xfId="0" applyAlignment="1" applyBorder="1" applyFont="1">
      <alignment readingOrder="0" vertical="center"/>
    </xf>
    <xf borderId="1" fillId="0" fontId="17"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9" numFmtId="0" xfId="0" applyAlignment="1" applyBorder="1" applyFont="1">
      <alignment horizontal="center" readingOrder="0" shrinkToFit="0" vertical="center" wrapText="0"/>
    </xf>
    <xf borderId="1" fillId="0" fontId="4" numFmtId="0" xfId="0" applyAlignment="1" applyBorder="1" applyFont="1">
      <alignment horizontal="left" readingOrder="0" shrinkToFit="0" vertical="center" wrapText="0"/>
    </xf>
    <xf borderId="1" fillId="0" fontId="4" numFmtId="0" xfId="0" applyAlignment="1" applyBorder="1" applyFont="1">
      <alignment horizontal="center" readingOrder="0" vertical="center"/>
    </xf>
    <xf borderId="1" fillId="0" fontId="18" numFmtId="0" xfId="0" applyAlignment="1" applyBorder="1" applyFont="1">
      <alignment horizontal="center" readingOrder="0" vertical="center"/>
    </xf>
    <xf borderId="1" fillId="0" fontId="9" numFmtId="0" xfId="0" applyAlignment="1" applyBorder="1" applyFont="1">
      <alignment horizontal="center" readingOrder="0" shrinkToFit="0" vertical="center" wrapText="0"/>
    </xf>
    <xf borderId="1" fillId="0" fontId="4" numFmtId="0" xfId="0" applyAlignment="1" applyBorder="1" applyFont="1">
      <alignment horizontal="left" vertical="center"/>
    </xf>
    <xf borderId="1" fillId="0" fontId="4" numFmtId="0" xfId="0" applyAlignment="1" applyBorder="1" applyFont="1">
      <alignment horizontal="left" readingOrder="0" vertical="center"/>
    </xf>
    <xf borderId="1" fillId="0" fontId="11" numFmtId="0" xfId="0" applyAlignment="1" applyBorder="1" applyFont="1">
      <alignment horizontal="center" vertical="center"/>
    </xf>
    <xf borderId="1" fillId="0" fontId="4" numFmtId="0" xfId="0" applyAlignment="1" applyBorder="1" applyFont="1">
      <alignment horizontal="center" vertical="center"/>
    </xf>
    <xf borderId="1" fillId="0" fontId="19" numFmtId="0" xfId="0" applyAlignment="1" applyBorder="1" applyFont="1">
      <alignment vertical="center"/>
    </xf>
    <xf borderId="1" fillId="0" fontId="20" numFmtId="0" xfId="0" applyAlignment="1" applyBorder="1" applyFont="1">
      <alignment horizontal="center" readingOrder="0" vertical="center"/>
    </xf>
    <xf borderId="1" fillId="0" fontId="4" numFmtId="0" xfId="0" applyAlignment="1" applyBorder="1" applyFont="1">
      <alignment horizontal="center" vertical="center"/>
    </xf>
    <xf borderId="1" fillId="0" fontId="4" numFmtId="0" xfId="0" applyAlignment="1" applyBorder="1" applyFont="1">
      <alignment horizontal="left" vertical="center"/>
    </xf>
    <xf borderId="1" fillId="0" fontId="21" numFmtId="0" xfId="0" applyAlignment="1" applyBorder="1" applyFont="1">
      <alignment readingOrder="0" vertical="center"/>
    </xf>
    <xf borderId="1" fillId="0" fontId="22" numFmtId="0" xfId="0" applyAlignment="1" applyBorder="1" applyFont="1">
      <alignment horizontal="center" readingOrder="0" vertical="center"/>
    </xf>
    <xf borderId="1" fillId="0" fontId="23" numFmtId="0" xfId="0" applyAlignment="1" applyBorder="1" applyFont="1">
      <alignment horizontal="center" vertical="center"/>
    </xf>
    <xf borderId="1" fillId="0" fontId="9" numFmtId="0" xfId="0" applyAlignment="1" applyBorder="1" applyFont="1">
      <alignment horizontal="center" readingOrder="0" shrinkToFit="0" vertical="center" wrapText="0"/>
    </xf>
    <xf borderId="1" fillId="0" fontId="24" numFmtId="0" xfId="0" applyAlignment="1" applyBorder="1" applyFont="1">
      <alignment horizontal="center" vertical="center"/>
    </xf>
    <xf borderId="1" fillId="0" fontId="25" numFmtId="0" xfId="0" applyAlignment="1" applyBorder="1" applyFont="1">
      <alignment readingOrder="0" vertical="center"/>
    </xf>
    <xf borderId="1" fillId="0" fontId="26" numFmtId="0" xfId="0" applyAlignment="1" applyBorder="1" applyFont="1">
      <alignment horizontal="center" readingOrder="0" shrinkToFit="0" vertical="center" wrapText="0"/>
    </xf>
    <xf borderId="1" fillId="0" fontId="27" numFmtId="0" xfId="0" applyAlignment="1" applyBorder="1" applyFont="1">
      <alignment horizontal="center" readingOrder="0" shrinkToFit="0" vertical="center" wrapText="0"/>
    </xf>
    <xf borderId="1" fillId="0" fontId="28" numFmtId="0" xfId="0" applyAlignment="1" applyBorder="1" applyFont="1">
      <alignment readingOrder="0" vertical="center"/>
    </xf>
    <xf borderId="1" fillId="0" fontId="24"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9" numFmtId="0" xfId="0" applyAlignment="1" applyBorder="1" applyFont="1">
      <alignment horizontal="center" readingOrder="0" vertical="center"/>
    </xf>
    <xf borderId="1" fillId="0" fontId="29" numFmtId="0" xfId="0" applyAlignment="1" applyBorder="1" applyFont="1">
      <alignment horizontal="center" readingOrder="0" vertical="center"/>
    </xf>
    <xf borderId="1" fillId="0" fontId="9" numFmtId="0" xfId="0" applyAlignment="1" applyBorder="1" applyFont="1">
      <alignment horizontal="center" vertical="center"/>
    </xf>
    <xf borderId="1" fillId="0" fontId="9" numFmtId="0" xfId="0" applyAlignment="1" applyBorder="1" applyFont="1">
      <alignment horizontal="center" readingOrder="0" shrinkToFit="0" vertical="center" wrapText="0"/>
    </xf>
    <xf borderId="1" fillId="0" fontId="9" numFmtId="0" xfId="0" applyAlignment="1" applyBorder="1" applyFont="1">
      <alignment horizontal="center" readingOrder="0" shrinkToFit="0" vertical="center" wrapText="0"/>
    </xf>
    <xf borderId="1" fillId="0" fontId="4" numFmtId="0" xfId="0" applyAlignment="1" applyBorder="1" applyFont="1">
      <alignment horizontal="center" readingOrder="0" vertical="center"/>
    </xf>
    <xf borderId="1" fillId="0" fontId="10" numFmtId="0" xfId="0" applyAlignment="1" applyBorder="1" applyFont="1">
      <alignment horizontal="center" shrinkToFit="0" vertical="center" wrapText="0"/>
    </xf>
    <xf borderId="1" fillId="0" fontId="4" numFmtId="0" xfId="0" applyAlignment="1" applyBorder="1" applyFont="1">
      <alignment horizontal="left" readingOrder="0" shrinkToFit="0" vertical="center" wrapText="0"/>
    </xf>
    <xf borderId="1" fillId="0" fontId="4" numFmtId="0" xfId="0" applyAlignment="1" applyBorder="1" applyFont="1">
      <alignment horizontal="left" readingOrder="0" shrinkToFit="0" vertical="center" wrapText="0"/>
    </xf>
    <xf borderId="1" fillId="0" fontId="4" numFmtId="0" xfId="0" applyAlignment="1" applyBorder="1" applyFont="1">
      <alignment horizontal="center" readingOrder="0" shrinkToFit="0" vertical="center" wrapText="0"/>
    </xf>
    <xf borderId="1" fillId="7" fontId="13" numFmtId="0" xfId="0" applyAlignment="1" applyBorder="1" applyFill="1" applyFont="1">
      <alignment horizontal="center" vertical="center"/>
    </xf>
    <xf borderId="1" fillId="8" fontId="7" numFmtId="0" xfId="0" applyAlignment="1" applyBorder="1" applyFill="1" applyFont="1">
      <alignment horizontal="center" vertical="center"/>
    </xf>
    <xf borderId="1" fillId="0" fontId="10" numFmtId="0" xfId="0" applyAlignment="1" applyBorder="1" applyFont="1">
      <alignment horizontal="center" shrinkToFit="0" vertical="center" wrapText="0"/>
    </xf>
    <xf borderId="1" fillId="0" fontId="4" numFmtId="164" xfId="0" applyAlignment="1" applyBorder="1" applyFont="1" applyNumberFormat="1">
      <alignment horizontal="center" vertical="bottom"/>
    </xf>
    <xf borderId="1" fillId="0" fontId="4" numFmtId="165" xfId="0" applyAlignment="1" applyBorder="1" applyFont="1" applyNumberFormat="1">
      <alignment horizontal="right" vertical="bottom"/>
    </xf>
    <xf borderId="1" fillId="0" fontId="23" numFmtId="0" xfId="0" applyAlignment="1" applyBorder="1" applyFont="1">
      <alignment vertical="bottom"/>
    </xf>
    <xf borderId="1" fillId="0" fontId="6" numFmtId="0" xfId="0" applyBorder="1" applyFont="1"/>
    <xf borderId="1" fillId="0" fontId="23" numFmtId="0" xfId="0" applyAlignment="1" applyBorder="1" applyFont="1">
      <alignment vertical="bottom"/>
    </xf>
    <xf borderId="1" fillId="0" fontId="30" numFmtId="14" xfId="0" applyAlignment="1" applyBorder="1" applyFont="1" applyNumberFormat="1">
      <alignment horizontal="center" vertical="bottom"/>
    </xf>
    <xf borderId="1" fillId="0" fontId="30" numFmtId="0" xfId="0" applyAlignment="1" applyBorder="1" applyFont="1">
      <alignment horizontal="center" vertical="bottom"/>
    </xf>
    <xf borderId="1" fillId="0" fontId="30" numFmtId="0" xfId="0" applyAlignment="1" applyBorder="1" applyFont="1">
      <alignment horizontal="center" readingOrder="0" vertical="bottom"/>
    </xf>
    <xf borderId="1" fillId="0" fontId="11" numFmtId="0" xfId="0" applyAlignment="1" applyBorder="1" applyFont="1">
      <alignment horizontal="center" readingOrder="0" shrinkToFit="0" vertical="center" wrapText="0"/>
    </xf>
    <xf borderId="1" fillId="0" fontId="11" numFmtId="0" xfId="0" applyAlignment="1" applyBorder="1" applyFont="1">
      <alignment horizontal="center" readingOrder="0" shrinkToFit="0" vertical="center" wrapText="0"/>
    </xf>
    <xf borderId="1" fillId="0" fontId="4" numFmtId="49" xfId="0" applyAlignment="1" applyBorder="1" applyFont="1" applyNumberFormat="1">
      <alignment horizontal="center" vertical="bottom"/>
    </xf>
    <xf borderId="1" fillId="0" fontId="4" numFmtId="3" xfId="0" applyAlignment="1" applyBorder="1" applyFont="1" applyNumberFormat="1">
      <alignment horizontal="center" vertical="bottom"/>
    </xf>
    <xf borderId="1" fillId="0" fontId="31" numFmtId="0" xfId="0" applyAlignment="1" applyBorder="1" applyFont="1">
      <alignment vertical="bottom"/>
    </xf>
    <xf borderId="1" fillId="0" fontId="4" numFmtId="0" xfId="0" applyAlignment="1" applyBorder="1" applyFont="1">
      <alignment horizontal="center" vertical="bottom"/>
    </xf>
    <xf borderId="1" fillId="0" fontId="23" numFmtId="0" xfId="0" applyAlignment="1" applyBorder="1" applyFont="1">
      <alignment readingOrder="0" vertical="bottom"/>
    </xf>
    <xf borderId="1" fillId="0" fontId="4" numFmtId="0" xfId="0" applyAlignment="1" applyBorder="1" applyFont="1">
      <alignment horizontal="center" readingOrder="0" vertical="bottom"/>
    </xf>
    <xf borderId="1" fillId="0" fontId="4" numFmtId="0" xfId="0" applyAlignment="1" applyBorder="1" applyFont="1">
      <alignment vertical="bottom"/>
    </xf>
    <xf borderId="1" fillId="0" fontId="4" numFmtId="0" xfId="0" applyAlignment="1" applyBorder="1" applyFont="1">
      <alignment horizontal="center" vertical="bottom"/>
    </xf>
    <xf borderId="1" fillId="0" fontId="4" numFmtId="0" xfId="0" applyAlignment="1" applyBorder="1" applyFont="1">
      <alignment shrinkToFit="0" vertical="bottom" wrapText="0"/>
    </xf>
    <xf borderId="1" fillId="0" fontId="32" numFmtId="0" xfId="0" applyAlignment="1" applyBorder="1" applyFont="1">
      <alignment vertical="bottom"/>
    </xf>
    <xf borderId="1" fillId="0" fontId="4" numFmtId="0" xfId="0" applyAlignment="1" applyBorder="1" applyFont="1">
      <alignment vertical="bottom"/>
    </xf>
    <xf borderId="1" fillId="0" fontId="30" numFmtId="0" xfId="0" applyAlignment="1" applyBorder="1" applyFont="1">
      <alignment horizontal="left" readingOrder="0" shrinkToFit="0" vertical="center" wrapText="0"/>
    </xf>
    <xf borderId="1" fillId="0" fontId="4" numFmtId="0" xfId="0" applyAlignment="1" applyBorder="1" applyFont="1">
      <alignment horizontal="left" shrinkToFit="0" vertical="center" wrapText="0"/>
    </xf>
    <xf borderId="1" fillId="0" fontId="10" numFmtId="0" xfId="0" applyAlignment="1" applyBorder="1" applyFont="1">
      <alignment horizontal="center" shrinkToFit="0" vertical="center" wrapText="0"/>
    </xf>
    <xf borderId="1" fillId="0" fontId="33" numFmtId="0" xfId="0" applyAlignment="1" applyBorder="1" applyFont="1">
      <alignment horizontal="center" readingOrder="0" shrinkToFit="0" vertical="center" wrapText="0"/>
    </xf>
    <xf borderId="1" fillId="0" fontId="11" numFmtId="49" xfId="0" applyAlignment="1" applyBorder="1" applyFont="1" applyNumberFormat="1">
      <alignment horizontal="center" readingOrder="0" shrinkToFit="0" vertical="center" wrapText="0"/>
    </xf>
    <xf borderId="1" fillId="0" fontId="11" numFmtId="0" xfId="0" applyAlignment="1" applyBorder="1" applyFont="1">
      <alignment horizontal="center" readingOrder="0" shrinkToFit="0" vertical="center" wrapText="0"/>
    </xf>
    <xf borderId="1" fillId="0" fontId="11" numFmtId="0" xfId="0" applyAlignment="1" applyBorder="1" applyFont="1">
      <alignment horizontal="center" readingOrder="0" shrinkToFit="0" vertical="center" wrapText="0"/>
    </xf>
    <xf borderId="1" fillId="0" fontId="11" numFmtId="0" xfId="0" applyAlignment="1" applyBorder="1" applyFont="1">
      <alignment horizontal="center" readingOrder="0" shrinkToFit="0" vertical="center" wrapText="0"/>
    </xf>
    <xf borderId="1" fillId="0" fontId="11" numFmtId="0" xfId="0" applyAlignment="1" applyBorder="1" applyFont="1">
      <alignment horizontal="center" readingOrder="0" shrinkToFit="0" vertical="center" wrapText="0"/>
    </xf>
    <xf borderId="1" fillId="0" fontId="10" numFmtId="49" xfId="0" applyAlignment="1" applyBorder="1" applyFont="1" applyNumberFormat="1">
      <alignment horizontal="center" shrinkToFit="0" vertical="center" wrapText="0"/>
    </xf>
    <xf borderId="1" fillId="0" fontId="10" numFmtId="0" xfId="0" applyAlignment="1" applyBorder="1" applyFont="1">
      <alignment horizontal="left" shrinkToFit="0" vertical="center" wrapText="0"/>
    </xf>
    <xf borderId="1" fillId="0" fontId="34" numFmtId="0" xfId="0" applyAlignment="1" applyBorder="1" applyFont="1">
      <alignment horizontal="center" shrinkToFit="0" vertical="center" wrapText="0"/>
    </xf>
    <xf borderId="1" fillId="0" fontId="35" numFmtId="0" xfId="0" applyAlignment="1" applyBorder="1" applyFont="1">
      <alignment horizontal="left" shrinkToFit="0" vertical="center" wrapText="0"/>
    </xf>
    <xf borderId="1" fillId="0" fontId="36" numFmtId="49" xfId="0" applyAlignment="1" applyBorder="1" applyFont="1" applyNumberFormat="1">
      <alignment horizontal="center" shrinkToFit="0" vertical="center" wrapText="0"/>
    </xf>
    <xf borderId="1" fillId="0" fontId="11" numFmtId="0" xfId="0" applyAlignment="1" applyBorder="1" applyFont="1">
      <alignment horizontal="left" shrinkToFit="0" vertical="center" wrapText="0"/>
    </xf>
    <xf borderId="1" fillId="0" fontId="37" numFmtId="0" xfId="0" applyAlignment="1" applyBorder="1" applyFont="1">
      <alignment readingOrder="0" shrinkToFit="0" vertical="center" wrapText="0"/>
    </xf>
    <xf borderId="1" fillId="0" fontId="38" numFmtId="0" xfId="0" applyAlignment="1" applyBorder="1" applyFont="1">
      <alignment horizontal="left" readingOrder="0" shrinkToFit="0" vertical="center" wrapText="0"/>
    </xf>
    <xf borderId="1" fillId="0" fontId="4" numFmtId="49" xfId="0" applyAlignment="1" applyBorder="1" applyFont="1" applyNumberFormat="1">
      <alignment horizontal="center" readingOrder="0" shrinkToFit="0" vertical="center" wrapText="0"/>
    </xf>
    <xf borderId="1" fillId="0" fontId="9" numFmtId="0" xfId="0" applyAlignment="1" applyBorder="1" applyFont="1">
      <alignment horizontal="left" readingOrder="0" shrinkToFit="0" vertical="center" wrapText="0"/>
    </xf>
    <xf borderId="1" fillId="0" fontId="39" numFmtId="0" xfId="0" applyAlignment="1" applyBorder="1" applyFont="1">
      <alignment readingOrder="0" shrinkToFit="0" vertical="center" wrapText="0"/>
    </xf>
    <xf borderId="1" fillId="0" fontId="9" numFmtId="0" xfId="0" applyAlignment="1" applyBorder="1" applyFont="1">
      <alignment horizontal="left" shrinkToFit="0" vertical="center" wrapText="0"/>
    </xf>
    <xf borderId="1" fillId="0" fontId="40" numFmtId="0" xfId="0" applyAlignment="1" applyBorder="1" applyFont="1">
      <alignment readingOrder="0" shrinkToFit="0" vertical="center" wrapText="0"/>
    </xf>
    <xf borderId="1" fillId="0" fontId="41" numFmtId="0" xfId="0" applyAlignment="1" applyBorder="1" applyFont="1">
      <alignment shrinkToFit="0" vertical="center" wrapText="0"/>
    </xf>
    <xf borderId="1" fillId="0" fontId="4" numFmtId="0" xfId="0" applyAlignment="1" applyBorder="1" applyFont="1">
      <alignment horizontal="left" shrinkToFit="0" vertical="center" wrapText="0"/>
    </xf>
    <xf borderId="1" fillId="0" fontId="4" numFmtId="0" xfId="0" applyAlignment="1" applyBorder="1" applyFont="1">
      <alignment horizontal="center" shrinkToFit="0" vertical="center" wrapText="0"/>
    </xf>
    <xf borderId="1" fillId="0" fontId="42" numFmtId="0" xfId="0" applyAlignment="1" applyBorder="1" applyFont="1">
      <alignment readingOrder="0" shrinkToFit="0" vertical="center" wrapText="0"/>
    </xf>
    <xf borderId="1" fillId="0" fontId="43" numFmtId="0" xfId="0" applyAlignment="1" applyBorder="1" applyFont="1">
      <alignment readingOrder="0" shrinkToFit="0" vertical="center" wrapText="0"/>
    </xf>
    <xf borderId="1" fillId="0" fontId="6" numFmtId="0" xfId="0" applyAlignment="1" applyBorder="1" applyFont="1">
      <alignment vertical="center"/>
    </xf>
    <xf borderId="1" fillId="0" fontId="30" numFmtId="0" xfId="0" applyAlignment="1" applyBorder="1" applyFont="1">
      <alignment horizontal="center" readingOrder="0" vertical="center"/>
    </xf>
    <xf borderId="0" fillId="0" fontId="30" numFmtId="0" xfId="0" applyAlignment="1" applyFont="1">
      <alignment horizontal="center" readingOrder="0" vertical="center"/>
    </xf>
    <xf borderId="1" fillId="0" fontId="30" numFmtId="14" xfId="0" applyAlignment="1" applyBorder="1" applyFont="1" applyNumberFormat="1">
      <alignment horizontal="left" readingOrder="0" vertical="center"/>
    </xf>
    <xf borderId="0" fillId="0" fontId="30" numFmtId="14" xfId="0" applyAlignment="1" applyFont="1" applyNumberFormat="1">
      <alignment horizontal="left" readingOrder="0" vertical="center"/>
    </xf>
    <xf borderId="1" fillId="0" fontId="30" numFmtId="14" xfId="0" applyAlignment="1" applyBorder="1" applyFont="1" applyNumberFormat="1">
      <alignment horizontal="center" readingOrder="0" vertical="center"/>
    </xf>
    <xf borderId="0" fillId="0" fontId="30" numFmtId="14" xfId="0" applyAlignment="1" applyFont="1" applyNumberFormat="1">
      <alignment horizontal="center" readingOrder="0" vertical="center"/>
    </xf>
    <xf borderId="0" fillId="0" fontId="30" numFmtId="0" xfId="0" applyAlignment="1" applyFont="1">
      <alignment horizontal="center" vertical="center"/>
    </xf>
    <xf borderId="1" fillId="0" fontId="11" numFmtId="49" xfId="0" applyAlignment="1" applyBorder="1" applyFont="1" applyNumberFormat="1">
      <alignment horizontal="center" readingOrder="0" shrinkToFit="0" vertical="center" wrapText="0"/>
    </xf>
    <xf borderId="1" fillId="0" fontId="11" numFmtId="0" xfId="0" applyAlignment="1" applyBorder="1" applyFont="1">
      <alignment horizontal="center" readingOrder="0" shrinkToFit="0" vertical="center" wrapText="0"/>
    </xf>
    <xf borderId="1" fillId="0" fontId="6" numFmtId="165" xfId="0" applyAlignment="1" applyBorder="1" applyFont="1" applyNumberFormat="1">
      <alignment horizontal="center" readingOrder="0" shrinkToFit="0" vertical="center" wrapText="0"/>
    </xf>
    <xf borderId="1" fillId="0" fontId="4" numFmtId="165" xfId="0" applyAlignment="1" applyBorder="1" applyFont="1" applyNumberFormat="1">
      <alignment horizontal="center" readingOrder="0" shrinkToFit="0" vertical="center" wrapText="0"/>
    </xf>
    <xf borderId="1" fillId="9" fontId="4" numFmtId="0" xfId="0" applyAlignment="1" applyBorder="1" applyFill="1" applyFont="1">
      <alignment horizontal="center" readingOrder="0" shrinkToFit="0" vertical="center" wrapText="0"/>
    </xf>
    <xf borderId="1" fillId="0" fontId="6" numFmtId="0" xfId="0" applyAlignment="1" applyBorder="1" applyFont="1">
      <alignment horizontal="center" vertical="center"/>
    </xf>
    <xf borderId="1" fillId="9" fontId="44" numFmtId="0" xfId="0" applyAlignment="1" applyBorder="1" applyFont="1">
      <alignment horizontal="center" readingOrder="0" vertical="center"/>
    </xf>
    <xf borderId="1" fillId="0" fontId="44" numFmtId="0" xfId="0" applyAlignment="1" applyBorder="1" applyFont="1">
      <alignment horizontal="center" readingOrder="0" vertical="center"/>
    </xf>
    <xf borderId="1" fillId="10" fontId="11" numFmtId="0" xfId="0" applyAlignment="1" applyBorder="1" applyFill="1" applyFont="1">
      <alignment horizontal="center" readingOrder="0" vertical="center"/>
    </xf>
    <xf borderId="1" fillId="10" fontId="4" numFmtId="0" xfId="0" applyAlignment="1" applyBorder="1" applyFont="1">
      <alignment horizontal="center" readingOrder="0" shrinkToFit="0" vertical="center" wrapText="0"/>
    </xf>
    <xf borderId="1" fillId="10" fontId="4" numFmtId="0" xfId="0" applyAlignment="1" applyBorder="1" applyFont="1">
      <alignment horizontal="center" readingOrder="0" vertical="center"/>
    </xf>
    <xf borderId="1" fillId="0" fontId="45" numFmtId="0" xfId="0" applyBorder="1" applyFont="1"/>
    <xf borderId="1" fillId="0" fontId="23" numFmtId="0" xfId="0" applyBorder="1" applyFont="1"/>
    <xf borderId="1" fillId="0" fontId="23" numFmtId="0" xfId="0" applyBorder="1" applyFont="1"/>
    <xf borderId="0" fillId="0" fontId="23" numFmtId="0" xfId="0" applyAlignment="1" applyFont="1">
      <alignment vertical="bottom"/>
    </xf>
    <xf borderId="1" fillId="0" fontId="46" numFmtId="0" xfId="0" applyBorder="1" applyFont="1"/>
    <xf borderId="1" fillId="0" fontId="47" numFmtId="0" xfId="0" applyBorder="1" applyFont="1"/>
    <xf borderId="1" fillId="0" fontId="23" numFmtId="164" xfId="0" applyBorder="1" applyFont="1" applyNumberFormat="1"/>
    <xf borderId="1" fillId="11" fontId="45" numFmtId="0" xfId="0" applyAlignment="1" applyBorder="1" applyFill="1" applyFont="1">
      <alignment shrinkToFit="0" wrapText="0"/>
    </xf>
    <xf borderId="1" fillId="11" fontId="45" numFmtId="0" xfId="0" applyAlignment="1" applyBorder="1" applyFont="1">
      <alignment shrinkToFit="0" wrapText="0"/>
    </xf>
    <xf borderId="1" fillId="11" fontId="45" numFmtId="164" xfId="0" applyAlignment="1" applyBorder="1" applyFont="1" applyNumberFormat="1">
      <alignment shrinkToFit="0" wrapText="0"/>
    </xf>
    <xf borderId="4" fillId="11" fontId="45" numFmtId="0" xfId="0" applyAlignment="1" applyBorder="1" applyFont="1">
      <alignment shrinkToFit="0" wrapText="0"/>
    </xf>
    <xf borderId="5" fillId="0" fontId="48" numFmtId="0" xfId="0" applyBorder="1" applyFont="1"/>
    <xf borderId="6" fillId="0" fontId="48" numFmtId="0" xfId="0" applyBorder="1" applyFont="1"/>
    <xf borderId="0" fillId="0" fontId="49" numFmtId="0" xfId="0" applyAlignment="1" applyFont="1">
      <alignment vertical="bottom"/>
    </xf>
    <xf borderId="1" fillId="0" fontId="45" numFmtId="0" xfId="0" applyAlignment="1" applyBorder="1" applyFont="1">
      <alignment shrinkToFit="0" wrapText="0"/>
    </xf>
    <xf borderId="1" fillId="0" fontId="45" numFmtId="169" xfId="0" applyAlignment="1" applyBorder="1" applyFont="1" applyNumberFormat="1">
      <alignment shrinkToFit="0" wrapText="0"/>
    </xf>
    <xf borderId="1" fillId="0" fontId="45" numFmtId="164" xfId="0" applyAlignment="1" applyBorder="1" applyFont="1" applyNumberFormat="1">
      <alignment shrinkToFit="0" wrapText="0"/>
    </xf>
    <xf borderId="1" fillId="0" fontId="45" numFmtId="0" xfId="0" applyAlignment="1" applyBorder="1" applyFont="1">
      <alignment shrinkToFit="0" wrapText="0"/>
    </xf>
    <xf borderId="0" fillId="0" fontId="4" numFmtId="0" xfId="0" applyAlignment="1" applyFont="1">
      <alignment horizontal="center" vertical="bottom"/>
    </xf>
    <xf borderId="1" fillId="0" fontId="45" numFmtId="170" xfId="0" applyAlignment="1" applyBorder="1" applyFont="1" applyNumberFormat="1">
      <alignment shrinkToFit="0" wrapText="0"/>
    </xf>
    <xf borderId="0" fillId="0" fontId="23" numFmtId="0" xfId="0" applyAlignment="1" applyFont="1">
      <alignment vertical="bottom"/>
    </xf>
    <xf borderId="0" fillId="0" fontId="23" numFmtId="164" xfId="0" applyAlignment="1" applyFont="1" applyNumberFormat="1">
      <alignment vertical="bottom"/>
    </xf>
    <xf borderId="0" fillId="0" fontId="23" numFmtId="0" xfId="0" applyAlignment="1" applyFont="1">
      <alignment vertical="bottom"/>
    </xf>
    <xf borderId="0" fillId="0" fontId="23" numFmtId="0" xfId="0" applyAlignment="1" applyFont="1">
      <alignment shrinkToFit="0" vertical="bottom" wrapText="1"/>
    </xf>
    <xf borderId="0" fillId="0" fontId="23" numFmtId="164" xfId="0" applyAlignment="1" applyFont="1" applyNumberFormat="1">
      <alignment shrinkToFit="0" vertical="bottom" wrapText="1"/>
    </xf>
    <xf borderId="1" fillId="12" fontId="50" numFmtId="0" xfId="0" applyAlignment="1" applyBorder="1" applyFill="1" applyFont="1">
      <alignment horizontal="center" readingOrder="0" shrinkToFit="0" vertical="center" wrapText="1"/>
    </xf>
    <xf borderId="6" fillId="12" fontId="50" numFmtId="0" xfId="0" applyAlignment="1" applyBorder="1" applyFont="1">
      <alignment readingOrder="0" shrinkToFit="0" vertical="center" wrapText="1"/>
    </xf>
    <xf borderId="0" fillId="0" fontId="51" numFmtId="0" xfId="0" applyAlignment="1" applyFont="1">
      <alignment shrinkToFit="0" vertical="center" wrapText="1"/>
    </xf>
    <xf borderId="0" fillId="0" fontId="44" numFmtId="0" xfId="0" applyAlignment="1" applyFont="1">
      <alignment shrinkToFit="0" vertical="center" wrapText="1"/>
    </xf>
    <xf borderId="7" fillId="13" fontId="51" numFmtId="0" xfId="0" applyAlignment="1" applyBorder="1" applyFill="1" applyFont="1">
      <alignment horizontal="center" readingOrder="0" shrinkToFit="0" vertical="center" wrapText="1"/>
    </xf>
    <xf borderId="8" fillId="0" fontId="51" numFmtId="0" xfId="0" applyAlignment="1" applyBorder="1" applyFont="1">
      <alignment readingOrder="0" shrinkToFit="0" vertical="center" wrapText="1"/>
    </xf>
    <xf borderId="1" fillId="14" fontId="52" numFmtId="0" xfId="0" applyAlignment="1" applyBorder="1" applyFill="1" applyFont="1">
      <alignment readingOrder="0" shrinkToFit="0" vertical="center" wrapText="1"/>
    </xf>
    <xf borderId="1" fillId="0" fontId="51" numFmtId="0" xfId="0" applyAlignment="1" applyBorder="1" applyFont="1">
      <alignment readingOrder="0" shrinkToFit="0" vertical="center" wrapText="1"/>
    </xf>
    <xf borderId="1" fillId="14" fontId="51" numFmtId="0" xfId="0" applyAlignment="1" applyBorder="1" applyFont="1">
      <alignment readingOrder="0" shrinkToFit="0" vertical="center" wrapText="1"/>
    </xf>
    <xf borderId="8" fillId="0" fontId="53" numFmtId="0" xfId="0" applyAlignment="1" applyBorder="1" applyFont="1">
      <alignment readingOrder="0" shrinkToFit="0" vertical="center" wrapText="1"/>
    </xf>
    <xf borderId="1" fillId="8" fontId="51" numFmtId="0" xfId="0" applyAlignment="1" applyBorder="1" applyFont="1">
      <alignment readingOrder="0" shrinkToFit="0" vertical="center" wrapText="1"/>
    </xf>
    <xf borderId="1" fillId="14" fontId="53" numFmtId="0" xfId="0" applyAlignment="1" applyBorder="1" applyFont="1">
      <alignment readingOrder="0" shrinkToFit="0" vertical="center" wrapText="1"/>
    </xf>
    <xf borderId="1" fillId="0" fontId="44" numFmtId="0" xfId="0" applyAlignment="1" applyBorder="1" applyFont="1">
      <alignment readingOrder="0" shrinkToFit="0" vertical="center" wrapText="1"/>
    </xf>
    <xf borderId="1" fillId="14" fontId="54" numFmtId="0" xfId="0" applyAlignment="1" applyBorder="1" applyFont="1">
      <alignment readingOrder="0" shrinkToFit="0" vertical="center" wrapText="1"/>
    </xf>
    <xf borderId="0" fillId="0" fontId="44" numFmtId="0" xfId="0" applyAlignment="1" applyFont="1">
      <alignment shrinkToFit="0" wrapText="1"/>
    </xf>
    <xf borderId="8" fillId="0" fontId="44" numFmtId="0" xfId="0" applyAlignment="1" applyBorder="1" applyFont="1">
      <alignment readingOrder="0" shrinkToFit="0" vertical="center" wrapText="1"/>
    </xf>
    <xf borderId="0" fillId="0" fontId="6" numFmtId="0" xfId="0" applyAlignment="1" applyFont="1">
      <alignment horizontal="left" readingOrder="0" vertical="center"/>
    </xf>
    <xf borderId="0" fillId="0" fontId="6" numFmtId="0" xfId="0" applyAlignment="1" applyFont="1">
      <alignment horizontal="center" readingOrder="0" vertical="center"/>
    </xf>
    <xf borderId="0" fillId="0" fontId="6" numFmtId="0" xfId="0" applyAlignment="1" applyFont="1">
      <alignment horizontal="center" vertical="center"/>
    </xf>
    <xf borderId="9" fillId="0" fontId="6" numFmtId="0" xfId="0" applyAlignment="1" applyBorder="1" applyFont="1">
      <alignment horizontal="center" readingOrder="0" vertical="center"/>
    </xf>
    <xf borderId="7" fillId="8" fontId="55" numFmtId="171" xfId="0" applyAlignment="1" applyBorder="1" applyFont="1" applyNumberFormat="1">
      <alignment horizontal="center" readingOrder="0" vertical="center"/>
    </xf>
    <xf borderId="7" fillId="8" fontId="56" numFmtId="0" xfId="0" applyAlignment="1" applyBorder="1" applyFont="1">
      <alignment readingOrder="0" vertical="center"/>
    </xf>
    <xf borderId="7" fillId="8" fontId="55" numFmtId="0" xfId="0" applyAlignment="1" applyBorder="1" applyFont="1">
      <alignment readingOrder="0" vertical="center"/>
    </xf>
    <xf borderId="7" fillId="0" fontId="6" numFmtId="0" xfId="0" applyAlignment="1" applyBorder="1" applyFont="1">
      <alignment horizontal="center" readingOrder="0" vertical="center"/>
    </xf>
    <xf borderId="0" fillId="0" fontId="6" numFmtId="0" xfId="0" applyAlignment="1" applyFont="1">
      <alignment vertical="center"/>
    </xf>
    <xf borderId="1" fillId="8" fontId="55" numFmtId="171" xfId="0" applyAlignment="1" applyBorder="1" applyFont="1" applyNumberFormat="1">
      <alignment horizontal="center" readingOrder="0" vertical="center"/>
    </xf>
    <xf borderId="1" fillId="8" fontId="55" numFmtId="0" xfId="0" applyAlignment="1" applyBorder="1" applyFont="1">
      <alignment horizontal="left" readingOrder="0" vertical="center"/>
    </xf>
    <xf borderId="1" fillId="8" fontId="55" numFmtId="0" xfId="0" applyAlignment="1" applyBorder="1" applyFont="1">
      <alignment readingOrder="0" vertical="center"/>
    </xf>
    <xf borderId="1" fillId="0" fontId="6" numFmtId="0" xfId="0" applyAlignment="1" applyBorder="1" applyFont="1">
      <alignment readingOrder="0" vertical="center"/>
    </xf>
    <xf borderId="1" fillId="8" fontId="56" numFmtId="0" xfId="0" applyAlignment="1" applyBorder="1" applyFont="1">
      <alignment readingOrder="0" vertical="center"/>
    </xf>
    <xf borderId="0" fillId="0" fontId="6" numFmtId="0" xfId="0" applyAlignment="1" applyFont="1">
      <alignment readingOrder="0" vertical="center"/>
    </xf>
    <xf borderId="0" fillId="0" fontId="6" numFmtId="0" xfId="0" applyAlignment="1" applyFont="1">
      <alignment horizontal="right" readingOrder="0" vertical="center"/>
    </xf>
    <xf borderId="0" fillId="8" fontId="55" numFmtId="0" xfId="0" applyAlignment="1" applyFont="1">
      <alignment readingOrder="0" vertical="center"/>
    </xf>
    <xf borderId="1" fillId="0" fontId="55" numFmtId="0" xfId="0" applyAlignment="1" applyBorder="1" applyFont="1">
      <alignment readingOrder="0" vertical="center"/>
    </xf>
    <xf borderId="7" fillId="0" fontId="55" numFmtId="0" xfId="0" applyAlignment="1" applyBorder="1" applyFont="1">
      <alignment readingOrder="0" vertical="center"/>
    </xf>
    <xf borderId="7" fillId="0" fontId="6" numFmtId="0" xfId="0" applyAlignment="1" applyBorder="1" applyFont="1">
      <alignment horizontal="center" readingOrder="0" vertical="center"/>
    </xf>
    <xf borderId="0" fillId="15" fontId="6" numFmtId="0" xfId="0" applyAlignment="1" applyFill="1" applyFont="1">
      <alignment vertical="center"/>
    </xf>
    <xf borderId="0" fillId="15" fontId="57" numFmtId="0" xfId="0" applyAlignment="1" applyFont="1">
      <alignment readingOrder="0" vertical="center"/>
    </xf>
    <xf borderId="0" fillId="15" fontId="6" numFmtId="0" xfId="0" applyAlignment="1" applyFont="1">
      <alignment horizontal="center" vertical="center"/>
    </xf>
    <xf borderId="0" fillId="0" fontId="58" numFmtId="0" xfId="0" applyAlignment="1" applyFont="1">
      <alignment readingOrder="0" vertical="center"/>
    </xf>
    <xf borderId="10" fillId="0" fontId="23" numFmtId="0" xfId="0" applyAlignment="1" applyBorder="1" applyFont="1">
      <alignment readingOrder="0" shrinkToFit="0" wrapText="0"/>
    </xf>
    <xf borderId="11" fillId="0" fontId="23" numFmtId="0" xfId="0" applyBorder="1" applyFont="1"/>
    <xf borderId="0" fillId="0" fontId="23" numFmtId="0" xfId="0" applyFont="1"/>
    <xf borderId="12" fillId="0" fontId="23" numFmtId="0" xfId="0" applyAlignment="1" applyBorder="1" applyFont="1">
      <alignment horizontal="center"/>
    </xf>
    <xf borderId="13" fillId="0" fontId="23" numFmtId="0" xfId="0" applyAlignment="1" applyBorder="1" applyFont="1">
      <alignment horizontal="center"/>
    </xf>
    <xf borderId="7" fillId="8" fontId="55" numFmtId="171" xfId="0" applyAlignment="1" applyBorder="1" applyFont="1" applyNumberFormat="1">
      <alignment horizontal="center" readingOrder="0" vertical="center"/>
    </xf>
    <xf borderId="8" fillId="0" fontId="23" numFmtId="0" xfId="0" applyAlignment="1" applyBorder="1" applyFont="1">
      <alignment vertical="center"/>
    </xf>
    <xf borderId="8" fillId="8" fontId="23" numFmtId="0" xfId="0" applyAlignment="1" applyBorder="1" applyFont="1">
      <alignment vertical="center"/>
    </xf>
    <xf borderId="8" fillId="0" fontId="23" numFmtId="0" xfId="0" applyAlignment="1" applyBorder="1" applyFont="1">
      <alignment horizontal="center" readingOrder="0" vertical="center"/>
    </xf>
    <xf borderId="8" fillId="8" fontId="23" numFmtId="0" xfId="0" applyAlignment="1" applyBorder="1" applyFont="1">
      <alignment readingOrder="0" vertical="center"/>
    </xf>
    <xf borderId="1" fillId="0" fontId="59" numFmtId="0" xfId="0" applyAlignment="1" applyBorder="1" applyFont="1">
      <alignment readingOrder="0" vertical="center"/>
    </xf>
    <xf borderId="1" fillId="8" fontId="60" numFmtId="0" xfId="0" applyAlignment="1" applyBorder="1" applyFont="1">
      <alignment readingOrder="0" vertical="center"/>
    </xf>
    <xf borderId="1" fillId="0" fontId="6" numFmtId="0" xfId="0" applyAlignment="1" applyBorder="1" applyFont="1">
      <alignment readingOrder="0" vertical="center"/>
    </xf>
    <xf borderId="8" fillId="0" fontId="61" numFmtId="0" xfId="0" applyAlignment="1" applyBorder="1" applyFont="1">
      <alignment readingOrder="0" vertical="center"/>
    </xf>
    <xf borderId="8" fillId="0" fontId="23" numFmtId="0" xfId="0" applyAlignment="1" applyBorder="1" applyFont="1">
      <alignment readingOrder="0" vertical="center"/>
    </xf>
    <xf borderId="14" fillId="0" fontId="23" numFmtId="0" xfId="0" applyAlignment="1" applyBorder="1" applyFont="1">
      <alignment readingOrder="0" shrinkToFit="0" wrapText="0"/>
    </xf>
    <xf borderId="12" fillId="0" fontId="23" numFmtId="0" xfId="0" applyAlignment="1" applyBorder="1" applyFont="1">
      <alignment horizontal="center" vertical="bottom"/>
    </xf>
    <xf borderId="13" fillId="0" fontId="23" numFmtId="0" xfId="0" applyAlignment="1" applyBorder="1" applyFont="1">
      <alignment horizontal="center" vertical="bottom"/>
    </xf>
    <xf borderId="3" fillId="0" fontId="23" numFmtId="0" xfId="0" applyAlignment="1" applyBorder="1" applyFont="1">
      <alignment horizontal="center" vertical="bottom"/>
    </xf>
    <xf borderId="15" fillId="0" fontId="23" numFmtId="0" xfId="0" applyAlignment="1" applyBorder="1" applyFont="1">
      <alignment horizontal="center" vertical="bottom"/>
    </xf>
    <xf borderId="0" fillId="0" fontId="6" numFmtId="0" xfId="0" applyAlignment="1" applyFont="1">
      <alignment readingOrder="0" vertical="center"/>
    </xf>
    <xf borderId="0" fillId="0" fontId="62" numFmtId="0" xfId="0" applyAlignment="1" applyFont="1">
      <alignment readingOrder="0" vertical="center"/>
    </xf>
    <xf borderId="1" fillId="16" fontId="55" numFmtId="171" xfId="0" applyAlignment="1" applyBorder="1" applyFill="1" applyFont="1" applyNumberFormat="1">
      <alignment horizontal="center" readingOrder="0" vertical="center"/>
    </xf>
    <xf borderId="1" fillId="16" fontId="6" numFmtId="0" xfId="0" applyAlignment="1" applyBorder="1" applyFont="1">
      <alignment readingOrder="0" vertical="center"/>
    </xf>
    <xf borderId="1" fillId="16" fontId="55" numFmtId="0" xfId="0" applyAlignment="1" applyBorder="1" applyFont="1">
      <alignment readingOrder="0" vertical="center"/>
    </xf>
    <xf borderId="1" fillId="16" fontId="6" numFmtId="0" xfId="0" applyAlignment="1" applyBorder="1" applyFont="1">
      <alignment horizontal="center" vertical="center"/>
    </xf>
    <xf borderId="1" fillId="16" fontId="23" numFmtId="0" xfId="0" applyAlignment="1" applyBorder="1" applyFont="1">
      <alignment readingOrder="0" vertical="center"/>
    </xf>
    <xf borderId="8" fillId="16" fontId="23" numFmtId="0" xfId="0" applyAlignment="1" applyBorder="1" applyFont="1">
      <alignment readingOrder="0" vertical="center"/>
    </xf>
    <xf borderId="1" fillId="0" fontId="23" numFmtId="0" xfId="0" applyAlignment="1" applyBorder="1" applyFont="1">
      <alignment horizontal="center" vertical="bottom"/>
    </xf>
    <xf borderId="1" fillId="0" fontId="55" numFmtId="171" xfId="0" applyAlignment="1" applyBorder="1" applyFont="1" applyNumberFormat="1">
      <alignment horizontal="center" readingOrder="0" vertical="center"/>
    </xf>
    <xf borderId="1" fillId="0" fontId="23" numFmtId="0" xfId="0" applyAlignment="1" applyBorder="1" applyFont="1">
      <alignment vertical="center"/>
    </xf>
    <xf borderId="1" fillId="0" fontId="23" numFmtId="0" xfId="0" applyAlignment="1" applyBorder="1" applyFont="1">
      <alignment readingOrder="0" vertical="center"/>
    </xf>
    <xf borderId="1" fillId="0" fontId="23" numFmtId="0" xfId="0" applyAlignment="1" applyBorder="1" applyFont="1">
      <alignment horizontal="center" readingOrder="0" vertical="center"/>
    </xf>
    <xf borderId="7" fillId="0" fontId="55" numFmtId="171" xfId="0" applyAlignment="1" applyBorder="1" applyFont="1" applyNumberFormat="1">
      <alignment horizontal="center" readingOrder="0" vertical="center"/>
    </xf>
    <xf borderId="1" fillId="0" fontId="63" numFmtId="0" xfId="0" applyAlignment="1" applyBorder="1" applyFont="1">
      <alignment readingOrder="0" vertical="center"/>
    </xf>
    <xf borderId="1" fillId="0" fontId="55" numFmtId="171" xfId="0" applyAlignment="1" applyBorder="1" applyFont="1" applyNumberFormat="1">
      <alignment horizontal="center" readingOrder="0" vertical="center"/>
    </xf>
    <xf borderId="2" fillId="0" fontId="6" numFmtId="0" xfId="0" applyAlignment="1" applyBorder="1" applyFont="1">
      <alignment horizontal="center" readingOrder="0" vertical="center"/>
    </xf>
    <xf borderId="1" fillId="0" fontId="55" numFmtId="0" xfId="0" applyAlignment="1" applyBorder="1" applyFont="1">
      <alignment horizontal="left" readingOrder="0" vertical="center"/>
    </xf>
    <xf borderId="4" fillId="0" fontId="55" numFmtId="0" xfId="0" applyAlignment="1" applyBorder="1" applyFont="1">
      <alignment readingOrder="0" vertical="center"/>
    </xf>
    <xf borderId="6" fillId="0" fontId="23" numFmtId="0" xfId="0" applyAlignment="1" applyBorder="1" applyFont="1">
      <alignment vertical="center"/>
    </xf>
    <xf borderId="6" fillId="0" fontId="55" numFmtId="0" xfId="0" applyAlignment="1" applyBorder="1" applyFont="1">
      <alignment vertical="center"/>
    </xf>
    <xf borderId="8" fillId="0" fontId="23" numFmtId="0" xfId="0" applyAlignment="1" applyBorder="1" applyFont="1">
      <alignment horizontal="center" readingOrder="0"/>
    </xf>
    <xf borderId="0" fillId="0" fontId="23" numFmtId="0" xfId="0" applyAlignment="1" applyFont="1">
      <alignment shrinkToFit="0" wrapText="0"/>
    </xf>
    <xf borderId="14" fillId="0" fontId="23" numFmtId="0" xfId="0" applyAlignment="1" applyBorder="1" applyFont="1">
      <alignment shrinkToFit="0" wrapText="0"/>
    </xf>
    <xf borderId="14" fillId="0" fontId="23" numFmtId="0" xfId="0" applyBorder="1" applyFont="1"/>
    <xf borderId="1" fillId="17" fontId="55" numFmtId="171" xfId="0" applyAlignment="1" applyBorder="1" applyFill="1" applyFont="1" applyNumberFormat="1">
      <alignment horizontal="center" readingOrder="0" vertical="center"/>
    </xf>
    <xf borderId="1" fillId="17" fontId="6" numFmtId="0" xfId="0" applyAlignment="1" applyBorder="1" applyFont="1">
      <alignment readingOrder="0" vertical="center"/>
    </xf>
    <xf borderId="8" fillId="17" fontId="23" numFmtId="0" xfId="0" applyAlignment="1" applyBorder="1" applyFont="1">
      <alignment readingOrder="0" vertical="center"/>
    </xf>
    <xf borderId="8" fillId="17" fontId="23" numFmtId="0" xfId="0" applyAlignment="1" applyBorder="1" applyFont="1">
      <alignment horizontal="center" readingOrder="0" vertical="center"/>
    </xf>
    <xf borderId="1" fillId="18" fontId="55" numFmtId="171" xfId="0" applyAlignment="1" applyBorder="1" applyFill="1" applyFont="1" applyNumberFormat="1">
      <alignment horizontal="center" readingOrder="0" vertical="center"/>
    </xf>
    <xf borderId="1" fillId="0" fontId="23" numFmtId="0" xfId="0" applyBorder="1" applyFont="1"/>
    <xf borderId="1" fillId="12" fontId="8" numFmtId="0" xfId="0" applyAlignment="1" applyBorder="1" applyFont="1">
      <alignment readingOrder="0" vertical="center"/>
    </xf>
    <xf borderId="1" fillId="12" fontId="64" numFmtId="0" xfId="0" applyAlignment="1" applyBorder="1" applyFont="1">
      <alignment readingOrder="0" vertical="center"/>
    </xf>
    <xf borderId="1" fillId="8" fontId="6" numFmtId="0" xfId="0" applyAlignment="1" applyBorder="1" applyFont="1">
      <alignment readingOrder="0" vertical="center"/>
    </xf>
    <xf borderId="1" fillId="8" fontId="6" numFmtId="0" xfId="0" applyAlignment="1" applyBorder="1" applyFont="1">
      <alignment horizontal="center" readingOrder="0" vertical="center"/>
    </xf>
    <xf borderId="1" fillId="12" fontId="65" numFmtId="0" xfId="0" applyAlignment="1" applyBorder="1" applyFont="1">
      <alignment readingOrder="0" vertical="center"/>
    </xf>
    <xf borderId="1" fillId="12" fontId="66" numFmtId="0" xfId="0" applyAlignment="1" applyBorder="1" applyFont="1">
      <alignment readingOrder="0" vertical="center"/>
    </xf>
    <xf borderId="1" fillId="18" fontId="55" numFmtId="171" xfId="0" applyAlignment="1" applyBorder="1" applyFont="1" applyNumberFormat="1">
      <alignment horizontal="center" readingOrder="0" vertical="center"/>
    </xf>
    <xf borderId="1" fillId="6" fontId="6" numFmtId="0" xfId="0" applyAlignment="1" applyBorder="1" applyFont="1">
      <alignment horizontal="center" readingOrder="0" vertical="center"/>
    </xf>
    <xf borderId="1" fillId="0" fontId="64" numFmtId="0" xfId="0" applyAlignment="1" applyBorder="1" applyFont="1">
      <alignment readingOrder="0" vertical="center"/>
    </xf>
    <xf borderId="1" fillId="0" fontId="65" numFmtId="0" xfId="0" applyAlignment="1" applyBorder="1" applyFont="1">
      <alignment readingOrder="0" vertical="center"/>
    </xf>
    <xf borderId="1" fillId="0" fontId="66" numFmtId="0" xfId="0" applyAlignment="1" applyBorder="1" applyFont="1">
      <alignment readingOrder="0" vertical="center"/>
    </xf>
    <xf borderId="1" fillId="0" fontId="8" numFmtId="0" xfId="0" applyAlignment="1" applyBorder="1" applyFont="1">
      <alignment readingOrder="0" vertical="center"/>
    </xf>
    <xf borderId="0" fillId="0" fontId="67" numFmtId="0" xfId="0" applyAlignment="1" applyFont="1">
      <alignment readingOrder="0" vertical="center"/>
    </xf>
    <xf borderId="0" fillId="8" fontId="68" numFmtId="0" xfId="0" applyAlignment="1" applyFont="1">
      <alignment horizontal="left" readingOrder="0"/>
    </xf>
    <xf borderId="0" fillId="8" fontId="55" numFmtId="0" xfId="0" applyAlignment="1" applyFont="1">
      <alignment readingOrder="0"/>
    </xf>
    <xf borderId="2" fillId="0" fontId="65" numFmtId="0" xfId="0" applyAlignment="1" applyBorder="1" applyFont="1">
      <alignment vertical="center"/>
    </xf>
    <xf borderId="2" fillId="0" fontId="64" numFmtId="0" xfId="0" applyAlignment="1" applyBorder="1" applyFont="1">
      <alignment vertical="center"/>
    </xf>
    <xf borderId="2" fillId="0" fontId="66" numFmtId="0" xfId="0" applyAlignment="1" applyBorder="1" applyFont="1">
      <alignment vertical="center"/>
    </xf>
    <xf borderId="2" fillId="0" fontId="6" numFmtId="0" xfId="0" applyAlignment="1" applyBorder="1" applyFont="1">
      <alignment horizontal="center" vertical="center"/>
    </xf>
    <xf borderId="2" fillId="0" fontId="65" numFmtId="0" xfId="0" applyAlignment="1" applyBorder="1" applyFont="1">
      <alignment readingOrder="0" vertical="center"/>
    </xf>
    <xf borderId="2" fillId="0" fontId="64" numFmtId="0" xfId="0" applyAlignment="1" applyBorder="1" applyFont="1">
      <alignment readingOrder="0" vertical="center"/>
    </xf>
    <xf borderId="2" fillId="0" fontId="66" numFmtId="0" xfId="0" applyAlignment="1" applyBorder="1" applyFont="1">
      <alignment readingOrder="0" vertical="center"/>
    </xf>
    <xf borderId="1" fillId="0" fontId="6" numFmtId="0" xfId="0" applyAlignment="1" applyBorder="1" applyFont="1">
      <alignment horizontal="center" vertical="center"/>
    </xf>
    <xf borderId="2" fillId="6" fontId="6" numFmtId="0" xfId="0" applyAlignment="1" applyBorder="1" applyFont="1">
      <alignment horizontal="center" vertical="center"/>
    </xf>
    <xf borderId="2" fillId="0" fontId="6" numFmtId="0" xfId="0" applyAlignment="1" applyBorder="1" applyFont="1">
      <alignment readingOrder="0" vertical="center"/>
    </xf>
    <xf borderId="1" fillId="6" fontId="6" numFmtId="0" xfId="0" applyAlignment="1" applyBorder="1" applyFont="1">
      <alignment horizontal="center" vertical="center"/>
    </xf>
    <xf borderId="11" fillId="0" fontId="6" numFmtId="0" xfId="0" applyAlignment="1" applyBorder="1" applyFont="1">
      <alignment readingOrder="0" vertical="center"/>
    </xf>
    <xf borderId="11" fillId="0" fontId="6" numFmtId="0" xfId="0" applyAlignment="1" applyBorder="1" applyFont="1">
      <alignment vertical="center"/>
    </xf>
    <xf borderId="11" fillId="0" fontId="6" numFmtId="0" xfId="0" applyAlignment="1" applyBorder="1" applyFont="1">
      <alignment horizontal="center" vertical="center"/>
    </xf>
    <xf borderId="12" fillId="0" fontId="6" numFmtId="0" xfId="0" applyAlignment="1" applyBorder="1" applyFont="1">
      <alignment horizontal="center" readingOrder="0" vertical="center"/>
    </xf>
    <xf borderId="0" fillId="18" fontId="6" numFmtId="0" xfId="0" applyAlignment="1" applyFont="1">
      <alignment readingOrder="0" vertical="center"/>
    </xf>
    <xf borderId="9" fillId="0" fontId="23" numFmtId="0" xfId="0" applyAlignment="1" applyBorder="1" applyFont="1">
      <alignment horizontal="center" vertical="bottom"/>
    </xf>
    <xf borderId="16" fillId="0" fontId="23" numFmtId="0" xfId="0" applyAlignment="1" applyBorder="1" applyFont="1">
      <alignment horizontal="center" vertical="bottom"/>
    </xf>
    <xf borderId="0" fillId="0" fontId="23" numFmtId="0" xfId="0" applyAlignment="1" applyFont="1">
      <alignment readingOrder="0"/>
    </xf>
    <xf borderId="1" fillId="13" fontId="55" numFmtId="171" xfId="0" applyAlignment="1" applyBorder="1" applyFont="1" applyNumberFormat="1">
      <alignment horizontal="center" readingOrder="0" vertical="center"/>
    </xf>
    <xf borderId="1" fillId="0" fontId="49" numFmtId="0" xfId="0" applyAlignment="1" applyBorder="1" applyFont="1">
      <alignment readingOrder="0" vertical="center"/>
    </xf>
    <xf borderId="1" fillId="19" fontId="55" numFmtId="171" xfId="0" applyAlignment="1" applyBorder="1" applyFill="1" applyFont="1" applyNumberFormat="1">
      <alignment horizontal="center" readingOrder="0" vertical="center"/>
    </xf>
    <xf borderId="1" fillId="20" fontId="55" numFmtId="171" xfId="0" applyAlignment="1" applyBorder="1" applyFill="1" applyFont="1" applyNumberFormat="1">
      <alignment horizontal="center" readingOrder="0" vertical="center"/>
    </xf>
    <xf borderId="1" fillId="21" fontId="55" numFmtId="171" xfId="0" applyAlignment="1" applyBorder="1" applyFill="1" applyFont="1" applyNumberFormat="1">
      <alignment horizontal="center" readingOrder="0" vertical="center"/>
    </xf>
    <xf borderId="1" fillId="0" fontId="69" numFmtId="0" xfId="0" applyAlignment="1" applyBorder="1" applyFont="1">
      <alignment readingOrder="0" vertical="center"/>
    </xf>
    <xf borderId="1" fillId="0" fontId="70" numFmtId="0" xfId="0" applyAlignment="1" applyBorder="1" applyFont="1">
      <alignment readingOrder="0" vertical="center"/>
    </xf>
    <xf borderId="1" fillId="10" fontId="55" numFmtId="171" xfId="0" applyAlignment="1" applyBorder="1" applyFont="1" applyNumberFormat="1">
      <alignment horizontal="center" readingOrder="0" vertical="center"/>
    </xf>
    <xf borderId="1" fillId="22" fontId="55" numFmtId="171" xfId="0" applyAlignment="1" applyBorder="1" applyFill="1" applyFont="1" applyNumberFormat="1">
      <alignment horizontal="center" readingOrder="0" vertical="center"/>
    </xf>
    <xf borderId="1" fillId="0" fontId="71" numFmtId="0" xfId="0" applyAlignment="1" applyBorder="1" applyFont="1">
      <alignment readingOrder="0" vertical="center"/>
    </xf>
    <xf borderId="1" fillId="0" fontId="72" numFmtId="0" xfId="0" applyAlignment="1" applyBorder="1" applyFont="1">
      <alignment readingOrder="0" vertical="center"/>
    </xf>
    <xf borderId="1" fillId="0" fontId="72" numFmtId="0" xfId="0" applyBorder="1" applyFont="1"/>
    <xf borderId="1" fillId="0" fontId="73" numFmtId="0" xfId="0" applyAlignment="1" applyBorder="1" applyFont="1">
      <alignment readingOrder="0" vertical="center"/>
    </xf>
    <xf borderId="1" fillId="0" fontId="74" numFmtId="0" xfId="0" applyAlignment="1" applyBorder="1" applyFont="1">
      <alignment readingOrder="0" vertical="center"/>
    </xf>
    <xf borderId="8" fillId="0" fontId="72" numFmtId="0" xfId="0" applyAlignment="1" applyBorder="1" applyFont="1">
      <alignment readingOrder="0" vertical="center"/>
    </xf>
    <xf borderId="1" fillId="12" fontId="55" numFmtId="171" xfId="0" applyAlignment="1" applyBorder="1" applyFont="1" applyNumberFormat="1">
      <alignment horizontal="center" readingOrder="0" vertical="center"/>
    </xf>
    <xf borderId="0" fillId="0" fontId="73" numFmtId="0" xfId="0" applyAlignment="1" applyFont="1">
      <alignment vertical="center"/>
    </xf>
    <xf borderId="1" fillId="0" fontId="72" numFmtId="0" xfId="0" applyAlignment="1" applyBorder="1" applyFont="1">
      <alignment vertical="center"/>
    </xf>
    <xf borderId="1" fillId="0" fontId="72" numFmtId="0" xfId="0" applyAlignment="1" applyBorder="1" applyFont="1">
      <alignment readingOrder="0" vertical="center"/>
    </xf>
    <xf borderId="1" fillId="16" fontId="73" numFmtId="0" xfId="0" applyAlignment="1" applyBorder="1" applyFont="1">
      <alignment readingOrder="0" vertical="center"/>
    </xf>
    <xf borderId="1" fillId="16" fontId="72" numFmtId="0" xfId="0" applyAlignment="1" applyBorder="1" applyFont="1">
      <alignment readingOrder="0" vertical="center"/>
    </xf>
    <xf borderId="1" fillId="11" fontId="55" numFmtId="171" xfId="0" applyAlignment="1" applyBorder="1" applyFont="1" applyNumberFormat="1">
      <alignment horizontal="center" readingOrder="0" vertical="center"/>
    </xf>
    <xf borderId="6" fillId="0" fontId="72" numFmtId="0" xfId="0" applyBorder="1" applyFont="1"/>
    <xf borderId="6" fillId="6" fontId="23" numFmtId="0" xfId="0" applyAlignment="1" applyBorder="1" applyFont="1">
      <alignment horizontal="center"/>
    </xf>
    <xf borderId="8" fillId="0" fontId="72" numFmtId="0" xfId="0" applyBorder="1" applyFont="1"/>
    <xf borderId="8" fillId="6" fontId="23" numFmtId="0" xfId="0" applyAlignment="1" applyBorder="1" applyFont="1">
      <alignment horizontal="center"/>
    </xf>
    <xf borderId="1" fillId="0" fontId="23" numFmtId="0" xfId="0" applyAlignment="1" applyBorder="1" applyFont="1">
      <alignment readingOrder="0" vertical="center"/>
    </xf>
    <xf borderId="1" fillId="0" fontId="75" numFmtId="0" xfId="0" applyAlignment="1" applyBorder="1" applyFont="1">
      <alignment readingOrder="0" vertical="center"/>
    </xf>
    <xf borderId="0" fillId="0" fontId="69" numFmtId="0" xfId="0" applyAlignment="1" applyFont="1">
      <alignment readingOrder="0"/>
    </xf>
    <xf borderId="6" fillId="0" fontId="23" numFmtId="0" xfId="0" applyBorder="1" applyFont="1"/>
    <xf borderId="8" fillId="0" fontId="23" numFmtId="0" xfId="0" applyBorder="1" applyFont="1"/>
    <xf borderId="0" fillId="8" fontId="76" numFmtId="0" xfId="0" applyAlignment="1" applyFont="1">
      <alignment horizontal="left" readingOrder="0"/>
    </xf>
    <xf borderId="1" fillId="0" fontId="23" numFmtId="0" xfId="0" applyAlignment="1" applyBorder="1" applyFont="1">
      <alignment vertical="center"/>
    </xf>
    <xf borderId="1" fillId="16" fontId="23" numFmtId="0" xfId="0" applyAlignment="1" applyBorder="1" applyFont="1">
      <alignment readingOrder="0" vertical="center"/>
    </xf>
    <xf borderId="1" fillId="16" fontId="6" numFmtId="0" xfId="0" applyAlignment="1" applyBorder="1" applyFont="1">
      <alignment horizontal="center" readingOrder="0" vertical="center"/>
    </xf>
    <xf borderId="0" fillId="0" fontId="77" numFmtId="0" xfId="0" applyAlignment="1" applyFont="1">
      <alignment readingOrder="0" vertical="center"/>
    </xf>
    <xf borderId="0" fillId="0" fontId="78" numFmtId="0" xfId="0" applyAlignment="1" applyFont="1">
      <alignment readingOrder="0" vertical="center"/>
    </xf>
    <xf borderId="1" fillId="0" fontId="79" numFmtId="0" xfId="0" applyAlignment="1" applyBorder="1" applyFont="1">
      <alignment readingOrder="0" vertical="center"/>
    </xf>
    <xf borderId="1" fillId="0" fontId="80" numFmtId="0" xfId="0" applyAlignment="1" applyBorder="1" applyFont="1">
      <alignment readingOrder="0" vertical="center"/>
    </xf>
    <xf borderId="17" fillId="0" fontId="81" numFmtId="0" xfId="0" applyAlignment="1" applyBorder="1" applyFont="1">
      <alignment readingOrder="0" shrinkToFit="0" vertical="center" wrapText="0"/>
    </xf>
    <xf borderId="16" fillId="0" fontId="23" numFmtId="0" xfId="0" applyAlignment="1" applyBorder="1" applyFont="1">
      <alignment horizontal="left" readingOrder="0" vertical="bottom"/>
    </xf>
    <xf borderId="1" fillId="8" fontId="82" numFmtId="0" xfId="0" applyAlignment="1" applyBorder="1" applyFont="1">
      <alignment readingOrder="0" vertical="center"/>
    </xf>
    <xf borderId="8" fillId="0" fontId="6" numFmtId="0" xfId="0" applyAlignment="1" applyBorder="1" applyFont="1">
      <alignment readingOrder="0" vertical="center"/>
    </xf>
    <xf borderId="1" fillId="0" fontId="82" numFmtId="0" xfId="0" applyAlignment="1" applyBorder="1" applyFont="1">
      <alignment readingOrder="0" vertical="center"/>
    </xf>
    <xf borderId="1" fillId="0" fontId="83" numFmtId="0" xfId="0" applyAlignment="1" applyBorder="1" applyFont="1">
      <alignment readingOrder="0" vertical="center"/>
    </xf>
    <xf borderId="1" fillId="0" fontId="84" numFmtId="0" xfId="0" applyAlignment="1" applyBorder="1" applyFont="1">
      <alignment readingOrder="0" vertical="center"/>
    </xf>
    <xf borderId="1" fillId="0" fontId="84" numFmtId="0" xfId="0" applyAlignment="1" applyBorder="1" applyFont="1">
      <alignment readingOrder="0" vertical="center"/>
    </xf>
    <xf borderId="1" fillId="18" fontId="6" numFmtId="0" xfId="0" applyAlignment="1" applyBorder="1" applyFont="1">
      <alignment horizontal="center" readingOrder="0" vertical="center"/>
    </xf>
    <xf borderId="1" fillId="16" fontId="82" numFmtId="0" xfId="0" applyAlignment="1" applyBorder="1" applyFont="1">
      <alignment readingOrder="0" vertical="center"/>
    </xf>
    <xf borderId="1" fillId="0" fontId="85" numFmtId="0" xfId="0" applyAlignment="1" applyBorder="1" applyFont="1">
      <alignment readingOrder="0" vertical="center"/>
    </xf>
    <xf borderId="18" fillId="0" fontId="86" numFmtId="0" xfId="0" applyAlignment="1" applyBorder="1" applyFont="1">
      <alignment readingOrder="0" vertical="center"/>
    </xf>
    <xf borderId="1" fillId="0" fontId="0" numFmtId="0" xfId="0" applyAlignment="1" applyBorder="1" applyFont="1">
      <alignment readingOrder="0" vertical="center"/>
    </xf>
    <xf borderId="1" fillId="0" fontId="87" numFmtId="0" xfId="0" applyAlignment="1" applyBorder="1" applyFont="1">
      <alignment readingOrder="0" shrinkToFit="0" vertical="center" wrapText="0"/>
    </xf>
    <xf borderId="11" fillId="0" fontId="23" numFmtId="0" xfId="0" applyAlignment="1" applyBorder="1" applyFont="1">
      <alignment readingOrder="0" shrinkToFit="0" wrapText="0"/>
    </xf>
    <xf borderId="19" fillId="0" fontId="23" numFmtId="0" xfId="0" applyAlignment="1" applyBorder="1" applyFont="1">
      <alignment shrinkToFit="0" vertical="bottom" wrapText="0"/>
    </xf>
    <xf borderId="7" fillId="0" fontId="55" numFmtId="171" xfId="0" applyAlignment="1" applyBorder="1" applyFont="1" applyNumberFormat="1">
      <alignment horizontal="center" readingOrder="0"/>
    </xf>
    <xf borderId="8" fillId="0" fontId="88" numFmtId="0" xfId="0" applyBorder="1" applyFont="1"/>
    <xf borderId="8" fillId="8" fontId="23" numFmtId="0" xfId="0" applyAlignment="1" applyBorder="1" applyFont="1">
      <alignment readingOrder="0"/>
    </xf>
    <xf borderId="8" fillId="8" fontId="68" numFmtId="0" xfId="0" applyBorder="1" applyFont="1"/>
    <xf borderId="8" fillId="0" fontId="68" numFmtId="0" xfId="0" applyAlignment="1" applyBorder="1" applyFont="1">
      <alignment readingOrder="0"/>
    </xf>
    <xf borderId="8" fillId="0" fontId="68" numFmtId="0" xfId="0" applyBorder="1" applyFont="1"/>
    <xf borderId="8" fillId="0" fontId="89" numFmtId="0" xfId="0" applyBorder="1" applyFont="1"/>
    <xf borderId="8" fillId="0" fontId="55" numFmtId="0" xfId="0" applyBorder="1" applyFont="1"/>
    <xf borderId="1" fillId="0" fontId="68" numFmtId="171" xfId="0" applyAlignment="1" applyBorder="1" applyFont="1" applyNumberFormat="1">
      <alignment horizontal="center" readingOrder="0" vertical="center"/>
    </xf>
    <xf borderId="1" fillId="0" fontId="90" numFmtId="0" xfId="0" applyAlignment="1" applyBorder="1" applyFont="1">
      <alignment readingOrder="0" vertical="center"/>
    </xf>
    <xf borderId="1" fillId="0" fontId="68" numFmtId="0" xfId="0" applyAlignment="1" applyBorder="1" applyFont="1">
      <alignment readingOrder="0" vertical="center"/>
    </xf>
    <xf borderId="1" fillId="18" fontId="90" numFmtId="0" xfId="0" applyAlignment="1" applyBorder="1" applyFont="1">
      <alignment horizontal="center" readingOrder="0" vertical="center"/>
    </xf>
    <xf borderId="1" fillId="0" fontId="91" numFmtId="0" xfId="0" applyAlignment="1" applyBorder="1" applyFont="1">
      <alignment readingOrder="0" vertical="center"/>
    </xf>
    <xf borderId="1" fillId="18" fontId="68" numFmtId="171" xfId="0" applyAlignment="1" applyBorder="1" applyFont="1" applyNumberFormat="1">
      <alignment horizontal="center" readingOrder="0" vertical="center"/>
    </xf>
    <xf borderId="0" fillId="8" fontId="6" numFmtId="0" xfId="0" applyAlignment="1" applyFont="1">
      <alignment readingOrder="0" vertical="center"/>
    </xf>
    <xf borderId="8" fillId="0" fontId="68" numFmtId="0" xfId="0" applyAlignment="1" applyBorder="1" applyFont="1">
      <alignment readingOrder="0" vertical="center"/>
    </xf>
    <xf borderId="1" fillId="8" fontId="90" numFmtId="0" xfId="0" applyAlignment="1" applyBorder="1" applyFont="1">
      <alignment readingOrder="0" vertical="center"/>
    </xf>
    <xf borderId="1" fillId="8" fontId="68" numFmtId="0" xfId="0" applyAlignment="1" applyBorder="1" applyFont="1">
      <alignment readingOrder="0" vertical="center"/>
    </xf>
    <xf borderId="1" fillId="8" fontId="68" numFmtId="0" xfId="0" applyAlignment="1" applyBorder="1" applyFont="1">
      <alignment readingOrder="0"/>
    </xf>
    <xf borderId="8" fillId="8" fontId="68" numFmtId="0" xfId="0" applyAlignment="1" applyBorder="1" applyFont="1">
      <alignment readingOrder="0" vertical="center"/>
    </xf>
    <xf borderId="1" fillId="8" fontId="68" numFmtId="0" xfId="0" applyAlignment="1" applyBorder="1" applyFont="1">
      <alignment vertical="center"/>
    </xf>
    <xf borderId="1" fillId="8" fontId="92" numFmtId="0" xfId="0" applyAlignment="1" applyBorder="1" applyFont="1">
      <alignment readingOrder="0" vertical="center"/>
    </xf>
    <xf borderId="1" fillId="8" fontId="68" numFmtId="171" xfId="0" applyAlignment="1" applyBorder="1" applyFont="1" applyNumberFormat="1">
      <alignment horizontal="center" readingOrder="0" vertical="center"/>
    </xf>
    <xf borderId="6" fillId="0" fontId="68" numFmtId="0" xfId="0" applyBorder="1" applyFont="1"/>
    <xf borderId="8" fillId="0" fontId="68" numFmtId="0" xfId="0" applyBorder="1" applyFont="1"/>
    <xf borderId="8" fillId="0" fontId="93" numFmtId="0" xfId="0" applyAlignment="1" applyBorder="1" applyFont="1">
      <alignment vertical="center"/>
    </xf>
    <xf borderId="8" fillId="8" fontId="68" numFmtId="0" xfId="0" applyAlignment="1" applyBorder="1" applyFont="1">
      <alignment readingOrder="0" vertical="center"/>
    </xf>
    <xf borderId="11" fillId="6" fontId="23" numFmtId="0" xfId="0" applyAlignment="1" applyBorder="1" applyFont="1">
      <alignment horizontal="center" vertical="center"/>
    </xf>
    <xf borderId="0" fillId="0" fontId="55" numFmtId="171" xfId="0" applyAlignment="1" applyFont="1" applyNumberFormat="1">
      <alignment horizontal="center" readingOrder="0"/>
    </xf>
    <xf borderId="20" fillId="0" fontId="55" numFmtId="171" xfId="0" applyAlignment="1" applyBorder="1" applyFont="1" applyNumberFormat="1">
      <alignment horizontal="center" readingOrder="0"/>
    </xf>
    <xf borderId="0" fillId="0" fontId="94" numFmtId="0" xfId="0" applyFont="1"/>
    <xf borderId="0" fillId="0" fontId="68" numFmtId="0" xfId="0" applyAlignment="1" applyFont="1">
      <alignment readingOrder="0"/>
    </xf>
    <xf borderId="0" fillId="0" fontId="23" numFmtId="0" xfId="0" applyAlignment="1" applyFont="1">
      <alignment horizontal="center"/>
    </xf>
    <xf borderId="8" fillId="0" fontId="68" numFmtId="0" xfId="0" applyAlignment="1" applyBorder="1" applyFont="1">
      <alignment readingOrder="0" vertical="center"/>
    </xf>
    <xf borderId="8" fillId="0" fontId="68" numFmtId="0" xfId="0" applyAlignment="1" applyBorder="1" applyFont="1">
      <alignment vertical="center"/>
    </xf>
    <xf borderId="0" fillId="0" fontId="68" numFmtId="0" xfId="0" applyFont="1"/>
    <xf borderId="8" fillId="0" fontId="95" numFmtId="0" xfId="0" applyAlignment="1" applyBorder="1" applyFont="1">
      <alignment vertical="center"/>
    </xf>
    <xf borderId="0" fillId="0" fontId="96" numFmtId="0" xfId="0" applyFont="1"/>
    <xf borderId="8" fillId="0" fontId="55" numFmtId="0" xfId="0" applyAlignment="1" applyBorder="1" applyFont="1">
      <alignment readingOrder="0" vertical="center"/>
    </xf>
    <xf borderId="0" fillId="0" fontId="55" numFmtId="0" xfId="0" applyFont="1"/>
    <xf borderId="12" fillId="0" fontId="23" numFmtId="0" xfId="0" applyAlignment="1" applyBorder="1" applyFont="1">
      <alignment horizontal="center" vertical="center"/>
    </xf>
    <xf borderId="13" fillId="0" fontId="23" numFmtId="0" xfId="0" applyAlignment="1" applyBorder="1" applyFont="1">
      <alignment horizontal="center" vertical="center"/>
    </xf>
    <xf borderId="8" fillId="6" fontId="23" numFmtId="0" xfId="0" applyAlignment="1" applyBorder="1" applyFont="1">
      <alignment horizontal="center" vertical="center"/>
    </xf>
    <xf borderId="21" fillId="0" fontId="6" numFmtId="0" xfId="0" applyAlignment="1" applyBorder="1" applyFont="1">
      <alignment readingOrder="0" vertical="center"/>
    </xf>
    <xf borderId="21" fillId="0" fontId="6" numFmtId="0" xfId="0" applyAlignment="1" applyBorder="1" applyFont="1">
      <alignment horizontal="center" readingOrder="0" vertical="center"/>
    </xf>
    <xf borderId="22" fillId="0" fontId="97" numFmtId="0" xfId="0" applyAlignment="1" applyBorder="1" applyFont="1">
      <alignment horizontal="left" shrinkToFit="0" vertical="center" wrapText="0"/>
    </xf>
    <xf borderId="1" fillId="0" fontId="23" numFmtId="0" xfId="0" applyAlignment="1" applyBorder="1" applyFont="1">
      <alignment horizontal="left" readingOrder="0" vertical="center"/>
    </xf>
    <xf borderId="21" fillId="0" fontId="6" numFmtId="0" xfId="0" applyAlignment="1" applyBorder="1" applyFont="1">
      <alignment readingOrder="0" vertical="bottom"/>
    </xf>
    <xf borderId="23" fillId="0" fontId="98" numFmtId="0" xfId="0" applyAlignment="1" applyBorder="1" applyFont="1">
      <alignment horizontal="left" shrinkToFit="0" vertical="center" wrapText="0"/>
    </xf>
    <xf borderId="21" fillId="0" fontId="6" numFmtId="0" xfId="0" applyAlignment="1" applyBorder="1" applyFont="1">
      <alignment vertical="center"/>
    </xf>
    <xf borderId="21" fillId="0" fontId="6" numFmtId="171" xfId="0" applyAlignment="1" applyBorder="1" applyFont="1" applyNumberFormat="1">
      <alignment readingOrder="0" vertical="center"/>
    </xf>
    <xf borderId="17" fillId="8" fontId="99" numFmtId="0" xfId="0" applyAlignment="1" applyBorder="1" applyFont="1">
      <alignment readingOrder="0" shrinkToFit="0" vertical="center" wrapText="0"/>
    </xf>
    <xf borderId="1" fillId="5" fontId="6" numFmtId="0" xfId="0" applyAlignment="1" applyBorder="1" applyFont="1">
      <alignment readingOrder="0" vertical="center"/>
    </xf>
    <xf borderId="1" fillId="5" fontId="23" numFmtId="0" xfId="0" applyAlignment="1" applyBorder="1" applyFont="1">
      <alignment readingOrder="0" vertical="center"/>
    </xf>
    <xf borderId="1" fillId="5" fontId="6" numFmtId="0" xfId="0" applyAlignment="1" applyBorder="1" applyFont="1">
      <alignment horizontal="center" readingOrder="0" vertical="center"/>
    </xf>
    <xf borderId="24" fillId="0" fontId="6" numFmtId="0" xfId="0" applyAlignment="1" applyBorder="1" applyFont="1">
      <alignment readingOrder="0" vertical="center"/>
    </xf>
    <xf borderId="24" fillId="0" fontId="6" numFmtId="0" xfId="0" applyAlignment="1" applyBorder="1" applyFont="1">
      <alignment readingOrder="0" vertical="bottom"/>
    </xf>
    <xf borderId="25" fillId="8" fontId="100" numFmtId="0" xfId="0" applyAlignment="1" applyBorder="1" applyFont="1">
      <alignment readingOrder="0" shrinkToFit="0" vertical="center" wrapText="0"/>
    </xf>
    <xf borderId="26" fillId="0" fontId="48" numFmtId="0" xfId="0" applyBorder="1" applyFont="1"/>
    <xf borderId="18" fillId="8" fontId="101" numFmtId="0" xfId="0" applyAlignment="1" applyBorder="1" applyFont="1">
      <alignment readingOrder="0" vertical="center"/>
    </xf>
    <xf borderId="17" fillId="8" fontId="102" numFmtId="0" xfId="0" applyAlignment="1" applyBorder="1" applyFont="1">
      <alignment readingOrder="0" shrinkToFit="0" vertical="center" wrapText="0"/>
    </xf>
    <xf borderId="14" fillId="0" fontId="23" numFmtId="0" xfId="0" applyAlignment="1" applyBorder="1" applyFont="1">
      <alignment readingOrder="0" vertical="bottom"/>
    </xf>
    <xf borderId="1" fillId="18" fontId="55" numFmtId="171" xfId="0" applyAlignment="1" applyBorder="1" applyFont="1" applyNumberFormat="1">
      <alignment horizontal="center" readingOrder="0"/>
    </xf>
    <xf borderId="1" fillId="0" fontId="23" numFmtId="0" xfId="0" applyBorder="1" applyFont="1"/>
    <xf borderId="1" fillId="0" fontId="55" numFmtId="0" xfId="0" applyBorder="1" applyFont="1"/>
    <xf borderId="0" fillId="8" fontId="68" numFmtId="0" xfId="0" applyAlignment="1" applyFont="1">
      <alignment readingOrder="0" vertical="bottom"/>
    </xf>
    <xf borderId="2" fillId="0" fontId="23" numFmtId="0" xfId="0" applyAlignment="1" applyBorder="1" applyFont="1">
      <alignment horizontal="center"/>
    </xf>
    <xf borderId="1" fillId="0" fontId="66" numFmtId="0" xfId="0" applyBorder="1" applyFont="1"/>
    <xf borderId="1" fillId="0" fontId="23" numFmtId="0" xfId="0" applyAlignment="1" applyBorder="1" applyFont="1">
      <alignment horizontal="center"/>
    </xf>
    <xf borderId="1" fillId="0" fontId="23" numFmtId="0" xfId="0" applyAlignment="1" applyBorder="1" applyFont="1">
      <alignment readingOrder="0"/>
    </xf>
    <xf borderId="1" fillId="6" fontId="23" numFmtId="0" xfId="0" applyAlignment="1" applyBorder="1" applyFont="1">
      <alignment horizontal="center" readingOrder="0"/>
    </xf>
    <xf borderId="1" fillId="0" fontId="68" numFmtId="0" xfId="0" applyAlignment="1" applyBorder="1" applyFont="1">
      <alignment horizontal="left" readingOrder="0"/>
    </xf>
    <xf borderId="1" fillId="8" fontId="55" numFmtId="0" xfId="0" applyBorder="1" applyFont="1"/>
    <xf borderId="1" fillId="18" fontId="23" numFmtId="0" xfId="0" applyAlignment="1" applyBorder="1" applyFont="1">
      <alignment horizontal="center" readingOrder="0"/>
    </xf>
    <xf borderId="0" fillId="0" fontId="6" numFmtId="0" xfId="0" applyAlignment="1" applyFont="1">
      <alignment readingOrder="0" vertical="bottom"/>
    </xf>
    <xf borderId="0" fillId="0" fontId="6" numFmtId="171" xfId="0" applyAlignment="1" applyFont="1" applyNumberFormat="1">
      <alignment readingOrder="0" vertical="center"/>
    </xf>
    <xf borderId="1" fillId="8" fontId="75" numFmtId="0" xfId="0" applyAlignment="1" applyBorder="1" applyFont="1">
      <alignment readingOrder="0" vertical="center"/>
    </xf>
    <xf borderId="25" fillId="0" fontId="103" numFmtId="0" xfId="0" applyAlignment="1" applyBorder="1" applyFont="1">
      <alignment readingOrder="0" shrinkToFit="0" vertical="center" wrapText="0"/>
    </xf>
    <xf borderId="18" fillId="0" fontId="104" numFmtId="0" xfId="0" applyAlignment="1" applyBorder="1" applyFont="1">
      <alignment readingOrder="0" vertical="center"/>
    </xf>
    <xf borderId="2" fillId="0" fontId="23" numFmtId="0" xfId="0" applyAlignment="1" applyBorder="1" applyFont="1">
      <alignment horizontal="center" vertical="bottom"/>
    </xf>
    <xf borderId="1" fillId="0" fontId="105" numFmtId="0" xfId="0" applyAlignment="1" applyBorder="1" applyFont="1">
      <alignment readingOrder="0"/>
    </xf>
    <xf borderId="1" fillId="0" fontId="80" numFmtId="0" xfId="0" applyAlignment="1" applyBorder="1" applyFont="1">
      <alignment horizontal="left" readingOrder="0" vertical="center"/>
    </xf>
    <xf borderId="1" fillId="0" fontId="106" numFmtId="0" xfId="0" applyAlignment="1" applyBorder="1" applyFont="1">
      <alignment horizontal="left" readingOrder="0" vertical="center"/>
    </xf>
    <xf borderId="1" fillId="8" fontId="107" numFmtId="0" xfId="0" applyAlignment="1" applyBorder="1" applyFont="1">
      <alignment horizontal="left" vertical="center"/>
    </xf>
    <xf borderId="25" fillId="0" fontId="108" numFmtId="0" xfId="0" applyAlignment="1" applyBorder="1" applyFont="1">
      <alignment horizontal="left" readingOrder="0" shrinkToFit="0" vertical="center" wrapText="0"/>
    </xf>
    <xf borderId="1" fillId="0" fontId="109" numFmtId="0" xfId="0" applyAlignment="1" applyBorder="1" applyFont="1">
      <alignment horizontal="left" readingOrder="0" vertical="center"/>
    </xf>
    <xf borderId="1" fillId="0" fontId="110" numFmtId="0" xfId="0" applyAlignment="1" applyBorder="1" applyFont="1">
      <alignment horizontal="left" readingOrder="0" vertical="center"/>
    </xf>
    <xf borderId="1" fillId="0" fontId="106" numFmtId="0" xfId="0" applyAlignment="1" applyBorder="1" applyFont="1">
      <alignment horizontal="left" readingOrder="0" vertical="center"/>
    </xf>
    <xf borderId="1" fillId="0" fontId="109" numFmtId="0" xfId="0" applyAlignment="1" applyBorder="1" applyFont="1">
      <alignment horizontal="left" readingOrder="0" vertical="center"/>
    </xf>
    <xf borderId="1" fillId="0" fontId="111" numFmtId="0" xfId="0" applyAlignment="1" applyBorder="1" applyFont="1">
      <alignment horizontal="left" readingOrder="0" shrinkToFit="0" vertical="center" wrapText="0"/>
    </xf>
    <xf borderId="1" fillId="0" fontId="109" numFmtId="0" xfId="0" applyAlignment="1" applyBorder="1" applyFont="1">
      <alignment horizontal="left" readingOrder="0" vertical="center"/>
    </xf>
    <xf borderId="0" fillId="0" fontId="55" numFmtId="0" xfId="0" applyAlignment="1" applyFont="1">
      <alignment horizontal="center" readingOrder="0" vertical="center"/>
    </xf>
    <xf borderId="0" fillId="0" fontId="80" numFmtId="0" xfId="0" applyAlignment="1" applyFont="1">
      <alignment horizontal="left" readingOrder="0" vertical="center"/>
    </xf>
    <xf borderId="0" fillId="0" fontId="106" numFmtId="0" xfId="0" applyAlignment="1" applyFont="1">
      <alignment horizontal="left" readingOrder="0" vertical="center"/>
    </xf>
    <xf borderId="1" fillId="0" fontId="112" numFmtId="0" xfId="0" applyAlignment="1" applyBorder="1" applyFont="1">
      <alignment horizontal="left" readingOrder="0" vertical="center"/>
    </xf>
    <xf borderId="17" fillId="8" fontId="113" numFmtId="0" xfId="0" applyAlignment="1" applyBorder="1" applyFont="1">
      <alignment horizontal="left" readingOrder="0" shrinkToFit="0" vertical="center" wrapText="0"/>
    </xf>
    <xf borderId="1" fillId="5" fontId="80" numFmtId="0" xfId="0" applyAlignment="1" applyBorder="1" applyFont="1">
      <alignment horizontal="left" readingOrder="0" vertical="center"/>
    </xf>
    <xf borderId="1" fillId="5" fontId="106" numFmtId="0" xfId="0" applyAlignment="1" applyBorder="1" applyFont="1">
      <alignment horizontal="left" readingOrder="0" vertical="center"/>
    </xf>
    <xf borderId="25" fillId="8" fontId="114" numFmtId="0" xfId="0" applyAlignment="1" applyBorder="1" applyFont="1">
      <alignment horizontal="left" readingOrder="0" shrinkToFit="0" vertical="center" wrapText="0"/>
    </xf>
    <xf borderId="18" fillId="8" fontId="115" numFmtId="0" xfId="0" applyAlignment="1" applyBorder="1" applyFont="1">
      <alignment horizontal="left" readingOrder="0" vertical="center"/>
    </xf>
    <xf borderId="1" fillId="0" fontId="82" numFmtId="0" xfId="0" applyAlignment="1" applyBorder="1" applyFont="1">
      <alignment horizontal="left" readingOrder="0" vertical="center"/>
    </xf>
    <xf borderId="8" fillId="0" fontId="106" numFmtId="0" xfId="0" applyAlignment="1" applyBorder="1" applyFont="1">
      <alignment horizontal="left" readingOrder="0" vertical="center"/>
    </xf>
    <xf borderId="1" fillId="0" fontId="106" numFmtId="0" xfId="0" applyAlignment="1" applyBorder="1" applyFont="1">
      <alignment horizontal="left" vertical="center"/>
    </xf>
    <xf borderId="1" fillId="8" fontId="109" numFmtId="0" xfId="0" applyAlignment="1" applyBorder="1" applyFont="1">
      <alignment horizontal="left" vertical="center"/>
    </xf>
    <xf borderId="0" fillId="0" fontId="80" numFmtId="0" xfId="0" applyAlignment="1" applyFont="1">
      <alignment readingOrder="0" vertical="center"/>
    </xf>
    <xf borderId="0" fillId="0" fontId="80" numFmtId="0" xfId="0" applyAlignment="1" applyFont="1">
      <alignment vertical="center"/>
    </xf>
    <xf borderId="0" fillId="0" fontId="80" numFmtId="0" xfId="0" applyAlignment="1" applyFont="1">
      <alignment horizontal="center" vertical="center"/>
    </xf>
    <xf borderId="9" fillId="0" fontId="106" numFmtId="0" xfId="0" applyAlignment="1" applyBorder="1" applyFont="1">
      <alignment horizontal="center" vertical="bottom"/>
    </xf>
    <xf borderId="16" fillId="0" fontId="106" numFmtId="0" xfId="0" applyAlignment="1" applyBorder="1" applyFont="1">
      <alignment horizontal="center" vertical="bottom"/>
    </xf>
    <xf borderId="16" fillId="0" fontId="106" numFmtId="0" xfId="0" applyAlignment="1" applyBorder="1" applyFont="1">
      <alignment horizontal="left" readingOrder="0" vertical="bottom"/>
    </xf>
    <xf borderId="1" fillId="0" fontId="82" numFmtId="171" xfId="0" applyAlignment="1" applyBorder="1" applyFont="1" applyNumberFormat="1">
      <alignment horizontal="center" readingOrder="0" vertical="center"/>
    </xf>
    <xf borderId="1" fillId="6" fontId="80" numFmtId="0" xfId="0" applyAlignment="1" applyBorder="1" applyFont="1">
      <alignment horizontal="center" readingOrder="0" vertical="center"/>
    </xf>
    <xf borderId="25" fillId="0" fontId="116" numFmtId="0" xfId="0" applyAlignment="1" applyBorder="1" applyFont="1">
      <alignment readingOrder="0" shrinkToFit="0" vertical="center" wrapText="0"/>
    </xf>
    <xf borderId="17" fillId="8" fontId="117" numFmtId="0" xfId="0" applyAlignment="1" applyBorder="1" applyFont="1">
      <alignment readingOrder="0" shrinkToFit="0" vertical="center" wrapText="0"/>
    </xf>
    <xf borderId="1" fillId="23" fontId="80" numFmtId="0" xfId="0" applyAlignment="1" applyBorder="1" applyFill="1" applyFont="1">
      <alignment horizontal="center" readingOrder="0" vertical="center"/>
    </xf>
    <xf borderId="1" fillId="24" fontId="80" numFmtId="0" xfId="0" applyAlignment="1" applyBorder="1" applyFill="1" applyFont="1">
      <alignment horizontal="center" readingOrder="0" vertical="center"/>
    </xf>
    <xf borderId="25" fillId="8" fontId="118" numFmtId="0" xfId="0" applyAlignment="1" applyBorder="1" applyFont="1">
      <alignment readingOrder="0" shrinkToFit="0" vertical="center" wrapText="0"/>
    </xf>
    <xf borderId="1" fillId="25" fontId="80" numFmtId="0" xfId="0" applyAlignment="1" applyBorder="1" applyFill="1" applyFont="1">
      <alignment horizontal="center" readingOrder="0" vertical="center"/>
    </xf>
    <xf borderId="18" fillId="8" fontId="119" numFmtId="0" xfId="0" applyAlignment="1" applyBorder="1" applyFont="1">
      <alignment readingOrder="0" vertical="center"/>
    </xf>
    <xf borderId="0" fillId="0" fontId="106" numFmtId="0" xfId="0" applyAlignment="1" applyFont="1">
      <alignment shrinkToFit="0" wrapText="0"/>
    </xf>
    <xf borderId="17" fillId="0" fontId="120" numFmtId="0" xfId="0" applyAlignment="1" applyBorder="1" applyFont="1">
      <alignment readingOrder="0" shrinkToFit="0" vertical="center" wrapText="0"/>
    </xf>
    <xf borderId="1" fillId="8" fontId="0" numFmtId="0" xfId="0" applyAlignment="1" applyBorder="1" applyFont="1">
      <alignment readingOrder="0" vertical="center"/>
    </xf>
    <xf borderId="1" fillId="8" fontId="109" numFmtId="0" xfId="0" applyAlignment="1" applyBorder="1" applyFont="1">
      <alignment readingOrder="0"/>
    </xf>
    <xf borderId="8" fillId="8" fontId="82" numFmtId="0" xfId="0" applyAlignment="1" applyBorder="1" applyFont="1">
      <alignment readingOrder="0" vertical="center"/>
    </xf>
    <xf borderId="1" fillId="8" fontId="109" numFmtId="0" xfId="0" applyAlignment="1" applyBorder="1" applyFont="1">
      <alignment readingOrder="0" vertical="center"/>
    </xf>
    <xf borderId="1" fillId="8" fontId="121" numFmtId="0" xfId="0" applyAlignment="1" applyBorder="1" applyFont="1">
      <alignment readingOrder="0" vertical="center"/>
    </xf>
    <xf borderId="1" fillId="26" fontId="80" numFmtId="0" xfId="0" applyAlignment="1" applyBorder="1" applyFill="1" applyFont="1">
      <alignment horizontal="center" readingOrder="0" vertical="center"/>
    </xf>
    <xf borderId="1" fillId="18" fontId="80" numFmtId="0" xfId="0" applyAlignment="1" applyBorder="1" applyFont="1">
      <alignment horizontal="center" readingOrder="0" vertical="center"/>
    </xf>
    <xf borderId="1" fillId="27" fontId="80" numFmtId="0" xfId="0" applyAlignment="1" applyBorder="1" applyFill="1" applyFont="1">
      <alignment horizontal="center" readingOrder="0" vertical="center"/>
    </xf>
    <xf borderId="1" fillId="28" fontId="80" numFmtId="0" xfId="0" applyAlignment="1" applyBorder="1" applyFill="1" applyFont="1">
      <alignment horizontal="center" readingOrder="0" vertical="center"/>
    </xf>
    <xf borderId="1" fillId="8" fontId="82" numFmtId="171" xfId="0" applyAlignment="1" applyBorder="1" applyFont="1" applyNumberFormat="1">
      <alignment horizontal="center" readingOrder="0" vertical="center"/>
    </xf>
    <xf borderId="1" fillId="8" fontId="80" numFmtId="0" xfId="0" applyAlignment="1" applyBorder="1" applyFont="1">
      <alignment horizontal="center" readingOrder="0" vertical="center"/>
    </xf>
    <xf borderId="0" fillId="8" fontId="80" numFmtId="0" xfId="0" applyAlignment="1" applyFont="1">
      <alignment readingOrder="0" vertical="center"/>
    </xf>
    <xf borderId="0" fillId="8" fontId="6" numFmtId="0" xfId="0" applyAlignment="1" applyFont="1">
      <alignment vertical="center"/>
    </xf>
    <xf borderId="0" fillId="5" fontId="6" numFmtId="0" xfId="0" applyAlignment="1" applyFont="1">
      <alignment vertical="center"/>
    </xf>
    <xf borderId="0" fillId="5" fontId="6" numFmtId="0" xfId="0" applyFont="1"/>
    <xf borderId="1" fillId="29" fontId="80" numFmtId="0" xfId="0" applyAlignment="1" applyBorder="1" applyFill="1" applyFont="1">
      <alignment horizontal="center" readingOrder="0" vertical="center"/>
    </xf>
    <xf borderId="1" fillId="10" fontId="55" numFmtId="171" xfId="0" applyAlignment="1" applyBorder="1" applyFont="1" applyNumberFormat="1">
      <alignment horizontal="center" readingOrder="0"/>
    </xf>
    <xf borderId="1" fillId="11" fontId="55" numFmtId="171" xfId="0" applyAlignment="1" applyBorder="1" applyFont="1" applyNumberFormat="1">
      <alignment horizontal="center" readingOrder="0"/>
    </xf>
    <xf borderId="1" fillId="0" fontId="106" numFmtId="0" xfId="0" applyAlignment="1" applyBorder="1" applyFont="1">
      <alignment horizontal="left" readingOrder="0" shrinkToFit="0" vertical="center" wrapText="1"/>
    </xf>
    <xf borderId="1" fillId="8" fontId="82" numFmtId="0" xfId="0" applyAlignment="1" applyBorder="1" applyFont="1">
      <alignment readingOrder="0" shrinkToFit="0" vertical="center" wrapText="1"/>
    </xf>
    <xf borderId="1" fillId="8" fontId="82" numFmtId="0" xfId="0" applyAlignment="1" applyBorder="1" applyFont="1">
      <alignment readingOrder="0"/>
    </xf>
    <xf borderId="1" fillId="8" fontId="122" numFmtId="0" xfId="0" applyAlignment="1" applyBorder="1" applyFont="1">
      <alignment readingOrder="0" shrinkToFit="0" vertical="center" wrapText="0"/>
    </xf>
    <xf borderId="0" fillId="0" fontId="55" numFmtId="171" xfId="0" applyAlignment="1" applyFont="1" applyNumberFormat="1">
      <alignment horizontal="center" readingOrder="0" vertical="center"/>
    </xf>
    <xf borderId="0" fillId="0" fontId="0" numFmtId="0" xfId="0" applyAlignment="1" applyFont="1">
      <alignment readingOrder="0" vertical="center"/>
    </xf>
    <xf borderId="0" fillId="30" fontId="123" numFmtId="0" xfId="0" applyAlignment="1" applyFill="1" applyFont="1">
      <alignment readingOrder="0" vertical="bottom"/>
    </xf>
    <xf borderId="0" fillId="30" fontId="123" numFmtId="0" xfId="0" applyAlignment="1" applyFont="1">
      <alignment horizontal="right" readingOrder="0" shrinkToFit="0" vertical="bottom" wrapText="1"/>
    </xf>
    <xf borderId="0" fillId="30" fontId="124" numFmtId="0" xfId="0" applyAlignment="1" applyFont="1">
      <alignment readingOrder="0" shrinkToFit="0" vertical="bottom" wrapText="1"/>
    </xf>
    <xf borderId="0" fillId="30" fontId="123" numFmtId="0" xfId="0" applyAlignment="1" applyFont="1">
      <alignment shrinkToFit="0" vertical="bottom" wrapText="1"/>
    </xf>
    <xf borderId="0" fillId="30" fontId="125" numFmtId="0" xfId="0" applyAlignment="1" applyFont="1">
      <alignment shrinkToFit="0" vertical="bottom" wrapText="1"/>
    </xf>
    <xf borderId="0" fillId="31" fontId="123" numFmtId="0" xfId="0" applyAlignment="1" applyFill="1" applyFont="1">
      <alignment readingOrder="0" shrinkToFit="0" vertical="bottom" wrapText="1"/>
    </xf>
    <xf borderId="0" fillId="31" fontId="123" numFmtId="0" xfId="0" applyAlignment="1" applyFont="1">
      <alignment shrinkToFit="0" vertical="bottom" wrapText="1"/>
    </xf>
    <xf borderId="0" fillId="31" fontId="123" numFmtId="3" xfId="0" applyAlignment="1" applyFont="1" applyNumberFormat="1">
      <alignment readingOrder="0" shrinkToFit="0" vertical="bottom" wrapText="1"/>
    </xf>
    <xf borderId="0" fillId="0" fontId="126" numFmtId="0" xfId="0" applyAlignment="1" applyFont="1">
      <alignment vertical="bottom"/>
    </xf>
    <xf borderId="0" fillId="30" fontId="123" numFmtId="0" xfId="0" applyAlignment="1" applyFont="1">
      <alignment vertical="bottom"/>
    </xf>
    <xf borderId="0" fillId="8" fontId="123" numFmtId="0" xfId="0" applyAlignment="1" applyFont="1">
      <alignment readingOrder="0" vertical="bottom"/>
    </xf>
    <xf borderId="0" fillId="8" fontId="126" numFmtId="0" xfId="0" applyAlignment="1" applyFont="1">
      <alignment readingOrder="0" shrinkToFit="0" vertical="bottom" wrapText="0"/>
    </xf>
    <xf borderId="0" fillId="8" fontId="126" numFmtId="172" xfId="0" applyAlignment="1" applyFont="1" applyNumberFormat="1">
      <alignment readingOrder="0" shrinkToFit="0" vertical="bottom" wrapText="0"/>
    </xf>
    <xf borderId="0" fillId="8" fontId="126" numFmtId="3" xfId="0" applyAlignment="1" applyFont="1" applyNumberFormat="1">
      <alignment readingOrder="0" shrinkToFit="0" vertical="bottom" wrapText="0"/>
    </xf>
    <xf borderId="0" fillId="8" fontId="126" numFmtId="3" xfId="0" applyAlignment="1" applyFont="1" applyNumberFormat="1">
      <alignment readingOrder="0" vertical="bottom"/>
    </xf>
    <xf borderId="0" fillId="0" fontId="126" numFmtId="10" xfId="0" applyAlignment="1" applyFont="1" applyNumberFormat="1">
      <alignment horizontal="right" shrinkToFit="0" vertical="bottom" wrapText="0"/>
    </xf>
    <xf borderId="0" fillId="8" fontId="126" numFmtId="0" xfId="0" applyAlignment="1" applyFont="1">
      <alignment readingOrder="0" vertical="bottom"/>
    </xf>
    <xf borderId="0" fillId="8" fontId="127" numFmtId="0" xfId="0" applyAlignment="1" applyFont="1">
      <alignment readingOrder="0" vertical="bottom"/>
    </xf>
    <xf borderId="0" fillId="8" fontId="126" numFmtId="0" xfId="0" applyAlignment="1" applyFont="1">
      <alignment vertical="bottom"/>
    </xf>
    <xf borderId="0" fillId="8" fontId="126" numFmtId="0" xfId="0" applyAlignment="1" applyFont="1">
      <alignment readingOrder="0" shrinkToFit="0" vertical="bottom" wrapText="1"/>
    </xf>
    <xf borderId="0" fillId="8" fontId="80" numFmtId="0" xfId="0" applyAlignment="1" applyFont="1">
      <alignment readingOrder="0" shrinkToFit="0" wrapText="1"/>
    </xf>
    <xf borderId="0" fillId="8" fontId="126" numFmtId="3" xfId="0" applyAlignment="1" applyFont="1" applyNumberFormat="1">
      <alignment horizontal="right" readingOrder="0" vertical="bottom"/>
    </xf>
    <xf borderId="0" fillId="8" fontId="126" numFmtId="0" xfId="0" applyAlignment="1" applyFont="1">
      <alignment readingOrder="0" shrinkToFit="0" vertical="bottom" wrapText="0"/>
    </xf>
    <xf borderId="0" fillId="8" fontId="126" numFmtId="3" xfId="0" applyAlignment="1" applyFont="1" applyNumberFormat="1">
      <alignment horizontal="right" readingOrder="0" shrinkToFit="0" vertical="bottom" wrapText="0"/>
    </xf>
    <xf borderId="0" fillId="8" fontId="126" numFmtId="173" xfId="0" applyAlignment="1" applyFont="1" applyNumberFormat="1">
      <alignment horizontal="right" vertical="bottom"/>
    </xf>
    <xf borderId="0" fillId="8" fontId="126" numFmtId="0" xfId="0" applyAlignment="1" applyFont="1">
      <alignment horizontal="right" vertical="bottom"/>
    </xf>
    <xf borderId="0" fillId="8" fontId="126" numFmtId="167" xfId="0" applyAlignment="1" applyFont="1" applyNumberFormat="1">
      <alignment horizontal="right" readingOrder="0" vertical="bottom"/>
    </xf>
    <xf borderId="0" fillId="8" fontId="126" numFmtId="0" xfId="0" applyAlignment="1" applyFont="1">
      <alignment horizontal="right" readingOrder="0" vertical="bottom"/>
    </xf>
    <xf borderId="0" fillId="8" fontId="126" numFmtId="173" xfId="0" applyAlignment="1" applyFont="1" applyNumberFormat="1">
      <alignment horizontal="right" readingOrder="0" vertical="bottom"/>
    </xf>
    <xf borderId="0" fillId="8" fontId="126" numFmtId="3" xfId="0" applyAlignment="1" applyFont="1" applyNumberFormat="1">
      <alignment horizontal="right" vertical="bottom"/>
    </xf>
    <xf borderId="0" fillId="8" fontId="126" numFmtId="0" xfId="0" applyAlignment="1" applyFont="1">
      <alignment shrinkToFit="0" vertical="bottom" wrapText="1"/>
    </xf>
    <xf borderId="0" fillId="8" fontId="123" numFmtId="0" xfId="0" applyAlignment="1" applyFont="1">
      <alignment shrinkToFit="0" vertical="bottom" wrapText="0"/>
    </xf>
    <xf borderId="0" fillId="8" fontId="126" numFmtId="173" xfId="0" applyAlignment="1" applyFont="1" applyNumberFormat="1">
      <alignment vertical="bottom"/>
    </xf>
    <xf borderId="0" fillId="8" fontId="126" numFmtId="3" xfId="0" applyAlignment="1" applyFont="1" applyNumberFormat="1">
      <alignment vertical="bottom"/>
    </xf>
    <xf borderId="0" fillId="8" fontId="126" numFmtId="3" xfId="0" applyAlignment="1" applyFont="1" applyNumberFormat="1">
      <alignment horizontal="right" shrinkToFit="0" vertical="bottom" wrapText="0"/>
    </xf>
    <xf borderId="0" fillId="8" fontId="126" numFmtId="173" xfId="0" applyAlignment="1" applyFont="1" applyNumberFormat="1">
      <alignment shrinkToFit="0" vertical="bottom" wrapText="0"/>
    </xf>
    <xf borderId="0" fillId="0" fontId="6" numFmtId="0" xfId="0" applyAlignment="1" applyFont="1">
      <alignment horizontal="center"/>
    </xf>
    <xf borderId="0" fillId="0" fontId="6" numFmtId="0" xfId="0" applyAlignment="1" applyFont="1">
      <alignment horizontal="left" readingOrder="0"/>
    </xf>
    <xf borderId="27" fillId="32" fontId="128" numFmtId="0" xfId="0" applyAlignment="1" applyBorder="1" applyFill="1" applyFont="1">
      <alignment horizontal="center" vertical="center"/>
    </xf>
    <xf borderId="27" fillId="33" fontId="128" numFmtId="0" xfId="0" applyAlignment="1" applyBorder="1" applyFill="1" applyFont="1">
      <alignment horizontal="center" vertical="center"/>
    </xf>
    <xf borderId="28" fillId="0" fontId="129" numFmtId="0" xfId="0" applyAlignment="1" applyBorder="1" applyFont="1">
      <alignment horizontal="center" vertical="center"/>
    </xf>
    <xf borderId="29" fillId="0" fontId="129" numFmtId="0" xfId="0" applyAlignment="1" applyBorder="1" applyFont="1">
      <alignment horizontal="center" vertical="center"/>
    </xf>
    <xf borderId="29" fillId="0" fontId="129" numFmtId="0" xfId="0" applyAlignment="1" applyBorder="1" applyFont="1">
      <alignment vertical="center"/>
    </xf>
    <xf borderId="29" fillId="0" fontId="129" numFmtId="0" xfId="0" applyAlignment="1" applyBorder="1" applyFont="1">
      <alignment horizontal="right" vertical="center"/>
    </xf>
    <xf borderId="29" fillId="0" fontId="130" numFmtId="0" xfId="0" applyAlignment="1" applyBorder="1" applyFont="1">
      <alignment vertical="center"/>
    </xf>
    <xf borderId="29" fillId="0" fontId="130" numFmtId="0" xfId="0" applyAlignment="1" applyBorder="1" applyFont="1">
      <alignment horizontal="right" vertical="center"/>
    </xf>
    <xf borderId="29" fillId="0" fontId="23" numFmtId="0" xfId="0" applyAlignment="1" applyBorder="1" applyFont="1">
      <alignment vertical="center"/>
    </xf>
    <xf borderId="0" fillId="0" fontId="131" numFmtId="0" xfId="0" applyAlignment="1" applyFont="1">
      <alignment readingOrder="0"/>
    </xf>
    <xf borderId="29" fillId="0" fontId="129" numFmtId="0" xfId="0" applyAlignment="1" applyBorder="1" applyFont="1">
      <alignment vertical="center"/>
    </xf>
    <xf borderId="29" fillId="0" fontId="129" numFmtId="0" xfId="0" applyAlignment="1" applyBorder="1" applyFont="1">
      <alignment readingOrder="0" vertical="center"/>
    </xf>
    <xf borderId="1" fillId="2" fontId="1" numFmtId="164" xfId="0" applyAlignment="1" applyBorder="1" applyFont="1" applyNumberFormat="1">
      <alignment horizontal="center"/>
    </xf>
    <xf borderId="1" fillId="2" fontId="3" numFmtId="3" xfId="0" applyAlignment="1" applyBorder="1" applyFont="1" applyNumberFormat="1">
      <alignment horizontal="center"/>
    </xf>
    <xf borderId="2" fillId="0" fontId="5" numFmtId="0" xfId="0" applyAlignment="1" applyBorder="1" applyFont="1">
      <alignment horizontal="right"/>
    </xf>
    <xf borderId="2" fillId="0" fontId="5" numFmtId="0" xfId="0" applyAlignment="1" applyBorder="1" applyFont="1">
      <alignment horizontal="right" shrinkToFit="0" textRotation="180" wrapText="0"/>
    </xf>
    <xf borderId="1" fillId="0" fontId="5" numFmtId="0" xfId="0" applyAlignment="1" applyBorder="1" applyFont="1">
      <alignment shrinkToFit="0" wrapText="0"/>
    </xf>
    <xf borderId="3" fillId="0" fontId="4" numFmtId="0" xfId="0" applyBorder="1" applyFont="1"/>
    <xf borderId="3" fillId="0" fontId="48" numFmtId="0" xfId="0" applyBorder="1" applyFont="1"/>
    <xf borderId="1" fillId="0" fontId="5" numFmtId="0" xfId="0" applyBorder="1" applyFont="1"/>
    <xf borderId="1" fillId="0" fontId="4" numFmtId="0" xfId="0" applyBorder="1" applyFont="1"/>
    <xf borderId="1" fillId="0" fontId="132" numFmtId="0" xfId="0" applyBorder="1" applyFont="1"/>
    <xf borderId="7" fillId="0" fontId="48" numFmtId="0" xfId="0" applyBorder="1" applyFont="1"/>
    <xf borderId="1" fillId="0" fontId="5" numFmtId="0" xfId="0" applyAlignment="1" applyBorder="1" applyFont="1">
      <alignment horizontal="center"/>
    </xf>
    <xf borderId="1" fillId="0" fontId="133" numFmtId="0" xfId="0" applyAlignment="1" applyBorder="1" applyFont="1">
      <alignment readingOrder="0" vertical="bottom"/>
    </xf>
    <xf borderId="1" fillId="0" fontId="5" numFmtId="0" xfId="0" applyAlignment="1" applyBorder="1" applyFont="1">
      <alignment horizontal="center" vertical="bottom"/>
    </xf>
    <xf borderId="1" fillId="0" fontId="134" numFmtId="0" xfId="0" applyBorder="1" applyFont="1"/>
    <xf borderId="1" fillId="34" fontId="5" numFmtId="0" xfId="0" applyAlignment="1" applyBorder="1" applyFill="1" applyFont="1">
      <alignment horizontal="center" vertical="bottom"/>
    </xf>
    <xf borderId="1" fillId="34" fontId="23" numFmtId="0" xfId="0" applyAlignment="1" applyBorder="1" applyFont="1">
      <alignment vertical="bottom"/>
    </xf>
    <xf borderId="7" fillId="0" fontId="4" numFmtId="0" xfId="0" applyBorder="1" applyFont="1"/>
    <xf borderId="1" fillId="0" fontId="135" numFmtId="0" xfId="0" applyAlignment="1" applyBorder="1" applyFont="1">
      <alignment shrinkToFit="0" wrapText="0"/>
    </xf>
    <xf borderId="1" fillId="0" fontId="136" numFmtId="0" xfId="0" applyAlignment="1" applyBorder="1" applyFont="1">
      <alignment vertical="bottom"/>
    </xf>
    <xf borderId="1" fillId="34" fontId="5" numFmtId="0" xfId="0" applyAlignment="1" applyBorder="1" applyFont="1">
      <alignment vertical="bottom"/>
    </xf>
    <xf borderId="1" fillId="0" fontId="137" numFmtId="0" xfId="0" applyBorder="1" applyFont="1"/>
  </cellXfs>
  <cellStyles count="1">
    <cellStyle xfId="0" name="Normal" builtinId="0"/>
  </cellStyles>
  <dxfs count="12">
    <dxf>
      <font/>
      <fill>
        <patternFill patternType="solid">
          <fgColor rgb="FFD9D2E9"/>
          <bgColor rgb="FFD9D2E9"/>
        </patternFill>
      </fill>
      <border/>
    </dxf>
    <dxf>
      <font/>
      <fill>
        <patternFill patternType="solid">
          <fgColor rgb="FF999999"/>
          <bgColor rgb="FF999999"/>
        </patternFill>
      </fill>
      <border/>
    </dxf>
    <dxf>
      <font/>
      <fill>
        <patternFill patternType="solid">
          <fgColor rgb="FFB7B7B7"/>
          <bgColor rgb="FFB7B7B7"/>
        </patternFill>
      </fill>
      <border/>
    </dxf>
    <dxf>
      <font/>
      <fill>
        <patternFill patternType="solid">
          <fgColor rgb="FFCFE2F3"/>
          <bgColor rgb="FFCFE2F3"/>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00FFFF"/>
          <bgColor rgb="FF00FFFF"/>
        </patternFill>
      </fill>
      <border/>
    </dxf>
    <dxf>
      <font/>
      <fill>
        <patternFill patternType="solid">
          <fgColor rgb="FFCCCCCC"/>
          <bgColor rgb="FFCCCCCC"/>
        </patternFill>
      </fill>
      <border/>
    </dxf>
    <dxf>
      <font/>
      <fill>
        <patternFill patternType="solid">
          <fgColor rgb="FFFFE1F6"/>
          <bgColor rgb="FFFFE1F6"/>
        </patternFill>
      </fill>
      <border/>
    </dxf>
    <dxf>
      <font>
        <b/>
        <color rgb="FFFF0000"/>
      </font>
      <fill>
        <patternFill patternType="solid">
          <fgColor rgb="FFF4CCCC"/>
          <bgColor rgb="FFF4CCCC"/>
        </patternFill>
      </fill>
      <border/>
    </dxf>
    <dxf>
      <font/>
      <fill>
        <patternFill patternType="solid">
          <fgColor rgb="FFF3F3F3"/>
          <bgColor rgb="FFF3F3F3"/>
        </patternFill>
      </fill>
      <border/>
    </dxf>
    <dxf>
      <font/>
      <fill>
        <patternFill patternType="solid">
          <fgColor rgb="FFBEE5F0"/>
          <bgColor rgb="FFBEE5F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1628775</xdr:colOff>
      <xdr:row>218</xdr:row>
      <xdr:rowOff>219075</xdr:rowOff>
    </xdr:from>
    <xdr:ext cx="3181350" cy="7810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0" Type="http://schemas.openxmlformats.org/officeDocument/2006/relationships/hyperlink" Target="https://woman-type.jp/job-sales/24356/f/" TargetMode="External"/><Relationship Id="rId22" Type="http://schemas.openxmlformats.org/officeDocument/2006/relationships/hyperlink" Target="https://woman-type.jp/job-service/24358/f/" TargetMode="External"/><Relationship Id="rId21" Type="http://schemas.openxmlformats.org/officeDocument/2006/relationships/hyperlink" Target="https://woman-type.jp/job-service/24358/f/" TargetMode="External"/><Relationship Id="rId24" Type="http://schemas.openxmlformats.org/officeDocument/2006/relationships/hyperlink" Target="https://woman-type.jp/job-engineer/24876/f/" TargetMode="External"/><Relationship Id="rId23" Type="http://schemas.openxmlformats.org/officeDocument/2006/relationships/hyperlink" Target="https://woman-type.jp/job-engineer/24876/f/" TargetMode="External"/><Relationship Id="rId1" Type="http://schemas.openxmlformats.org/officeDocument/2006/relationships/comments" Target="../comments3.xml"/><Relationship Id="rId2" Type="http://schemas.openxmlformats.org/officeDocument/2006/relationships/hyperlink" Target="https://docs.google.com/spreadsheets/d/1DNnQMO3LFyUW-Eajsx2NZnTcURZ4YCTdPbv_1_7TlUI/edit" TargetMode="External"/><Relationship Id="rId3" Type="http://schemas.openxmlformats.org/officeDocument/2006/relationships/hyperlink" Target="https://docs.google.com/spreadsheets/d/1DNnQMO3LFyUW-Eajsx2NZnTcURZ4YCTdPbv_1_7TlUI/edit" TargetMode="External"/><Relationship Id="rId4" Type="http://schemas.openxmlformats.org/officeDocument/2006/relationships/hyperlink" Target="https://woman-type.jp/job-office/24376/f/" TargetMode="External"/><Relationship Id="rId9" Type="http://schemas.openxmlformats.org/officeDocument/2006/relationships/hyperlink" Target="https://woman-type.jp/job-condition/46/3317/f/" TargetMode="External"/><Relationship Id="rId26" Type="http://schemas.openxmlformats.org/officeDocument/2006/relationships/hyperlink" Target="https://docs.google.com/spreadsheets/d/1ruClxDVuxELIssYmyDqs69MeIAB3RInbiwrXUmx4nJo/edit?gid=137635336" TargetMode="External"/><Relationship Id="rId25" Type="http://schemas.openxmlformats.org/officeDocument/2006/relationships/hyperlink" Target="https://docs.google.com/spreadsheets/d/16C0DK8hCqOGeHYxFQDXSJPD7HFMtIHaiy9nkLz0jRx0/edit?gid=978158948" TargetMode="External"/><Relationship Id="rId28" Type="http://schemas.openxmlformats.org/officeDocument/2006/relationships/hyperlink" Target="https://woman-type.jp/job-condition/10/12077/f/" TargetMode="External"/><Relationship Id="rId27" Type="http://schemas.openxmlformats.org/officeDocument/2006/relationships/hyperlink" Target="https://docs.google.com/spreadsheets/d/1Jg5q2bKPROVlVnejz7_v2QTKDEs1pF1fTySWX2F_KAM/edit?gid=1770793079" TargetMode="External"/><Relationship Id="rId5" Type="http://schemas.openxmlformats.org/officeDocument/2006/relationships/hyperlink" Target="https://woman-type.jp/job-office/24376/f/" TargetMode="External"/><Relationship Id="rId6" Type="http://schemas.openxmlformats.org/officeDocument/2006/relationships/hyperlink" Target="https://docs.google.com/spreadsheets/d/1ruClxDVuxELIssYmyDqs69MeIAB3RInbiwrXUmx4nJo/edit?gid=706137097" TargetMode="External"/><Relationship Id="rId29" Type="http://schemas.openxmlformats.org/officeDocument/2006/relationships/hyperlink" Target="https://woman-type.jp/job-condition/10/12077/f/" TargetMode="External"/><Relationship Id="rId7" Type="http://schemas.openxmlformats.org/officeDocument/2006/relationships/hyperlink" Target="https://docs.google.com/spreadsheets/d/16C0DK8hCqOGeHYxFQDXSJPD7HFMtIHaiy9nkLz0jRx0/edit?gid=978158948" TargetMode="External"/><Relationship Id="rId8" Type="http://schemas.openxmlformats.org/officeDocument/2006/relationships/hyperlink" Target="https://woman-type.jp/job-condition/46/3317/f/" TargetMode="External"/><Relationship Id="rId31" Type="http://schemas.openxmlformats.org/officeDocument/2006/relationships/hyperlink" Target="https://docs.google.com/spreadsheets/d/1ruClxDVuxELIssYmyDqs69MeIAB3RInbiwrXUmx4nJo/edit?gid=706137097" TargetMode="External"/><Relationship Id="rId30" Type="http://schemas.openxmlformats.org/officeDocument/2006/relationships/hyperlink" Target="https://docs.google.com/spreadsheets/d/1eDCOCS53NK9rfp5z02JF-lgQB6Xwt2qkVJDr2zBBiWg/edit" TargetMode="External"/><Relationship Id="rId11" Type="http://schemas.openxmlformats.org/officeDocument/2006/relationships/hyperlink" Target="https://woman-type.jp/job-area/district3/24436/f/" TargetMode="External"/><Relationship Id="rId33" Type="http://schemas.openxmlformats.org/officeDocument/2006/relationships/vmlDrawing" Target="../drawings/vmlDrawing3.vml"/><Relationship Id="rId10" Type="http://schemas.openxmlformats.org/officeDocument/2006/relationships/hyperlink" Target="https://docs.google.com/spreadsheets/d/1eDCOCS53NK9rfp5z02JF-lgQB6Xwt2qkVJDr2zBBiWg/edit" TargetMode="External"/><Relationship Id="rId32" Type="http://schemas.openxmlformats.org/officeDocument/2006/relationships/drawing" Target="../drawings/drawing4.xml"/><Relationship Id="rId13" Type="http://schemas.openxmlformats.org/officeDocument/2006/relationships/hyperlink" Target="https://woman-type.jp/job-area/24936/f/" TargetMode="External"/><Relationship Id="rId12" Type="http://schemas.openxmlformats.org/officeDocument/2006/relationships/hyperlink" Target="https://woman-type.jp/job-area/district3/24436/f/" TargetMode="External"/><Relationship Id="rId15" Type="http://schemas.openxmlformats.org/officeDocument/2006/relationships/hyperlink" Target="https://woman-type.jp/job-condition/10/24298/f/" TargetMode="External"/><Relationship Id="rId14" Type="http://schemas.openxmlformats.org/officeDocument/2006/relationships/hyperlink" Target="https://woman-type.jp/job-area/24936/f/" TargetMode="External"/><Relationship Id="rId17" Type="http://schemas.openxmlformats.org/officeDocument/2006/relationships/hyperlink" Target="https://woman-type.jp/job-office/24336/f/" TargetMode="External"/><Relationship Id="rId16" Type="http://schemas.openxmlformats.org/officeDocument/2006/relationships/hyperlink" Target="https://woman-type.jp/job-condition/10/24298/f/" TargetMode="External"/><Relationship Id="rId19" Type="http://schemas.openxmlformats.org/officeDocument/2006/relationships/hyperlink" Target="https://woman-type.jp/job-sales/24356/f/" TargetMode="External"/><Relationship Id="rId18" Type="http://schemas.openxmlformats.org/officeDocument/2006/relationships/hyperlink" Target="https://woman-type.jp/job-office/24336/f/"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fszGGEJyWvmZAMIrpfRDmmd4XGZbqVOhpcOlyYBOINQ/edit" TargetMode="External"/><Relationship Id="rId3" Type="http://schemas.openxmlformats.org/officeDocument/2006/relationships/hyperlink" Target="https://docs.google.com/spreadsheets/d/1fszGGEJyWvmZAMIrpfRDmmd4XGZbqVOhpcOlyYBOINQ/edit" TargetMode="External"/><Relationship Id="rId4" Type="http://schemas.openxmlformats.org/officeDocument/2006/relationships/hyperlink" Target="https://docs.google.com/spreadsheets/d/1fszGGEJyWvmZAMIrpfRDmmd4XGZbqVOhpcOlyYBOINQ/edit" TargetMode="External"/><Relationship Id="rId9" Type="http://schemas.openxmlformats.org/officeDocument/2006/relationships/vmlDrawing" Target="../drawings/vmlDrawing4.vml"/><Relationship Id="rId5" Type="http://schemas.openxmlformats.org/officeDocument/2006/relationships/hyperlink" Target="https://docs.google.com/spreadsheets/d/1fszGGEJyWvmZAMIrpfRDmmd4XGZbqVOhpcOlyYBOINQ/edit" TargetMode="External"/><Relationship Id="rId6" Type="http://schemas.openxmlformats.org/officeDocument/2006/relationships/hyperlink" Target="https://docs.google.com/spreadsheets/d/1fszGGEJyWvmZAMIrpfRDmmd4XGZbqVOhpcOlyYBOINQ/edit" TargetMode="External"/><Relationship Id="rId7" Type="http://schemas.openxmlformats.org/officeDocument/2006/relationships/hyperlink" Target="https://docs.google.com/spreadsheets/d/1fszGGEJyWvmZAMIrpfRDmmd4XGZbqVOhpcOlyYBOINQ/edit"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oman-type.jp/job-condition/10/12077/f/" TargetMode="External"/><Relationship Id="rId21" Type="http://schemas.openxmlformats.org/officeDocument/2006/relationships/drawing" Target="../drawings/drawing6.xml"/><Relationship Id="rId1" Type="http://schemas.openxmlformats.org/officeDocument/2006/relationships/hyperlink" Target="https://woman-type.jp/job-office/24376/f/" TargetMode="External"/><Relationship Id="rId2" Type="http://schemas.openxmlformats.org/officeDocument/2006/relationships/hyperlink" Target="https://woman-type.jp/job-office/24376/f/" TargetMode="External"/><Relationship Id="rId3" Type="http://schemas.openxmlformats.org/officeDocument/2006/relationships/hyperlink" Target="https://woman-type.jp/job-condition/46/3317/f/" TargetMode="External"/><Relationship Id="rId4" Type="http://schemas.openxmlformats.org/officeDocument/2006/relationships/hyperlink" Target="https://woman-type.jp/job-condition/46/3317/f/" TargetMode="External"/><Relationship Id="rId9" Type="http://schemas.openxmlformats.org/officeDocument/2006/relationships/hyperlink" Target="https://woman-type.jp/job-condition/10/24298/f/" TargetMode="External"/><Relationship Id="rId5" Type="http://schemas.openxmlformats.org/officeDocument/2006/relationships/hyperlink" Target="https://woman-type.jp/job-area/district3/24436/f/" TargetMode="External"/><Relationship Id="rId6" Type="http://schemas.openxmlformats.org/officeDocument/2006/relationships/hyperlink" Target="https://woman-type.jp/job-area/district3/24436/f/" TargetMode="External"/><Relationship Id="rId7" Type="http://schemas.openxmlformats.org/officeDocument/2006/relationships/hyperlink" Target="https://woman-type.jp/job-area/24936/f/" TargetMode="External"/><Relationship Id="rId8" Type="http://schemas.openxmlformats.org/officeDocument/2006/relationships/hyperlink" Target="https://woman-type.jp/job-area/24936/f/" TargetMode="External"/><Relationship Id="rId11" Type="http://schemas.openxmlformats.org/officeDocument/2006/relationships/hyperlink" Target="https://woman-type.jp/job-office/24336/f/" TargetMode="External"/><Relationship Id="rId10" Type="http://schemas.openxmlformats.org/officeDocument/2006/relationships/hyperlink" Target="https://woman-type.jp/job-condition/10/24298/f/" TargetMode="External"/><Relationship Id="rId13" Type="http://schemas.openxmlformats.org/officeDocument/2006/relationships/hyperlink" Target="https://woman-type.jp/job-sales/24356/f/" TargetMode="External"/><Relationship Id="rId12" Type="http://schemas.openxmlformats.org/officeDocument/2006/relationships/hyperlink" Target="https://woman-type.jp/job-office/24336/f/" TargetMode="External"/><Relationship Id="rId15" Type="http://schemas.openxmlformats.org/officeDocument/2006/relationships/hyperlink" Target="https://woman-type.jp/job-service/24358/f/" TargetMode="External"/><Relationship Id="rId14" Type="http://schemas.openxmlformats.org/officeDocument/2006/relationships/hyperlink" Target="https://woman-type.jp/job-sales/24356/f/" TargetMode="External"/><Relationship Id="rId17" Type="http://schemas.openxmlformats.org/officeDocument/2006/relationships/hyperlink" Target="https://woman-type.jp/job-engineer/24876/f/" TargetMode="External"/><Relationship Id="rId16" Type="http://schemas.openxmlformats.org/officeDocument/2006/relationships/hyperlink" Target="https://woman-type.jp/job-service/24358/f/" TargetMode="External"/><Relationship Id="rId19" Type="http://schemas.openxmlformats.org/officeDocument/2006/relationships/hyperlink" Target="https://woman-type.jp/job-condition/10/12077/f/" TargetMode="External"/><Relationship Id="rId18" Type="http://schemas.openxmlformats.org/officeDocument/2006/relationships/hyperlink" Target="https://woman-type.jp/job-engineer/24876/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docs.google.com/spreadsheets/d/1ruClxDVuxELIssYmyDqs69MeIAB3RInbiwrXUmx4nJo/edit" TargetMode="External"/><Relationship Id="rId42" Type="http://schemas.openxmlformats.org/officeDocument/2006/relationships/hyperlink" Target="https://docs.google.com/spreadsheets/d/1ruClxDVuxELIssYmyDqs69MeIAB3RInbiwrXUmx4nJo/edit" TargetMode="External"/><Relationship Id="rId41" Type="http://schemas.openxmlformats.org/officeDocument/2006/relationships/hyperlink" Target="https://docs.google.com/spreadsheets/d/16C0DK8hCqOGeHYxFQDXSJPD7HFMtIHaiy9nkLz0jRx0/edit" TargetMode="External"/><Relationship Id="rId44" Type="http://schemas.openxmlformats.org/officeDocument/2006/relationships/hyperlink" Target="https://docs.google.com/spreadsheets/d/16C0DK8hCqOGeHYxFQDXSJPD7HFMtIHaiy9nkLz0jRx0/edit" TargetMode="External"/><Relationship Id="rId43" Type="http://schemas.openxmlformats.org/officeDocument/2006/relationships/hyperlink" Target="https://docs.google.com/spreadsheets/d/1eDCOCS53NK9rfp5z02JF-lgQB6Xwt2qkVJDr2zBBiWg/edit" TargetMode="External"/><Relationship Id="rId46" Type="http://schemas.openxmlformats.org/officeDocument/2006/relationships/hyperlink" Target="https://docs.google.com/spreadsheets/d/1fszGGEJyWvmZAMIrpfRDmmd4XGZbqVOhpcOlyYBOINQ/edit" TargetMode="External"/><Relationship Id="rId45" Type="http://schemas.openxmlformats.org/officeDocument/2006/relationships/hyperlink" Target="https://docs.google.com/spreadsheets/d/1eDCOCS53NK9rfp5z02JF-lgQB6Xwt2qkVJDr2zBBiWg/edit" TargetMode="External"/><Relationship Id="rId107" Type="http://schemas.openxmlformats.org/officeDocument/2006/relationships/hyperlink" Target="https://docs.google.com/spreadsheets/d/1eDCOCS53NK9rfp5z02JF-lgQB6Xwt2qkVJDr2zBBiWg/edit" TargetMode="External"/><Relationship Id="rId106" Type="http://schemas.openxmlformats.org/officeDocument/2006/relationships/hyperlink" Target="https://docs.google.com/spreadsheets/d/16C0DK8hCqOGeHYxFQDXSJPD7HFMtIHaiy9nkLz0jRx0/edit?gid=978158948" TargetMode="External"/><Relationship Id="rId105" Type="http://schemas.openxmlformats.org/officeDocument/2006/relationships/hyperlink" Target="https://docs.google.com/spreadsheets/d/1eDCOCS53NK9rfp5z02JF-lgQB6Xwt2qkVJDr2zBBiWg/edit" TargetMode="External"/><Relationship Id="rId104" Type="http://schemas.openxmlformats.org/officeDocument/2006/relationships/hyperlink" Target="https://docs.google.com/spreadsheets/d/16C0DK8hCqOGeHYxFQDXSJPD7HFMtIHaiy9nkLz0jRx0/edit?gid=978158948" TargetMode="External"/><Relationship Id="rId109" Type="http://schemas.openxmlformats.org/officeDocument/2006/relationships/hyperlink" Target="https://docs.google.com/spreadsheets/d/1eDCOCS53NK9rfp5z02JF-lgQB6Xwt2qkVJDr2zBBiWg/edit" TargetMode="External"/><Relationship Id="rId108" Type="http://schemas.openxmlformats.org/officeDocument/2006/relationships/hyperlink" Target="https://docs.google.com/spreadsheets/d/16C0DK8hCqOGeHYxFQDXSJPD7HFMtIHaiy9nkLz0jRx0/edit?gid=978158948" TargetMode="External"/><Relationship Id="rId48" Type="http://schemas.openxmlformats.org/officeDocument/2006/relationships/hyperlink" Target="https://docs.google.com/spreadsheets/d/1ruClxDVuxELIssYmyDqs69MeIAB3RInbiwrXUmx4nJo/edit" TargetMode="External"/><Relationship Id="rId187" Type="http://schemas.openxmlformats.org/officeDocument/2006/relationships/vmlDrawing" Target="../drawings/vmlDrawing7.vml"/><Relationship Id="rId47" Type="http://schemas.openxmlformats.org/officeDocument/2006/relationships/hyperlink" Target="https://sites.google.com/type.jp/medimap/%E5%90%84%E7%A8%AE%E8%B3%87%E6%96%99/%E5%85%A5%E7%A8%BF%E3%82%B9%E3%82%B1%E3%82%B8%E3%83%A5%E3%83%BC%E3%83%AB?authuser=0" TargetMode="External"/><Relationship Id="rId186" Type="http://schemas.openxmlformats.org/officeDocument/2006/relationships/drawing" Target="../drawings/drawing11.xml"/><Relationship Id="rId185" Type="http://schemas.openxmlformats.org/officeDocument/2006/relationships/hyperlink" Target="https://docs.google.com/spreadsheets/d/1fszGGEJyWvmZAMIrpfRDmmd4XGZbqVOhpcOlyYBOINQ/edit" TargetMode="External"/><Relationship Id="rId49" Type="http://schemas.openxmlformats.org/officeDocument/2006/relationships/hyperlink" Target="https://sites.google.com/type.jp/medimap/%E5%90%84%E7%A8%AE%E8%B3%87%E6%96%99/%E5%85%A5%E7%A8%BF%E3%82%B9%E3%82%B1%E3%82%B8%E3%83%A5%E3%83%BC%E3%83%AB?authuser=0" TargetMode="External"/><Relationship Id="rId184" Type="http://schemas.openxmlformats.org/officeDocument/2006/relationships/hyperlink" Target="https://docs.google.com/spreadsheets/d/1eDCOCS53NK9rfp5z02JF-lgQB6Xwt2qkVJDr2zBBiWg/edit" TargetMode="External"/><Relationship Id="rId103" Type="http://schemas.openxmlformats.org/officeDocument/2006/relationships/hyperlink" Target="https://docs.google.com/spreadsheets/d/1Jg5q2bKPROVlVnejz7_v2QTKDEs1pF1fTySWX2F_KAM/edit" TargetMode="External"/><Relationship Id="rId102" Type="http://schemas.openxmlformats.org/officeDocument/2006/relationships/hyperlink" Target="https://docs.google.com/spreadsheets/d/1xrfsiAjLwPhBlveDsLSsUUfMnNpOidnkNLqHJabwWYo/edit" TargetMode="External"/><Relationship Id="rId101" Type="http://schemas.openxmlformats.org/officeDocument/2006/relationships/hyperlink" Target="https://docs.google.com/spreadsheets/d/1v3B9E8Jeqx3_JGvRHJ2cXJ5OAGLvZiOXZru0niKH-QQ/edit" TargetMode="External"/><Relationship Id="rId100" Type="http://schemas.openxmlformats.org/officeDocument/2006/relationships/hyperlink" Target="https://docs.google.com/spreadsheets/d/1eDCOCS53NK9rfp5z02JF-lgQB6Xwt2qkVJDr2zBBiWg/edit" TargetMode="External"/><Relationship Id="rId31" Type="http://schemas.openxmlformats.org/officeDocument/2006/relationships/hyperlink" Target="https://docs.google.com/spreadsheets/d/1v3B9E8Jeqx3_JGvRHJ2cXJ5OAGLvZiOXZru0niKH-QQ/edit" TargetMode="External"/><Relationship Id="rId30" Type="http://schemas.openxmlformats.org/officeDocument/2006/relationships/hyperlink" Target="https://docs.google.com/spreadsheets/d/1xrfsiAjLwPhBlveDsLSsUUfMnNpOidnkNLqHJabwWYo/edit" TargetMode="External"/><Relationship Id="rId33" Type="http://schemas.openxmlformats.org/officeDocument/2006/relationships/hyperlink" Target="https://docs.google.com/spreadsheets/d/1xrfsiAjLwPhBlveDsLSsUUfMnNpOidnkNLqHJabwWYo/edit" TargetMode="External"/><Relationship Id="rId183" Type="http://schemas.openxmlformats.org/officeDocument/2006/relationships/hyperlink" Target="https://docs.google.com/spreadsheets/d/16C0DK8hCqOGeHYxFQDXSJPD7HFMtIHaiy9nkLz0jRx0/edit?gid=978158948" TargetMode="External"/><Relationship Id="rId32" Type="http://schemas.openxmlformats.org/officeDocument/2006/relationships/hyperlink" Target="https://docs.google.com/spreadsheets/d/1xrfsiAjLwPhBlveDsLSsUUfMnNpOidnkNLqHJabwWYo/edit" TargetMode="External"/><Relationship Id="rId182" Type="http://schemas.openxmlformats.org/officeDocument/2006/relationships/hyperlink" Target="https://docs.google.com/spreadsheets/d/1Jg5q2bKPROVlVnejz7_v2QTKDEs1pF1fTySWX2F_KAM/edit?gid=1774338877" TargetMode="External"/><Relationship Id="rId35" Type="http://schemas.openxmlformats.org/officeDocument/2006/relationships/hyperlink" Target="https://docs.google.com/spreadsheets/d/1xrfsiAjLwPhBlveDsLSsUUfMnNpOidnkNLqHJabwWYo/edit" TargetMode="External"/><Relationship Id="rId181" Type="http://schemas.openxmlformats.org/officeDocument/2006/relationships/hyperlink" Target="https://docs.google.com/spreadsheets/d/1fszGGEJyWvmZAMIrpfRDmmd4XGZbqVOhpcOlyYBOINQ/edit" TargetMode="External"/><Relationship Id="rId34" Type="http://schemas.openxmlformats.org/officeDocument/2006/relationships/hyperlink" Target="https://docs.google.com/spreadsheets/d/1v3B9E8Jeqx3_JGvRHJ2cXJ5OAGLvZiOXZru0niKH-QQ/edit" TargetMode="External"/><Relationship Id="rId180" Type="http://schemas.openxmlformats.org/officeDocument/2006/relationships/hyperlink" Target="https://docs.google.com/spreadsheets/d/1eDCOCS53NK9rfp5z02JF-lgQB6Xwt2qkVJDr2zBBiWg/edit" TargetMode="External"/><Relationship Id="rId37" Type="http://schemas.openxmlformats.org/officeDocument/2006/relationships/hyperlink" Target="https://docs.google.com/spreadsheets/d/1xrfsiAjLwPhBlveDsLSsUUfMnNpOidnkNLqHJabwWYo/edit" TargetMode="External"/><Relationship Id="rId176" Type="http://schemas.openxmlformats.org/officeDocument/2006/relationships/hyperlink" Target="https://docs.google.com/spreadsheets/d/16C0DK8hCqOGeHYxFQDXSJPD7HFMtIHaiy9nkLz0jRx0/edit?gid=978158948" TargetMode="External"/><Relationship Id="rId36" Type="http://schemas.openxmlformats.org/officeDocument/2006/relationships/hyperlink" Target="https://docs.google.com/spreadsheets/d/1v3B9E8Jeqx3_JGvRHJ2cXJ5OAGLvZiOXZru0niKH-QQ/edit" TargetMode="External"/><Relationship Id="rId175" Type="http://schemas.openxmlformats.org/officeDocument/2006/relationships/hyperlink" Target="https://docs.google.com/spreadsheets/d/1Jg5q2bKPROVlVnejz7_v2QTKDEs1pF1fTySWX2F_KAM/edit?gid=1774338877" TargetMode="External"/><Relationship Id="rId39" Type="http://schemas.openxmlformats.org/officeDocument/2006/relationships/hyperlink" Target="https://docs.google.com/spreadsheets/d/1xrfsiAjLwPhBlveDsLSsUUfMnNpOidnkNLqHJabwWYo/edit" TargetMode="External"/><Relationship Id="rId174" Type="http://schemas.openxmlformats.org/officeDocument/2006/relationships/hyperlink" Target="https://docs.google.com/spreadsheets/d/1fszGGEJyWvmZAMIrpfRDmmd4XGZbqVOhpcOlyYBOINQ/edit" TargetMode="External"/><Relationship Id="rId38" Type="http://schemas.openxmlformats.org/officeDocument/2006/relationships/hyperlink" Target="https://docs.google.com/spreadsheets/d/1v3B9E8Jeqx3_JGvRHJ2cXJ5OAGLvZiOXZru0niKH-QQ/edit" TargetMode="External"/><Relationship Id="rId173" Type="http://schemas.openxmlformats.org/officeDocument/2006/relationships/hyperlink" Target="https://docs.google.com/spreadsheets/d/1eDCOCS53NK9rfp5z02JF-lgQB6Xwt2qkVJDr2zBBiWg/edit" TargetMode="External"/><Relationship Id="rId179" Type="http://schemas.openxmlformats.org/officeDocument/2006/relationships/hyperlink" Target="https://docs.google.com/spreadsheets/d/16C0DK8hCqOGeHYxFQDXSJPD7HFMtIHaiy9nkLz0jRx0/edit?gid=978158948" TargetMode="External"/><Relationship Id="rId178" Type="http://schemas.openxmlformats.org/officeDocument/2006/relationships/hyperlink" Target="https://docs.google.com/spreadsheets/d/1fszGGEJyWvmZAMIrpfRDmmd4XGZbqVOhpcOlyYBOINQ/edit" TargetMode="External"/><Relationship Id="rId177" Type="http://schemas.openxmlformats.org/officeDocument/2006/relationships/hyperlink" Target="https://docs.google.com/spreadsheets/d/1eDCOCS53NK9rfp5z02JF-lgQB6Xwt2qkVJDr2zBBiWg/edit" TargetMode="External"/><Relationship Id="rId20" Type="http://schemas.openxmlformats.org/officeDocument/2006/relationships/hyperlink" Target="https://docs.google.com/spreadsheets/d/1ruClxDVuxELIssYmyDqs69MeIAB3RInbiwrXUmx4nJo/edit" TargetMode="External"/><Relationship Id="rId22" Type="http://schemas.openxmlformats.org/officeDocument/2006/relationships/hyperlink" Target="https://docs.google.com/spreadsheets/d/1xrfsiAjLwPhBlveDsLSsUUfMnNpOidnkNLqHJabwWYo/edit" TargetMode="External"/><Relationship Id="rId21" Type="http://schemas.openxmlformats.org/officeDocument/2006/relationships/hyperlink" Target="https://docs.google.com/spreadsheets/d/1v3B9E8Jeqx3_JGvRHJ2cXJ5OAGLvZiOXZru0niKH-QQ/edit" TargetMode="External"/><Relationship Id="rId24" Type="http://schemas.openxmlformats.org/officeDocument/2006/relationships/hyperlink" Target="https://docs.google.com/spreadsheets/d/1xrfsiAjLwPhBlveDsLSsUUfMnNpOidnkNLqHJabwWYo/edit" TargetMode="External"/><Relationship Id="rId23" Type="http://schemas.openxmlformats.org/officeDocument/2006/relationships/hyperlink" Target="https://docs.google.com/spreadsheets/d/1v3B9E8Jeqx3_JGvRHJ2cXJ5OAGLvZiOXZru0niKH-QQ/edit" TargetMode="External"/><Relationship Id="rId129" Type="http://schemas.openxmlformats.org/officeDocument/2006/relationships/hyperlink" Target="https://docs.google.com/spreadsheets/d/1fszGGEJyWvmZAMIrpfRDmmd4XGZbqVOhpcOlyYBOINQ/edit" TargetMode="External"/><Relationship Id="rId128" Type="http://schemas.openxmlformats.org/officeDocument/2006/relationships/hyperlink" Target="https://docs.google.com/spreadsheets/d/1eDCOCS53NK9rfp5z02JF-lgQB6Xwt2qkVJDr2zBBiWg/edit" TargetMode="External"/><Relationship Id="rId127" Type="http://schemas.openxmlformats.org/officeDocument/2006/relationships/hyperlink" Target="https://docs.google.com/spreadsheets/d/16C0DK8hCqOGeHYxFQDXSJPD7HFMtIHaiy9nkLz0jRx0/edit" TargetMode="External"/><Relationship Id="rId126" Type="http://schemas.openxmlformats.org/officeDocument/2006/relationships/hyperlink" Target="https://docs.google.com/spreadsheets/d/1ruClxDVuxELIssYmyDqs69MeIAB3RInbiwrXUmx4nJo/edit" TargetMode="External"/><Relationship Id="rId26" Type="http://schemas.openxmlformats.org/officeDocument/2006/relationships/hyperlink" Target="https://docs.google.com/spreadsheets/d/1xrfsiAjLwPhBlveDsLSsUUfMnNpOidnkNLqHJabwWYo/edit" TargetMode="External"/><Relationship Id="rId121" Type="http://schemas.openxmlformats.org/officeDocument/2006/relationships/hyperlink" Target="https://docs.google.com/spreadsheets/d/1fszGGEJyWvmZAMIrpfRDmmd4XGZbqVOhpcOlyYBOINQ/edit" TargetMode="External"/><Relationship Id="rId25" Type="http://schemas.openxmlformats.org/officeDocument/2006/relationships/hyperlink" Target="https://docs.google.com/spreadsheets/d/1v3B9E8Jeqx3_JGvRHJ2cXJ5OAGLvZiOXZru0niKH-QQ/edit" TargetMode="External"/><Relationship Id="rId120" Type="http://schemas.openxmlformats.org/officeDocument/2006/relationships/hyperlink" Target="https://docs.google.com/spreadsheets/d/1eDCOCS53NK9rfp5z02JF-lgQB6Xwt2qkVJDr2zBBiWg/edit" TargetMode="External"/><Relationship Id="rId28" Type="http://schemas.openxmlformats.org/officeDocument/2006/relationships/hyperlink" Target="https://docs.google.com/spreadsheets/d/1xrfsiAjLwPhBlveDsLSsUUfMnNpOidnkNLqHJabwWYo/edit" TargetMode="External"/><Relationship Id="rId27" Type="http://schemas.openxmlformats.org/officeDocument/2006/relationships/hyperlink" Target="https://docs.google.com/spreadsheets/d/1v3B9E8Jeqx3_JGvRHJ2cXJ5OAGLvZiOXZru0niKH-QQ/edit" TargetMode="External"/><Relationship Id="rId125" Type="http://schemas.openxmlformats.org/officeDocument/2006/relationships/hyperlink" Target="https://sites.google.com/type.jp/medimap/%E5%90%84%E7%A8%AE%E8%B3%87%E6%96%99/%E5%85%A5%E7%A8%BF%E3%82%B9%E3%82%B1%E3%82%B8%E3%83%A5%E3%83%BC%E3%83%AB?authuser=0" TargetMode="External"/><Relationship Id="rId29" Type="http://schemas.openxmlformats.org/officeDocument/2006/relationships/hyperlink" Target="https://docs.google.com/spreadsheets/d/1v3B9E8Jeqx3_JGvRHJ2cXJ5OAGLvZiOXZru0niKH-QQ/edit" TargetMode="External"/><Relationship Id="rId124" Type="http://schemas.openxmlformats.org/officeDocument/2006/relationships/hyperlink" Target="https://docs.google.com/spreadsheets/d/1fszGGEJyWvmZAMIrpfRDmmd4XGZbqVOhpcOlyYBOINQ/edit" TargetMode="External"/><Relationship Id="rId123" Type="http://schemas.openxmlformats.org/officeDocument/2006/relationships/hyperlink" Target="https://docs.google.com/spreadsheets/d/1eDCOCS53NK9rfp5z02JF-lgQB6Xwt2qkVJDr2zBBiWg/edit" TargetMode="External"/><Relationship Id="rId122" Type="http://schemas.openxmlformats.org/officeDocument/2006/relationships/hyperlink" Target="https://docs.google.com/spreadsheets/d/16C0DK8hCqOGeHYxFQDXSJPD7HFMtIHaiy9nkLz0jRx0/edit" TargetMode="External"/><Relationship Id="rId95" Type="http://schemas.openxmlformats.org/officeDocument/2006/relationships/hyperlink" Target="https://docs.google.com/spreadsheets/d/1xrfsiAjLwPhBlveDsLSsUUfMnNpOidnkNLqHJabwWYo/edit" TargetMode="External"/><Relationship Id="rId94" Type="http://schemas.openxmlformats.org/officeDocument/2006/relationships/hyperlink" Target="https://docs.google.com/spreadsheets/d/1v3B9E8Jeqx3_JGvRHJ2cXJ5OAGLvZiOXZru0niKH-QQ/edit" TargetMode="External"/><Relationship Id="rId97" Type="http://schemas.openxmlformats.org/officeDocument/2006/relationships/hyperlink" Target="https://docs.google.com/spreadsheets/d/16C0DK8hCqOGeHYxFQDXSJPD7HFMtIHaiy9nkLz0jRx0/edit?gid=978158948" TargetMode="External"/><Relationship Id="rId96" Type="http://schemas.openxmlformats.org/officeDocument/2006/relationships/hyperlink" Target="https://docs.google.com/spreadsheets/d/1Jg5q2bKPROVlVnejz7_v2QTKDEs1pF1fTySWX2F_KAM/edit" TargetMode="External"/><Relationship Id="rId11" Type="http://schemas.openxmlformats.org/officeDocument/2006/relationships/hyperlink" Target="https://docs.google.com/spreadsheets/d/14VRt1DzygoL3ldywdTGi4p4-5N6W0OO9Ugf6GEHXv1k/edit" TargetMode="External"/><Relationship Id="rId99" Type="http://schemas.openxmlformats.org/officeDocument/2006/relationships/hyperlink" Target="https://docs.google.com/spreadsheets/d/16C0DK8hCqOGeHYxFQDXSJPD7HFMtIHaiy9nkLz0jRx0/edit?gid=978158948" TargetMode="External"/><Relationship Id="rId10" Type="http://schemas.openxmlformats.org/officeDocument/2006/relationships/hyperlink" Target="https://docs.google.com/spreadsheets/d/1Jg5q2bKPROVlVnejz7_v2QTKDEs1pF1fTySWX2F_KAM/edit" TargetMode="External"/><Relationship Id="rId98" Type="http://schemas.openxmlformats.org/officeDocument/2006/relationships/hyperlink" Target="https://docs.google.com/spreadsheets/d/1eDCOCS53NK9rfp5z02JF-lgQB6Xwt2qkVJDr2zBBiWg/edit" TargetMode="External"/><Relationship Id="rId13" Type="http://schemas.openxmlformats.org/officeDocument/2006/relationships/hyperlink" Target="https://docs.google.com/spreadsheets/d/16C0DK8hCqOGeHYxFQDXSJPD7HFMtIHaiy9nkLz0jRx0/edit" TargetMode="External"/><Relationship Id="rId12" Type="http://schemas.openxmlformats.org/officeDocument/2006/relationships/hyperlink" Target="https://docs.google.com/spreadsheets/d/16C0DK8hCqOGeHYxFQDXSJPD7HFMtIHaiy9nkLz0jRx0/edit" TargetMode="External"/><Relationship Id="rId91" Type="http://schemas.openxmlformats.org/officeDocument/2006/relationships/hyperlink" Target="https://docs.google.com/spreadsheets/d/1eDCOCS53NK9rfp5z02JF-lgQB6Xwt2qkVJDr2zBBiWg/edit" TargetMode="External"/><Relationship Id="rId90" Type="http://schemas.openxmlformats.org/officeDocument/2006/relationships/hyperlink" Target="https://docs.google.com/spreadsheets/d/16C0DK8hCqOGeHYxFQDXSJPD7HFMtIHaiy9nkLz0jRx0/edit?gid=978158948" TargetMode="External"/><Relationship Id="rId93" Type="http://schemas.openxmlformats.org/officeDocument/2006/relationships/hyperlink" Target="https://docs.google.com/spreadsheets/d/1DNnQMO3LFyUW-Eajsx2NZnTcURZ4YCTdPbv_1_7TlUI/edit" TargetMode="External"/><Relationship Id="rId92" Type="http://schemas.openxmlformats.org/officeDocument/2006/relationships/hyperlink" Target="https://docs.google.com/spreadsheets/d/1DNnQMO3LFyUW-Eajsx2NZnTcURZ4YCTdPbv_1_7TlUI/edit" TargetMode="External"/><Relationship Id="rId118" Type="http://schemas.openxmlformats.org/officeDocument/2006/relationships/hyperlink" Target="https://docs.google.com/spreadsheets/d/1Jg5q2bKPROVlVnejz7_v2QTKDEs1pF1fTySWX2F_KAM/edit?gid=1774338877" TargetMode="External"/><Relationship Id="rId117" Type="http://schemas.openxmlformats.org/officeDocument/2006/relationships/hyperlink" Target="https://docs.google.com/spreadsheets/d/1fszGGEJyWvmZAMIrpfRDmmd4XGZbqVOhpcOlyYBOINQ/edit" TargetMode="External"/><Relationship Id="rId116" Type="http://schemas.openxmlformats.org/officeDocument/2006/relationships/hyperlink" Target="https://docs.google.com/spreadsheets/d/1eDCOCS53NK9rfp5z02JF-lgQB6Xwt2qkVJDr2zBBiWg/edit" TargetMode="External"/><Relationship Id="rId115" Type="http://schemas.openxmlformats.org/officeDocument/2006/relationships/hyperlink" Target="https://docs.google.com/spreadsheets/d/16C0DK8hCqOGeHYxFQDXSJPD7HFMtIHaiy9nkLz0jRx0/edit?gid=978158948" TargetMode="External"/><Relationship Id="rId119" Type="http://schemas.openxmlformats.org/officeDocument/2006/relationships/hyperlink" Target="https://docs.google.com/spreadsheets/d/16C0DK8hCqOGeHYxFQDXSJPD7HFMtIHaiy9nkLz0jRx0/edit?gid=978158948" TargetMode="External"/><Relationship Id="rId15" Type="http://schemas.openxmlformats.org/officeDocument/2006/relationships/hyperlink" Target="https://docs.google.com/spreadsheets/d/1xrfsiAjLwPhBlveDsLSsUUfMnNpOidnkNLqHJabwWYo/edit" TargetMode="External"/><Relationship Id="rId110" Type="http://schemas.openxmlformats.org/officeDocument/2006/relationships/hyperlink" Target="https://docs.google.com/spreadsheets/d/1fszGGEJyWvmZAMIrpfRDmmd4XGZbqVOhpcOlyYBOINQ/edit" TargetMode="External"/><Relationship Id="rId14" Type="http://schemas.openxmlformats.org/officeDocument/2006/relationships/hyperlink" Target="https://docs.google.com/spreadsheets/d/1v3B9E8Jeqx3_JGvRHJ2cXJ5OAGLvZiOXZru0niKH-QQ/edit" TargetMode="External"/><Relationship Id="rId17" Type="http://schemas.openxmlformats.org/officeDocument/2006/relationships/hyperlink" Target="https://docs.google.com/spreadsheets/d/1Jg5q2bKPROVlVnejz7_v2QTKDEs1pF1fTySWX2F_KAM/edit" TargetMode="External"/><Relationship Id="rId16" Type="http://schemas.openxmlformats.org/officeDocument/2006/relationships/hyperlink" Target="https://drive.google.com/drive/folders/1Ibi9NN07LPd4LIesF0xdlLIGX-yX8lRB" TargetMode="External"/><Relationship Id="rId19" Type="http://schemas.openxmlformats.org/officeDocument/2006/relationships/hyperlink" Target="https://docs.google.com/spreadsheets/d/16C0DK8hCqOGeHYxFQDXSJPD7HFMtIHaiy9nkLz0jRx0/edit" TargetMode="External"/><Relationship Id="rId114" Type="http://schemas.openxmlformats.org/officeDocument/2006/relationships/hyperlink" Target="https://docs.google.com/spreadsheets/d/1fszGGEJyWvmZAMIrpfRDmmd4XGZbqVOhpcOlyYBOINQ/edit" TargetMode="External"/><Relationship Id="rId18" Type="http://schemas.openxmlformats.org/officeDocument/2006/relationships/hyperlink" Target="https://docs.google.com/spreadsheets/d/14VRt1DzygoL3ldywdTGi4p4-5N6W0OO9Ugf6GEHXv1k/edit" TargetMode="External"/><Relationship Id="rId113" Type="http://schemas.openxmlformats.org/officeDocument/2006/relationships/hyperlink" Target="https://docs.google.com/spreadsheets/d/1eDCOCS53NK9rfp5z02JF-lgQB6Xwt2qkVJDr2zBBiWg/edit" TargetMode="External"/><Relationship Id="rId112" Type="http://schemas.openxmlformats.org/officeDocument/2006/relationships/hyperlink" Target="https://docs.google.com/spreadsheets/d/16C0DK8hCqOGeHYxFQDXSJPD7HFMtIHaiy9nkLz0jRx0/edit?gid=978158948" TargetMode="External"/><Relationship Id="rId111" Type="http://schemas.openxmlformats.org/officeDocument/2006/relationships/hyperlink" Target="https://docs.google.com/spreadsheets/d/1Jg5q2bKPROVlVnejz7_v2QTKDEs1pF1fTySWX2F_KAM/edit?gid=1774338877" TargetMode="External"/><Relationship Id="rId84" Type="http://schemas.openxmlformats.org/officeDocument/2006/relationships/hyperlink" Target="https://docs.google.com/spreadsheets/d/1eDCOCS53NK9rfp5z02JF-lgQB6Xwt2qkVJDr2zBBiWg/edit" TargetMode="External"/><Relationship Id="rId83" Type="http://schemas.openxmlformats.org/officeDocument/2006/relationships/hyperlink" Target="https://docs.google.com/spreadsheets/d/16C0DK8hCqOGeHYxFQDXSJPD7HFMtIHaiy9nkLz0jRx0/edit?gid=978158948" TargetMode="External"/><Relationship Id="rId86" Type="http://schemas.openxmlformats.org/officeDocument/2006/relationships/hyperlink" Target="https://docs.google.com/spreadsheets/d/1DNnQMO3LFyUW-Eajsx2NZnTcURZ4YCTdPbv_1_7TlUI/edit" TargetMode="External"/><Relationship Id="rId85" Type="http://schemas.openxmlformats.org/officeDocument/2006/relationships/hyperlink" Target="https://docs.google.com/spreadsheets/d/1DNnQMO3LFyUW-Eajsx2NZnTcURZ4YCTdPbv_1_7TlUI/edit" TargetMode="External"/><Relationship Id="rId88" Type="http://schemas.openxmlformats.org/officeDocument/2006/relationships/hyperlink" Target="https://docs.google.com/spreadsheets/d/1xrfsiAjLwPhBlveDsLSsUUfMnNpOidnkNLqHJabwWYo/edit" TargetMode="External"/><Relationship Id="rId150" Type="http://schemas.openxmlformats.org/officeDocument/2006/relationships/hyperlink" Target="https://docs.google.com/spreadsheets/d/1Jg5q2bKPROVlVnejz7_v2QTKDEs1pF1fTySWX2F_KAM/edit?gid=1774338877" TargetMode="External"/><Relationship Id="rId87" Type="http://schemas.openxmlformats.org/officeDocument/2006/relationships/hyperlink" Target="https://docs.google.com/spreadsheets/d/1v3B9E8Jeqx3_JGvRHJ2cXJ5OAGLvZiOXZru0niKH-QQ/edit" TargetMode="External"/><Relationship Id="rId89" Type="http://schemas.openxmlformats.org/officeDocument/2006/relationships/hyperlink" Target="https://docs.google.com/spreadsheets/d/1Jg5q2bKPROVlVnejz7_v2QTKDEs1pF1fTySWX2F_KAM/edit" TargetMode="External"/><Relationship Id="rId80" Type="http://schemas.openxmlformats.org/officeDocument/2006/relationships/hyperlink" Target="https://docs.google.com/spreadsheets/d/1Jg5q2bKPROVlVnejz7_v2QTKDEs1pF1fTySWX2F_KAM/edit" TargetMode="External"/><Relationship Id="rId82" Type="http://schemas.openxmlformats.org/officeDocument/2006/relationships/hyperlink" Target="https://docs.google.com/spreadsheets/d/1eDCOCS53NK9rfp5z02JF-lgQB6Xwt2qkVJDr2zBBiWg/edit" TargetMode="External"/><Relationship Id="rId81" Type="http://schemas.openxmlformats.org/officeDocument/2006/relationships/hyperlink" Target="https://docs.google.com/spreadsheets/d/16C0DK8hCqOGeHYxFQDXSJPD7HFMtIHaiy9nkLz0jRx0/edit?gid=978158948" TargetMode="External"/><Relationship Id="rId1" Type="http://schemas.openxmlformats.org/officeDocument/2006/relationships/comments" Target="../comments7.xml"/><Relationship Id="rId2" Type="http://schemas.openxmlformats.org/officeDocument/2006/relationships/hyperlink" Target="https://docs.google.com/spreadsheets/d/1xrfsiAjLwPhBlveDsLSsUUfMnNpOidnkNLqHJabwWYo/edit" TargetMode="External"/><Relationship Id="rId3" Type="http://schemas.openxmlformats.org/officeDocument/2006/relationships/hyperlink" Target="https://drive.google.com/drive/folders/1Ibi9NN07LPd4LIesF0xdlLIGX-yX8lRB" TargetMode="External"/><Relationship Id="rId149" Type="http://schemas.openxmlformats.org/officeDocument/2006/relationships/hyperlink" Target="https://docs.google.com/spreadsheets/d/1fszGGEJyWvmZAMIrpfRDmmd4XGZbqVOhpcOlyYBOINQ/edit" TargetMode="External"/><Relationship Id="rId4" Type="http://schemas.openxmlformats.org/officeDocument/2006/relationships/hyperlink" Target="https://docs.google.com/spreadsheets/d/14VRt1DzygoL3ldywdTGi4p4-5N6W0OO9Ugf6GEHXv1k/edit" TargetMode="External"/><Relationship Id="rId148" Type="http://schemas.openxmlformats.org/officeDocument/2006/relationships/hyperlink" Target="https://docs.google.com/spreadsheets/d/1eDCOCS53NK9rfp5z02JF-lgQB6Xwt2qkVJDr2zBBiWg/edit" TargetMode="External"/><Relationship Id="rId9" Type="http://schemas.openxmlformats.org/officeDocument/2006/relationships/hyperlink" Target="https://drive.google.com/drive/folders/1Ibi9NN07LPd4LIesF0xdlLIGX-yX8lRB" TargetMode="External"/><Relationship Id="rId143" Type="http://schemas.openxmlformats.org/officeDocument/2006/relationships/hyperlink" Target="https://docs.google.com/spreadsheets/d/1Jg5q2bKPROVlVnejz7_v2QTKDEs1pF1fTySWX2F_KAM/edit?gid=1774338877" TargetMode="External"/><Relationship Id="rId142" Type="http://schemas.openxmlformats.org/officeDocument/2006/relationships/hyperlink" Target="https://docs.google.com/spreadsheets/d/1fszGGEJyWvmZAMIrpfRDmmd4XGZbqVOhpcOlyYBOINQ/edit" TargetMode="External"/><Relationship Id="rId141" Type="http://schemas.openxmlformats.org/officeDocument/2006/relationships/hyperlink" Target="https://docs.google.com/spreadsheets/d/1ruClxDVuxELIssYmyDqs69MeIAB3RInbiwrXUmx4nJo/edit" TargetMode="External"/><Relationship Id="rId140" Type="http://schemas.openxmlformats.org/officeDocument/2006/relationships/hyperlink" Target="https://sites.google.com/type.jp/medimap/%E5%90%84%E7%A8%AE%E8%B3%87%E6%96%99/%E5%85%A5%E7%A8%BF%E3%82%B9%E3%82%B1%E3%82%B8%E3%83%A5%E3%83%BC%E3%83%AB?authuser=0" TargetMode="External"/><Relationship Id="rId5" Type="http://schemas.openxmlformats.org/officeDocument/2006/relationships/hyperlink" Target="https://docs.google.com/spreadsheets/d/16C0DK8hCqOGeHYxFQDXSJPD7HFMtIHaiy9nkLz0jRx0/edit" TargetMode="External"/><Relationship Id="rId147" Type="http://schemas.openxmlformats.org/officeDocument/2006/relationships/hyperlink" Target="https://docs.google.com/spreadsheets/d/16C0DK8hCqOGeHYxFQDXSJPD7HFMtIHaiy9nkLz0jRx0/edit?gid=978158948" TargetMode="External"/><Relationship Id="rId6" Type="http://schemas.openxmlformats.org/officeDocument/2006/relationships/hyperlink" Target="https://docs.google.com/spreadsheets/d/1ruClxDVuxELIssYmyDqs69MeIAB3RInbiwrXUmx4nJo/edit" TargetMode="External"/><Relationship Id="rId146" Type="http://schemas.openxmlformats.org/officeDocument/2006/relationships/hyperlink" Target="https://docs.google.com/spreadsheets/d/1fszGGEJyWvmZAMIrpfRDmmd4XGZbqVOhpcOlyYBOINQ/edit" TargetMode="External"/><Relationship Id="rId7" Type="http://schemas.openxmlformats.org/officeDocument/2006/relationships/hyperlink" Target="https://docs.google.com/spreadsheets/d/1v3B9E8Jeqx3_JGvRHJ2cXJ5OAGLvZiOXZru0niKH-QQ/edit" TargetMode="External"/><Relationship Id="rId145" Type="http://schemas.openxmlformats.org/officeDocument/2006/relationships/hyperlink" Target="https://docs.google.com/spreadsheets/d/1eDCOCS53NK9rfp5z02JF-lgQB6Xwt2qkVJDr2zBBiWg/edit" TargetMode="External"/><Relationship Id="rId8" Type="http://schemas.openxmlformats.org/officeDocument/2006/relationships/hyperlink" Target="https://docs.google.com/spreadsheets/d/1xrfsiAjLwPhBlveDsLSsUUfMnNpOidnkNLqHJabwWYo/edit" TargetMode="External"/><Relationship Id="rId144" Type="http://schemas.openxmlformats.org/officeDocument/2006/relationships/hyperlink" Target="https://docs.google.com/spreadsheets/d/16C0DK8hCqOGeHYxFQDXSJPD7HFMtIHaiy9nkLz0jRx0/edit?gid=978158948" TargetMode="External"/><Relationship Id="rId73" Type="http://schemas.openxmlformats.org/officeDocument/2006/relationships/hyperlink" Target="https://docs.google.com/spreadsheets/d/1fszGGEJyWvmZAMIrpfRDmmd4XGZbqVOhpcOlyYBOINQ/edit" TargetMode="External"/><Relationship Id="rId72" Type="http://schemas.openxmlformats.org/officeDocument/2006/relationships/hyperlink" Target="https://docs.google.com/spreadsheets/d/1eDCOCS53NK9rfp5z02JF-lgQB6Xwt2qkVJDr2zBBiWg/edit" TargetMode="External"/><Relationship Id="rId75" Type="http://schemas.openxmlformats.org/officeDocument/2006/relationships/hyperlink" Target="https://docs.google.com/spreadsheets/d/1ruClxDVuxELIssYmyDqs69MeIAB3RInbiwrXUmx4nJo/edit" TargetMode="External"/><Relationship Id="rId74" Type="http://schemas.openxmlformats.org/officeDocument/2006/relationships/hyperlink" Target="https://sites.google.com/type.jp/medimap/%E5%90%84%E7%A8%AE%E8%B3%87%E6%96%99/%E5%85%A5%E7%A8%BF%E3%82%B9%E3%82%B1%E3%82%B8%E3%83%A5%E3%83%BC%E3%83%AB?authuser=0" TargetMode="External"/><Relationship Id="rId77" Type="http://schemas.openxmlformats.org/officeDocument/2006/relationships/hyperlink" Target="https://docs.google.com/spreadsheets/d/1DNnQMO3LFyUW-Eajsx2NZnTcURZ4YCTdPbv_1_7TlUI/edit" TargetMode="External"/><Relationship Id="rId76" Type="http://schemas.openxmlformats.org/officeDocument/2006/relationships/hyperlink" Target="https://docs.google.com/spreadsheets/d/1DNnQMO3LFyUW-Eajsx2NZnTcURZ4YCTdPbv_1_7TlUI/edit" TargetMode="External"/><Relationship Id="rId79" Type="http://schemas.openxmlformats.org/officeDocument/2006/relationships/hyperlink" Target="https://docs.google.com/spreadsheets/d/1xrfsiAjLwPhBlveDsLSsUUfMnNpOidnkNLqHJabwWYo/edit" TargetMode="External"/><Relationship Id="rId78" Type="http://schemas.openxmlformats.org/officeDocument/2006/relationships/hyperlink" Target="https://docs.google.com/spreadsheets/d/1v3B9E8Jeqx3_JGvRHJ2cXJ5OAGLvZiOXZru0niKH-QQ/edit" TargetMode="External"/><Relationship Id="rId71" Type="http://schemas.openxmlformats.org/officeDocument/2006/relationships/hyperlink" Target="https://docs.google.com/spreadsheets/d/16C0DK8hCqOGeHYxFQDXSJPD7HFMtIHaiy9nkLz0jRx0/edit" TargetMode="External"/><Relationship Id="rId70" Type="http://schemas.openxmlformats.org/officeDocument/2006/relationships/hyperlink" Target="https://docs.google.com/spreadsheets/d/1ruClxDVuxELIssYmyDqs69MeIAB3RInbiwrXUmx4nJo/edit" TargetMode="External"/><Relationship Id="rId139" Type="http://schemas.openxmlformats.org/officeDocument/2006/relationships/hyperlink" Target="https://docs.google.com/spreadsheets/d/1fszGGEJyWvmZAMIrpfRDmmd4XGZbqVOhpcOlyYBOINQ/edit" TargetMode="External"/><Relationship Id="rId138" Type="http://schemas.openxmlformats.org/officeDocument/2006/relationships/hyperlink" Target="https://docs.google.com/spreadsheets/d/1eDCOCS53NK9rfp5z02JF-lgQB6Xwt2qkVJDr2zBBiWg/edit" TargetMode="External"/><Relationship Id="rId137" Type="http://schemas.openxmlformats.org/officeDocument/2006/relationships/hyperlink" Target="https://docs.google.com/spreadsheets/d/16C0DK8hCqOGeHYxFQDXSJPD7HFMtIHaiy9nkLz0jRx0/edit" TargetMode="External"/><Relationship Id="rId132" Type="http://schemas.openxmlformats.org/officeDocument/2006/relationships/hyperlink" Target="https://docs.google.com/spreadsheets/d/16C0DK8hCqOGeHYxFQDXSJPD7HFMtIHaiy9nkLz0jRx0/edit" TargetMode="External"/><Relationship Id="rId131" Type="http://schemas.openxmlformats.org/officeDocument/2006/relationships/hyperlink" Target="https://docs.google.com/spreadsheets/d/1ruClxDVuxELIssYmyDqs69MeIAB3RInbiwrXUmx4nJo/edit" TargetMode="External"/><Relationship Id="rId130" Type="http://schemas.openxmlformats.org/officeDocument/2006/relationships/hyperlink" Target="https://sites.google.com/type.jp/medimap/%E5%90%84%E7%A8%AE%E8%B3%87%E6%96%99/%E5%85%A5%E7%A8%BF%E3%82%B9%E3%82%B1%E3%82%B8%E3%83%A5%E3%83%BC%E3%83%AB?authuser=0" TargetMode="External"/><Relationship Id="rId136" Type="http://schemas.openxmlformats.org/officeDocument/2006/relationships/hyperlink" Target="https://docs.google.com/spreadsheets/d/1ruClxDVuxELIssYmyDqs69MeIAB3RInbiwrXUmx4nJo/edit" TargetMode="External"/><Relationship Id="rId135" Type="http://schemas.openxmlformats.org/officeDocument/2006/relationships/hyperlink" Target="https://sites.google.com/type.jp/medimap/%E5%90%84%E7%A8%AE%E8%B3%87%E6%96%99/%E5%85%A5%E7%A8%BF%E3%82%B9%E3%82%B1%E3%82%B8%E3%83%A5%E3%83%BC%E3%83%AB?authuser=0" TargetMode="External"/><Relationship Id="rId134" Type="http://schemas.openxmlformats.org/officeDocument/2006/relationships/hyperlink" Target="https://docs.google.com/spreadsheets/d/1fszGGEJyWvmZAMIrpfRDmmd4XGZbqVOhpcOlyYBOINQ/edit" TargetMode="External"/><Relationship Id="rId133" Type="http://schemas.openxmlformats.org/officeDocument/2006/relationships/hyperlink" Target="https://docs.google.com/spreadsheets/d/1eDCOCS53NK9rfp5z02JF-lgQB6Xwt2qkVJDr2zBBiWg/edit" TargetMode="External"/><Relationship Id="rId62" Type="http://schemas.openxmlformats.org/officeDocument/2006/relationships/hyperlink" Target="https://docs.google.com/spreadsheets/d/1v3B9E8Jeqx3_JGvRHJ2cXJ5OAGLvZiOXZru0niKH-QQ/edit" TargetMode="External"/><Relationship Id="rId61" Type="http://schemas.openxmlformats.org/officeDocument/2006/relationships/hyperlink" Target="https://docs.google.com/spreadsheets/d/1ruClxDVuxELIssYmyDqs69MeIAB3RInbiwrXUmx4nJo/edit" TargetMode="External"/><Relationship Id="rId64" Type="http://schemas.openxmlformats.org/officeDocument/2006/relationships/hyperlink" Target="https://docs.google.com/spreadsheets/d/1v3B9E8Jeqx3_JGvRHJ2cXJ5OAGLvZiOXZru0niKH-QQ/edit" TargetMode="External"/><Relationship Id="rId63" Type="http://schemas.openxmlformats.org/officeDocument/2006/relationships/hyperlink" Target="https://docs.google.com/spreadsheets/d/1xrfsiAjLwPhBlveDsLSsUUfMnNpOidnkNLqHJabwWYo/edit" TargetMode="External"/><Relationship Id="rId66" Type="http://schemas.openxmlformats.org/officeDocument/2006/relationships/hyperlink" Target="https://docs.google.com/spreadsheets/d/16C0DK8hCqOGeHYxFQDXSJPD7HFMtIHaiy9nkLz0jRx0/edit" TargetMode="External"/><Relationship Id="rId172" Type="http://schemas.openxmlformats.org/officeDocument/2006/relationships/hyperlink" Target="https://docs.google.com/spreadsheets/d/16C0DK8hCqOGeHYxFQDXSJPD7HFMtIHaiy9nkLz0jRx0/edit?gid=978158948" TargetMode="External"/><Relationship Id="rId65" Type="http://schemas.openxmlformats.org/officeDocument/2006/relationships/hyperlink" Target="https://docs.google.com/spreadsheets/d/1xrfsiAjLwPhBlveDsLSsUUfMnNpOidnkNLqHJabwWYo/edit" TargetMode="External"/><Relationship Id="rId171" Type="http://schemas.openxmlformats.org/officeDocument/2006/relationships/hyperlink" Target="https://docs.google.com/spreadsheets/d/1eDCOCS53NK9rfp5z02JF-lgQB6Xwt2qkVJDr2zBBiWg/edit" TargetMode="External"/><Relationship Id="rId68" Type="http://schemas.openxmlformats.org/officeDocument/2006/relationships/hyperlink" Target="https://docs.google.com/spreadsheets/d/1fszGGEJyWvmZAMIrpfRDmmd4XGZbqVOhpcOlyYBOINQ/edit" TargetMode="External"/><Relationship Id="rId170" Type="http://schemas.openxmlformats.org/officeDocument/2006/relationships/hyperlink" Target="https://docs.google.com/spreadsheets/d/16C0DK8hCqOGeHYxFQDXSJPD7HFMtIHaiy9nkLz0jRx0/edit?gid=978158948" TargetMode="External"/><Relationship Id="rId67" Type="http://schemas.openxmlformats.org/officeDocument/2006/relationships/hyperlink" Target="https://docs.google.com/spreadsheets/d/1eDCOCS53NK9rfp5z02JF-lgQB6Xwt2qkVJDr2zBBiWg/edit" TargetMode="External"/><Relationship Id="rId60" Type="http://schemas.openxmlformats.org/officeDocument/2006/relationships/hyperlink" Target="https://sites.google.com/type.jp/medimap/%E5%90%84%E7%A8%AE%E8%B3%87%E6%96%99/%E5%85%A5%E7%A8%BF%E3%82%B9%E3%82%B1%E3%82%B8%E3%83%A5%E3%83%BC%E3%83%AB?authuser=0" TargetMode="External"/><Relationship Id="rId165" Type="http://schemas.openxmlformats.org/officeDocument/2006/relationships/hyperlink" Target="https://sites.google.com/type.jp/medimap/%E5%90%84%E7%A8%AE%E8%B3%87%E6%96%99/%E5%85%A5%E7%A8%BF%E3%82%B9%E3%82%B1%E3%82%B8%E3%83%A5%E3%83%BC%E3%83%AB?authuser=0" TargetMode="External"/><Relationship Id="rId69" Type="http://schemas.openxmlformats.org/officeDocument/2006/relationships/hyperlink" Target="https://sites.google.com/type.jp/medimap/%E5%90%84%E7%A8%AE%E8%B3%87%E6%96%99/%E5%85%A5%E7%A8%BF%E3%82%B9%E3%82%B1%E3%82%B8%E3%83%A5%E3%83%BC%E3%83%AB?authuser=0" TargetMode="External"/><Relationship Id="rId164" Type="http://schemas.openxmlformats.org/officeDocument/2006/relationships/hyperlink" Target="https://docs.google.com/spreadsheets/d/1fszGGEJyWvmZAMIrpfRDmmd4XGZbqVOhpcOlyYBOINQ/edit" TargetMode="External"/><Relationship Id="rId163" Type="http://schemas.openxmlformats.org/officeDocument/2006/relationships/hyperlink" Target="https://docs.google.com/spreadsheets/d/1eDCOCS53NK9rfp5z02JF-lgQB6Xwt2qkVJDr2zBBiWg/edit" TargetMode="External"/><Relationship Id="rId162" Type="http://schemas.openxmlformats.org/officeDocument/2006/relationships/hyperlink" Target="https://docs.google.com/spreadsheets/d/16C0DK8hCqOGeHYxFQDXSJPD7HFMtIHaiy9nkLz0jRx0/edit" TargetMode="External"/><Relationship Id="rId169" Type="http://schemas.openxmlformats.org/officeDocument/2006/relationships/hyperlink" Target="https://docs.google.com/spreadsheets/d/1xrfsiAjLwPhBlveDsLSsUUfMnNpOidnkNLqHJabwWYo/edit" TargetMode="External"/><Relationship Id="rId168" Type="http://schemas.openxmlformats.org/officeDocument/2006/relationships/hyperlink" Target="https://docs.google.com/spreadsheets/d/1v3B9E8Jeqx3_JGvRHJ2cXJ5OAGLvZiOXZru0niKH-QQ/edit" TargetMode="External"/><Relationship Id="rId167" Type="http://schemas.openxmlformats.org/officeDocument/2006/relationships/hyperlink" Target="https://docs.google.com/spreadsheets/d/1fszGGEJyWvmZAMIrpfRDmmd4XGZbqVOhpcOlyYBOINQ/edit" TargetMode="External"/><Relationship Id="rId166" Type="http://schemas.openxmlformats.org/officeDocument/2006/relationships/hyperlink" Target="https://docs.google.com/spreadsheets/d/1ruClxDVuxELIssYmyDqs69MeIAB3RInbiwrXUmx4nJo/edit" TargetMode="External"/><Relationship Id="rId51" Type="http://schemas.openxmlformats.org/officeDocument/2006/relationships/hyperlink" Target="https://docs.google.com/spreadsheets/d/1xrfsiAjLwPhBlveDsLSsUUfMnNpOidnkNLqHJabwWYo/edit" TargetMode="External"/><Relationship Id="rId50" Type="http://schemas.openxmlformats.org/officeDocument/2006/relationships/hyperlink" Target="https://docs.google.com/spreadsheets/d/1v3B9E8Jeqx3_JGvRHJ2cXJ5OAGLvZiOXZru0niKH-QQ/edit" TargetMode="External"/><Relationship Id="rId53" Type="http://schemas.openxmlformats.org/officeDocument/2006/relationships/hyperlink" Target="https://docs.google.com/spreadsheets/d/1fszGGEJyWvmZAMIrpfRDmmd4XGZbqVOhpcOlyYBOINQ/edit" TargetMode="External"/><Relationship Id="rId52" Type="http://schemas.openxmlformats.org/officeDocument/2006/relationships/hyperlink" Target="https://docs.google.com/spreadsheets/d/1eDCOCS53NK9rfp5z02JF-lgQB6Xwt2qkVJDr2zBBiWg/edit" TargetMode="External"/><Relationship Id="rId55" Type="http://schemas.openxmlformats.org/officeDocument/2006/relationships/hyperlink" Target="https://docs.google.com/spreadsheets/d/1ruClxDVuxELIssYmyDqs69MeIAB3RInbiwrXUmx4nJo/edit" TargetMode="External"/><Relationship Id="rId161" Type="http://schemas.openxmlformats.org/officeDocument/2006/relationships/hyperlink" Target="https://docs.google.com/spreadsheets/d/1fszGGEJyWvmZAMIrpfRDmmd4XGZbqVOhpcOlyYBOINQ/edit" TargetMode="External"/><Relationship Id="rId54" Type="http://schemas.openxmlformats.org/officeDocument/2006/relationships/hyperlink" Target="https://sites.google.com/type.jp/medimap/%E5%90%84%E7%A8%AE%E8%B3%87%E6%96%99/%E5%85%A5%E7%A8%BF%E3%82%B9%E3%82%B1%E3%82%B8%E3%83%A5%E3%83%BC%E3%83%AB?authuser=0" TargetMode="External"/><Relationship Id="rId160" Type="http://schemas.openxmlformats.org/officeDocument/2006/relationships/hyperlink" Target="https://docs.google.com/spreadsheets/d/1eDCOCS53NK9rfp5z02JF-lgQB6Xwt2qkVJDr2zBBiWg/edit" TargetMode="External"/><Relationship Id="rId57" Type="http://schemas.openxmlformats.org/officeDocument/2006/relationships/hyperlink" Target="https://docs.google.com/spreadsheets/d/16C0DK8hCqOGeHYxFQDXSJPD7HFMtIHaiy9nkLz0jRx0/edit" TargetMode="External"/><Relationship Id="rId56" Type="http://schemas.openxmlformats.org/officeDocument/2006/relationships/hyperlink" Target="https://docs.google.com/spreadsheets/d/1eDCOCS53NK9rfp5z02JF-lgQB6Xwt2qkVJDr2zBBiWg/edit" TargetMode="External"/><Relationship Id="rId159" Type="http://schemas.openxmlformats.org/officeDocument/2006/relationships/hyperlink" Target="https://docs.google.com/spreadsheets/d/16C0DK8hCqOGeHYxFQDXSJPD7HFMtIHaiy9nkLz0jRx0/edit?gid=978158948" TargetMode="External"/><Relationship Id="rId59" Type="http://schemas.openxmlformats.org/officeDocument/2006/relationships/hyperlink" Target="https://docs.google.com/spreadsheets/d/1fszGGEJyWvmZAMIrpfRDmmd4XGZbqVOhpcOlyYBOINQ/edit" TargetMode="External"/><Relationship Id="rId154" Type="http://schemas.openxmlformats.org/officeDocument/2006/relationships/hyperlink" Target="https://docs.google.com/spreadsheets/d/16C0DK8hCqOGeHYxFQDXSJPD7HFMtIHaiy9nkLz0jRx0/edit" TargetMode="External"/><Relationship Id="rId58" Type="http://schemas.openxmlformats.org/officeDocument/2006/relationships/hyperlink" Target="https://docs.google.com/spreadsheets/d/1eDCOCS53NK9rfp5z02JF-lgQB6Xwt2qkVJDr2zBBiWg/edit" TargetMode="External"/><Relationship Id="rId153" Type="http://schemas.openxmlformats.org/officeDocument/2006/relationships/hyperlink" Target="https://docs.google.com/spreadsheets/d/1fszGGEJyWvmZAMIrpfRDmmd4XGZbqVOhpcOlyYBOINQ/edit" TargetMode="External"/><Relationship Id="rId152" Type="http://schemas.openxmlformats.org/officeDocument/2006/relationships/hyperlink" Target="https://docs.google.com/spreadsheets/d/1eDCOCS53NK9rfp5z02JF-lgQB6Xwt2qkVJDr2zBBiWg/edit" TargetMode="External"/><Relationship Id="rId151" Type="http://schemas.openxmlformats.org/officeDocument/2006/relationships/hyperlink" Target="https://docs.google.com/spreadsheets/d/16C0DK8hCqOGeHYxFQDXSJPD7HFMtIHaiy9nkLz0jRx0/edit?gid=978158948" TargetMode="External"/><Relationship Id="rId158" Type="http://schemas.openxmlformats.org/officeDocument/2006/relationships/hyperlink" Target="https://docs.google.com/spreadsheets/d/1ruClxDVuxELIssYmyDqs69MeIAB3RInbiwrXUmx4nJo/edit" TargetMode="External"/><Relationship Id="rId157" Type="http://schemas.openxmlformats.org/officeDocument/2006/relationships/hyperlink" Target="https://sites.google.com/type.jp/medimap/%E5%90%84%E7%A8%AE%E8%B3%87%E6%96%99/%E5%85%A5%E7%A8%BF%E3%82%B9%E3%82%B1%E3%82%B8%E3%83%A5%E3%83%BC%E3%83%AB?authuser=0" TargetMode="External"/><Relationship Id="rId156" Type="http://schemas.openxmlformats.org/officeDocument/2006/relationships/hyperlink" Target="https://docs.google.com/spreadsheets/d/1fszGGEJyWvmZAMIrpfRDmmd4XGZbqVOhpcOlyYBOINQ/edit" TargetMode="External"/><Relationship Id="rId155" Type="http://schemas.openxmlformats.org/officeDocument/2006/relationships/hyperlink" Target="https://docs.google.com/spreadsheets/d/1eDCOCS53NK9rfp5z02JF-lgQB6Xwt2qkVJDr2zBBiWg/edit"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ocs.google.com/spreadsheets/d/12m0L3b4UiMYVHXx-GjzkWE7LRQmKZJpAcNwMpPKG-Vw/edit?gid=0" TargetMode="External"/><Relationship Id="rId3" Type="http://schemas.openxmlformats.org/officeDocument/2006/relationships/hyperlink" Target="https://docs.google.com/spreadsheets/d/17AK9knGldR84IrFgGP0Q4LdxWGkXdyrGS3YtzPF_yuY/edit?gid=1441980861" TargetMode="External"/><Relationship Id="rId4" Type="http://schemas.openxmlformats.org/officeDocument/2006/relationships/hyperlink" Target="https://docs.google.com/spreadsheets/d/1_zL1zhn7dgc0QlwI1zlrpAAt-u0fs_2-NiCBqstvYak/edit?gid=421846303" TargetMode="External"/><Relationship Id="rId9" Type="http://schemas.openxmlformats.org/officeDocument/2006/relationships/vmlDrawing" Target="../drawings/vmlDrawing8.vml"/><Relationship Id="rId5" Type="http://schemas.openxmlformats.org/officeDocument/2006/relationships/hyperlink" Target="https://docs.google.com/spreadsheets/d/16wJJDyYTGHtmNDudewhn5FOOD7L6IpyHWdsxQD3dmfM/edit?gid=970900620" TargetMode="External"/><Relationship Id="rId6" Type="http://schemas.openxmlformats.org/officeDocument/2006/relationships/hyperlink" Target="https://docs.google.com/spreadsheets/d/16wJJDyYTGHtmNDudewhn5FOOD7L6IpyHWdsxQD3dmfM/edit?gid=970900620" TargetMode="External"/><Relationship Id="rId7" Type="http://schemas.openxmlformats.org/officeDocument/2006/relationships/hyperlink" Target="https://docs.google.com/spreadsheets/d/17AK9knGldR84IrFgGP0Q4LdxWGkXdyrGS3YtzPF_yuY/edit?gid=1441980861"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drive/folders/1xCE0OLYDmi25JpGRmLxNm5hjiFvriGKJ" TargetMode="External"/><Relationship Id="rId2" Type="http://schemas.openxmlformats.org/officeDocument/2006/relationships/hyperlink" Target="https://f.hubspotusercontent30.net/hubfs/6324080/00-pamphlet/woman/womantype-planguide-booklet-01.pdf" TargetMode="External"/><Relationship Id="rId3" Type="http://schemas.openxmlformats.org/officeDocument/2006/relationships/hyperlink" Target="https://docs.google.com/spreadsheets/d/16xGmrj4EBxZTHMVN-c2ydDDdMCW_s04mJYApUP3wRSY/edit" TargetMode="External"/><Relationship Id="rId4" Type="http://schemas.openxmlformats.org/officeDocument/2006/relationships/hyperlink" Target="https://f.hubspotusercontent30.net/hubfs/6324080/00-pamphlet/woman/womantype-planguide-booklet-01.pdf" TargetMode="External"/><Relationship Id="rId5" Type="http://schemas.openxmlformats.org/officeDocument/2006/relationships/hyperlink" Target="https://docs.google.com/spreadsheets/d/16xGmrj4EBxZTHMVN-c2ydDDdMCW_s04mJYApUP3wRSY/edit" TargetMode="External"/><Relationship Id="rId6" Type="http://schemas.openxmlformats.org/officeDocument/2006/relationships/hyperlink" Target="https://docs.google.com/spreadsheets/d/16xGmrj4EBxZTHMVN-c2ydDDdMCW_s04mJYApUP3wRSY/edit"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d/16C0DK8hCqOGeHYxFQDXSJPD7HFMtIHaiy9nkLz0jRx0/edit?gid=978158948" TargetMode="External"/><Relationship Id="rId2" Type="http://schemas.openxmlformats.org/officeDocument/2006/relationships/hyperlink" Target="https://docs.google.com/spreadsheets/d/1ruClxDVuxELIssYmyDqs69MeIAB3RInbiwrXUmx4nJo/edit?gid=137635336" TargetMode="External"/><Relationship Id="rId3" Type="http://schemas.openxmlformats.org/officeDocument/2006/relationships/hyperlink" Target="https://docs.google.com/spreadsheets/d/1ruClxDVuxELIssYmyDqs69MeIAB3RInbiwrXUmx4nJo/edit?gid=706137097" TargetMode="Externa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75"/>
    <col customWidth="1" min="2" max="2" width="24.25"/>
    <col customWidth="1" min="3" max="6" width="3.25"/>
    <col customWidth="1" min="7" max="7" width="24.25"/>
    <col customWidth="1" min="8" max="11" width="3.25"/>
    <col customWidth="1" min="12" max="12" width="24.25"/>
    <col customWidth="1" min="13" max="16" width="3.25"/>
    <col customWidth="1" min="17" max="17" width="24.25"/>
    <col customWidth="1" min="18" max="21" width="3.25"/>
    <col customWidth="1" min="22" max="22" width="24.25"/>
    <col customWidth="1" min="23" max="26" width="3.25"/>
    <col customWidth="1" min="27" max="27" width="24.25"/>
    <col customWidth="1" min="28" max="31" width="3.25"/>
    <col customWidth="1" min="32" max="32" width="24.25"/>
    <col customWidth="1" min="33" max="36" width="3.25"/>
  </cols>
  <sheetData>
    <row r="1" ht="17.25" customHeight="1">
      <c r="A1" s="1" t="str">
        <f>IF(ISODD(INT((B$1 - '特殊配信マスタ'!$A$1)/7)), "隔週B", "隔週A")</f>
        <v>隔週A</v>
      </c>
      <c r="B1" s="2">
        <v>46126.0</v>
      </c>
      <c r="C1" s="3"/>
      <c r="D1" s="4"/>
      <c r="E1" s="5"/>
      <c r="F1" s="6"/>
      <c r="G1" s="3">
        <f>B1+1</f>
        <v>46127</v>
      </c>
      <c r="H1" s="3"/>
      <c r="I1" s="4"/>
      <c r="J1" s="5"/>
      <c r="K1" s="6"/>
      <c r="L1" s="3">
        <f>G1+1</f>
        <v>46128</v>
      </c>
      <c r="M1" s="3"/>
      <c r="N1" s="4"/>
      <c r="O1" s="5"/>
      <c r="P1" s="6"/>
      <c r="Q1" s="3">
        <f>L1+1</f>
        <v>46129</v>
      </c>
      <c r="R1" s="3"/>
      <c r="S1" s="4"/>
      <c r="T1" s="5"/>
      <c r="U1" s="6"/>
      <c r="V1" s="3">
        <f>Q1+1</f>
        <v>46130</v>
      </c>
      <c r="W1" s="3"/>
      <c r="X1" s="4"/>
      <c r="Y1" s="5"/>
      <c r="Z1" s="6"/>
      <c r="AA1" s="3">
        <f>V1+1</f>
        <v>46131</v>
      </c>
      <c r="AB1" s="3"/>
      <c r="AC1" s="4"/>
      <c r="AD1" s="5"/>
      <c r="AE1" s="6"/>
      <c r="AF1" s="3">
        <f>AA1+1</f>
        <v>46132</v>
      </c>
      <c r="AG1" s="3"/>
      <c r="AH1" s="4"/>
      <c r="AI1" s="5"/>
      <c r="AJ1" s="6"/>
    </row>
    <row r="2">
      <c r="A2" s="7">
        <f>MOD(INT((B$1 - '特殊配信マスタ'!$A$1)/7), 3) + 1</f>
        <v>1</v>
      </c>
      <c r="B2" s="8" t="s">
        <v>0</v>
      </c>
      <c r="C2" s="8" t="s">
        <v>1</v>
      </c>
      <c r="D2" s="8" t="s">
        <v>2</v>
      </c>
      <c r="E2" s="8" t="s">
        <v>3</v>
      </c>
      <c r="F2" s="8" t="s">
        <v>4</v>
      </c>
      <c r="G2" s="8" t="s">
        <v>0</v>
      </c>
      <c r="H2" s="8" t="s">
        <v>1</v>
      </c>
      <c r="I2" s="8" t="s">
        <v>2</v>
      </c>
      <c r="J2" s="8" t="s">
        <v>3</v>
      </c>
      <c r="K2" s="8" t="s">
        <v>4</v>
      </c>
      <c r="L2" s="8" t="s">
        <v>0</v>
      </c>
      <c r="M2" s="8" t="s">
        <v>1</v>
      </c>
      <c r="N2" s="8" t="s">
        <v>2</v>
      </c>
      <c r="O2" s="8" t="s">
        <v>3</v>
      </c>
      <c r="P2" s="8" t="s">
        <v>4</v>
      </c>
      <c r="Q2" s="8" t="s">
        <v>0</v>
      </c>
      <c r="R2" s="8" t="s">
        <v>1</v>
      </c>
      <c r="S2" s="8" t="s">
        <v>2</v>
      </c>
      <c r="T2" s="8" t="s">
        <v>3</v>
      </c>
      <c r="U2" s="8" t="s">
        <v>4</v>
      </c>
      <c r="V2" s="8" t="s">
        <v>0</v>
      </c>
      <c r="W2" s="8" t="s">
        <v>1</v>
      </c>
      <c r="X2" s="8" t="s">
        <v>2</v>
      </c>
      <c r="Y2" s="8" t="s">
        <v>3</v>
      </c>
      <c r="Z2" s="8" t="s">
        <v>4</v>
      </c>
      <c r="AA2" s="8" t="s">
        <v>0</v>
      </c>
      <c r="AB2" s="8" t="s">
        <v>1</v>
      </c>
      <c r="AC2" s="8" t="s">
        <v>2</v>
      </c>
      <c r="AD2" s="8" t="s">
        <v>3</v>
      </c>
      <c r="AE2" s="8" t="s">
        <v>4</v>
      </c>
      <c r="AF2" s="8" t="s">
        <v>0</v>
      </c>
      <c r="AG2" s="8" t="s">
        <v>1</v>
      </c>
      <c r="AH2" s="8" t="s">
        <v>2</v>
      </c>
      <c r="AI2" s="8" t="s">
        <v>3</v>
      </c>
      <c r="AJ2" s="8" t="s">
        <v>4</v>
      </c>
    </row>
    <row r="3" ht="17.25" customHeight="1">
      <c r="A3" s="9">
        <v>8.0</v>
      </c>
      <c r="B3" s="10" t="str">
        <f>IFERROR(__xludf.DUMMYFUNCTION("IFERROR(LET(
  day, TEXT(B$1, ""ddd""),
  hour, LOOKUP(2, 1/($A3&lt;&gt;""""), $A3),
  type_A, $A$1,
  list_data, IFERROR(FILTER({'リスト'!$E$4:$F142, 'リスト'!$O$4:$P142}, ('リスト'!$A$4:$A142=day)*('リスト'!$B$4:$B142=hour)*(('リスト'!$G$4:$G142=""毎週配信"")+('リスト'!$G$4:$G142="&amp;"type_A))), {"""","""","""",""""}),
  new_data, IFERROR(FILTER({'新規'!$E$2:$F142, '新規'!$O$2:$P142}, ('新規'!$A$2:$A142=B$1)*('新規'!$B$2:$B142=hour)), {"""","""","""",""""}),
  special_data, IFERROR(FILTER({'特殊配信マスタ'!$E$2:$F142, '特殊配信マスタ'!$O$2:$P142}, ('特殊配信マスタ"&amp;"'!$A$2:$A142=day)*('特殊配信マスタ'!$B$2:$B142=hour)*('特殊配信マスタ'!$R$2:$R142='特殊配信マスタ'!$S$2:$S142)), {"""","""","""",""""}),
  combined, VSTACK(list_data, new_data, special_data),
  FILTER(combined, INDEX(combined, , 1)&lt;&gt;"""", INDEX(combined, , 1)&lt;&gt;0)
), """")"),"関西_自己PR不要_リモート未経験_事務")</f>
        <v>関西_自己PR不要_リモート未経験_事務</v>
      </c>
      <c r="C3" s="8">
        <f>IFERROR(__xludf.DUMMYFUNCTION("""COMPUTED_VALUE"""),0.2)</f>
        <v>0.2</v>
      </c>
      <c r="D3" s="8" t="str">
        <f>IFERROR(__xludf.DUMMYFUNCTION("""COMPUTED_VALUE"""),"R")</f>
        <v>R</v>
      </c>
      <c r="E3" s="8"/>
      <c r="F3" s="8">
        <f>SUM(C3:C12)</f>
        <v>10.8</v>
      </c>
      <c r="G3" s="10" t="str">
        <f>IFERROR(__xludf.DUMMYFUNCTION("IFERROR(LET(
  day, TEXT(G$1, ""ddd""),
  hour, LOOKUP(2, 1/($A3&lt;&gt;""""), $A3),
  type_A, $A$1,
  list_data, IFERROR(FILTER({'リスト'!$E$4:$F142, 'リスト'!$O$4:$P142}, ('リスト'!$A$4:$A142=day)*('リスト'!$B$4:$B142=hour)*(('リスト'!$G$4:$G142=""毎週配信"")+('リスト'!$G$4:$G142="&amp;"type_A))), {"""","""","""",""""}),
  new_data, IFERROR(FILTER({'新規'!$E$2:$F142, '新規'!$O$2:$P142}, ('新規'!$A$2:$A142=G$1)*('新規'!$B$2:$B142=hour)), {"""","""","""",""""}),
  special_data, IFERROR(FILTER({'特殊配信マスタ'!$E$2:$F142, '特殊配信マスタ'!$O$2:$P142}, ('特殊配信マスタ"&amp;"'!$A$2:$A142=day)*('特殊配信マスタ'!$B$2:$B142=hour)*('特殊配信マスタ'!$R$2:$R142='特殊配信マスタ'!$S$2:$S142)), {"""","""","""",""""}),
  combined, VSTACK(list_data, new_data, special_data),
  FILTER(combined, INDEX(combined, , 1)&lt;&gt;"""", INDEX(combined, , 1)&lt;&gt;0)
), """")"),"★求人特集(35歳未満) A")</f>
        <v>★求人特集(35歳未満) A</v>
      </c>
      <c r="H3" s="8">
        <f>IFERROR(__xludf.DUMMYFUNCTION("""COMPUTED_VALUE"""),7.0)</f>
        <v>7</v>
      </c>
      <c r="I3" s="8" t="str">
        <f>IFERROR(__xludf.DUMMYFUNCTION("""COMPUTED_VALUE"""),"平")</f>
        <v>平</v>
      </c>
      <c r="J3" s="8" t="str">
        <f>IFERROR(__xludf.DUMMYFUNCTION("""COMPUTED_VALUE"""),"荒")</f>
        <v>荒</v>
      </c>
      <c r="K3" s="8">
        <f>SUM(H3:H12)</f>
        <v>7.5</v>
      </c>
      <c r="L3" s="10" t="str">
        <f>IFERROR(__xludf.DUMMYFUNCTION("IFERROR(LET(
  day, TEXT(L$1, ""ddd""),
  hour, LOOKUP(2, 1/($A3&lt;&gt;""""), $A3),
  type_A, $A$1,
  list_data, IFERROR(FILTER({'リスト'!$E$4:$F142, 'リスト'!$O$4:$P142}, ('リスト'!$A$4:$A142=day)*('リスト'!$B$4:$B142=hour)*(('リスト'!$G$4:$G142=""毎週配信"")+('リスト'!$G$4:$G142="&amp;"type_A))), {"""","""","""",""""}),
  new_data, IFERROR(FILTER({'新規'!$E$2:$F142, '新規'!$O$2:$P142}, ('新規'!$A$2:$A142=L$1)*('新規'!$B$2:$B142=hour)), {"""","""","""",""""}),
  special_data, IFERROR(FILTER({'特殊配信マスタ'!$E$2:$F142, '特殊配信マスタ'!$O$2:$P142}, ('特殊配信マスタ"&amp;"'!$A$2:$A142=day)*('特殊配信マスタ'!$B$2:$B142=hour)*('特殊配信マスタ'!$R$2:$R142='特殊配信マスタ'!$S$2:$S142)), {"""","""","""",""""}),
  combined, VSTACK(list_data, new_data, special_data),
  FILTER(combined, INDEX(combined, , 1)&lt;&gt;"""", INDEX(combined, , 1)&lt;&gt;0)
), """")"),"年収500万以上_未経験歓迎")</f>
        <v>年収500万以上_未経験歓迎</v>
      </c>
      <c r="M3" s="8">
        <f>IFERROR(__xludf.DUMMYFUNCTION("""COMPUTED_VALUE"""),0.6)</f>
        <v>0.6</v>
      </c>
      <c r="N3" s="8" t="str">
        <f>IFERROR(__xludf.DUMMYFUNCTION("""COMPUTED_VALUE"""),"R")</f>
        <v>R</v>
      </c>
      <c r="O3" s="8"/>
      <c r="P3" s="8">
        <f>SUM(M3:M12)</f>
        <v>5.6</v>
      </c>
      <c r="Q3" s="10" t="str">
        <f>IFERROR(__xludf.DUMMYFUNCTION("IFERROR(LET(
  day, TEXT(Q$1, ""ddd""),
  hour, LOOKUP(2, 1/($A3&lt;&gt;""""), $A3),
  type_A, $A$1,
  list_data, IFERROR(FILTER({'リスト'!$E$4:$F142, 'リスト'!$O$4:$P142}, ('リスト'!$A$4:$A142=day)*('リスト'!$B$4:$B142=hour)*(('リスト'!$G$4:$G142=""毎週配信"")+('リスト'!$G$4:$G142="&amp;"type_A))), {"""","""","""",""""}),
  new_data, IFERROR(FILTER({'新規'!$E$2:$F142, '新規'!$O$2:$P142}, ('新規'!$A$2:$A142=Q$1)*('新規'!$B$2:$B142=hour)), {"""","""","""",""""}),
  special_data, IFERROR(FILTER({'特殊配信マスタ'!$E$2:$F142, '特殊配信マスタ'!$O$2:$P142}, ('特殊配信マスタ"&amp;"'!$A$2:$A142=day)*('特殊配信マスタ'!$B$2:$B142=hour)*('特殊配信マスタ'!$R$2:$R142='特殊配信マスタ'!$S$2:$S142)), {"""","""","""",""""}),
  combined, VSTACK(list_data, new_data, special_data),
  FILTER(combined, INDEX(combined, , 1)&lt;&gt;"""", INDEX(combined, , 1)&lt;&gt;0)
), """")"),"データ入力×リモートOK")</f>
        <v>データ入力×リモートOK</v>
      </c>
      <c r="R3" s="8">
        <f>IFERROR(__xludf.DUMMYFUNCTION("""COMPUTED_VALUE"""),1.8)</f>
        <v>1.8</v>
      </c>
      <c r="S3" s="8" t="str">
        <f>IFERROR(__xludf.DUMMYFUNCTION("""COMPUTED_VALUE"""),"R")</f>
        <v>R</v>
      </c>
      <c r="T3" s="8"/>
      <c r="U3" s="8">
        <f>SUM(R3:R12)</f>
        <v>9.2</v>
      </c>
      <c r="V3" s="10" t="str">
        <f>IFERROR(__xludf.DUMMYFUNCTION("IFERROR(LET(
  day, TEXT(V$1, ""ddd""),
  hour, LOOKUP(2, 1/($A3&lt;&gt;""""), $A3),
  type_A, $A$1,
  list_data, IFERROR(FILTER({'リスト'!$E$4:$F142, 'リスト'!$O$4:$P142}, ('リスト'!$A$4:$A142=day)*('リスト'!$B$4:$B142=hour)*(('リスト'!$G$4:$G142=""毎週配信"")+('リスト'!$G$4:$G142="&amp;"type_A))), {"""","""","""",""""}),
  new_data, IFERROR(FILTER({'新規'!$E$2:$F142, '新規'!$O$2:$P142}, ('新規'!$A$2:$A142=V$1)*('新規'!$B$2:$B142=hour)), {"""","""","""",""""}),
  special_data, IFERROR(FILTER({'特殊配信マスタ'!$E$2:$F142, '特殊配信マスタ'!$O$2:$P142}, ('特殊配信マスタ"&amp;"'!$A$2:$A142=day)*('特殊配信マスタ'!$B$2:$B142=hour)*('特殊配信マスタ'!$R$2:$R142='特殊配信マスタ'!$S$2:$S142)), {"""","""","""",""""}),
  combined, VSTACK(list_data, new_data, special_data),
  FILTER(combined, INDEX(combined, , 1)&lt;&gt;"""", INDEX(combined, , 1)&lt;&gt;0)
), """")"),"★求人特集(35歳未満） B")</f>
        <v>★求人特集(35歳未満） B</v>
      </c>
      <c r="W3" s="8">
        <f>IFERROR(__xludf.DUMMYFUNCTION("""COMPUTED_VALUE"""),7.0)</f>
        <v>7</v>
      </c>
      <c r="X3" s="8" t="str">
        <f>IFERROR(__xludf.DUMMYFUNCTION("""COMPUTED_VALUE"""),"平")</f>
        <v>平</v>
      </c>
      <c r="Y3" s="8" t="str">
        <f>IFERROR(__xludf.DUMMYFUNCTION("""COMPUTED_VALUE"""),"荒")</f>
        <v>荒</v>
      </c>
      <c r="Z3" s="8">
        <f>SUM(W3:W12)</f>
        <v>7.1</v>
      </c>
      <c r="AA3" s="10" t="str">
        <f>IFERROR(__xludf.DUMMYFUNCTION("IFERROR(LET(
  day, TEXT(AA$1, ""ddd""),
  hour, LOOKUP(2, 1/($A3&lt;&gt;""""), $A3),
  type_A, $A$1,
  list_data, IFERROR(FILTER({'リスト'!$E$4:$F142, 'リスト'!$O$4:$P142}, ('リスト'!$A$4:$A142=day)*('リスト'!$B$4:$B142=hour)*(('リスト'!$G$4:$G142=""毎週配信"")+('リスト'!$G$4:$G142"&amp;"=type_A))), {"""","""","""",""""}),
  new_data, IFERROR(FILTER({'新規'!$E$2:$F142, '新規'!$O$2:$P142}, ('新規'!$A$2:$A142=AA$1)*('新規'!$B$2:$B142=hour)),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"""")"),"40代再就職")</f>
        <v>40代再就職</v>
      </c>
      <c r="AB3" s="8">
        <f>IFERROR(__xludf.DUMMYFUNCTION("""COMPUTED_VALUE"""),0.9)</f>
        <v>0.9</v>
      </c>
      <c r="AC3" s="8" t="str">
        <f>IFERROR(__xludf.DUMMYFUNCTION("""COMPUTED_VALUE"""),"R")</f>
        <v>R</v>
      </c>
      <c r="AD3" s="8"/>
      <c r="AE3" s="8">
        <f>SUM(AB3:AB12)</f>
        <v>2</v>
      </c>
      <c r="AF3" s="10" t="str">
        <f>IFERROR(__xludf.DUMMYFUNCTION("IFERROR(LET(
  day, TEXT(AF$1, ""ddd""),
  hour, LOOKUP(2, 1/($A3&lt;&gt;""""), $A3),
  type_A, $A$1,
  list_data, IFERROR(FILTER({'リスト'!$E$4:$F142, 'リスト'!$O$4:$P142}, ('リスト'!$A$4:$A142=day)*('リスト'!$B$4:$B142=hour)*(('リスト'!$G$4:$G142=""毎週配信"")+('リスト'!$G$4:$G142"&amp;"=type_A))), {"""","""","""",""""}),
  new_data, IFERROR(FILTER({'新規'!$E$2:$F142, '新規'!$O$2:$P142}, ('新規'!$A$2:$A142=AF$1)*('新規'!$B$2:$B142=hour)),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"""")"),"◇掲載終了前+UP_35歳以上 B")</f>
        <v>◇掲載終了前+UP_35歳以上 B</v>
      </c>
      <c r="AG3" s="8">
        <f>IFERROR(__xludf.DUMMYFUNCTION("""COMPUTED_VALUE"""),1.0)</f>
        <v>1</v>
      </c>
      <c r="AH3" s="8" t="str">
        <f>IFERROR(__xludf.DUMMYFUNCTION("""COMPUTED_VALUE"""),"内")</f>
        <v>内</v>
      </c>
      <c r="AI3" s="8" t="str">
        <f>IFERROR(__xludf.DUMMYFUNCTION("""COMPUTED_VALUE"""),"荒")</f>
        <v>荒</v>
      </c>
      <c r="AJ3" s="8">
        <f>SUM(AG3:AG12)</f>
        <v>8.9</v>
      </c>
    </row>
    <row r="4" ht="17.25" customHeight="1">
      <c r="A4" s="11"/>
      <c r="B4" s="10" t="str">
        <f>IFERROR(__xludf.DUMMYFUNCTION("""COMPUTED_VALUE"""),"応募から1日_好条件営業ランキング")</f>
        <v>応募から1日_好条件営業ランキング</v>
      </c>
      <c r="C4" s="8">
        <f>IFERROR(__xludf.DUMMYFUNCTION("""COMPUTED_VALUE"""),0.1)</f>
        <v>0.1</v>
      </c>
      <c r="D4" s="8" t="str">
        <f>IFERROR(__xludf.DUMMYFUNCTION("""COMPUTED_VALUE"""),"R")</f>
        <v>R</v>
      </c>
      <c r="E4" s="8"/>
      <c r="F4" s="8"/>
      <c r="G4" s="10" t="str">
        <f>IFERROR(__xludf.DUMMYFUNCTION("""COMPUTED_VALUE"""),"50代事務")</f>
        <v>50代事務</v>
      </c>
      <c r="H4" s="8">
        <f>IFERROR(__xludf.DUMMYFUNCTION("""COMPUTED_VALUE"""),0.4)</f>
        <v>0.4</v>
      </c>
      <c r="I4" s="8" t="str">
        <f>IFERROR(__xludf.DUMMYFUNCTION("""COMPUTED_VALUE"""),"部")</f>
        <v>部</v>
      </c>
      <c r="J4" s="8" t="str">
        <f>IFERROR(__xludf.DUMMYFUNCTION("""COMPUTED_VALUE"""),"石")</f>
        <v>石</v>
      </c>
      <c r="K4" s="8"/>
      <c r="L4" s="10" t="str">
        <f>IFERROR(__xludf.DUMMYFUNCTION("""COMPUTED_VALUE"""),"応募から1日_好条件営業ランキング")</f>
        <v>応募から1日_好条件営業ランキング</v>
      </c>
      <c r="M4" s="8">
        <f>IFERROR(__xludf.DUMMYFUNCTION("""COMPUTED_VALUE"""),0.1)</f>
        <v>0.1</v>
      </c>
      <c r="N4" s="8" t="str">
        <f>IFERROR(__xludf.DUMMYFUNCTION("""COMPUTED_VALUE"""),"R")</f>
        <v>R</v>
      </c>
      <c r="O4" s="8"/>
      <c r="P4" s="8"/>
      <c r="Q4" s="10" t="str">
        <f>IFERROR(__xludf.DUMMYFUNCTION("""COMPUTED_VALUE"""),"フルリモート×好条件")</f>
        <v>フルリモート×好条件</v>
      </c>
      <c r="R4" s="8">
        <f>IFERROR(__xludf.DUMMYFUNCTION("""COMPUTED_VALUE"""),5.7)</f>
        <v>5.7</v>
      </c>
      <c r="S4" s="8" t="str">
        <f>IFERROR(__xludf.DUMMYFUNCTION("""COMPUTED_VALUE"""),"部")</f>
        <v>部</v>
      </c>
      <c r="T4" s="8" t="str">
        <f>IFERROR(__xludf.DUMMYFUNCTION("""COMPUTED_VALUE"""),"石")</f>
        <v>石</v>
      </c>
      <c r="U4" s="8"/>
      <c r="V4" s="10" t="str">
        <f>IFERROR(__xludf.DUMMYFUNCTION("""COMPUTED_VALUE"""),"応募から1日_好条件営業ランキング")</f>
        <v>応募から1日_好条件営業ランキング</v>
      </c>
      <c r="W4" s="8">
        <f>IFERROR(__xludf.DUMMYFUNCTION("""COMPUTED_VALUE"""),0.1)</f>
        <v>0.1</v>
      </c>
      <c r="X4" s="8" t="str">
        <f>IFERROR(__xludf.DUMMYFUNCTION("""COMPUTED_VALUE"""),"R")</f>
        <v>R</v>
      </c>
      <c r="Y4" s="8"/>
      <c r="Z4" s="8"/>
      <c r="AA4" s="10" t="str">
        <f>IFERROR(__xludf.DUMMYFUNCTION("""COMPUTED_VALUE"""),"40代再就職_関西")</f>
        <v>40代再就職_関西</v>
      </c>
      <c r="AB4" s="8">
        <f>IFERROR(__xludf.DUMMYFUNCTION("""COMPUTED_VALUE"""),0.4)</f>
        <v>0.4</v>
      </c>
      <c r="AC4" s="8" t="str">
        <f>IFERROR(__xludf.DUMMYFUNCTION("""COMPUTED_VALUE"""),"R")</f>
        <v>R</v>
      </c>
      <c r="AD4" s="8"/>
      <c r="AE4" s="8"/>
      <c r="AF4" s="10" t="str">
        <f>IFERROR(__xludf.DUMMYFUNCTION("""COMPUTED_VALUE"""),"◇掲載終了前+UP_関西 B")</f>
        <v>◇掲載終了前+UP_関西 B</v>
      </c>
      <c r="AG4" s="8">
        <f>IFERROR(__xludf.DUMMYFUNCTION("""COMPUTED_VALUE"""),1.0)</f>
        <v>1</v>
      </c>
      <c r="AH4" s="8" t="str">
        <f>IFERROR(__xludf.DUMMYFUNCTION("""COMPUTED_VALUE"""),"内")</f>
        <v>内</v>
      </c>
      <c r="AI4" s="8" t="str">
        <f>IFERROR(__xludf.DUMMYFUNCTION("""COMPUTED_VALUE"""),"荒")</f>
        <v>荒</v>
      </c>
      <c r="AJ4" s="8"/>
    </row>
    <row r="5" ht="17.25" customHeight="1">
      <c r="A5" s="11"/>
      <c r="B5" s="10" t="str">
        <f>IFERROR(__xludf.DUMMYFUNCTION("""COMPUTED_VALUE"""),"快適な在宅ワーク")</f>
        <v>快適な在宅ワーク</v>
      </c>
      <c r="C5" s="8">
        <f>IFERROR(__xludf.DUMMYFUNCTION("""COMPUTED_VALUE"""),4.3)</f>
        <v>4.3</v>
      </c>
      <c r="D5" s="8" t="str">
        <f>IFERROR(__xludf.DUMMYFUNCTION("""COMPUTED_VALUE"""),"石")</f>
        <v>石</v>
      </c>
      <c r="E5" s="8" t="str">
        <f>IFERROR(__xludf.DUMMYFUNCTION("""COMPUTED_VALUE"""),"部")</f>
        <v>部</v>
      </c>
      <c r="F5" s="8"/>
      <c r="G5" s="10" t="str">
        <f>IFERROR(__xludf.DUMMYFUNCTION("""COMPUTED_VALUE"""),"応募から1日_好条件営業ランキング")</f>
        <v>応募から1日_好条件営業ランキング</v>
      </c>
      <c r="H5" s="8">
        <f>IFERROR(__xludf.DUMMYFUNCTION("""COMPUTED_VALUE"""),0.1)</f>
        <v>0.1</v>
      </c>
      <c r="I5" s="8" t="str">
        <f>IFERROR(__xludf.DUMMYFUNCTION("""COMPUTED_VALUE"""),"R")</f>
        <v>R</v>
      </c>
      <c r="J5" s="8"/>
      <c r="K5" s="8"/>
      <c r="L5" s="10" t="str">
        <f>IFERROR(__xludf.DUMMYFUNCTION("""COMPUTED_VALUE"""),"新着_クリエイティブ")</f>
        <v>新着_クリエイティブ</v>
      </c>
      <c r="M5" s="8">
        <f>IFERROR(__xludf.DUMMYFUNCTION("""COMPUTED_VALUE"""),0.4)</f>
        <v>0.4</v>
      </c>
      <c r="N5" s="8" t="str">
        <f>IFERROR(__xludf.DUMMYFUNCTION("""COMPUTED_VALUE"""),"R")</f>
        <v>R</v>
      </c>
      <c r="O5" s="8"/>
      <c r="P5" s="8"/>
      <c r="Q5" s="10" t="str">
        <f>IFERROR(__xludf.DUMMYFUNCTION("""COMPUTED_VALUE"""),"応募から1日_好条件営業ランキング")</f>
        <v>応募から1日_好条件営業ランキング</v>
      </c>
      <c r="R5" s="8">
        <f>IFERROR(__xludf.DUMMYFUNCTION("""COMPUTED_VALUE"""),0.1)</f>
        <v>0.1</v>
      </c>
      <c r="S5" s="8" t="str">
        <f>IFERROR(__xludf.DUMMYFUNCTION("""COMPUTED_VALUE"""),"R")</f>
        <v>R</v>
      </c>
      <c r="T5" s="8"/>
      <c r="U5" s="8"/>
      <c r="V5" s="10"/>
      <c r="W5" s="8"/>
      <c r="X5" s="8"/>
      <c r="Y5" s="8"/>
      <c r="Z5" s="8"/>
      <c r="AA5" s="10" t="str">
        <f>IFERROR(__xludf.DUMMYFUNCTION("""COMPUTED_VALUE"""),"応募から1日_好条件営業ランキング")</f>
        <v>応募から1日_好条件営業ランキング</v>
      </c>
      <c r="AB5" s="8">
        <f>IFERROR(__xludf.DUMMYFUNCTION("""COMPUTED_VALUE"""),0.1)</f>
        <v>0.1</v>
      </c>
      <c r="AC5" s="8" t="str">
        <f>IFERROR(__xludf.DUMMYFUNCTION("""COMPUTED_VALUE"""),"R")</f>
        <v>R</v>
      </c>
      <c r="AD5" s="8"/>
      <c r="AE5" s="8"/>
      <c r="AF5" s="10" t="str">
        <f>IFERROR(__xludf.DUMMYFUNCTION("""COMPUTED_VALUE"""),"webデザイナー×未経験歓迎_希望")</f>
        <v>webデザイナー×未経験歓迎_希望</v>
      </c>
      <c r="AG5" s="8">
        <f>IFERROR(__xludf.DUMMYFUNCTION("""COMPUTED_VALUE"""),0.6)</f>
        <v>0.6</v>
      </c>
      <c r="AH5" s="8" t="str">
        <f>IFERROR(__xludf.DUMMYFUNCTION("""COMPUTED_VALUE"""),"R")</f>
        <v>R</v>
      </c>
      <c r="AI5" s="8"/>
      <c r="AJ5" s="8"/>
    </row>
    <row r="6" ht="17.25" customHeight="1">
      <c r="A6" s="11"/>
      <c r="B6" s="12" t="str">
        <f>IFERROR(__xludf.DUMMYFUNCTION("""COMPUTED_VALUE"""),"推し活_残業なし_休日120日以上_月給30万以上")</f>
        <v>推し活_残業なし_休日120日以上_月給30万以上</v>
      </c>
      <c r="C6" s="8">
        <f>IFERROR(__xludf.DUMMYFUNCTION("""COMPUTED_VALUE"""),1.2)</f>
        <v>1.2</v>
      </c>
      <c r="D6" s="8" t="str">
        <f>IFERROR(__xludf.DUMMYFUNCTION("""COMPUTED_VALUE"""),"R")</f>
        <v>R</v>
      </c>
      <c r="E6" s="8"/>
      <c r="F6" s="8"/>
      <c r="G6" s="12"/>
      <c r="H6" s="8"/>
      <c r="I6" s="8"/>
      <c r="J6" s="8"/>
      <c r="K6" s="8"/>
      <c r="L6" s="12" t="str">
        <f>IFERROR(__xludf.DUMMYFUNCTION("""COMPUTED_VALUE"""),"新着_企画営業")</f>
        <v>新着_企画営業</v>
      </c>
      <c r="M6" s="8">
        <f>IFERROR(__xludf.DUMMYFUNCTION("""COMPUTED_VALUE"""),0.9)</f>
        <v>0.9</v>
      </c>
      <c r="N6" s="8" t="str">
        <f>IFERROR(__xludf.DUMMYFUNCTION("""COMPUTED_VALUE"""),"R")</f>
        <v>R</v>
      </c>
      <c r="O6" s="8"/>
      <c r="P6" s="8"/>
      <c r="Q6" s="12" t="str">
        <f>IFERROR(__xludf.DUMMYFUNCTION("""COMPUTED_VALUE"""),"既婚者")</f>
        <v>既婚者</v>
      </c>
      <c r="R6" s="8">
        <f>IFERROR(__xludf.DUMMYFUNCTION("""COMPUTED_VALUE"""),0.4)</f>
        <v>0.4</v>
      </c>
      <c r="S6" s="8" t="str">
        <f>IFERROR(__xludf.DUMMYFUNCTION("""COMPUTED_VALUE"""),"R")</f>
        <v>R</v>
      </c>
      <c r="T6" s="8"/>
      <c r="U6" s="8"/>
      <c r="V6" s="12"/>
      <c r="W6" s="8"/>
      <c r="X6" s="8"/>
      <c r="Y6" s="8"/>
      <c r="Z6" s="8"/>
      <c r="AA6" s="12" t="str">
        <f>IFERROR(__xludf.DUMMYFUNCTION("""COMPUTED_VALUE"""),"人気検索KW_事務系希望")</f>
        <v>人気検索KW_事務系希望</v>
      </c>
      <c r="AB6" s="8">
        <f>IFERROR(__xludf.DUMMYFUNCTION("""COMPUTED_VALUE"""),0.6)</f>
        <v>0.6</v>
      </c>
      <c r="AC6" s="8" t="str">
        <f>IFERROR(__xludf.DUMMYFUNCTION("""COMPUTED_VALUE"""),"R")</f>
        <v>R</v>
      </c>
      <c r="AD6" s="8"/>
      <c r="AE6" s="8"/>
      <c r="AF6" s="12" t="str">
        <f>IFERROR(__xludf.DUMMYFUNCTION("""COMPUTED_VALUE"""),"応募から1日_好条件営業ランキング")</f>
        <v>応募から1日_好条件営業ランキング</v>
      </c>
      <c r="AG6" s="8">
        <f>IFERROR(__xludf.DUMMYFUNCTION("""COMPUTED_VALUE"""),0.1)</f>
        <v>0.1</v>
      </c>
      <c r="AH6" s="8" t="str">
        <f>IFERROR(__xludf.DUMMYFUNCTION("""COMPUTED_VALUE"""),"R")</f>
        <v>R</v>
      </c>
      <c r="AI6" s="8"/>
      <c r="AJ6" s="8"/>
    </row>
    <row r="7" ht="17.25" customHeight="1">
      <c r="A7" s="11"/>
      <c r="B7" s="13" t="str">
        <f>IFERROR(__xludf.DUMMYFUNCTION("""COMPUTED_VALUE"""),"◇ポジションマッチ A1")</f>
        <v>◇ポジションマッチ A1</v>
      </c>
      <c r="C7" s="8">
        <f>IFERROR(__xludf.DUMMYFUNCTION("""COMPUTED_VALUE"""),2.5)</f>
        <v>2.5</v>
      </c>
      <c r="D7" s="8" t="str">
        <f>IFERROR(__xludf.DUMMYFUNCTION("""COMPUTED_VALUE"""),"内")</f>
        <v>内</v>
      </c>
      <c r="E7" s="8" t="str">
        <f>IFERROR(__xludf.DUMMYFUNCTION("""COMPUTED_VALUE"""),"平")</f>
        <v>平</v>
      </c>
      <c r="F7" s="8"/>
      <c r="G7" s="13"/>
      <c r="H7" s="8"/>
      <c r="I7" s="8"/>
      <c r="J7" s="8"/>
      <c r="K7" s="8"/>
      <c r="L7" s="13" t="str">
        <f>IFERROR(__xludf.DUMMYFUNCTION("""COMPUTED_VALUE"""),"新着_経理")</f>
        <v>新着_経理</v>
      </c>
      <c r="M7" s="8">
        <f>IFERROR(__xludf.DUMMYFUNCTION("""COMPUTED_VALUE"""),0.5)</f>
        <v>0.5</v>
      </c>
      <c r="N7" s="8" t="str">
        <f>IFERROR(__xludf.DUMMYFUNCTION("""COMPUTED_VALUE"""),"R")</f>
        <v>R</v>
      </c>
      <c r="O7" s="8"/>
      <c r="P7" s="8"/>
      <c r="Q7" s="13" t="str">
        <f>IFERROR(__xludf.DUMMYFUNCTION("""COMPUTED_VALUE"""),"梅田で働く")</f>
        <v>梅田で働く</v>
      </c>
      <c r="R7" s="8">
        <f>IFERROR(__xludf.DUMMYFUNCTION("""COMPUTED_VALUE"""),0.8)</f>
        <v>0.8</v>
      </c>
      <c r="S7" s="8" t="str">
        <f>IFERROR(__xludf.DUMMYFUNCTION("""COMPUTED_VALUE"""),"R")</f>
        <v>R</v>
      </c>
      <c r="T7" s="8"/>
      <c r="U7" s="8"/>
      <c r="V7" s="13"/>
      <c r="W7" s="8"/>
      <c r="X7" s="8"/>
      <c r="Y7" s="8"/>
      <c r="Z7" s="8"/>
      <c r="AA7" s="13"/>
      <c r="AB7" s="8"/>
      <c r="AC7" s="8"/>
      <c r="AD7" s="8"/>
      <c r="AE7" s="8"/>
      <c r="AF7" s="13" t="str">
        <f>IFERROR(__xludf.DUMMYFUNCTION("""COMPUTED_VALUE"""),"高収入_リモート_営業")</f>
        <v>高収入_リモート_営業</v>
      </c>
      <c r="AG7" s="8">
        <f>IFERROR(__xludf.DUMMYFUNCTION("""COMPUTED_VALUE"""),1.2)</f>
        <v>1.2</v>
      </c>
      <c r="AH7" s="8" t="str">
        <f>IFERROR(__xludf.DUMMYFUNCTION("""COMPUTED_VALUE"""),"R")</f>
        <v>R</v>
      </c>
      <c r="AI7" s="8"/>
      <c r="AJ7" s="8"/>
    </row>
    <row r="8" ht="17.25" customHeight="1">
      <c r="A8" s="11"/>
      <c r="B8" s="13" t="str">
        <f>IFERROR(__xludf.DUMMYFUNCTION("""COMPUTED_VALUE"""),"◇ポジションマッチ_36歳以上 A1")</f>
        <v>◇ポジションマッチ_36歳以上 A1</v>
      </c>
      <c r="C8" s="8">
        <f>IFERROR(__xludf.DUMMYFUNCTION("""COMPUTED_VALUE"""),2.5)</f>
        <v>2.5</v>
      </c>
      <c r="D8" s="8" t="str">
        <f>IFERROR(__xludf.DUMMYFUNCTION("""COMPUTED_VALUE"""),"内")</f>
        <v>内</v>
      </c>
      <c r="E8" s="8" t="str">
        <f>IFERROR(__xludf.DUMMYFUNCTION("""COMPUTED_VALUE"""),"平")</f>
        <v>平</v>
      </c>
      <c r="F8" s="8"/>
      <c r="G8" s="13"/>
      <c r="H8" s="8"/>
      <c r="I8" s="8"/>
      <c r="J8" s="8"/>
      <c r="K8" s="8"/>
      <c r="L8" s="13" t="str">
        <f>IFERROR(__xludf.DUMMYFUNCTION("""COMPUTED_VALUE"""),"新着_事務")</f>
        <v>新着_事務</v>
      </c>
      <c r="M8" s="8">
        <f>IFERROR(__xludf.DUMMYFUNCTION("""COMPUTED_VALUE"""),2.5)</f>
        <v>2.5</v>
      </c>
      <c r="N8" s="8" t="str">
        <f>IFERROR(__xludf.DUMMYFUNCTION("""COMPUTED_VALUE"""),"R")</f>
        <v>R</v>
      </c>
      <c r="O8" s="8"/>
      <c r="P8" s="8"/>
      <c r="Q8" s="13" t="str">
        <f>IFERROR(__xludf.DUMMYFUNCTION("""COMPUTED_VALUE"""),"未婚者")</f>
        <v>未婚者</v>
      </c>
      <c r="R8" s="8">
        <f>IFERROR(__xludf.DUMMYFUNCTION("""COMPUTED_VALUE"""),0.4)</f>
        <v>0.4</v>
      </c>
      <c r="S8" s="8" t="str">
        <f>IFERROR(__xludf.DUMMYFUNCTION("""COMPUTED_VALUE"""),"R")</f>
        <v>R</v>
      </c>
      <c r="T8" s="8"/>
      <c r="U8" s="8"/>
      <c r="V8" s="13"/>
      <c r="W8" s="8"/>
      <c r="X8" s="8"/>
      <c r="Y8" s="8"/>
      <c r="Z8" s="8"/>
      <c r="AA8" s="13"/>
      <c r="AB8" s="8"/>
      <c r="AC8" s="8"/>
      <c r="AD8" s="8"/>
      <c r="AE8" s="8"/>
      <c r="AF8" s="13" t="str">
        <f>IFERROR(__xludf.DUMMYFUNCTION("""COMPUTED_VALUE"""),"高収入_リモート_事務")</f>
        <v>高収入_リモート_事務</v>
      </c>
      <c r="AG8" s="8">
        <f>IFERROR(__xludf.DUMMYFUNCTION("""COMPUTED_VALUE"""),3.0)</f>
        <v>3</v>
      </c>
      <c r="AH8" s="8" t="str">
        <f>IFERROR(__xludf.DUMMYFUNCTION("""COMPUTED_VALUE"""),"R")</f>
        <v>R</v>
      </c>
      <c r="AI8" s="8"/>
      <c r="AJ8" s="8"/>
    </row>
    <row r="9" ht="17.25" customHeight="1">
      <c r="A9" s="11"/>
      <c r="B9" s="13"/>
      <c r="C9" s="8"/>
      <c r="D9" s="8"/>
      <c r="E9" s="8"/>
      <c r="F9" s="8"/>
      <c r="G9" s="13"/>
      <c r="H9" s="8"/>
      <c r="I9" s="8"/>
      <c r="J9" s="8"/>
      <c r="K9" s="8"/>
      <c r="L9" s="13" t="str">
        <f>IFERROR(__xludf.DUMMYFUNCTION("""COMPUTED_VALUE"""),"新着_人事")</f>
        <v>新着_人事</v>
      </c>
      <c r="M9" s="8">
        <f>IFERROR(__xludf.DUMMYFUNCTION("""COMPUTED_VALUE"""),0.6)</f>
        <v>0.6</v>
      </c>
      <c r="N9" s="8" t="str">
        <f>IFERROR(__xludf.DUMMYFUNCTION("""COMPUTED_VALUE"""),"R")</f>
        <v>R</v>
      </c>
      <c r="O9" s="8"/>
      <c r="P9" s="8"/>
      <c r="Q9" s="13"/>
      <c r="R9" s="8"/>
      <c r="S9" s="8"/>
      <c r="T9" s="8"/>
      <c r="U9" s="8"/>
      <c r="V9" s="13"/>
      <c r="W9" s="8"/>
      <c r="X9" s="8"/>
      <c r="Y9" s="8"/>
      <c r="Z9" s="8"/>
      <c r="AA9" s="13"/>
      <c r="AB9" s="8"/>
      <c r="AC9" s="8"/>
      <c r="AD9" s="8"/>
      <c r="AE9" s="8"/>
      <c r="AF9" s="13" t="str">
        <f>IFERROR(__xludf.DUMMYFUNCTION("""COMPUTED_VALUE"""),"◇掲載終了前+UP B")</f>
        <v>◇掲載終了前+UP B</v>
      </c>
      <c r="AG9" s="8">
        <f>IFERROR(__xludf.DUMMYFUNCTION("""COMPUTED_VALUE"""),2.0)</f>
        <v>2</v>
      </c>
      <c r="AH9" s="8" t="str">
        <f>IFERROR(__xludf.DUMMYFUNCTION("""COMPUTED_VALUE"""),"内")</f>
        <v>内</v>
      </c>
      <c r="AI9" s="8" t="str">
        <f>IFERROR(__xludf.DUMMYFUNCTION("""COMPUTED_VALUE"""),"荒")</f>
        <v>荒</v>
      </c>
      <c r="AJ9" s="8"/>
    </row>
    <row r="10" ht="17.25" customHeight="1">
      <c r="A10" s="11"/>
      <c r="B10" s="13"/>
      <c r="C10" s="8"/>
      <c r="D10" s="8"/>
      <c r="E10" s="8"/>
      <c r="F10" s="8"/>
      <c r="G10" s="13"/>
      <c r="H10" s="8"/>
      <c r="I10" s="8"/>
      <c r="J10" s="8"/>
      <c r="K10" s="8"/>
      <c r="L10" s="13"/>
      <c r="M10" s="8"/>
      <c r="N10" s="8"/>
      <c r="O10" s="8"/>
      <c r="P10" s="8"/>
      <c r="Q10" s="13"/>
      <c r="R10" s="8"/>
      <c r="S10" s="8"/>
      <c r="T10" s="8"/>
      <c r="U10" s="8"/>
      <c r="V10" s="13"/>
      <c r="W10" s="8"/>
      <c r="X10" s="8"/>
      <c r="Y10" s="8"/>
      <c r="Z10" s="8"/>
      <c r="AA10" s="13"/>
      <c r="AB10" s="8"/>
      <c r="AC10" s="8"/>
      <c r="AD10" s="8"/>
      <c r="AE10" s="8"/>
      <c r="AF10" s="13"/>
      <c r="AG10" s="8"/>
      <c r="AH10" s="8"/>
      <c r="AI10" s="8"/>
      <c r="AJ10" s="8"/>
    </row>
    <row r="11" ht="17.25" customHeight="1">
      <c r="A11" s="11"/>
      <c r="B11" s="13"/>
      <c r="C11" s="8"/>
      <c r="D11" s="8"/>
      <c r="E11" s="8"/>
      <c r="F11" s="8"/>
      <c r="G11" s="13"/>
      <c r="H11" s="8"/>
      <c r="I11" s="8"/>
      <c r="J11" s="8"/>
      <c r="K11" s="8"/>
      <c r="L11" s="13"/>
      <c r="M11" s="8"/>
      <c r="N11" s="8"/>
      <c r="O11" s="8"/>
      <c r="P11" s="8"/>
      <c r="Q11" s="13"/>
      <c r="R11" s="8"/>
      <c r="S11" s="8"/>
      <c r="T11" s="8"/>
      <c r="U11" s="8"/>
      <c r="V11" s="13"/>
      <c r="W11" s="8"/>
      <c r="X11" s="8"/>
      <c r="Y11" s="8"/>
      <c r="Z11" s="8"/>
      <c r="AA11" s="13"/>
      <c r="AB11" s="8"/>
      <c r="AC11" s="8"/>
      <c r="AD11" s="8"/>
      <c r="AE11" s="8"/>
      <c r="AF11" s="13"/>
      <c r="AG11" s="8"/>
      <c r="AH11" s="8"/>
      <c r="AI11" s="8"/>
      <c r="AJ11" s="8"/>
    </row>
    <row r="12" ht="17.25" customHeight="1">
      <c r="A12" s="11"/>
      <c r="B12" s="13"/>
      <c r="C12" s="8"/>
      <c r="D12" s="8"/>
      <c r="E12" s="8"/>
      <c r="F12" s="8"/>
      <c r="G12" s="13"/>
      <c r="H12" s="8"/>
      <c r="I12" s="8"/>
      <c r="J12" s="8"/>
      <c r="K12" s="8"/>
      <c r="L12" s="13"/>
      <c r="M12" s="8"/>
      <c r="N12" s="8"/>
      <c r="O12" s="8"/>
      <c r="P12" s="8"/>
      <c r="Q12" s="13"/>
      <c r="R12" s="8"/>
      <c r="S12" s="8"/>
      <c r="T12" s="8"/>
      <c r="U12" s="8"/>
      <c r="V12" s="13"/>
      <c r="W12" s="8"/>
      <c r="X12" s="8"/>
      <c r="Y12" s="8"/>
      <c r="Z12" s="8"/>
      <c r="AA12" s="13"/>
      <c r="AB12" s="8"/>
      <c r="AC12" s="8"/>
      <c r="AD12" s="8"/>
      <c r="AE12" s="8"/>
      <c r="AF12" s="13"/>
      <c r="AG12" s="8"/>
      <c r="AH12" s="8"/>
      <c r="AI12" s="8"/>
      <c r="AJ12" s="8"/>
    </row>
    <row r="13" ht="17.25" customHeight="1">
      <c r="A13" s="9">
        <f>A3+1</f>
        <v>9</v>
      </c>
      <c r="B13" s="10" t="str">
        <f>IFERROR(__xludf.DUMMYFUNCTION("IFERROR(LET(
  day, TEXT(B$1, ""ddd""),
  hour, LOOKUP(2, 1/($A13&lt;&gt;""""), $A13),
  type_A, $A$1,
  list_data, IFERROR(FILTER({'リスト'!$E$4:$F142, 'リスト'!$O$4:$P142}, ('リスト'!$A$4:$A142=day)*('リスト'!$B$4:$B142=hour)*(('リスト'!$G$4:$G142=""毎週配信"")+('リスト'!$G$4:$G14"&amp;"2=type_A))), {"""","""","""",""""}),
  new_data, IFERROR(FILTER({'新規'!$E$2:$F142, '新規'!$O$2:$P142}, ('新規'!$A$2:$A142=B$1)*('新規'!$B$2:$B142=hour)),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"""")"),"ランキング_クリエイティブ（Web）_希望")</f>
        <v>ランキング_クリエイティブ（Web）_希望</v>
      </c>
      <c r="C13" s="8">
        <f>IFERROR(__xludf.DUMMYFUNCTION("""COMPUTED_VALUE"""),0.5)</f>
        <v>0.5</v>
      </c>
      <c r="D13" s="8" t="str">
        <f>IFERROR(__xludf.DUMMYFUNCTION("""COMPUTED_VALUE"""),"R")</f>
        <v>R</v>
      </c>
      <c r="E13" s="8"/>
      <c r="F13" s="8">
        <f>SUM(C13:C22)</f>
        <v>2.5</v>
      </c>
      <c r="G13" s="10" t="str">
        <f>IFERROR(__xludf.DUMMYFUNCTION("IFERROR(LET(
  day, TEXT(G$1, ""ddd""),
  hour, LOOKUP(2, 1/($A13&lt;&gt;""""), $A13),
  type_A, $A$1,
  list_data, IFERROR(FILTER({'リスト'!$E$4:$F142, 'リスト'!$O$4:$P142}, ('リスト'!$A$4:$A142=day)*('リスト'!$B$4:$B142=hour)*(('リスト'!$G$4:$G142=""毎週配信"")+('リスト'!$G$4:$G14"&amp;"2=type_A))), {"""","""","""",""""}),
  new_data, IFERROR(FILTER({'新規'!$E$2:$F142, '新規'!$O$2:$P142}, ('新規'!$A$2:$A142=G$1)*('新規'!$B$2:$B142=hour)),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"""")"),"ランキング_エンジニア（IT系）_希望")</f>
        <v>ランキング_エンジニア（IT系）_希望</v>
      </c>
      <c r="H13" s="8">
        <f>IFERROR(__xludf.DUMMYFUNCTION("""COMPUTED_VALUE"""),0.3)</f>
        <v>0.3</v>
      </c>
      <c r="I13" s="8" t="str">
        <f>IFERROR(__xludf.DUMMYFUNCTION("""COMPUTED_VALUE"""),"R")</f>
        <v>R</v>
      </c>
      <c r="J13" s="8"/>
      <c r="K13" s="8">
        <f>SUM(H13:H22)</f>
        <v>3.8</v>
      </c>
      <c r="L13" s="10" t="str">
        <f>IFERROR(__xludf.DUMMYFUNCTION("IFERROR(LET(
  day, TEXT(L$1, ""ddd""),
  hour, LOOKUP(2, 1/($A13&lt;&gt;""""), $A13),
  type_A, $A$1,
  list_data, IFERROR(FILTER({'リスト'!$E$4:$F142, 'リスト'!$O$4:$P142}, ('リスト'!$A$4:$A142=day)*('リスト'!$B$4:$B142=hour)*(('リスト'!$G$4:$G142=""毎週配信"")+('リスト'!$G$4:$G14"&amp;"2=type_A))), {"""","""","""",""""}),
  new_data, IFERROR(FILTER({'新規'!$E$2:$F142, '新規'!$O$2:$P142}, ('新規'!$A$2:$A142=L$1)*('新規'!$B$2:$B142=hour)),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"""")"),"ランキング_営業（BtoB）_希望")</f>
        <v>ランキング_営業（BtoB）_希望</v>
      </c>
      <c r="M13" s="8">
        <f>IFERROR(__xludf.DUMMYFUNCTION("""COMPUTED_VALUE"""),0.3)</f>
        <v>0.3</v>
      </c>
      <c r="N13" s="8" t="str">
        <f>IFERROR(__xludf.DUMMYFUNCTION("""COMPUTED_VALUE"""),"R")</f>
        <v>R</v>
      </c>
      <c r="O13" s="8"/>
      <c r="P13" s="8">
        <f>SUM(M13:M22)</f>
        <v>2.3</v>
      </c>
      <c r="Q13" s="10" t="str">
        <f>IFERROR(__xludf.DUMMYFUNCTION("IFERROR(LET(
  day, TEXT(Q$1, ""ddd""),
  hour, LOOKUP(2, 1/($A13&lt;&gt;""""), $A13),
  type_A, $A$1,
  list_data, IFERROR(FILTER({'リスト'!$E$4:$F142, 'リスト'!$O$4:$P142}, ('リスト'!$A$4:$A142=day)*('リスト'!$B$4:$B142=hour)*(('リスト'!$G$4:$G142=""毎週配信"")+('リスト'!$G$4:$G14"&amp;"2=type_A))), {"""","""","""",""""}),
  new_data, IFERROR(FILTER({'新規'!$E$2:$F142, '新規'!$O$2:$P142}, ('新規'!$A$2:$A142=Q$1)*('新規'!$B$2:$B142=hour)),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"""")"),"40~60代活躍中")</f>
        <v>40~60代活躍中</v>
      </c>
      <c r="R13" s="8">
        <f>IFERROR(__xludf.DUMMYFUNCTION("""COMPUTED_VALUE"""),1.5)</f>
        <v>1.5</v>
      </c>
      <c r="S13" s="8" t="str">
        <f>IFERROR(__xludf.DUMMYFUNCTION("""COMPUTED_VALUE"""),"石")</f>
        <v>石</v>
      </c>
      <c r="T13" s="8" t="str">
        <f>IFERROR(__xludf.DUMMYFUNCTION("""COMPUTED_VALUE"""),"武")</f>
        <v>武</v>
      </c>
      <c r="U13" s="8">
        <f>SUM(R13:R22)</f>
        <v>1.9</v>
      </c>
      <c r="V13" s="10" t="str">
        <f>IFERROR(__xludf.DUMMYFUNCTION("IFERROR(LET(
  day, TEXT(V$1, ""ddd""),
  hour, LOOKUP(2, 1/($A13&lt;&gt;""""), $A13),
  type_A, $A$1,
  list_data, IFERROR(FILTER({'リスト'!$E$4:$F142, 'リスト'!$O$4:$P142}, ('リスト'!$A$4:$A142=day)*('リスト'!$B$4:$B142=hour)*(('リスト'!$G$4:$G142=""毎週配信"")+('リスト'!$G$4:$G14"&amp;"2=type_A))), {"""","""","""",""""}),
  new_data, IFERROR(FILTER({'新規'!$E$2:$F142, '新規'!$O$2:$P142}, ('新規'!$A$2:$A142=V$1)*('新規'!$B$2:$B142=hour)),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"""")"),"NPS取得アンケート")</f>
        <v>NPS取得アンケート</v>
      </c>
      <c r="W13" s="8">
        <f>IFERROR(__xludf.DUMMYFUNCTION("""COMPUTED_VALUE"""),0.3)</f>
        <v>0.3</v>
      </c>
      <c r="X13" s="8" t="str">
        <f>IFERROR(__xludf.DUMMYFUNCTION("""COMPUTED_VALUE"""),"R")</f>
        <v>R</v>
      </c>
      <c r="Y13" s="8"/>
      <c r="Z13" s="8">
        <f>SUM(W13:W22)</f>
        <v>2.4</v>
      </c>
      <c r="AA13" s="10" t="str">
        <f>IFERROR(__xludf.DUMMYFUNCTION("IFERROR(LET(
  day, TEXT(AA$1, ""ddd""),
  hour, LOOKUP(2, 1/($A13&lt;&gt;""""), $A13),
  type_A, $A$1,
  list_data, IFERROR(FILTER({'リスト'!$E$4:$F142, 'リスト'!$O$4:$P142}, ('リスト'!$A$4:$A142=day)*('リスト'!$B$4:$B142=hour)*(('リスト'!$G$4:$G142=""毎週配信"")+('リスト'!$G$4:$G1"&amp;"42=type_A))), {"""","""","""",""""}),
  new_data, IFERROR(FILTER({'新規'!$E$2:$F142, '新規'!$O$2:$P142}, ('新規'!$A$2:$A142=AA$1)*('新規'!$B$2:$B142=hour)),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"""")"),"これから人気×エンジニア")</f>
        <v>これから人気×エンジニア</v>
      </c>
      <c r="AB13" s="8">
        <f>IFERROR(__xludf.DUMMYFUNCTION("""COMPUTED_VALUE"""),0.2)</f>
        <v>0.2</v>
      </c>
      <c r="AC13" s="8" t="str">
        <f>IFERROR(__xludf.DUMMYFUNCTION("""COMPUTED_VALUE"""),"R")</f>
        <v>R</v>
      </c>
      <c r="AD13" s="8"/>
      <c r="AE13" s="8">
        <f>SUM(AB13:AB22)</f>
        <v>5.8</v>
      </c>
      <c r="AF13" s="10" t="str">
        <f>IFERROR(__xludf.DUMMYFUNCTION("IFERROR(LET(
  day, TEXT(AF$1, ""ddd""),
  hour, LOOKUP(2, 1/($A13&lt;&gt;""""), $A13),
  type_A, $A$1,
  list_data, IFERROR(FILTER({'リスト'!$E$4:$F142, 'リスト'!$O$4:$P142}, ('リスト'!$A$4:$A142=day)*('リスト'!$B$4:$B142=hour)*(('リスト'!$G$4:$G142=""毎週配信"")+('リスト'!$G$4:$G1"&amp;"42=type_A))), {"""","""","""",""""}),
  new_data, IFERROR(FILTER({'新規'!$E$2:$F142, '新規'!$O$2:$P142}, ('新規'!$A$2:$A142=AF$1)*('新規'!$B$2:$B142=hour)),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"""")"),"年収600万円以上")</f>
        <v>年収600万円以上</v>
      </c>
      <c r="AG13" s="8">
        <f>IFERROR(__xludf.DUMMYFUNCTION("""COMPUTED_VALUE"""),0.3)</f>
        <v>0.3</v>
      </c>
      <c r="AH13" s="8" t="str">
        <f>IFERROR(__xludf.DUMMYFUNCTION("""COMPUTED_VALUE"""),"R")</f>
        <v>R</v>
      </c>
      <c r="AI13" s="8"/>
      <c r="AJ13" s="8">
        <f>SUM(AG13:AG22)</f>
        <v>1.9</v>
      </c>
    </row>
    <row r="14" ht="17.25" customHeight="1">
      <c r="A14" s="11"/>
      <c r="B14" s="10" t="str">
        <f>IFERROR(__xludf.DUMMYFUNCTION("""COMPUTED_VALUE"""),"ランキング_営業（マーケ）_希望")</f>
        <v>ランキング_営業（マーケ）_希望</v>
      </c>
      <c r="C14" s="8">
        <f>IFERROR(__xludf.DUMMYFUNCTION("""COMPUTED_VALUE"""),0.5)</f>
        <v>0.5</v>
      </c>
      <c r="D14" s="8" t="str">
        <f>IFERROR(__xludf.DUMMYFUNCTION("""COMPUTED_VALUE"""),"R")</f>
        <v>R</v>
      </c>
      <c r="E14" s="8"/>
      <c r="F14" s="8"/>
      <c r="G14" s="10" t="str">
        <f>IFERROR(__xludf.DUMMYFUNCTION("""COMPUTED_VALUE"""),"ランキング_クリエイティブ（その他）_希望")</f>
        <v>ランキング_クリエイティブ（その他）_希望</v>
      </c>
      <c r="H14" s="8">
        <f>IFERROR(__xludf.DUMMYFUNCTION("""COMPUTED_VALUE"""),0.4)</f>
        <v>0.4</v>
      </c>
      <c r="I14" s="8" t="str">
        <f>IFERROR(__xludf.DUMMYFUNCTION("""COMPUTED_VALUE"""),"R")</f>
        <v>R</v>
      </c>
      <c r="J14" s="8"/>
      <c r="K14" s="8"/>
      <c r="L14" s="10" t="str">
        <f>IFERROR(__xludf.DUMMYFUNCTION("""COMPUTED_VALUE"""),"ランキング_事務（秘書）_希望")</f>
        <v>ランキング_事務（秘書）_希望</v>
      </c>
      <c r="M14" s="8">
        <f>IFERROR(__xludf.DUMMYFUNCTION("""COMPUTED_VALUE"""),0.9)</f>
        <v>0.9</v>
      </c>
      <c r="N14" s="8" t="str">
        <f>IFERROR(__xludf.DUMMYFUNCTION("""COMPUTED_VALUE"""),"R")</f>
        <v>R</v>
      </c>
      <c r="O14" s="8"/>
      <c r="P14" s="8"/>
      <c r="Q14" s="10" t="str">
        <f>IFERROR(__xludf.DUMMYFUNCTION("""COMPUTED_VALUE"""),"ランキング_事務（経理）_希望")</f>
        <v>ランキング_事務（経理）_希望</v>
      </c>
      <c r="R14" s="8">
        <f>IFERROR(__xludf.DUMMYFUNCTION("""COMPUTED_VALUE"""),0.4)</f>
        <v>0.4</v>
      </c>
      <c r="S14" s="8" t="str">
        <f>IFERROR(__xludf.DUMMYFUNCTION("""COMPUTED_VALUE"""),"R")</f>
        <v>R</v>
      </c>
      <c r="T14" s="8"/>
      <c r="U14" s="8"/>
      <c r="V14" s="10" t="str">
        <f>IFERROR(__xludf.DUMMYFUNCTION("""COMPUTED_VALUE"""),"単独求人訴求メルマガ_A")</f>
        <v>単独求人訴求メルマガ_A</v>
      </c>
      <c r="W14" s="8">
        <f>IFERROR(__xludf.DUMMYFUNCTION("""COMPUTED_VALUE"""),2.1)</f>
        <v>2.1</v>
      </c>
      <c r="X14" s="8" t="str">
        <f>IFERROR(__xludf.DUMMYFUNCTION("""COMPUTED_VALUE"""),"武")</f>
        <v>武</v>
      </c>
      <c r="Y14" s="8" t="str">
        <f>IFERROR(__xludf.DUMMYFUNCTION("""COMPUTED_VALUE"""),"部")</f>
        <v>部</v>
      </c>
      <c r="Z14" s="8"/>
      <c r="AA14" s="10" t="str">
        <f>IFERROR(__xludf.DUMMYFUNCTION("""COMPUTED_VALUE"""),"これから人気×リモート")</f>
        <v>これから人気×リモート</v>
      </c>
      <c r="AB14" s="8">
        <f>IFERROR(__xludf.DUMMYFUNCTION("""COMPUTED_VALUE"""),0.6)</f>
        <v>0.6</v>
      </c>
      <c r="AC14" s="8" t="str">
        <f>IFERROR(__xludf.DUMMYFUNCTION("""COMPUTED_VALUE"""),"R")</f>
        <v>R</v>
      </c>
      <c r="AD14" s="8"/>
      <c r="AE14" s="8"/>
      <c r="AF14" s="10" t="str">
        <f>IFERROR(__xludf.DUMMYFUNCTION("""COMPUTED_VALUE"""),"ランキング_事務（広報）_希望")</f>
        <v>ランキング_事務（広報）_希望</v>
      </c>
      <c r="AG14" s="8">
        <f>IFERROR(__xludf.DUMMYFUNCTION("""COMPUTED_VALUE"""),0.3)</f>
        <v>0.3</v>
      </c>
      <c r="AH14" s="8" t="str">
        <f>IFERROR(__xludf.DUMMYFUNCTION("""COMPUTED_VALUE"""),"R")</f>
        <v>R</v>
      </c>
      <c r="AI14" s="8"/>
      <c r="AJ14" s="8"/>
    </row>
    <row r="15" ht="17.25" customHeight="1">
      <c r="A15" s="11"/>
      <c r="B15" s="10" t="str">
        <f>IFERROR(__xludf.DUMMYFUNCTION("""COMPUTED_VALUE"""),"ランキング_事務（一般事務）_希望")</f>
        <v>ランキング_事務（一般事務）_希望</v>
      </c>
      <c r="C15" s="8">
        <f>IFERROR(__xludf.DUMMYFUNCTION("""COMPUTED_VALUE"""),1.5)</f>
        <v>1.5</v>
      </c>
      <c r="D15" s="8" t="str">
        <f>IFERROR(__xludf.DUMMYFUNCTION("""COMPUTED_VALUE"""),"R")</f>
        <v>R</v>
      </c>
      <c r="E15" s="8"/>
      <c r="F15" s="8"/>
      <c r="G15" s="10" t="str">
        <f>IFERROR(__xludf.DUMMYFUNCTION("""COMPUTED_VALUE"""),"ランキング_営業（その他）_希望")</f>
        <v>ランキング_営業（その他）_希望</v>
      </c>
      <c r="H15" s="8">
        <f>IFERROR(__xludf.DUMMYFUNCTION("""COMPUTED_VALUE"""),0.4)</f>
        <v>0.4</v>
      </c>
      <c r="I15" s="8" t="str">
        <f>IFERROR(__xludf.DUMMYFUNCTION("""COMPUTED_VALUE"""),"R")</f>
        <v>R</v>
      </c>
      <c r="J15" s="8"/>
      <c r="K15" s="8"/>
      <c r="L15" s="10" t="str">
        <f>IFERROR(__xludf.DUMMYFUNCTION("""COMPUTED_VALUE"""),"関西限定求人特集")</f>
        <v>関西限定求人特集</v>
      </c>
      <c r="M15" s="8">
        <f>IFERROR(__xludf.DUMMYFUNCTION("""COMPUTED_VALUE"""),1.1)</f>
        <v>1.1</v>
      </c>
      <c r="N15" s="8" t="str">
        <f>IFERROR(__xludf.DUMMYFUNCTION("""COMPUTED_VALUE"""),"R")</f>
        <v>R</v>
      </c>
      <c r="O15" s="8"/>
      <c r="P15" s="8"/>
      <c r="Q15" s="10"/>
      <c r="R15" s="8"/>
      <c r="S15" s="8"/>
      <c r="T15" s="8"/>
      <c r="U15" s="8"/>
      <c r="V15" s="10"/>
      <c r="W15" s="8"/>
      <c r="X15" s="8"/>
      <c r="Y15" s="8"/>
      <c r="Z15" s="8"/>
      <c r="AA15" s="10" t="str">
        <f>IFERROR(__xludf.DUMMYFUNCTION("""COMPUTED_VALUE"""),"これから人気×リモート×営業")</f>
        <v>これから人気×リモート×営業</v>
      </c>
      <c r="AB15" s="8">
        <f>IFERROR(__xludf.DUMMYFUNCTION("""COMPUTED_VALUE"""),0.3)</f>
        <v>0.3</v>
      </c>
      <c r="AC15" s="8" t="str">
        <f>IFERROR(__xludf.DUMMYFUNCTION("""COMPUTED_VALUE"""),"R")</f>
        <v>R</v>
      </c>
      <c r="AD15" s="8"/>
      <c r="AE15" s="8"/>
      <c r="AF15" s="10" t="str">
        <f>IFERROR(__xludf.DUMMYFUNCTION("""COMPUTED_VALUE"""),"直近新規登録会員向け")</f>
        <v>直近新規登録会員向け</v>
      </c>
      <c r="AG15" s="8">
        <f>IFERROR(__xludf.DUMMYFUNCTION("""COMPUTED_VALUE"""),1.3)</f>
        <v>1.3</v>
      </c>
      <c r="AH15" s="8" t="str">
        <f>IFERROR(__xludf.DUMMYFUNCTION("""COMPUTED_VALUE"""),"R")</f>
        <v>R</v>
      </c>
      <c r="AI15" s="8"/>
      <c r="AJ15" s="8"/>
    </row>
    <row r="16" ht="17.25" customHeight="1">
      <c r="A16" s="11"/>
      <c r="B16" s="12"/>
      <c r="C16" s="8"/>
      <c r="D16" s="8"/>
      <c r="E16" s="8"/>
      <c r="F16" s="8"/>
      <c r="G16" s="12" t="str">
        <f>IFERROR(__xludf.DUMMYFUNCTION("""COMPUTED_VALUE"""),"ランキング_事務（営業事務）_希望")</f>
        <v>ランキング_事務（営業事務）_希望</v>
      </c>
      <c r="H16" s="8">
        <f>IFERROR(__xludf.DUMMYFUNCTION("""COMPUTED_VALUE"""),1.0)</f>
        <v>1</v>
      </c>
      <c r="I16" s="8" t="str">
        <f>IFERROR(__xludf.DUMMYFUNCTION("""COMPUTED_VALUE"""),"R")</f>
        <v>R</v>
      </c>
      <c r="J16" s="8"/>
      <c r="K16" s="8"/>
      <c r="L16" s="12"/>
      <c r="M16" s="8"/>
      <c r="N16" s="8"/>
      <c r="O16" s="8"/>
      <c r="P16" s="8"/>
      <c r="Q16" s="12"/>
      <c r="R16" s="8"/>
      <c r="S16" s="8"/>
      <c r="T16" s="8"/>
      <c r="U16" s="8"/>
      <c r="V16" s="12"/>
      <c r="W16" s="8"/>
      <c r="X16" s="8"/>
      <c r="Y16" s="8"/>
      <c r="Z16" s="8"/>
      <c r="AA16" s="12" t="str">
        <f>IFERROR(__xludf.DUMMYFUNCTION("""COMPUTED_VALUE"""),"これから人気×販サ")</f>
        <v>これから人気×販サ</v>
      </c>
      <c r="AB16" s="8">
        <f>IFERROR(__xludf.DUMMYFUNCTION("""COMPUTED_VALUE"""),0.2)</f>
        <v>0.2</v>
      </c>
      <c r="AC16" s="8" t="str">
        <f>IFERROR(__xludf.DUMMYFUNCTION("""COMPUTED_VALUE"""),"R")</f>
        <v>R</v>
      </c>
      <c r="AD16" s="8"/>
      <c r="AE16" s="8"/>
      <c r="AF16" s="12"/>
      <c r="AG16" s="8"/>
      <c r="AH16" s="8"/>
      <c r="AI16" s="8"/>
      <c r="AJ16" s="8"/>
    </row>
    <row r="17" ht="17.25" customHeight="1">
      <c r="A17" s="11"/>
      <c r="B17" s="13"/>
      <c r="C17" s="8"/>
      <c r="D17" s="8"/>
      <c r="E17" s="8"/>
      <c r="F17" s="8"/>
      <c r="G17" s="13" t="str">
        <f>IFERROR(__xludf.DUMMYFUNCTION("""COMPUTED_VALUE"""),"裁量労働制")</f>
        <v>裁量労働制</v>
      </c>
      <c r="H17" s="8">
        <f>IFERROR(__xludf.DUMMYFUNCTION("""COMPUTED_VALUE"""),1.1)</f>
        <v>1.1</v>
      </c>
      <c r="I17" s="8" t="str">
        <f>IFERROR(__xludf.DUMMYFUNCTION("""COMPUTED_VALUE"""),"R")</f>
        <v>R</v>
      </c>
      <c r="J17" s="8"/>
      <c r="K17" s="8"/>
      <c r="L17" s="13"/>
      <c r="M17" s="8"/>
      <c r="N17" s="8"/>
      <c r="O17" s="8"/>
      <c r="P17" s="8"/>
      <c r="Q17" s="13"/>
      <c r="R17" s="8"/>
      <c r="S17" s="8"/>
      <c r="T17" s="8"/>
      <c r="U17" s="8"/>
      <c r="V17" s="13"/>
      <c r="W17" s="8"/>
      <c r="X17" s="8"/>
      <c r="Y17" s="8"/>
      <c r="Z17" s="8"/>
      <c r="AA17" s="13" t="str">
        <f>IFERROR(__xludf.DUMMYFUNCTION("""COMPUTED_VALUE"""),"応募ランキング C")</f>
        <v>応募ランキング C</v>
      </c>
      <c r="AB17" s="8">
        <f>IFERROR(__xludf.DUMMYFUNCTION("""COMPUTED_VALUE"""),4.5)</f>
        <v>4.5</v>
      </c>
      <c r="AC17" s="8" t="str">
        <f>IFERROR(__xludf.DUMMYFUNCTION("""COMPUTED_VALUE"""),"R")</f>
        <v>R</v>
      </c>
      <c r="AD17" s="8"/>
      <c r="AE17" s="8"/>
      <c r="AF17" s="13"/>
      <c r="AG17" s="8"/>
      <c r="AH17" s="8"/>
      <c r="AI17" s="8"/>
      <c r="AJ17" s="8"/>
    </row>
    <row r="18" ht="17.25" customHeight="1">
      <c r="A18" s="11"/>
      <c r="B18" s="13"/>
      <c r="C18" s="8"/>
      <c r="D18" s="8"/>
      <c r="E18" s="8"/>
      <c r="F18" s="8"/>
      <c r="G18" s="13" t="str">
        <f>IFERROR(__xludf.DUMMYFUNCTION("""COMPUTED_VALUE"""),"時短×リモート")</f>
        <v>時短×リモート</v>
      </c>
      <c r="H18" s="8">
        <f>IFERROR(__xludf.DUMMYFUNCTION("""COMPUTED_VALUE"""),0.6)</f>
        <v>0.6</v>
      </c>
      <c r="I18" s="8" t="str">
        <f>IFERROR(__xludf.DUMMYFUNCTION("""COMPUTED_VALUE"""),"R")</f>
        <v>R</v>
      </c>
      <c r="J18" s="8"/>
      <c r="K18" s="8"/>
      <c r="L18" s="13"/>
      <c r="M18" s="8"/>
      <c r="N18" s="8"/>
      <c r="O18" s="8"/>
      <c r="P18" s="8"/>
      <c r="Q18" s="13"/>
      <c r="R18" s="8"/>
      <c r="S18" s="8"/>
      <c r="T18" s="8"/>
      <c r="U18" s="8"/>
      <c r="V18" s="13"/>
      <c r="W18" s="8"/>
      <c r="X18" s="8"/>
      <c r="Y18" s="8"/>
      <c r="Z18" s="8"/>
      <c r="AA18" s="13"/>
      <c r="AB18" s="8"/>
      <c r="AC18" s="8"/>
      <c r="AD18" s="8"/>
      <c r="AE18" s="8"/>
      <c r="AF18" s="13"/>
      <c r="AG18" s="8"/>
      <c r="AH18" s="8"/>
      <c r="AI18" s="8"/>
      <c r="AJ18" s="8"/>
    </row>
    <row r="19" ht="17.25" customHeight="1">
      <c r="A19" s="11"/>
      <c r="B19" s="13"/>
      <c r="C19" s="8"/>
      <c r="D19" s="8"/>
      <c r="E19" s="8"/>
      <c r="F19" s="8"/>
      <c r="G19" s="13"/>
      <c r="H19" s="8"/>
      <c r="I19" s="8"/>
      <c r="J19" s="8"/>
      <c r="K19" s="8"/>
      <c r="L19" s="13"/>
      <c r="M19" s="8"/>
      <c r="N19" s="8"/>
      <c r="O19" s="8"/>
      <c r="P19" s="8"/>
      <c r="Q19" s="13"/>
      <c r="R19" s="8"/>
      <c r="S19" s="8"/>
      <c r="T19" s="8"/>
      <c r="U19" s="8"/>
      <c r="V19" s="13"/>
      <c r="W19" s="8"/>
      <c r="X19" s="8"/>
      <c r="Y19" s="8"/>
      <c r="Z19" s="8"/>
      <c r="AA19" s="13"/>
      <c r="AB19" s="8"/>
      <c r="AC19" s="8"/>
      <c r="AD19" s="8"/>
      <c r="AE19" s="8"/>
      <c r="AF19" s="13"/>
      <c r="AG19" s="8"/>
      <c r="AH19" s="8"/>
      <c r="AI19" s="8"/>
      <c r="AJ19" s="8"/>
    </row>
    <row r="20" ht="17.25" customHeight="1">
      <c r="A20" s="11"/>
      <c r="B20" s="13"/>
      <c r="C20" s="8"/>
      <c r="D20" s="8"/>
      <c r="E20" s="8"/>
      <c r="F20" s="8"/>
      <c r="G20" s="13"/>
      <c r="H20" s="8"/>
      <c r="I20" s="8"/>
      <c r="J20" s="8"/>
      <c r="K20" s="8"/>
      <c r="L20" s="13"/>
      <c r="M20" s="8"/>
      <c r="N20" s="8"/>
      <c r="O20" s="8"/>
      <c r="P20" s="8"/>
      <c r="Q20" s="13"/>
      <c r="R20" s="8"/>
      <c r="S20" s="8"/>
      <c r="T20" s="8"/>
      <c r="U20" s="8"/>
      <c r="V20" s="13"/>
      <c r="W20" s="8"/>
      <c r="X20" s="8"/>
      <c r="Y20" s="8"/>
      <c r="Z20" s="8"/>
      <c r="AA20" s="13"/>
      <c r="AB20" s="8"/>
      <c r="AC20" s="8"/>
      <c r="AD20" s="8"/>
      <c r="AE20" s="8"/>
      <c r="AF20" s="13"/>
      <c r="AG20" s="8"/>
      <c r="AH20" s="8"/>
      <c r="AI20" s="8"/>
      <c r="AJ20" s="8"/>
    </row>
    <row r="21" ht="17.25" customHeight="1">
      <c r="A21" s="11"/>
      <c r="B21" s="13"/>
      <c r="C21" s="8"/>
      <c r="D21" s="8"/>
      <c r="E21" s="8"/>
      <c r="F21" s="8"/>
      <c r="G21" s="13"/>
      <c r="H21" s="8"/>
      <c r="I21" s="8"/>
      <c r="J21" s="8"/>
      <c r="K21" s="8"/>
      <c r="L21" s="13"/>
      <c r="M21" s="8"/>
      <c r="N21" s="8"/>
      <c r="O21" s="8"/>
      <c r="P21" s="8"/>
      <c r="Q21" s="13"/>
      <c r="R21" s="8"/>
      <c r="S21" s="8"/>
      <c r="T21" s="8"/>
      <c r="U21" s="8"/>
      <c r="V21" s="13"/>
      <c r="W21" s="8"/>
      <c r="X21" s="8"/>
      <c r="Y21" s="8"/>
      <c r="Z21" s="8"/>
      <c r="AA21" s="13"/>
      <c r="AB21" s="8"/>
      <c r="AC21" s="8"/>
      <c r="AD21" s="8"/>
      <c r="AE21" s="8"/>
      <c r="AF21" s="13"/>
      <c r="AG21" s="8"/>
      <c r="AH21" s="8"/>
      <c r="AI21" s="8"/>
      <c r="AJ21" s="8"/>
    </row>
    <row r="22" ht="17.25" customHeight="1">
      <c r="A22" s="11"/>
      <c r="B22" s="13"/>
      <c r="C22" s="8"/>
      <c r="D22" s="8"/>
      <c r="E22" s="8"/>
      <c r="F22" s="8"/>
      <c r="G22" s="13"/>
      <c r="H22" s="8"/>
      <c r="I22" s="8"/>
      <c r="J22" s="8"/>
      <c r="K22" s="8"/>
      <c r="L22" s="13"/>
      <c r="M22" s="8"/>
      <c r="N22" s="8"/>
      <c r="O22" s="8"/>
      <c r="P22" s="8"/>
      <c r="Q22" s="13"/>
      <c r="R22" s="8"/>
      <c r="S22" s="8"/>
      <c r="T22" s="8"/>
      <c r="U22" s="8"/>
      <c r="V22" s="13"/>
      <c r="W22" s="8"/>
      <c r="X22" s="8"/>
      <c r="Y22" s="8"/>
      <c r="Z22" s="8"/>
      <c r="AA22" s="13"/>
      <c r="AB22" s="8"/>
      <c r="AC22" s="8"/>
      <c r="AD22" s="8"/>
      <c r="AE22" s="8"/>
      <c r="AF22" s="13"/>
      <c r="AG22" s="8"/>
      <c r="AH22" s="8"/>
      <c r="AI22" s="8"/>
      <c r="AJ22" s="8"/>
    </row>
    <row r="23" ht="17.25" customHeight="1">
      <c r="A23" s="9">
        <f>A13+1</f>
        <v>10</v>
      </c>
      <c r="B23" s="10" t="str">
        <f>IFERROR(__xludf.DUMMYFUNCTION("IFERROR(LET(
  day, TEXT(B$1, ""ddd""),
  hour, LOOKUP(2, 1/($A23&lt;&gt;""""), $A23),
  type_A, $A$1,
  list_data, IFERROR(FILTER({'リスト'!$E$4:$F142, 'リスト'!$O$4:$P142}, ('リスト'!$A$4:$A142=day)*('リスト'!$B$4:$B142=hour)*(('リスト'!$G$4:$G142=""毎週配信"")+('リスト'!$G$4:$G14"&amp;"2=type_A))), {"""","""","""",""""}),
  new_data, IFERROR(FILTER({'新規'!$E$2:$F142, '新規'!$O$2:$P142}, ('新規'!$A$2:$A142=B$1)*('新規'!$B$2:$B142=hour)),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"""")"),"事務_販サ経験者向け_東京")</f>
        <v>事務_販サ経験者向け_東京</v>
      </c>
      <c r="C23" s="8">
        <f>IFERROR(__xludf.DUMMYFUNCTION("""COMPUTED_VALUE"""),0.4)</f>
        <v>0.4</v>
      </c>
      <c r="D23" s="8" t="str">
        <f>IFERROR(__xludf.DUMMYFUNCTION("""COMPUTED_VALUE"""),"R")</f>
        <v>R</v>
      </c>
      <c r="E23" s="8"/>
      <c r="F23" s="8">
        <f>SUM(C23:C32)</f>
        <v>2.9</v>
      </c>
      <c r="G23" s="10" t="str">
        <f>IFERROR(__xludf.DUMMYFUNCTION("IFERROR(LET(
  day, TEXT(G$1, ""ddd""),
  hour, LOOKUP(2, 1/($A23&lt;&gt;""""), $A23),
  type_A, $A$1,
  list_data, IFERROR(FILTER({'リスト'!$E$4:$F142, 'リスト'!$O$4:$P142}, ('リスト'!$A$4:$A142=day)*('リスト'!$B$4:$B142=hour)*(('リスト'!$G$4:$G142=""毎週配信"")+('リスト'!$G$4:$G14"&amp;"2=type_A))), {"""","""","""",""""}),
  new_data, IFERROR(FILTER({'新規'!$E$2:$F142, '新規'!$O$2:$P142}, ('新規'!$A$2:$A142=G$1)*('新規'!$B$2:$B142=hour)),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"""")"),"40代未経験_正社員")</f>
        <v>40代未経験_正社員</v>
      </c>
      <c r="H23" s="8">
        <f>IFERROR(__xludf.DUMMYFUNCTION("""COMPUTED_VALUE"""),2.3)</f>
        <v>2.3</v>
      </c>
      <c r="I23" s="8" t="str">
        <f>IFERROR(__xludf.DUMMYFUNCTION("""COMPUTED_VALUE"""),"R")</f>
        <v>R</v>
      </c>
      <c r="J23" s="8"/>
      <c r="K23" s="8">
        <f>SUM(H23:H32)</f>
        <v>3.9</v>
      </c>
      <c r="L23" s="10" t="str">
        <f>IFERROR(__xludf.DUMMYFUNCTION("IFERROR(LET(
  day, TEXT(L$1, ""ddd""),
  hour, LOOKUP(2, 1/($A23&lt;&gt;""""), $A23),
  type_A, $A$1,
  list_data, IFERROR(FILTER({'リスト'!$E$4:$F142, 'リスト'!$O$4:$P142}, ('リスト'!$A$4:$A142=day)*('リスト'!$B$4:$B142=hour)*(('リスト'!$G$4:$G142=""毎週配信"")+('リスト'!$G$4:$G14"&amp;"2=type_A))), {"""","""","""",""""}),
  new_data, IFERROR(FILTER({'新規'!$E$2:$F142, '新規'!$O$2:$P142}, ('新規'!$A$2:$A142=L$1)*('新規'!$B$2:$B142=hour)),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"""")"),"フルリモートランキング")</f>
        <v>フルリモートランキング</v>
      </c>
      <c r="M23" s="8">
        <f>IFERROR(__xludf.DUMMYFUNCTION("""COMPUTED_VALUE"""),0.5)</f>
        <v>0.5</v>
      </c>
      <c r="N23" s="8" t="str">
        <f>IFERROR(__xludf.DUMMYFUNCTION("""COMPUTED_VALUE"""),"R")</f>
        <v>R</v>
      </c>
      <c r="O23" s="8"/>
      <c r="P23" s="8">
        <f>SUM(M23:M32)</f>
        <v>6.9</v>
      </c>
      <c r="Q23" s="10" t="str">
        <f>IFERROR(__xludf.DUMMYFUNCTION("IFERROR(LET(
  day, TEXT(Q$1, ""ddd""),
  hour, LOOKUP(2, 1/($A23&lt;&gt;""""), $A23),
  type_A, $A$1,
  list_data, IFERROR(FILTER({'リスト'!$E$4:$F142, 'リスト'!$O$4:$P142}, ('リスト'!$A$4:$A142=day)*('リスト'!$B$4:$B142=hour)*(('リスト'!$G$4:$G142=""毎週配信"")+('リスト'!$G$4:$G14"&amp;"2=type_A))), {"""","""","""",""""}),
  new_data, IFERROR(FILTER({'新規'!$E$2:$F142, '新規'!$O$2:$P142}, ('新規'!$A$2:$A142=Q$1)*('新規'!$B$2:$B142=hour)),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"""")"),"子育手当")</f>
        <v>子育手当</v>
      </c>
      <c r="R23" s="8">
        <f>IFERROR(__xludf.DUMMYFUNCTION("""COMPUTED_VALUE"""),0.6)</f>
        <v>0.6</v>
      </c>
      <c r="S23" s="8" t="str">
        <f>IFERROR(__xludf.DUMMYFUNCTION("""COMPUTED_VALUE"""),"R")</f>
        <v>R</v>
      </c>
      <c r="T23" s="8"/>
      <c r="U23" s="8">
        <f>SUM(R23:R32)</f>
        <v>0.6</v>
      </c>
      <c r="V23" s="10" t="str">
        <f>IFERROR(__xludf.DUMMYFUNCTION("IFERROR(LET(
  day, TEXT(V$1, ""ddd""),
  hour, LOOKUP(2, 1/($A23&lt;&gt;""""), $A23),
  type_A, $A$1,
  list_data, IFERROR(FILTER({'リスト'!$E$4:$F142, 'リスト'!$O$4:$P142}, ('リスト'!$A$4:$A142=day)*('リスト'!$B$4:$B142=hour)*(('リスト'!$G$4:$G142=""毎週配信"")+('リスト'!$G$4:$G14"&amp;"2=type_A))), {"""","""","""",""""}),
  new_data, IFERROR(FILTER({'新規'!$E$2:$F142, '新規'!$O$2:$P142}, ('新規'!$A$2:$A142=V$1)*('新規'!$B$2:$B142=hour)),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"""")"),"検討中ランキング_事務")</f>
        <v>検討中ランキング_事務</v>
      </c>
      <c r="W23" s="8">
        <f>IFERROR(__xludf.DUMMYFUNCTION("""COMPUTED_VALUE"""),0.9)</f>
        <v>0.9</v>
      </c>
      <c r="X23" s="8" t="str">
        <f>IFERROR(__xludf.DUMMYFUNCTION("""COMPUTED_VALUE"""),"R")</f>
        <v>R</v>
      </c>
      <c r="Y23" s="8"/>
      <c r="Z23" s="8">
        <f>SUM(W23:W32)</f>
        <v>2.9</v>
      </c>
      <c r="AA23" s="10" t="str">
        <f>IFERROR(__xludf.DUMMYFUNCTION("IFERROR(LET(
  day, TEXT(AA$1, ""ddd""),
  hour, LOOKUP(2, 1/($A23&lt;&gt;""""), $A23),
  type_A, $A$1,
  list_data, IFERROR(FILTER({'リスト'!$E$4:$F142, 'リスト'!$O$4:$P142}, ('リスト'!$A$4:$A142=day)*('リスト'!$B$4:$B142=hour)*(('リスト'!$G$4:$G142=""毎週配信"")+('リスト'!$G$4:$G1"&amp;"42=type_A))), {"""","""","""",""""}),
  new_data, IFERROR(FILTER({'新規'!$E$2:$F142, '新規'!$O$2:$P142}, ('新規'!$A$2:$A142=AA$1)*('新規'!$B$2:$B142=hour)),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"""")"),"語学を活かせる")</f>
        <v>語学を活かせる</v>
      </c>
      <c r="AB23" s="8">
        <f>IFERROR(__xludf.DUMMYFUNCTION("""COMPUTED_VALUE"""),0.4)</f>
        <v>0.4</v>
      </c>
      <c r="AC23" s="8" t="str">
        <f>IFERROR(__xludf.DUMMYFUNCTION("""COMPUTED_VALUE"""),"R")</f>
        <v>R</v>
      </c>
      <c r="AD23" s="8"/>
      <c r="AE23" s="8">
        <f>SUM(AB23:AB32)</f>
        <v>0.4</v>
      </c>
      <c r="AF23" s="10" t="str">
        <f>IFERROR(__xludf.DUMMYFUNCTION("IFERROR(LET(
  day, TEXT(AF$1, ""ddd""),
  hour, LOOKUP(2, 1/($A23&lt;&gt;""""), $A23),
  type_A, $A$1,
  list_data, IFERROR(FILTER({'リスト'!$E$4:$F142, 'リスト'!$O$4:$P142}, ('リスト'!$A$4:$A142=day)*('リスト'!$B$4:$B142=hour)*(('リスト'!$G$4:$G142=""毎週配信"")+('リスト'!$G$4:$G1"&amp;"42=type_A))), {"""","""","""",""""}),
  new_data, IFERROR(FILTER({'新規'!$E$2:$F142, '新規'!$O$2:$P142}, ('新規'!$A$2:$A142=AF$1)*('新規'!$B$2:$B142=hour)),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"""")"),"☆TP部_事務_希望地")</f>
        <v>☆TP部_事務_希望地</v>
      </c>
      <c r="AG23" s="8">
        <f>IFERROR(__xludf.DUMMYFUNCTION("""COMPUTED_VALUE"""),3.6)</f>
        <v>3.6</v>
      </c>
      <c r="AH23" s="8" t="str">
        <f>IFERROR(__xludf.DUMMYFUNCTION("""COMPUTED_VALUE"""),"部")</f>
        <v>部</v>
      </c>
      <c r="AI23" s="8" t="str">
        <f>IFERROR(__xludf.DUMMYFUNCTION("""COMPUTED_VALUE"""),"石")</f>
        <v>石</v>
      </c>
      <c r="AJ23" s="8">
        <f>SUM(AG23:AG32)</f>
        <v>3.6</v>
      </c>
    </row>
    <row r="24" ht="17.25" customHeight="1">
      <c r="A24" s="11"/>
      <c r="B24" s="10" t="str">
        <f>IFERROR(__xludf.DUMMYFUNCTION("""COMPUTED_VALUE"""),"面接1回")</f>
        <v>面接1回</v>
      </c>
      <c r="C24" s="8">
        <f>IFERROR(__xludf.DUMMYFUNCTION("""COMPUTED_VALUE"""),1.5)</f>
        <v>1.5</v>
      </c>
      <c r="D24" s="8" t="str">
        <f>IFERROR(__xludf.DUMMYFUNCTION("""COMPUTED_VALUE"""),"R")</f>
        <v>R</v>
      </c>
      <c r="E24" s="8"/>
      <c r="F24" s="8"/>
      <c r="G24" s="10" t="str">
        <f>IFERROR(__xludf.DUMMYFUNCTION("""COMPUTED_VALUE"""),"子育て支援")</f>
        <v>子育て支援</v>
      </c>
      <c r="H24" s="8">
        <f>IFERROR(__xludf.DUMMYFUNCTION("""COMPUTED_VALUE"""),0.6)</f>
        <v>0.6</v>
      </c>
      <c r="I24" s="8" t="str">
        <f>IFERROR(__xludf.DUMMYFUNCTION("""COMPUTED_VALUE"""),"R")</f>
        <v>R</v>
      </c>
      <c r="J24" s="8"/>
      <c r="K24" s="8"/>
      <c r="L24" s="10" t="str">
        <f>IFERROR(__xludf.DUMMYFUNCTION("""COMPUTED_VALUE"""),"経験活かせる_営業")</f>
        <v>経験活かせる_営業</v>
      </c>
      <c r="M24" s="8">
        <f>IFERROR(__xludf.DUMMYFUNCTION("""COMPUTED_VALUE"""),0.6)</f>
        <v>0.6</v>
      </c>
      <c r="N24" s="8" t="str">
        <f>IFERROR(__xludf.DUMMYFUNCTION("""COMPUTED_VALUE"""),"R")</f>
        <v>R</v>
      </c>
      <c r="O24" s="8"/>
      <c r="P24" s="8"/>
      <c r="Q24" s="10"/>
      <c r="R24" s="8"/>
      <c r="S24" s="8"/>
      <c r="T24" s="8"/>
      <c r="U24" s="8"/>
      <c r="V24" s="10" t="str">
        <f>IFERROR(__xludf.DUMMYFUNCTION("""COMPUTED_VALUE"""),"JAD特集")</f>
        <v>JAD特集</v>
      </c>
      <c r="W24" s="8">
        <f>IFERROR(__xludf.DUMMYFUNCTION("""COMPUTED_VALUE"""),2.0)</f>
        <v>2</v>
      </c>
      <c r="X24" s="8"/>
      <c r="Y24" s="8"/>
      <c r="Z24" s="8"/>
      <c r="AA24" s="10"/>
      <c r="AB24" s="8"/>
      <c r="AC24" s="8"/>
      <c r="AD24" s="8"/>
      <c r="AE24" s="8"/>
      <c r="AF24" s="10"/>
      <c r="AG24" s="8"/>
      <c r="AH24" s="8"/>
      <c r="AI24" s="8"/>
      <c r="AJ24" s="8"/>
    </row>
    <row r="25" ht="17.25" customHeight="1">
      <c r="A25" s="11"/>
      <c r="B25" s="10" t="str">
        <f>IFERROR(__xludf.DUMMYFUNCTION("""COMPUTED_VALUE"""),"面接1回_35歳以上")</f>
        <v>面接1回_35歳以上</v>
      </c>
      <c r="C25" s="8">
        <f>IFERROR(__xludf.DUMMYFUNCTION("""COMPUTED_VALUE"""),1.0)</f>
        <v>1</v>
      </c>
      <c r="D25" s="8" t="str">
        <f>IFERROR(__xludf.DUMMYFUNCTION("""COMPUTED_VALUE"""),"R")</f>
        <v>R</v>
      </c>
      <c r="E25" s="8"/>
      <c r="F25" s="8"/>
      <c r="G25" s="10" t="str">
        <f>IFERROR(__xludf.DUMMYFUNCTION("""COMPUTED_VALUE"""),"趣味・興味メルマガ_A")</f>
        <v>趣味・興味メルマガ_A</v>
      </c>
      <c r="H25" s="8">
        <f>IFERROR(__xludf.DUMMYFUNCTION("""COMPUTED_VALUE"""),1.0)</f>
        <v>1</v>
      </c>
      <c r="I25" s="8" t="str">
        <f>IFERROR(__xludf.DUMMYFUNCTION("""COMPUTED_VALUE"""),"R")</f>
        <v>R</v>
      </c>
      <c r="J25" s="8"/>
      <c r="K25" s="8"/>
      <c r="L25" s="10" t="str">
        <f>IFERROR(__xludf.DUMMYFUNCTION("""COMPUTED_VALUE"""),"経験活かせる_事務")</f>
        <v>経験活かせる_事務</v>
      </c>
      <c r="M25" s="8">
        <f>IFERROR(__xludf.DUMMYFUNCTION("""COMPUTED_VALUE"""),1.4)</f>
        <v>1.4</v>
      </c>
      <c r="N25" s="8" t="str">
        <f>IFERROR(__xludf.DUMMYFUNCTION("""COMPUTED_VALUE"""),"R")</f>
        <v>R</v>
      </c>
      <c r="O25" s="8"/>
      <c r="P25" s="8"/>
      <c r="Q25" s="10"/>
      <c r="R25" s="8"/>
      <c r="S25" s="8"/>
      <c r="T25" s="8"/>
      <c r="U25" s="8"/>
      <c r="V25" s="10"/>
      <c r="W25" s="8"/>
      <c r="X25" s="8"/>
      <c r="Y25" s="8"/>
      <c r="Z25" s="8"/>
      <c r="AA25" s="10"/>
      <c r="AB25" s="8"/>
      <c r="AC25" s="8"/>
      <c r="AD25" s="8"/>
      <c r="AE25" s="8"/>
      <c r="AF25" s="10"/>
      <c r="AG25" s="8"/>
      <c r="AH25" s="8"/>
      <c r="AI25" s="8"/>
      <c r="AJ25" s="8"/>
    </row>
    <row r="26" ht="17.25" customHeight="1">
      <c r="A26" s="11"/>
      <c r="B26" s="12"/>
      <c r="C26" s="8"/>
      <c r="D26" s="8"/>
      <c r="E26" s="8"/>
      <c r="F26" s="8"/>
      <c r="G26" s="12"/>
      <c r="H26" s="8"/>
      <c r="I26" s="8"/>
      <c r="J26" s="8"/>
      <c r="K26" s="8"/>
      <c r="L26" s="12" t="str">
        <f>IFERROR(__xludf.DUMMYFUNCTION("""COMPUTED_VALUE"""),"副業OK")</f>
        <v>副業OK</v>
      </c>
      <c r="M26" s="8">
        <f>IFERROR(__xludf.DUMMYFUNCTION("""COMPUTED_VALUE"""),4.4)</f>
        <v>4.4</v>
      </c>
      <c r="N26" s="8" t="str">
        <f>IFERROR(__xludf.DUMMYFUNCTION("""COMPUTED_VALUE"""),"R")</f>
        <v>R</v>
      </c>
      <c r="O26" s="8"/>
      <c r="P26" s="8"/>
      <c r="Q26" s="12"/>
      <c r="R26" s="8"/>
      <c r="S26" s="8"/>
      <c r="T26" s="8"/>
      <c r="U26" s="8"/>
      <c r="V26" s="12"/>
      <c r="W26" s="8"/>
      <c r="X26" s="8"/>
      <c r="Y26" s="8"/>
      <c r="Z26" s="8"/>
      <c r="AA26" s="12"/>
      <c r="AB26" s="8"/>
      <c r="AC26" s="8"/>
      <c r="AD26" s="8"/>
      <c r="AE26" s="8"/>
      <c r="AF26" s="12"/>
      <c r="AG26" s="8"/>
      <c r="AH26" s="8"/>
      <c r="AI26" s="8"/>
      <c r="AJ26" s="8"/>
    </row>
    <row r="27" ht="17.25" customHeight="1">
      <c r="A27" s="11"/>
      <c r="B27" s="13"/>
      <c r="C27" s="8"/>
      <c r="D27" s="8"/>
      <c r="E27" s="8"/>
      <c r="F27" s="8"/>
      <c r="G27" s="13"/>
      <c r="H27" s="8"/>
      <c r="I27" s="8"/>
      <c r="J27" s="8"/>
      <c r="K27" s="8"/>
      <c r="L27" s="13"/>
      <c r="M27" s="8"/>
      <c r="N27" s="8"/>
      <c r="O27" s="8"/>
      <c r="P27" s="8"/>
      <c r="Q27" s="13"/>
      <c r="R27" s="8"/>
      <c r="S27" s="8"/>
      <c r="T27" s="8"/>
      <c r="U27" s="8"/>
      <c r="V27" s="13"/>
      <c r="W27" s="8"/>
      <c r="X27" s="8"/>
      <c r="Y27" s="8"/>
      <c r="Z27" s="8"/>
      <c r="AA27" s="13"/>
      <c r="AB27" s="8"/>
      <c r="AC27" s="8"/>
      <c r="AD27" s="8"/>
      <c r="AE27" s="8"/>
      <c r="AF27" s="13"/>
      <c r="AG27" s="8"/>
      <c r="AH27" s="8"/>
      <c r="AI27" s="8"/>
      <c r="AJ27" s="8"/>
    </row>
    <row r="28" ht="17.25" customHeight="1">
      <c r="A28" s="11"/>
      <c r="B28" s="13"/>
      <c r="C28" s="8"/>
      <c r="D28" s="8"/>
      <c r="E28" s="8"/>
      <c r="F28" s="8"/>
      <c r="G28" s="13"/>
      <c r="H28" s="8"/>
      <c r="I28" s="8"/>
      <c r="J28" s="8"/>
      <c r="K28" s="8"/>
      <c r="L28" s="13"/>
      <c r="M28" s="8"/>
      <c r="N28" s="8"/>
      <c r="O28" s="8"/>
      <c r="P28" s="8"/>
      <c r="Q28" s="13"/>
      <c r="R28" s="8"/>
      <c r="S28" s="8"/>
      <c r="T28" s="8"/>
      <c r="U28" s="8"/>
      <c r="V28" s="13"/>
      <c r="W28" s="8"/>
      <c r="X28" s="8"/>
      <c r="Y28" s="8"/>
      <c r="Z28" s="8"/>
      <c r="AA28" s="13"/>
      <c r="AB28" s="8"/>
      <c r="AC28" s="8"/>
      <c r="AD28" s="8"/>
      <c r="AE28" s="8"/>
      <c r="AF28" s="13"/>
      <c r="AG28" s="8"/>
      <c r="AH28" s="8"/>
      <c r="AI28" s="8"/>
      <c r="AJ28" s="8"/>
    </row>
    <row r="29" ht="17.25" customHeight="1">
      <c r="A29" s="11"/>
      <c r="B29" s="13"/>
      <c r="C29" s="8"/>
      <c r="D29" s="8"/>
      <c r="E29" s="8"/>
      <c r="F29" s="8"/>
      <c r="G29" s="13"/>
      <c r="H29" s="8"/>
      <c r="I29" s="8"/>
      <c r="J29" s="8"/>
      <c r="K29" s="8"/>
      <c r="L29" s="13"/>
      <c r="M29" s="8"/>
      <c r="N29" s="8"/>
      <c r="O29" s="8"/>
      <c r="P29" s="8"/>
      <c r="Q29" s="13"/>
      <c r="R29" s="8"/>
      <c r="S29" s="8"/>
      <c r="T29" s="8"/>
      <c r="U29" s="8"/>
      <c r="V29" s="13"/>
      <c r="W29" s="8"/>
      <c r="X29" s="8"/>
      <c r="Y29" s="8"/>
      <c r="Z29" s="8"/>
      <c r="AA29" s="13"/>
      <c r="AB29" s="8"/>
      <c r="AC29" s="8"/>
      <c r="AD29" s="8"/>
      <c r="AE29" s="8"/>
      <c r="AF29" s="13"/>
      <c r="AG29" s="8"/>
      <c r="AH29" s="8"/>
      <c r="AI29" s="8"/>
      <c r="AJ29" s="8"/>
    </row>
    <row r="30" ht="17.25" customHeight="1">
      <c r="A30" s="11"/>
      <c r="B30" s="13"/>
      <c r="C30" s="8"/>
      <c r="D30" s="8"/>
      <c r="E30" s="8"/>
      <c r="F30" s="8"/>
      <c r="G30" s="13"/>
      <c r="H30" s="8"/>
      <c r="I30" s="8"/>
      <c r="J30" s="8"/>
      <c r="K30" s="8"/>
      <c r="L30" s="13"/>
      <c r="M30" s="8"/>
      <c r="N30" s="8"/>
      <c r="O30" s="8"/>
      <c r="P30" s="8"/>
      <c r="Q30" s="13"/>
      <c r="R30" s="8"/>
      <c r="S30" s="8"/>
      <c r="T30" s="8"/>
      <c r="U30" s="8"/>
      <c r="V30" s="13"/>
      <c r="W30" s="8"/>
      <c r="X30" s="8"/>
      <c r="Y30" s="8"/>
      <c r="Z30" s="8"/>
      <c r="AA30" s="13"/>
      <c r="AB30" s="8"/>
      <c r="AC30" s="8"/>
      <c r="AD30" s="8"/>
      <c r="AE30" s="8"/>
      <c r="AF30" s="13"/>
      <c r="AG30" s="8"/>
      <c r="AH30" s="8"/>
      <c r="AI30" s="8"/>
      <c r="AJ30" s="8"/>
    </row>
    <row r="31" ht="17.25" customHeight="1">
      <c r="A31" s="11"/>
      <c r="B31" s="13"/>
      <c r="C31" s="8"/>
      <c r="D31" s="8"/>
      <c r="E31" s="8"/>
      <c r="F31" s="8"/>
      <c r="G31" s="13"/>
      <c r="H31" s="8"/>
      <c r="I31" s="8"/>
      <c r="J31" s="8"/>
      <c r="K31" s="8"/>
      <c r="L31" s="13"/>
      <c r="M31" s="8"/>
      <c r="N31" s="8"/>
      <c r="O31" s="8"/>
      <c r="P31" s="8"/>
      <c r="Q31" s="13"/>
      <c r="R31" s="8"/>
      <c r="S31" s="8"/>
      <c r="T31" s="8"/>
      <c r="U31" s="8"/>
      <c r="V31" s="13"/>
      <c r="W31" s="8"/>
      <c r="X31" s="8"/>
      <c r="Y31" s="8"/>
      <c r="Z31" s="8"/>
      <c r="AA31" s="13"/>
      <c r="AB31" s="8"/>
      <c r="AC31" s="8"/>
      <c r="AD31" s="8"/>
      <c r="AE31" s="8"/>
      <c r="AF31" s="13"/>
      <c r="AG31" s="8"/>
      <c r="AH31" s="8"/>
      <c r="AI31" s="8"/>
      <c r="AJ31" s="8"/>
    </row>
    <row r="32" ht="17.25" customHeight="1">
      <c r="A32" s="11"/>
      <c r="B32" s="13"/>
      <c r="C32" s="8"/>
      <c r="D32" s="8"/>
      <c r="E32" s="8"/>
      <c r="F32" s="8"/>
      <c r="G32" s="13"/>
      <c r="H32" s="8"/>
      <c r="I32" s="8"/>
      <c r="J32" s="8"/>
      <c r="K32" s="8"/>
      <c r="L32" s="13"/>
      <c r="M32" s="8"/>
      <c r="N32" s="8"/>
      <c r="O32" s="8"/>
      <c r="P32" s="8"/>
      <c r="Q32" s="13"/>
      <c r="R32" s="8"/>
      <c r="S32" s="8"/>
      <c r="T32" s="8"/>
      <c r="U32" s="8"/>
      <c r="V32" s="13"/>
      <c r="W32" s="8"/>
      <c r="X32" s="8"/>
      <c r="Y32" s="8"/>
      <c r="Z32" s="8"/>
      <c r="AA32" s="13"/>
      <c r="AB32" s="8"/>
      <c r="AC32" s="8"/>
      <c r="AD32" s="8"/>
      <c r="AE32" s="8"/>
      <c r="AF32" s="13"/>
      <c r="AG32" s="8"/>
      <c r="AH32" s="8"/>
      <c r="AI32" s="8"/>
      <c r="AJ32" s="8"/>
    </row>
    <row r="33" ht="17.25" customHeight="1">
      <c r="A33" s="9">
        <f>A23+1</f>
        <v>11</v>
      </c>
      <c r="B33" s="10" t="str">
        <f>IFERROR(__xludf.DUMMYFUNCTION("IFERROR(LET(
  day, TEXT(B$1, ""ddd""),
  hour, LOOKUP(2, 1/($A33&lt;&gt;""""), $A33),
  type_A, $A$1,
  list_data, IFERROR(FILTER({'リスト'!$E$4:$F142, 'リスト'!$O$4:$P142}, ('リスト'!$A$4:$A142=day)*('リスト'!$B$4:$B142=hour)*(('リスト'!$G$4:$G142=""毎週配信"")+('リスト'!$G$4:$G14"&amp;"2=type_A))), {"""","""","""",""""}),
  new_data, IFERROR(FILTER({'新規'!$E$2:$F142, '新規'!$O$2:$P142}, ('新規'!$A$2:$A142=B$1)*('新規'!$B$2:$B142=hour)),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"""")"),"事務（経理）_希望")</f>
        <v>事務（経理）_希望</v>
      </c>
      <c r="C33" s="8">
        <f>IFERROR(__xludf.DUMMYFUNCTION("""COMPUTED_VALUE"""),0.5)</f>
        <v>0.5</v>
      </c>
      <c r="D33" s="8" t="str">
        <f>IFERROR(__xludf.DUMMYFUNCTION("""COMPUTED_VALUE"""),"R")</f>
        <v>R</v>
      </c>
      <c r="E33" s="8"/>
      <c r="F33" s="8">
        <f>SUM(C33:C42)</f>
        <v>0.5</v>
      </c>
      <c r="G33" s="10" t="str">
        <f>IFERROR(__xludf.DUMMYFUNCTION("IFERROR(LET(
  day, TEXT(G$1, ""ddd""),
  hour, LOOKUP(2, 1/($A33&lt;&gt;""""), $A33),
  type_A, $A$1,
  list_data, IFERROR(FILTER({'リスト'!$E$4:$F142, 'リスト'!$O$4:$P142}, ('リスト'!$A$4:$A142=day)*('リスト'!$B$4:$B142=hour)*(('リスト'!$G$4:$G142=""毎週配信"")+('リスト'!$G$4:$G14"&amp;"2=type_A))), {"""","""","""",""""}),
  new_data, IFERROR(FILTER({'新規'!$E$2:$F142, '新規'!$O$2:$P142}, ('新規'!$A$2:$A142=G$1)*('新規'!$B$2:$B142=hour)),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"""")"),"事務（総務・人事）_希望")</f>
        <v>事務（総務・人事）_希望</v>
      </c>
      <c r="H33" s="8">
        <f>IFERROR(__xludf.DUMMYFUNCTION("""COMPUTED_VALUE"""),1.1)</f>
        <v>1.1</v>
      </c>
      <c r="I33" s="8" t="str">
        <f>IFERROR(__xludf.DUMMYFUNCTION("""COMPUTED_VALUE"""),"R")</f>
        <v>R</v>
      </c>
      <c r="J33" s="8"/>
      <c r="K33" s="8">
        <f>SUM(H33:H42)</f>
        <v>1.1</v>
      </c>
      <c r="L33" s="10" t="str">
        <f>IFERROR(__xludf.DUMMYFUNCTION("IFERROR(LET(
  day, TEXT(L$1, ""ddd""),
  hour, LOOKUP(2, 1/($A33&lt;&gt;""""), $A33),
  type_A, $A$1,
  list_data, IFERROR(FILTER({'リスト'!$E$4:$F142, 'リスト'!$O$4:$P142}, ('リスト'!$A$4:$A142=day)*('リスト'!$B$4:$B142=hour)*(('リスト'!$G$4:$G142=""毎週配信"")+('リスト'!$G$4:$G14"&amp;"2=type_A))), {"""","""","""",""""}),
  new_data, IFERROR(FILTER({'新規'!$E$2:$F142, '新規'!$O$2:$P142}, ('新規'!$A$2:$A142=L$1)*('新規'!$B$2:$B142=hour)),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"""")"),"クリエイティブ（Web）_希望")</f>
        <v>クリエイティブ（Web）_希望</v>
      </c>
      <c r="M33" s="8">
        <f>IFERROR(__xludf.DUMMYFUNCTION("""COMPUTED_VALUE"""),0.4)</f>
        <v>0.4</v>
      </c>
      <c r="N33" s="8" t="str">
        <f>IFERROR(__xludf.DUMMYFUNCTION("""COMPUTED_VALUE"""),"R")</f>
        <v>R</v>
      </c>
      <c r="O33" s="8"/>
      <c r="P33" s="8">
        <f>SUM(M33:M42)</f>
        <v>2.9</v>
      </c>
      <c r="Q33" s="10" t="str">
        <f>IFERROR(__xludf.DUMMYFUNCTION("IFERROR(LET(
  day, TEXT(Q$1, ""ddd""),
  hour, LOOKUP(2, 1/($A33&lt;&gt;""""), $A33),
  type_A, $A$1,
  list_data, IFERROR(FILTER({'リスト'!$E$4:$F142, 'リスト'!$O$4:$P142}, ('リスト'!$A$4:$A142=day)*('リスト'!$B$4:$B142=hour)*(('リスト'!$G$4:$G142=""毎週配信"")+('リスト'!$G$4:$G14"&amp;"2=type_A))), {"""","""","""",""""}),
  new_data, IFERROR(FILTER({'新規'!$E$2:$F142, '新規'!$O$2:$P142}, ('新規'!$A$2:$A142=Q$1)*('新規'!$B$2:$B142=hour)),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"""")"),"クリエイティブ（その他）_希望")</f>
        <v>クリエイティブ（その他）_希望</v>
      </c>
      <c r="R33" s="8">
        <f>IFERROR(__xludf.DUMMYFUNCTION("""COMPUTED_VALUE"""),0.3)</f>
        <v>0.3</v>
      </c>
      <c r="S33" s="8" t="str">
        <f>IFERROR(__xludf.DUMMYFUNCTION("""COMPUTED_VALUE"""),"R")</f>
        <v>R</v>
      </c>
      <c r="T33" s="8"/>
      <c r="U33" s="8">
        <f>SUM(R33:R42)</f>
        <v>6.5</v>
      </c>
      <c r="V33" s="10" t="str">
        <f>IFERROR(__xludf.DUMMYFUNCTION("IFERROR(LET(
  day, TEXT(V$1, ""ddd""),
  hour, LOOKUP(2, 1/($A33&lt;&gt;""""), $A33),
  type_A, $A$1,
  list_data, IFERROR(FILTER({'リスト'!$E$4:$F142, 'リスト'!$O$4:$P142}, ('リスト'!$A$4:$A142=day)*('リスト'!$B$4:$B142=hour)*(('リスト'!$G$4:$G142=""毎週配信"")+('リスト'!$G$4:$G14"&amp;"2=type_A))), {"""","""","""",""""}),
  new_data, IFERROR(FILTER({'新規'!$E$2:$F142, '新規'!$O$2:$P142}, ('新規'!$A$2:$A142=V$1)*('新規'!$B$2:$B142=hour)),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"""")"),"フレックス_ランキング")</f>
        <v>フレックス_ランキング</v>
      </c>
      <c r="W33" s="8">
        <f>IFERROR(__xludf.DUMMYFUNCTION("""COMPUTED_VALUE"""),2.0)</f>
        <v>2</v>
      </c>
      <c r="X33" s="8" t="str">
        <f>IFERROR(__xludf.DUMMYFUNCTION("""COMPUTED_VALUE"""),"石")</f>
        <v>石</v>
      </c>
      <c r="Y33" s="8" t="str">
        <f>IFERROR(__xludf.DUMMYFUNCTION("""COMPUTED_VALUE"""),"福")</f>
        <v>福</v>
      </c>
      <c r="Z33" s="8">
        <f>SUM(W33:W42)</f>
        <v>2</v>
      </c>
      <c r="AA33" s="10" t="str">
        <f>IFERROR(__xludf.DUMMYFUNCTION("IFERROR(LET(
  day, TEXT(AA$1, ""ddd""),
  hour, LOOKUP(2, 1/($A33&lt;&gt;""""), $A33),
  type_A, $A$1,
  list_data, IFERROR(FILTER({'リスト'!$E$4:$F142, 'リスト'!$O$4:$P142}, ('リスト'!$A$4:$A142=day)*('リスト'!$B$4:$B142=hour)*(('リスト'!$G$4:$G142=""毎週配信"")+('リスト'!$G$4:$G1"&amp;"42=type_A))), {"""","""","""",""""}),
  new_data, IFERROR(FILTER({'新規'!$E$2:$F142, '新規'!$O$2:$P142}, ('新規'!$A$2:$A142=AA$1)*('新規'!$B$2:$B142=hour)),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"""")"),"関西単独求人メルマガ_B")</f>
        <v>関西単独求人メルマガ_B</v>
      </c>
      <c r="AB33" s="8">
        <f>IFERROR(__xludf.DUMMYFUNCTION("""COMPUTED_VALUE"""),0.7)</f>
        <v>0.7</v>
      </c>
      <c r="AC33" s="8" t="str">
        <f>IFERROR(__xludf.DUMMYFUNCTION("""COMPUTED_VALUE"""),"武")</f>
        <v>武</v>
      </c>
      <c r="AD33" s="8" t="str">
        <f>IFERROR(__xludf.DUMMYFUNCTION("""COMPUTED_VALUE"""),"部")</f>
        <v>部</v>
      </c>
      <c r="AE33" s="8">
        <f>SUM(AB33:AB42)</f>
        <v>1.7</v>
      </c>
      <c r="AF33" s="10" t="str">
        <f>IFERROR(__xludf.DUMMYFUNCTION("IFERROR(LET(
  day, TEXT(AF$1, ""ddd""),
  hour, LOOKUP(2, 1/($A33&lt;&gt;""""), $A33),
  type_A, $A$1,
  list_data, IFERROR(FILTER({'リスト'!$E$4:$F142, 'リスト'!$O$4:$P142}, ('リスト'!$A$4:$A142=day)*('リスト'!$B$4:$B142=hour)*(('リスト'!$G$4:$G142=""毎週配信"")+('リスト'!$G$4:$G1"&amp;"42=type_A))), {"""","""","""",""""}),
  new_data, IFERROR(FILTER({'新規'!$E$2:$F142, '新規'!$O$2:$P142}, ('新規'!$A$2:$A142=AF$1)*('新規'!$B$2:$B142=hour)),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"""")"),"クリエイティブ総合ランキング")</f>
        <v>クリエイティブ総合ランキング</v>
      </c>
      <c r="AG33" s="8">
        <f>IFERROR(__xludf.DUMMYFUNCTION("""COMPUTED_VALUE"""),0.8)</f>
        <v>0.8</v>
      </c>
      <c r="AH33" s="8" t="str">
        <f>IFERROR(__xludf.DUMMYFUNCTION("""COMPUTED_VALUE"""),"R")</f>
        <v>R</v>
      </c>
      <c r="AI33" s="8"/>
      <c r="AJ33" s="8">
        <f>SUM(AG33:AG42)</f>
        <v>1.5</v>
      </c>
    </row>
    <row r="34" ht="17.25" customHeight="1">
      <c r="A34" s="11"/>
      <c r="B34" s="10"/>
      <c r="C34" s="8"/>
      <c r="D34" s="8"/>
      <c r="E34" s="8"/>
      <c r="F34" s="8"/>
      <c r="G34" s="10"/>
      <c r="H34" s="8"/>
      <c r="I34" s="8"/>
      <c r="J34" s="8"/>
      <c r="K34" s="8"/>
      <c r="L34" s="10" t="str">
        <f>IFERROR(__xludf.DUMMYFUNCTION("""COMPUTED_VALUE"""),"コロナ禍_事務_首都圏")</f>
        <v>コロナ禍_事務_首都圏</v>
      </c>
      <c r="M34" s="8">
        <f>IFERROR(__xludf.DUMMYFUNCTION("""COMPUTED_VALUE"""),2.5)</f>
        <v>2.5</v>
      </c>
      <c r="N34" s="8" t="str">
        <f>IFERROR(__xludf.DUMMYFUNCTION("""COMPUTED_VALUE"""),"R")</f>
        <v>R</v>
      </c>
      <c r="O34" s="8"/>
      <c r="P34" s="8"/>
      <c r="Q34" s="10" t="str">
        <f>IFERROR(__xludf.DUMMYFUNCTION("""COMPUTED_VALUE"""),"今週の人気求人ランキング")</f>
        <v>今週の人気求人ランキング</v>
      </c>
      <c r="R34" s="8">
        <f>IFERROR(__xludf.DUMMYFUNCTION("""COMPUTED_VALUE"""),5.7)</f>
        <v>5.7</v>
      </c>
      <c r="S34" s="8" t="str">
        <f>IFERROR(__xludf.DUMMYFUNCTION("""COMPUTED_VALUE"""),"R")</f>
        <v>R</v>
      </c>
      <c r="T34" s="8"/>
      <c r="U34" s="8"/>
      <c r="V34" s="10"/>
      <c r="W34" s="8"/>
      <c r="X34" s="8"/>
      <c r="Y34" s="8"/>
      <c r="Z34" s="8"/>
      <c r="AA34" s="10" t="str">
        <f>IFERROR(__xludf.DUMMYFUNCTION("""COMPUTED_VALUE"""),"事務（営業事務）_希望")</f>
        <v>事務（営業事務）_希望</v>
      </c>
      <c r="AB34" s="8">
        <f>IFERROR(__xludf.DUMMYFUNCTION("""COMPUTED_VALUE"""),1.0)</f>
        <v>1</v>
      </c>
      <c r="AC34" s="8" t="str">
        <f>IFERROR(__xludf.DUMMYFUNCTION("""COMPUTED_VALUE"""),"R")</f>
        <v>R</v>
      </c>
      <c r="AD34" s="8"/>
      <c r="AE34" s="8"/>
      <c r="AF34" s="10" t="str">
        <f>IFERROR(__xludf.DUMMYFUNCTION("""COMPUTED_VALUE"""),"関西_未経験リモート_事務")</f>
        <v>関西_未経験リモート_事務</v>
      </c>
      <c r="AG34" s="8">
        <f>IFERROR(__xludf.DUMMYFUNCTION("""COMPUTED_VALUE"""),0.7)</f>
        <v>0.7</v>
      </c>
      <c r="AH34" s="8" t="str">
        <f>IFERROR(__xludf.DUMMYFUNCTION("""COMPUTED_VALUE"""),"R")</f>
        <v>R</v>
      </c>
      <c r="AI34" s="8"/>
      <c r="AJ34" s="8"/>
    </row>
    <row r="35" ht="17.25" customHeight="1">
      <c r="A35" s="11"/>
      <c r="B35" s="10"/>
      <c r="C35" s="8"/>
      <c r="D35" s="8"/>
      <c r="E35" s="8"/>
      <c r="F35" s="8"/>
      <c r="G35" s="10"/>
      <c r="H35" s="8"/>
      <c r="I35" s="8"/>
      <c r="J35" s="8"/>
      <c r="K35" s="8"/>
      <c r="L35" s="10"/>
      <c r="M35" s="8"/>
      <c r="N35" s="8"/>
      <c r="O35" s="8"/>
      <c r="P35" s="8"/>
      <c r="Q35" s="10" t="str">
        <f>IFERROR(__xludf.DUMMYFUNCTION("""COMPUTED_VALUE"""),"事務（広報）_希望")</f>
        <v>事務（広報）_希望</v>
      </c>
      <c r="R35" s="8">
        <f>IFERROR(__xludf.DUMMYFUNCTION("""COMPUTED_VALUE"""),0.5)</f>
        <v>0.5</v>
      </c>
      <c r="S35" s="8" t="str">
        <f>IFERROR(__xludf.DUMMYFUNCTION("""COMPUTED_VALUE"""),"R")</f>
        <v>R</v>
      </c>
      <c r="T35" s="8"/>
      <c r="U35" s="8"/>
      <c r="V35" s="10"/>
      <c r="W35" s="8"/>
      <c r="X35" s="8"/>
      <c r="Y35" s="8"/>
      <c r="Z35" s="8"/>
      <c r="AA35" s="10"/>
      <c r="AB35" s="8"/>
      <c r="AC35" s="8"/>
      <c r="AD35" s="8"/>
      <c r="AE35" s="8"/>
      <c r="AF35" s="10"/>
      <c r="AG35" s="8"/>
      <c r="AH35" s="8"/>
      <c r="AI35" s="8"/>
      <c r="AJ35" s="8"/>
    </row>
    <row r="36" ht="17.25" customHeight="1">
      <c r="A36" s="11"/>
      <c r="B36" s="12"/>
      <c r="C36" s="8"/>
      <c r="D36" s="8"/>
      <c r="E36" s="8"/>
      <c r="F36" s="8"/>
      <c r="G36" s="12"/>
      <c r="H36" s="8"/>
      <c r="I36" s="8"/>
      <c r="J36" s="8"/>
      <c r="K36" s="8"/>
      <c r="L36" s="12"/>
      <c r="M36" s="8"/>
      <c r="N36" s="8"/>
      <c r="O36" s="8"/>
      <c r="P36" s="8"/>
      <c r="Q36" s="12"/>
      <c r="R36" s="8"/>
      <c r="S36" s="8"/>
      <c r="T36" s="8"/>
      <c r="U36" s="8"/>
      <c r="V36" s="12"/>
      <c r="W36" s="8"/>
      <c r="X36" s="8"/>
      <c r="Y36" s="8"/>
      <c r="Z36" s="8"/>
      <c r="AA36" s="12"/>
      <c r="AB36" s="8"/>
      <c r="AC36" s="8"/>
      <c r="AD36" s="8"/>
      <c r="AE36" s="8"/>
      <c r="AF36" s="12"/>
      <c r="AG36" s="8"/>
      <c r="AH36" s="8"/>
      <c r="AI36" s="8"/>
      <c r="AJ36" s="8"/>
    </row>
    <row r="37" ht="17.25" customHeight="1">
      <c r="A37" s="11"/>
      <c r="B37" s="13"/>
      <c r="C37" s="8"/>
      <c r="D37" s="8"/>
      <c r="E37" s="8"/>
      <c r="F37" s="8"/>
      <c r="G37" s="13"/>
      <c r="H37" s="8"/>
      <c r="I37" s="8"/>
      <c r="J37" s="8"/>
      <c r="K37" s="8"/>
      <c r="L37" s="13"/>
      <c r="M37" s="8"/>
      <c r="N37" s="8"/>
      <c r="O37" s="8"/>
      <c r="P37" s="8"/>
      <c r="Q37" s="13"/>
      <c r="R37" s="8"/>
      <c r="S37" s="8"/>
      <c r="T37" s="8"/>
      <c r="U37" s="8"/>
      <c r="V37" s="13"/>
      <c r="W37" s="8"/>
      <c r="X37" s="8"/>
      <c r="Y37" s="8"/>
      <c r="Z37" s="8"/>
      <c r="AA37" s="13"/>
      <c r="AB37" s="8"/>
      <c r="AC37" s="8"/>
      <c r="AD37" s="8"/>
      <c r="AE37" s="8"/>
      <c r="AF37" s="13"/>
      <c r="AG37" s="8"/>
      <c r="AH37" s="8"/>
      <c r="AI37" s="8"/>
      <c r="AJ37" s="8"/>
    </row>
    <row r="38" ht="17.25" customHeight="1">
      <c r="A38" s="11"/>
      <c r="B38" s="13"/>
      <c r="C38" s="8"/>
      <c r="D38" s="8"/>
      <c r="E38" s="8"/>
      <c r="F38" s="8"/>
      <c r="G38" s="13"/>
      <c r="H38" s="8"/>
      <c r="I38" s="8"/>
      <c r="J38" s="8"/>
      <c r="K38" s="8"/>
      <c r="L38" s="13"/>
      <c r="M38" s="8"/>
      <c r="N38" s="8"/>
      <c r="O38" s="8"/>
      <c r="P38" s="8"/>
      <c r="Q38" s="13"/>
      <c r="R38" s="8"/>
      <c r="S38" s="8"/>
      <c r="T38" s="8"/>
      <c r="U38" s="8"/>
      <c r="V38" s="13"/>
      <c r="W38" s="8"/>
      <c r="X38" s="8"/>
      <c r="Y38" s="8"/>
      <c r="Z38" s="8"/>
      <c r="AA38" s="13"/>
      <c r="AB38" s="8"/>
      <c r="AC38" s="8"/>
      <c r="AD38" s="8"/>
      <c r="AE38" s="8"/>
      <c r="AF38" s="13"/>
      <c r="AG38" s="8"/>
      <c r="AH38" s="8"/>
      <c r="AI38" s="8"/>
      <c r="AJ38" s="8"/>
    </row>
    <row r="39" ht="17.25" customHeight="1">
      <c r="A39" s="11"/>
      <c r="B39" s="13"/>
      <c r="C39" s="8"/>
      <c r="D39" s="8"/>
      <c r="E39" s="8"/>
      <c r="F39" s="8"/>
      <c r="G39" s="13"/>
      <c r="H39" s="8"/>
      <c r="I39" s="8"/>
      <c r="J39" s="8"/>
      <c r="K39" s="8"/>
      <c r="L39" s="13"/>
      <c r="M39" s="8"/>
      <c r="N39" s="8"/>
      <c r="O39" s="8"/>
      <c r="P39" s="8"/>
      <c r="Q39" s="13"/>
      <c r="R39" s="8"/>
      <c r="S39" s="8"/>
      <c r="T39" s="8"/>
      <c r="U39" s="8"/>
      <c r="V39" s="13"/>
      <c r="W39" s="8"/>
      <c r="X39" s="8"/>
      <c r="Y39" s="8"/>
      <c r="Z39" s="8"/>
      <c r="AA39" s="13"/>
      <c r="AB39" s="8"/>
      <c r="AC39" s="8"/>
      <c r="AD39" s="8"/>
      <c r="AE39" s="8"/>
      <c r="AF39" s="13"/>
      <c r="AG39" s="8"/>
      <c r="AH39" s="8"/>
      <c r="AI39" s="8"/>
      <c r="AJ39" s="8"/>
    </row>
    <row r="40" ht="17.25" customHeight="1">
      <c r="A40" s="11"/>
      <c r="B40" s="13"/>
      <c r="C40" s="8"/>
      <c r="D40" s="8"/>
      <c r="E40" s="8"/>
      <c r="F40" s="8"/>
      <c r="G40" s="13"/>
      <c r="H40" s="8"/>
      <c r="I40" s="8"/>
      <c r="J40" s="8"/>
      <c r="K40" s="8"/>
      <c r="L40" s="13"/>
      <c r="M40" s="8"/>
      <c r="N40" s="8"/>
      <c r="O40" s="8"/>
      <c r="P40" s="8"/>
      <c r="Q40" s="13"/>
      <c r="R40" s="8"/>
      <c r="S40" s="8"/>
      <c r="T40" s="8"/>
      <c r="U40" s="8"/>
      <c r="V40" s="13"/>
      <c r="W40" s="8"/>
      <c r="X40" s="8"/>
      <c r="Y40" s="8"/>
      <c r="Z40" s="8"/>
      <c r="AA40" s="13"/>
      <c r="AB40" s="8"/>
      <c r="AC40" s="8"/>
      <c r="AD40" s="8"/>
      <c r="AE40" s="8"/>
      <c r="AF40" s="13"/>
      <c r="AG40" s="8"/>
      <c r="AH40" s="8"/>
      <c r="AI40" s="8"/>
      <c r="AJ40" s="8"/>
    </row>
    <row r="41" ht="17.25" customHeight="1">
      <c r="A41" s="11"/>
      <c r="B41" s="13"/>
      <c r="C41" s="8"/>
      <c r="D41" s="8"/>
      <c r="E41" s="8"/>
      <c r="F41" s="8"/>
      <c r="G41" s="13"/>
      <c r="H41" s="8"/>
      <c r="I41" s="8"/>
      <c r="J41" s="8"/>
      <c r="K41" s="8"/>
      <c r="L41" s="13"/>
      <c r="M41" s="8"/>
      <c r="N41" s="8"/>
      <c r="O41" s="8"/>
      <c r="P41" s="8"/>
      <c r="Q41" s="13"/>
      <c r="R41" s="8"/>
      <c r="S41" s="8"/>
      <c r="T41" s="8"/>
      <c r="U41" s="8"/>
      <c r="V41" s="13"/>
      <c r="W41" s="8"/>
      <c r="X41" s="8"/>
      <c r="Y41" s="8"/>
      <c r="Z41" s="8"/>
      <c r="AA41" s="13"/>
      <c r="AB41" s="8"/>
      <c r="AC41" s="8"/>
      <c r="AD41" s="8"/>
      <c r="AE41" s="8"/>
      <c r="AF41" s="13"/>
      <c r="AG41" s="8"/>
      <c r="AH41" s="8"/>
      <c r="AI41" s="8"/>
      <c r="AJ41" s="8"/>
    </row>
    <row r="42" ht="17.25" customHeight="1">
      <c r="A42" s="11"/>
      <c r="B42" s="13"/>
      <c r="C42" s="8"/>
      <c r="D42" s="8"/>
      <c r="E42" s="8"/>
      <c r="F42" s="8"/>
      <c r="G42" s="13"/>
      <c r="H42" s="8"/>
      <c r="I42" s="8"/>
      <c r="J42" s="8"/>
      <c r="K42" s="8"/>
      <c r="L42" s="13"/>
      <c r="M42" s="8"/>
      <c r="N42" s="8"/>
      <c r="O42" s="8"/>
      <c r="P42" s="8"/>
      <c r="Q42" s="13"/>
      <c r="R42" s="8"/>
      <c r="S42" s="8"/>
      <c r="T42" s="8"/>
      <c r="U42" s="8"/>
      <c r="V42" s="13"/>
      <c r="W42" s="8"/>
      <c r="X42" s="8"/>
      <c r="Y42" s="8"/>
      <c r="Z42" s="8"/>
      <c r="AA42" s="13"/>
      <c r="AB42" s="8"/>
      <c r="AC42" s="8"/>
      <c r="AD42" s="8"/>
      <c r="AE42" s="8"/>
      <c r="AF42" s="13"/>
      <c r="AG42" s="8"/>
      <c r="AH42" s="8"/>
      <c r="AI42" s="8"/>
      <c r="AJ42" s="8"/>
    </row>
    <row r="43" ht="17.25" customHeight="1">
      <c r="A43" s="9">
        <f>A33+1</f>
        <v>12</v>
      </c>
      <c r="B43" s="10" t="str">
        <f>IFERROR(__xludf.DUMMYFUNCTION("IFERROR(LET(
  day, TEXT(B$1, ""ddd""),
  hour, LOOKUP(2, 1/($A43&lt;&gt;""""), $A43),
  type_A, $A$1,
  list_data, IFERROR(FILTER({'リスト'!$E$4:$F142, 'リスト'!$O$4:$P142}, ('リスト'!$A$4:$A142=day)*('リスト'!$B$4:$B142=hour)*(('リスト'!$G$4:$G142=""毎週配信"")+('リスト'!$G$4:$G14"&amp;"2=type_A))), {"""","""","""",""""}),
  new_data, IFERROR(FILTER({'新規'!$E$2:$F142, '新規'!$O$2:$P142}, ('新規'!$A$2:$A142=B$1)*('新規'!$B$2:$B142=hour)),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"""")"),"★新着総合_首都圏 A")</f>
        <v>★新着総合_首都圏 A</v>
      </c>
      <c r="C43" s="8">
        <f>IFERROR(__xludf.DUMMYFUNCTION("""COMPUTED_VALUE"""),5.0)</f>
        <v>5</v>
      </c>
      <c r="D43" s="8" t="str">
        <f>IFERROR(__xludf.DUMMYFUNCTION("""COMPUTED_VALUE"""),"荒")</f>
        <v>荒</v>
      </c>
      <c r="E43" s="8" t="str">
        <f>IFERROR(__xludf.DUMMYFUNCTION("""COMPUTED_VALUE"""),"平")</f>
        <v>平</v>
      </c>
      <c r="F43" s="8">
        <f>SUM(C43:C52)</f>
        <v>10.4</v>
      </c>
      <c r="G43" s="10" t="str">
        <f>IFERROR(__xludf.DUMMYFUNCTION("IFERROR(LET(
  day, TEXT(G$1, ""ddd""),
  hour, LOOKUP(2, 1/($A43&lt;&gt;""""), $A43),
  type_A, $A$1,
  list_data, IFERROR(FILTER({'リスト'!$E$4:$F142, 'リスト'!$O$4:$P142}, ('リスト'!$A$4:$A142=day)*('リスト'!$B$4:$B142=hour)*(('リスト'!$G$4:$G142=""毎週配信"")+('リスト'!$G$4:$G14"&amp;"2=type_A))), {"""","""","""",""""}),
  new_data, IFERROR(FILTER({'新規'!$E$2:$F142, '新規'!$O$2:$P142}, ('新規'!$A$2:$A142=G$1)*('新規'!$B$2:$B142=hour)),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"""")"),"自己PR不要_リモート未経験_事務")</f>
        <v>自己PR不要_リモート未経験_事務</v>
      </c>
      <c r="H43" s="8">
        <f>IFERROR(__xludf.DUMMYFUNCTION("""COMPUTED_VALUE"""),2.5)</f>
        <v>2.5</v>
      </c>
      <c r="I43" s="8" t="str">
        <f>IFERROR(__xludf.DUMMYFUNCTION("""COMPUTED_VALUE"""),"R")</f>
        <v>R</v>
      </c>
      <c r="J43" s="8"/>
      <c r="K43" s="8">
        <f>SUM(H43:H52)</f>
        <v>6.7</v>
      </c>
      <c r="L43" s="10" t="str">
        <f>IFERROR(__xludf.DUMMYFUNCTION("IFERROR(LET(
  day, TEXT(L$1, ""ddd""),
  hour, LOOKUP(2, 1/($A43&lt;&gt;""""), $A43),
  type_A, $A$1,
  list_data, IFERROR(FILTER({'リスト'!$E$4:$F142, 'リスト'!$O$4:$P142}, ('リスト'!$A$4:$A142=day)*('リスト'!$B$4:$B142=hour)*(('リスト'!$G$4:$G142=""毎週配信"")+('リスト'!$G$4:$G14"&amp;"2=type_A))), {"""","""","""",""""}),
  new_data, IFERROR(FILTER({'新規'!$E$2:$F142, '新規'!$O$2:$P142}, ('新規'!$A$2:$A142=L$1)*('新規'!$B$2:$B142=hour)),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"""")"),"応募ランキング B")</f>
        <v>応募ランキング B</v>
      </c>
      <c r="M43" s="8">
        <f>IFERROR(__xludf.DUMMYFUNCTION("""COMPUTED_VALUE"""),3.5)</f>
        <v>3.5</v>
      </c>
      <c r="N43" s="8" t="str">
        <f>IFERROR(__xludf.DUMMYFUNCTION("""COMPUTED_VALUE"""),"R")</f>
        <v>R</v>
      </c>
      <c r="O43" s="8"/>
      <c r="P43" s="8">
        <f>SUM(M43:M52)</f>
        <v>8.3</v>
      </c>
      <c r="Q43" s="10" t="str">
        <f>IFERROR(__xludf.DUMMYFUNCTION("IFERROR(LET(
  day, TEXT(Q$1, ""ddd""),
  hour, LOOKUP(2, 1/($A43&lt;&gt;""""), $A43),
  type_A, $A$1,
  list_data, IFERROR(FILTER({'リスト'!$E$4:$F142, 'リスト'!$O$4:$P142}, ('リスト'!$A$4:$A142=day)*('リスト'!$B$4:$B142=hour)*(('リスト'!$G$4:$G142=""毎週配信"")+('リスト'!$G$4:$G14"&amp;"2=type_A))), {"""","""","""",""""}),
  new_data, IFERROR(FILTER({'新規'!$E$2:$F142, '新規'!$O$2:$P142}, ('新規'!$A$2:$A142=Q$1)*('新規'!$B$2:$B142=hour)),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"""")"),"★新着総合_首都圏 B")</f>
        <v>★新着総合_首都圏 B</v>
      </c>
      <c r="R43" s="8">
        <f>IFERROR(__xludf.DUMMYFUNCTION("""COMPUTED_VALUE"""),5.0)</f>
        <v>5</v>
      </c>
      <c r="S43" s="8" t="str">
        <f>IFERROR(__xludf.DUMMYFUNCTION("""COMPUTED_VALUE"""),"荒")</f>
        <v>荒</v>
      </c>
      <c r="T43" s="8" t="str">
        <f>IFERROR(__xludf.DUMMYFUNCTION("""COMPUTED_VALUE"""),"平")</f>
        <v>平</v>
      </c>
      <c r="U43" s="8">
        <f>SUM(R43:R52)</f>
        <v>10.4</v>
      </c>
      <c r="V43" s="10" t="str">
        <f>IFERROR(__xludf.DUMMYFUNCTION("IFERROR(LET(
  day, TEXT(V$1, ""ddd""),
  hour, LOOKUP(2, 1/($A43&lt;&gt;""""), $A43),
  type_A, $A$1,
  list_data, IFERROR(FILTER({'リスト'!$E$4:$F142, 'リスト'!$O$4:$P142}, ('リスト'!$A$4:$A142=day)*('リスト'!$B$4:$B142=hour)*(('リスト'!$G$4:$G142=""毎週配信"")+('リスト'!$G$4:$G14"&amp;"2=type_A))), {"""","""","""",""""}),
  new_data, IFERROR(FILTER({'新規'!$E$2:$F142, '新規'!$O$2:$P142}, ('新規'!$A$2:$A142=V$1)*('新規'!$B$2:$B142=hour)),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"""")"),"高層ビルで働く_首都圏")</f>
        <v>高層ビルで働く_首都圏</v>
      </c>
      <c r="W43" s="8">
        <f>IFERROR(__xludf.DUMMYFUNCTION("""COMPUTED_VALUE"""),1.6)</f>
        <v>1.6</v>
      </c>
      <c r="X43" s="8" t="str">
        <f>IFERROR(__xludf.DUMMYFUNCTION("""COMPUTED_VALUE"""),"部")</f>
        <v>部</v>
      </c>
      <c r="Y43" s="8" t="str">
        <f>IFERROR(__xludf.DUMMYFUNCTION("""COMPUTED_VALUE"""),"石")</f>
        <v>石</v>
      </c>
      <c r="Z43" s="8">
        <f>SUM(W43:W52)</f>
        <v>3.1</v>
      </c>
      <c r="AA43" s="10" t="str">
        <f>IFERROR(__xludf.DUMMYFUNCTION("IFERROR(LET(
  day, TEXT(AA$1, ""ddd""),
  hour, LOOKUP(2, 1/($A43&lt;&gt;""""), $A43),
  type_A, $A$1,
  list_data, IFERROR(FILTER({'リスト'!$E$4:$F142, 'リスト'!$O$4:$P142}, ('リスト'!$A$4:$A142=day)*('リスト'!$B$4:$B142=hour)*(('リスト'!$G$4:$G142=""毎週配信"")+('リスト'!$G$4:$G1"&amp;"42=type_A))), {"""","""","""",""""}),
  new_data, IFERROR(FILTER({'新規'!$E$2:$F142, '新規'!$O$2:$P142}, ('新規'!$A$2:$A142=AA$1)*('新規'!$B$2:$B142=hour)),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"""")"),"★ウキポリ[全]")</f>
        <v>★ウキポリ[全]</v>
      </c>
      <c r="AB43" s="8">
        <f>IFERROR(__xludf.DUMMYFUNCTION("""COMPUTED_VALUE"""),10.0)</f>
        <v>10</v>
      </c>
      <c r="AC43" s="8" t="str">
        <f>IFERROR(__xludf.DUMMYFUNCTION("""COMPUTED_VALUE"""),"平")</f>
        <v>平</v>
      </c>
      <c r="AD43" s="8" t="str">
        <f>IFERROR(__xludf.DUMMYFUNCTION("""COMPUTED_VALUE"""),"荒")</f>
        <v>荒</v>
      </c>
      <c r="AE43" s="8">
        <f>SUM(AB43:AB52)</f>
        <v>10</v>
      </c>
      <c r="AF43" s="10" t="str">
        <f>IFERROR(__xludf.DUMMYFUNCTION("IFERROR(LET(
  day, TEXT(AF$1, ""ddd""),
  hour, LOOKUP(2, 1/($A43&lt;&gt;""""), $A43),
  type_A, $A$1,
  list_data, IFERROR(FILTER({'リスト'!$E$4:$F142, 'リスト'!$O$4:$P142}, ('リスト'!$A$4:$A142=day)*('リスト'!$B$4:$B142=hour)*(('リスト'!$G$4:$G142=""毎週配信"")+('リスト'!$G$4:$G1"&amp;"42=type_A))), {"""","""","""",""""}),
  new_data, IFERROR(FILTER({'新規'!$E$2:$F142, '新規'!$O$2:$P142}, ('新規'!$A$2:$A142=AF$1)*('新規'!$B$2:$B142=hour)),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"""")"),"未経験OK_専門性の高い事務")</f>
        <v>未経験OK_専門性の高い事務</v>
      </c>
      <c r="AG43" s="8">
        <f>IFERROR(__xludf.DUMMYFUNCTION("""COMPUTED_VALUE"""),1.4)</f>
        <v>1.4</v>
      </c>
      <c r="AH43" s="8" t="str">
        <f>IFERROR(__xludf.DUMMYFUNCTION("""COMPUTED_VALUE"""),"部")</f>
        <v>部</v>
      </c>
      <c r="AI43" s="8" t="str">
        <f>IFERROR(__xludf.DUMMYFUNCTION("""COMPUTED_VALUE"""),"石")</f>
        <v>石</v>
      </c>
      <c r="AJ43" s="8">
        <f>SUM(AG43:AG52)</f>
        <v>8.4</v>
      </c>
    </row>
    <row r="44" ht="17.25" customHeight="1">
      <c r="A44" s="11"/>
      <c r="B44" s="10" t="str">
        <f>IFERROR(__xludf.DUMMYFUNCTION("""COMPUTED_VALUE"""),"★新着総合_西日本 A")</f>
        <v>★新着総合_西日本 A</v>
      </c>
      <c r="C44" s="8">
        <f>IFERROR(__xludf.DUMMYFUNCTION("""COMPUTED_VALUE"""),2.9)</f>
        <v>2.9</v>
      </c>
      <c r="D44" s="8" t="str">
        <f>IFERROR(__xludf.DUMMYFUNCTION("""COMPUTED_VALUE"""),"荒")</f>
        <v>荒</v>
      </c>
      <c r="E44" s="8" t="str">
        <f>IFERROR(__xludf.DUMMYFUNCTION("""COMPUTED_VALUE"""),"平")</f>
        <v>平</v>
      </c>
      <c r="F44" s="8"/>
      <c r="G44" s="10" t="str">
        <f>IFERROR(__xludf.DUMMYFUNCTION("""COMPUTED_VALUE"""),"自己PR不要_リモート未経験_営業")</f>
        <v>自己PR不要_リモート未経験_営業</v>
      </c>
      <c r="H44" s="8">
        <f>IFERROR(__xludf.DUMMYFUNCTION("""COMPUTED_VALUE"""),0.3)</f>
        <v>0.3</v>
      </c>
      <c r="I44" s="8" t="str">
        <f>IFERROR(__xludf.DUMMYFUNCTION("""COMPUTED_VALUE"""),"R")</f>
        <v>R</v>
      </c>
      <c r="J44" s="8"/>
      <c r="K44" s="8"/>
      <c r="L44" s="10" t="str">
        <f>IFERROR(__xludf.DUMMYFUNCTION("""COMPUTED_VALUE"""),"応募ランキングB_全国")</f>
        <v>応募ランキングB_全国</v>
      </c>
      <c r="M44" s="8">
        <f>IFERROR(__xludf.DUMMYFUNCTION("""COMPUTED_VALUE"""),3.4)</f>
        <v>3.4</v>
      </c>
      <c r="N44" s="8" t="str">
        <f>IFERROR(__xludf.DUMMYFUNCTION("""COMPUTED_VALUE"""),"R")</f>
        <v>R</v>
      </c>
      <c r="O44" s="8"/>
      <c r="P44" s="8"/>
      <c r="Q44" s="10" t="str">
        <f>IFERROR(__xludf.DUMMYFUNCTION("""COMPUTED_VALUE"""),"★新着総合_西日本 B")</f>
        <v>★新着総合_西日本 B</v>
      </c>
      <c r="R44" s="8">
        <f>IFERROR(__xludf.DUMMYFUNCTION("""COMPUTED_VALUE"""),2.9)</f>
        <v>2.9</v>
      </c>
      <c r="S44" s="8" t="str">
        <f>IFERROR(__xludf.DUMMYFUNCTION("""COMPUTED_VALUE"""),"荒")</f>
        <v>荒</v>
      </c>
      <c r="T44" s="8" t="str">
        <f>IFERROR(__xludf.DUMMYFUNCTION("""COMPUTED_VALUE"""),"平")</f>
        <v>平</v>
      </c>
      <c r="U44" s="8"/>
      <c r="V44" s="10" t="str">
        <f>IFERROR(__xludf.DUMMYFUNCTION("""COMPUTED_VALUE"""),"高層ビルで働く_大阪")</f>
        <v>高層ビルで働く_大阪</v>
      </c>
      <c r="W44" s="8">
        <f>IFERROR(__xludf.DUMMYFUNCTION("""COMPUTED_VALUE"""),0.5)</f>
        <v>0.5</v>
      </c>
      <c r="X44" s="8" t="str">
        <f>IFERROR(__xludf.DUMMYFUNCTION("""COMPUTED_VALUE"""),"部")</f>
        <v>部</v>
      </c>
      <c r="Y44" s="8" t="str">
        <f>IFERROR(__xludf.DUMMYFUNCTION("""COMPUTED_VALUE"""),"石")</f>
        <v>石</v>
      </c>
      <c r="Z44" s="8"/>
      <c r="AA44" s="10"/>
      <c r="AB44" s="8"/>
      <c r="AC44" s="8"/>
      <c r="AD44" s="8"/>
      <c r="AE44" s="8"/>
      <c r="AF44" s="10" t="str">
        <f>IFERROR(__xludf.DUMMYFUNCTION("""COMPUTED_VALUE"""),"★納品対策")</f>
        <v>★納品対策</v>
      </c>
      <c r="AG44" s="8">
        <f>IFERROR(__xludf.DUMMYFUNCTION("""COMPUTED_VALUE"""),7.0)</f>
        <v>7</v>
      </c>
      <c r="AH44" s="8" t="str">
        <f>IFERROR(__xludf.DUMMYFUNCTION("""COMPUTED_VALUE"""),"平")</f>
        <v>平</v>
      </c>
      <c r="AI44" s="8" t="str">
        <f>IFERROR(__xludf.DUMMYFUNCTION("""COMPUTED_VALUE"""),"荒")</f>
        <v>荒</v>
      </c>
      <c r="AJ44" s="8"/>
    </row>
    <row r="45" ht="17.25" customHeight="1">
      <c r="A45" s="11"/>
      <c r="B45" s="10" t="str">
        <f>IFERROR(__xludf.DUMMYFUNCTION("""COMPUTED_VALUE"""),"★新着総合_東海 A")</f>
        <v>★新着総合_東海 A</v>
      </c>
      <c r="C45" s="8">
        <f>IFERROR(__xludf.DUMMYFUNCTION("""COMPUTED_VALUE"""),1.0)</f>
        <v>1</v>
      </c>
      <c r="D45" s="8" t="str">
        <f>IFERROR(__xludf.DUMMYFUNCTION("""COMPUTED_VALUE"""),"荒")</f>
        <v>荒</v>
      </c>
      <c r="E45" s="8" t="str">
        <f>IFERROR(__xludf.DUMMYFUNCTION("""COMPUTED_VALUE"""),"平")</f>
        <v>平</v>
      </c>
      <c r="F45" s="8"/>
      <c r="G45" s="10" t="str">
        <f>IFERROR(__xludf.DUMMYFUNCTION("""COMPUTED_VALUE"""),"自己PR不要_残業無_未経験_販サ")</f>
        <v>自己PR不要_残業無_未経験_販サ</v>
      </c>
      <c r="H45" s="8">
        <f>IFERROR(__xludf.DUMMYFUNCTION("""COMPUTED_VALUE"""),0.3)</f>
        <v>0.3</v>
      </c>
      <c r="I45" s="8" t="str">
        <f>IFERROR(__xludf.DUMMYFUNCTION("""COMPUTED_VALUE"""),"R")</f>
        <v>R</v>
      </c>
      <c r="J45" s="8"/>
      <c r="K45" s="8"/>
      <c r="L45" s="10" t="str">
        <f>IFERROR(__xludf.DUMMYFUNCTION("""COMPUTED_VALUE"""),"丸の内・大手町・有楽町_残業少_事務 ")</f>
        <v>丸の内・大手町・有楽町_残業少_事務 </v>
      </c>
      <c r="M45" s="8">
        <f>IFERROR(__xludf.DUMMYFUNCTION("""COMPUTED_VALUE"""),0.9)</f>
        <v>0.9</v>
      </c>
      <c r="N45" s="8" t="str">
        <f>IFERROR(__xludf.DUMMYFUNCTION("""COMPUTED_VALUE"""),"R")</f>
        <v>R</v>
      </c>
      <c r="O45" s="8"/>
      <c r="P45" s="8"/>
      <c r="Q45" s="10" t="str">
        <f>IFERROR(__xludf.DUMMYFUNCTION("""COMPUTED_VALUE"""),"★新着総合_東海 B")</f>
        <v>★新着総合_東海 B</v>
      </c>
      <c r="R45" s="8">
        <f>IFERROR(__xludf.DUMMYFUNCTION("""COMPUTED_VALUE"""),1.0)</f>
        <v>1</v>
      </c>
      <c r="S45" s="8" t="str">
        <f>IFERROR(__xludf.DUMMYFUNCTION("""COMPUTED_VALUE"""),"荒")</f>
        <v>荒</v>
      </c>
      <c r="T45" s="8" t="str">
        <f>IFERROR(__xludf.DUMMYFUNCTION("""COMPUTED_VALUE"""),"平")</f>
        <v>平</v>
      </c>
      <c r="U45" s="8"/>
      <c r="V45" s="10" t="str">
        <f>IFERROR(__xludf.DUMMYFUNCTION("""COMPUTED_VALUE"""),"趣味・興味メルマガ_B")</f>
        <v>趣味・興味メルマガ_B</v>
      </c>
      <c r="W45" s="8">
        <f>IFERROR(__xludf.DUMMYFUNCTION("""COMPUTED_VALUE"""),1.0)</f>
        <v>1</v>
      </c>
      <c r="X45" s="8" t="str">
        <f>IFERROR(__xludf.DUMMYFUNCTION("""COMPUTED_VALUE"""),"R")</f>
        <v>R</v>
      </c>
      <c r="Y45" s="8"/>
      <c r="Z45" s="8"/>
      <c r="AA45" s="10"/>
      <c r="AB45" s="8"/>
      <c r="AC45" s="8"/>
      <c r="AD45" s="8"/>
      <c r="AE45" s="8"/>
      <c r="AF45" s="10"/>
      <c r="AG45" s="8"/>
      <c r="AH45" s="8"/>
      <c r="AI45" s="8"/>
      <c r="AJ45" s="8"/>
    </row>
    <row r="46" ht="17.25" customHeight="1">
      <c r="A46" s="11"/>
      <c r="B46" s="12" t="str">
        <f>IFERROR(__xludf.DUMMYFUNCTION("""COMPUTED_VALUE"""),"★新着総合_北海道・東北 A")</f>
        <v>★新着総合_北海道・東北 A</v>
      </c>
      <c r="C46" s="8">
        <f>IFERROR(__xludf.DUMMYFUNCTION("""COMPUTED_VALUE"""),0.8)</f>
        <v>0.8</v>
      </c>
      <c r="D46" s="8" t="str">
        <f>IFERROR(__xludf.DUMMYFUNCTION("""COMPUTED_VALUE"""),"荒")</f>
        <v>荒</v>
      </c>
      <c r="E46" s="8" t="str">
        <f>IFERROR(__xludf.DUMMYFUNCTION("""COMPUTED_VALUE"""),"平")</f>
        <v>平</v>
      </c>
      <c r="F46" s="8"/>
      <c r="G46" s="12" t="str">
        <f>IFERROR(__xludf.DUMMYFUNCTION("""COMPUTED_VALUE"""),"自己PR不要_リモート未経験_エンジニア")</f>
        <v>自己PR不要_リモート未経験_エンジニア</v>
      </c>
      <c r="H46" s="8">
        <f>IFERROR(__xludf.DUMMYFUNCTION("""COMPUTED_VALUE"""),0.2)</f>
        <v>0.2</v>
      </c>
      <c r="I46" s="8" t="str">
        <f>IFERROR(__xludf.DUMMYFUNCTION("""COMPUTED_VALUE"""),"R")</f>
        <v>R</v>
      </c>
      <c r="J46" s="8"/>
      <c r="K46" s="8"/>
      <c r="L46" s="12" t="str">
        <f>IFERROR(__xludf.DUMMYFUNCTION("""COMPUTED_VALUE"""),"資格活かせる_簿記")</f>
        <v>資格活かせる_簿記</v>
      </c>
      <c r="M46" s="8">
        <f>IFERROR(__xludf.DUMMYFUNCTION("""COMPUTED_VALUE"""),0.3)</f>
        <v>0.3</v>
      </c>
      <c r="N46" s="8" t="str">
        <f>IFERROR(__xludf.DUMMYFUNCTION("""COMPUTED_VALUE"""),"R")</f>
        <v>R</v>
      </c>
      <c r="O46" s="8"/>
      <c r="P46" s="8"/>
      <c r="Q46" s="12" t="str">
        <f>IFERROR(__xludf.DUMMYFUNCTION("""COMPUTED_VALUE"""),"★新着総合_北海道・東北 B")</f>
        <v>★新着総合_北海道・東北 B</v>
      </c>
      <c r="R46" s="8">
        <f>IFERROR(__xludf.DUMMYFUNCTION("""COMPUTED_VALUE"""),0.8)</f>
        <v>0.8</v>
      </c>
      <c r="S46" s="8" t="str">
        <f>IFERROR(__xludf.DUMMYFUNCTION("""COMPUTED_VALUE"""),"荒")</f>
        <v>荒</v>
      </c>
      <c r="T46" s="8" t="str">
        <f>IFERROR(__xludf.DUMMYFUNCTION("""COMPUTED_VALUE"""),"平")</f>
        <v>平</v>
      </c>
      <c r="U46" s="8"/>
      <c r="V46" s="12"/>
      <c r="W46" s="8"/>
      <c r="X46" s="8"/>
      <c r="Y46" s="8"/>
      <c r="Z46" s="8"/>
      <c r="AA46" s="12"/>
      <c r="AB46" s="8"/>
      <c r="AC46" s="8"/>
      <c r="AD46" s="8"/>
      <c r="AE46" s="8"/>
      <c r="AF46" s="12"/>
      <c r="AG46" s="8"/>
      <c r="AH46" s="8"/>
      <c r="AI46" s="8"/>
      <c r="AJ46" s="8"/>
    </row>
    <row r="47" ht="17.25" customHeight="1">
      <c r="A47" s="11"/>
      <c r="B47" s="13" t="str">
        <f>IFERROR(__xludf.DUMMYFUNCTION("""COMPUTED_VALUE"""),"★新着総合_北関東・甲信越・北陸 A")</f>
        <v>★新着総合_北関東・甲信越・北陸 A</v>
      </c>
      <c r="C47" s="8">
        <f>IFERROR(__xludf.DUMMYFUNCTION("""COMPUTED_VALUE"""),0.7)</f>
        <v>0.7</v>
      </c>
      <c r="D47" s="8" t="str">
        <f>IFERROR(__xludf.DUMMYFUNCTION("""COMPUTED_VALUE"""),"荒")</f>
        <v>荒</v>
      </c>
      <c r="E47" s="8" t="str">
        <f>IFERROR(__xludf.DUMMYFUNCTION("""COMPUTED_VALUE"""),"平")</f>
        <v>平</v>
      </c>
      <c r="F47" s="8"/>
      <c r="G47" s="13" t="str">
        <f>IFERROR(__xludf.DUMMYFUNCTION("""COMPUTED_VALUE"""),"休日120日_就業中_関西")</f>
        <v>休日120日_就業中_関西</v>
      </c>
      <c r="H47" s="8">
        <f>IFERROR(__xludf.DUMMYFUNCTION("""COMPUTED_VALUE"""),0.7)</f>
        <v>0.7</v>
      </c>
      <c r="I47" s="8" t="str">
        <f>IFERROR(__xludf.DUMMYFUNCTION("""COMPUTED_VALUE"""),"R")</f>
        <v>R</v>
      </c>
      <c r="J47" s="8"/>
      <c r="K47" s="8"/>
      <c r="L47" s="13" t="str">
        <f>IFERROR(__xludf.DUMMYFUNCTION("""COMPUTED_VALUE"""),"新規会員向け_自己PR不要_求人特集")</f>
        <v>新規会員向け_自己PR不要_求人特集</v>
      </c>
      <c r="M47" s="8">
        <f>IFERROR(__xludf.DUMMYFUNCTION("""COMPUTED_VALUE"""),0.2)</f>
        <v>0.2</v>
      </c>
      <c r="N47" s="8" t="str">
        <f>IFERROR(__xludf.DUMMYFUNCTION("""COMPUTED_VALUE"""),"R")</f>
        <v>R</v>
      </c>
      <c r="O47" s="8"/>
      <c r="P47" s="8"/>
      <c r="Q47" s="13" t="str">
        <f>IFERROR(__xludf.DUMMYFUNCTION("""COMPUTED_VALUE"""),"★新着総合_北関東・甲信越・北陸 B")</f>
        <v>★新着総合_北関東・甲信越・北陸 B</v>
      </c>
      <c r="R47" s="8">
        <f>IFERROR(__xludf.DUMMYFUNCTION("""COMPUTED_VALUE"""),0.7)</f>
        <v>0.7</v>
      </c>
      <c r="S47" s="8" t="str">
        <f>IFERROR(__xludf.DUMMYFUNCTION("""COMPUTED_VALUE"""),"荒")</f>
        <v>荒</v>
      </c>
      <c r="T47" s="8" t="str">
        <f>IFERROR(__xludf.DUMMYFUNCTION("""COMPUTED_VALUE"""),"平")</f>
        <v>平</v>
      </c>
      <c r="U47" s="8"/>
      <c r="V47" s="13"/>
      <c r="W47" s="8"/>
      <c r="X47" s="8"/>
      <c r="Y47" s="8"/>
      <c r="Z47" s="8"/>
      <c r="AA47" s="13"/>
      <c r="AB47" s="8"/>
      <c r="AC47" s="8"/>
      <c r="AD47" s="8"/>
      <c r="AE47" s="8"/>
      <c r="AF47" s="13"/>
      <c r="AG47" s="8"/>
      <c r="AH47" s="8"/>
      <c r="AI47" s="8"/>
      <c r="AJ47" s="8"/>
    </row>
    <row r="48" ht="17.25" customHeight="1">
      <c r="A48" s="11"/>
      <c r="B48" s="13"/>
      <c r="C48" s="8"/>
      <c r="D48" s="8"/>
      <c r="E48" s="8"/>
      <c r="F48" s="8"/>
      <c r="G48" s="13" t="str">
        <f>IFERROR(__xludf.DUMMYFUNCTION("""COMPUTED_VALUE"""),"休日120日_未就業")</f>
        <v>休日120日_未就業</v>
      </c>
      <c r="H48" s="8">
        <f>IFERROR(__xludf.DUMMYFUNCTION("""COMPUTED_VALUE"""),0.7)</f>
        <v>0.7</v>
      </c>
      <c r="I48" s="8" t="str">
        <f>IFERROR(__xludf.DUMMYFUNCTION("""COMPUTED_VALUE"""),"R")</f>
        <v>R</v>
      </c>
      <c r="J48" s="8"/>
      <c r="K48" s="8"/>
      <c r="L48" s="13"/>
      <c r="M48" s="8"/>
      <c r="N48" s="8"/>
      <c r="O48" s="8"/>
      <c r="P48" s="8"/>
      <c r="Q48" s="13"/>
      <c r="R48" s="8"/>
      <c r="S48" s="8"/>
      <c r="T48" s="8"/>
      <c r="U48" s="8"/>
      <c r="V48" s="13"/>
      <c r="W48" s="8"/>
      <c r="X48" s="8"/>
      <c r="Y48" s="8"/>
      <c r="Z48" s="8"/>
      <c r="AA48" s="13"/>
      <c r="AB48" s="8"/>
      <c r="AC48" s="8"/>
      <c r="AD48" s="8"/>
      <c r="AE48" s="8"/>
      <c r="AF48" s="13"/>
      <c r="AG48" s="8"/>
      <c r="AH48" s="8"/>
      <c r="AI48" s="8"/>
      <c r="AJ48" s="8"/>
    </row>
    <row r="49" ht="17.25" customHeight="1">
      <c r="A49" s="11"/>
      <c r="B49" s="13"/>
      <c r="C49" s="8"/>
      <c r="D49" s="8"/>
      <c r="E49" s="8"/>
      <c r="F49" s="8"/>
      <c r="G49" s="13" t="str">
        <f>IFERROR(__xludf.DUMMYFUNCTION("""COMPUTED_VALUE"""),"5月入社可能")</f>
        <v>5月入社可能</v>
      </c>
      <c r="H49" s="8">
        <f>IFERROR(__xludf.DUMMYFUNCTION("""COMPUTED_VALUE"""),2.0)</f>
        <v>2</v>
      </c>
      <c r="I49" s="8" t="str">
        <f>IFERROR(__xludf.DUMMYFUNCTION("""COMPUTED_VALUE"""),"石")</f>
        <v>石</v>
      </c>
      <c r="J49" s="8" t="str">
        <f>IFERROR(__xludf.DUMMYFUNCTION("""COMPUTED_VALUE"""),"部")</f>
        <v>部</v>
      </c>
      <c r="K49" s="8"/>
      <c r="L49" s="13"/>
      <c r="M49" s="8"/>
      <c r="N49" s="8"/>
      <c r="O49" s="8"/>
      <c r="P49" s="8"/>
      <c r="Q49" s="13"/>
      <c r="R49" s="8"/>
      <c r="S49" s="8"/>
      <c r="T49" s="8"/>
      <c r="U49" s="8"/>
      <c r="V49" s="13"/>
      <c r="W49" s="8"/>
      <c r="X49" s="8"/>
      <c r="Y49" s="8"/>
      <c r="Z49" s="8"/>
      <c r="AA49" s="13"/>
      <c r="AB49" s="8"/>
      <c r="AC49" s="8"/>
      <c r="AD49" s="8"/>
      <c r="AE49" s="8"/>
      <c r="AF49" s="13"/>
      <c r="AG49" s="8"/>
      <c r="AH49" s="8"/>
      <c r="AI49" s="8"/>
      <c r="AJ49" s="8"/>
    </row>
    <row r="50" ht="17.25" customHeight="1">
      <c r="A50" s="11"/>
      <c r="B50" s="13"/>
      <c r="C50" s="8"/>
      <c r="D50" s="8"/>
      <c r="E50" s="8"/>
      <c r="F50" s="8"/>
      <c r="G50" s="13"/>
      <c r="H50" s="8"/>
      <c r="I50" s="8"/>
      <c r="J50" s="8"/>
      <c r="K50" s="8"/>
      <c r="L50" s="13"/>
      <c r="M50" s="8"/>
      <c r="N50" s="8"/>
      <c r="O50" s="8"/>
      <c r="P50" s="8"/>
      <c r="Q50" s="13"/>
      <c r="R50" s="8"/>
      <c r="S50" s="8"/>
      <c r="T50" s="8"/>
      <c r="U50" s="8"/>
      <c r="V50" s="13"/>
      <c r="W50" s="8"/>
      <c r="X50" s="8"/>
      <c r="Y50" s="8"/>
      <c r="Z50" s="8"/>
      <c r="AA50" s="13"/>
      <c r="AB50" s="8"/>
      <c r="AC50" s="8"/>
      <c r="AD50" s="8"/>
      <c r="AE50" s="8"/>
      <c r="AF50" s="13"/>
      <c r="AG50" s="8"/>
      <c r="AH50" s="8"/>
      <c r="AI50" s="8"/>
      <c r="AJ50" s="8"/>
    </row>
    <row r="51" ht="17.25" customHeight="1">
      <c r="A51" s="11"/>
      <c r="B51" s="13"/>
      <c r="C51" s="8"/>
      <c r="D51" s="8"/>
      <c r="E51" s="8"/>
      <c r="F51" s="8"/>
      <c r="G51" s="13"/>
      <c r="H51" s="8"/>
      <c r="I51" s="8"/>
      <c r="J51" s="8"/>
      <c r="K51" s="8"/>
      <c r="L51" s="13"/>
      <c r="M51" s="8"/>
      <c r="N51" s="8"/>
      <c r="O51" s="8"/>
      <c r="P51" s="8"/>
      <c r="Q51" s="13"/>
      <c r="R51" s="8"/>
      <c r="S51" s="8"/>
      <c r="T51" s="8"/>
      <c r="U51" s="8"/>
      <c r="V51" s="13"/>
      <c r="W51" s="8"/>
      <c r="X51" s="8"/>
      <c r="Y51" s="8"/>
      <c r="Z51" s="8"/>
      <c r="AA51" s="13"/>
      <c r="AB51" s="8"/>
      <c r="AC51" s="8"/>
      <c r="AD51" s="8"/>
      <c r="AE51" s="8"/>
      <c r="AF51" s="13"/>
      <c r="AG51" s="8"/>
      <c r="AH51" s="8"/>
      <c r="AI51" s="8"/>
      <c r="AJ51" s="8"/>
    </row>
    <row r="52" ht="17.25" customHeight="1">
      <c r="A52" s="11"/>
      <c r="B52" s="13"/>
      <c r="C52" s="8"/>
      <c r="D52" s="8"/>
      <c r="E52" s="8"/>
      <c r="F52" s="8"/>
      <c r="G52" s="13"/>
      <c r="H52" s="8"/>
      <c r="I52" s="8"/>
      <c r="J52" s="8"/>
      <c r="K52" s="8"/>
      <c r="L52" s="13"/>
      <c r="M52" s="8"/>
      <c r="N52" s="8"/>
      <c r="O52" s="8"/>
      <c r="P52" s="8"/>
      <c r="Q52" s="13"/>
      <c r="R52" s="8"/>
      <c r="S52" s="8"/>
      <c r="T52" s="8"/>
      <c r="U52" s="8"/>
      <c r="V52" s="13"/>
      <c r="W52" s="8"/>
      <c r="X52" s="8"/>
      <c r="Y52" s="8"/>
      <c r="Z52" s="8"/>
      <c r="AA52" s="13"/>
      <c r="AB52" s="8"/>
      <c r="AC52" s="8"/>
      <c r="AD52" s="8"/>
      <c r="AE52" s="8"/>
      <c r="AF52" s="13"/>
      <c r="AG52" s="8"/>
      <c r="AH52" s="8"/>
      <c r="AI52" s="8"/>
      <c r="AJ52" s="8"/>
    </row>
    <row r="53" ht="17.25" customHeight="1">
      <c r="A53" s="9">
        <f>A43+1</f>
        <v>13</v>
      </c>
      <c r="B53" s="10" t="str">
        <f>IFERROR(__xludf.DUMMYFUNCTION("IFERROR(LET(
  day, TEXT(B$1, ""ddd""),
  hour, LOOKUP(2, 1/($A53&lt;&gt;""""), $A53),
  type_A, $A$1,
  list_data, IFERROR(FILTER({'リスト'!$E$4:$F142, 'リスト'!$O$4:$P142}, ('リスト'!$A$4:$A142=day)*('リスト'!$B$4:$B142=hour)*(('リスト'!$G$4:$G142=""毎週配信"")+('リスト'!$G$4:$G14"&amp;"2=type_A))), {"""","""","""",""""}),
  new_data, IFERROR(FILTER({'新規'!$E$2:$F142, '新規'!$O$2:$P142}, ('新規'!$A$2:$A142=B$1)*('新規'!$B$2:$B142=hour)),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f>
        <v/>
      </c>
      <c r="C53" s="8"/>
      <c r="D53" s="8"/>
      <c r="E53" s="8"/>
      <c r="F53" s="8">
        <f>SUM(C53:C62)</f>
        <v>0</v>
      </c>
      <c r="G53" s="10" t="str">
        <f>IFERROR(__xludf.DUMMYFUNCTION("IFERROR(LET(
  day, TEXT(G$1, ""ddd""),
  hour, LOOKUP(2, 1/($A53&lt;&gt;""""), $A53),
  type_A, $A$1,
  list_data, IFERROR(FILTER({'リスト'!$E$4:$F142, 'リスト'!$O$4:$P142}, ('リスト'!$A$4:$A142=day)*('リスト'!$B$4:$B142=hour)*(('リスト'!$G$4:$G142=""毎週配信"")+('リスト'!$G$4:$G14"&amp;"2=type_A))), {"""","""","""",""""}),
  new_data, IFERROR(FILTER({'新規'!$E$2:$F142, '新規'!$O$2:$P142}, ('新規'!$A$2:$A142=G$1)*('新規'!$B$2:$B142=hour)),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"""")"),"◇掲載終了前+UP A")</f>
        <v>◇掲載終了前+UP A</v>
      </c>
      <c r="H53" s="8">
        <f>IFERROR(__xludf.DUMMYFUNCTION("""COMPUTED_VALUE"""),2.5)</f>
        <v>2.5</v>
      </c>
      <c r="I53" s="8" t="str">
        <f>IFERROR(__xludf.DUMMYFUNCTION("""COMPUTED_VALUE"""),"平")</f>
        <v>平</v>
      </c>
      <c r="J53" s="8" t="str">
        <f>IFERROR(__xludf.DUMMYFUNCTION("""COMPUTED_VALUE"""),"内")</f>
        <v>内</v>
      </c>
      <c r="K53" s="8">
        <f>SUM(H53:H62)</f>
        <v>4.9</v>
      </c>
      <c r="L53" s="10" t="str">
        <f>IFERROR(__xludf.DUMMYFUNCTION("IFERROR(LET(
  day, TEXT(L$1, ""ddd""),
  hour, LOOKUP(2, 1/($A53&lt;&gt;""""), $A53),
  type_A, $A$1,
  list_data, IFERROR(FILTER({'リスト'!$E$4:$F142, 'リスト'!$O$4:$P142}, ('リスト'!$A$4:$A142=day)*('リスト'!$B$4:$B142=hour)*(('リスト'!$G$4:$G142=""毎週配信"")+('リスト'!$G$4:$G14"&amp;"2=type_A))), {"""","""","""",""""}),
  new_data, IFERROR(FILTER({'新規'!$E$2:$F142, '新規'!$O$2:$P142}, ('新規'!$A$2:$A142=L$1)*('新規'!$B$2:$B142=hour)),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"""")"),"☆TP部_事務_現住所")</f>
        <v>☆TP部_事務_現住所</v>
      </c>
      <c r="M53" s="8">
        <f>IFERROR(__xludf.DUMMYFUNCTION("""COMPUTED_VALUE"""),2.4)</f>
        <v>2.4</v>
      </c>
      <c r="N53" s="8" t="str">
        <f>IFERROR(__xludf.DUMMYFUNCTION("""COMPUTED_VALUE"""),"部")</f>
        <v>部</v>
      </c>
      <c r="O53" s="8" t="str">
        <f>IFERROR(__xludf.DUMMYFUNCTION("""COMPUTED_VALUE"""),"石")</f>
        <v>石</v>
      </c>
      <c r="P53" s="8">
        <f>SUM(M53:M62)</f>
        <v>2.4</v>
      </c>
      <c r="Q53" s="10" t="str">
        <f>IFERROR(__xludf.DUMMYFUNCTION("IFERROR(LET(
  day, TEXT(Q$1, ""ddd""),
  hour, LOOKUP(2, 1/($A53&lt;&gt;""""), $A53),
  type_A, $A$1,
  list_data, IFERROR(FILTER({'リスト'!$E$4:$F142, 'リスト'!$O$4:$P142}, ('リスト'!$A$4:$A142=day)*('リスト'!$B$4:$B142=hour)*(('リスト'!$G$4:$G142=""毎週配信"")+('リスト'!$G$4:$G14"&amp;"2=type_A))), {"""","""","""",""""}),
  new_data, IFERROR(FILTER({'新規'!$E$2:$F142, '新規'!$O$2:$P142}, ('新規'!$A$2:$A142=Q$1)*('新規'!$B$2:$B142=hour)),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"""")"),"外部人気求人ランキング")</f>
        <v>外部人気求人ランキング</v>
      </c>
      <c r="R53" s="8">
        <f>IFERROR(__xludf.DUMMYFUNCTION("""COMPUTED_VALUE"""),1.4)</f>
        <v>1.4</v>
      </c>
      <c r="S53" s="8" t="str">
        <f>IFERROR(__xludf.DUMMYFUNCTION("""COMPUTED_VALUE"""),"石")</f>
        <v>石</v>
      </c>
      <c r="T53" s="8" t="str">
        <f>IFERROR(__xludf.DUMMYFUNCTION("""COMPUTED_VALUE"""),"部")</f>
        <v>部</v>
      </c>
      <c r="U53" s="8">
        <f>SUM(R53:R62)</f>
        <v>1.4</v>
      </c>
      <c r="V53" s="10" t="str">
        <f>IFERROR(__xludf.DUMMYFUNCTION("IFERROR(LET(
  day, TEXT(V$1, ""ddd""),
  hour, LOOKUP(2, 1/($A53&lt;&gt;""""), $A53),
  type_A, $A$1,
  list_data, IFERROR(FILTER({'リスト'!$E$4:$F142, 'リスト'!$O$4:$P142}, ('リスト'!$A$4:$A142=day)*('リスト'!$B$4:$B142=hour)*(('リスト'!$G$4:$G142=""毎週配信"")+('リスト'!$G$4:$G14"&amp;"2=type_A))), {"""","""","""",""""}),
  new_data, IFERROR(FILTER({'新規'!$E$2:$F142, '新規'!$O$2:$P142}, ('新規'!$A$2:$A142=V$1)*('新規'!$B$2:$B142=hour)),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"""")"),"ランキング_営業（キャリアカウンセラー）_希望")</f>
        <v>ランキング_営業（キャリアカウンセラー）_希望</v>
      </c>
      <c r="W53" s="8">
        <f>IFERROR(__xludf.DUMMYFUNCTION("""COMPUTED_VALUE"""),0.3)</f>
        <v>0.3</v>
      </c>
      <c r="X53" s="8" t="str">
        <f>IFERROR(__xludf.DUMMYFUNCTION("""COMPUTED_VALUE"""),"R")</f>
        <v>R</v>
      </c>
      <c r="Y53" s="8"/>
      <c r="Z53" s="8">
        <f>SUM(W53:W62)</f>
        <v>1.2</v>
      </c>
      <c r="AA53" s="10" t="str">
        <f>IFERROR(__xludf.DUMMYFUNCTION("IFERROR(LET(
  day, TEXT(AA$1, ""ddd""),
  hour, LOOKUP(2, 1/($A53&lt;&gt;""""), $A53),
  type_A, $A$1,
  list_data, IFERROR(FILTER({'リスト'!$E$4:$F142, 'リスト'!$O$4:$P142}, ('リスト'!$A$4:$A142=day)*('リスト'!$B$4:$B142=hour)*(('リスト'!$G$4:$G142=""毎週配信"")+('リスト'!$G$4:$G1"&amp;"42=type_A))), {"""","""","""",""""}),
  new_data, IFERROR(FILTER({'新規'!$E$2:$F142, '新規'!$O$2:$P142}, ('新規'!$A$2:$A142=AA$1)*('新規'!$B$2:$B142=hour)),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"""")"),"関西_フルリモート_求人特集")</f>
        <v>関西_フルリモート_求人特集</v>
      </c>
      <c r="AB53" s="8">
        <f>IFERROR(__xludf.DUMMYFUNCTION("""COMPUTED_VALUE"""),1.6)</f>
        <v>1.6</v>
      </c>
      <c r="AC53" s="8" t="str">
        <f>IFERROR(__xludf.DUMMYFUNCTION("""COMPUTED_VALUE"""),"部")</f>
        <v>部</v>
      </c>
      <c r="AD53" s="8" t="str">
        <f>IFERROR(__xludf.DUMMYFUNCTION("""COMPUTED_VALUE"""),"石")</f>
        <v>石</v>
      </c>
      <c r="AE53" s="8">
        <f>SUM(AB53:AB62)</f>
        <v>3.7</v>
      </c>
      <c r="AF53" s="10" t="str">
        <f>IFERROR(__xludf.DUMMYFUNCTION("IFERROR(LET(
  day, TEXT(AF$1, ""ddd""),
  hour, LOOKUP(2, 1/($A53&lt;&gt;""""), $A53),
  type_A, $A$1,
  list_data, IFERROR(FILTER({'リスト'!$E$4:$F142, 'リスト'!$O$4:$P142}, ('リスト'!$A$4:$A142=day)*('リスト'!$B$4:$B142=hour)*(('リスト'!$G$4:$G142=""毎週配信"")+('リスト'!$G$4:$G1"&amp;"42=type_A))), {"""","""","""",""""}),
  new_data, IFERROR(FILTER({'新規'!$E$2:$F142, '新規'!$O$2:$P142}, ('新規'!$A$2:$A142=AF$1)*('新規'!$B$2:$B142=hour)),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"""")"),"リモートワーク B")</f>
        <v>リモートワーク B</v>
      </c>
      <c r="AG53" s="8">
        <f>IFERROR(__xludf.DUMMYFUNCTION("""COMPUTED_VALUE"""),2.4)</f>
        <v>2.4</v>
      </c>
      <c r="AH53" s="8" t="str">
        <f>IFERROR(__xludf.DUMMYFUNCTION("""COMPUTED_VALUE"""),"R")</f>
        <v>R</v>
      </c>
      <c r="AI53" s="8"/>
      <c r="AJ53" s="8">
        <f>SUM(AG53:AG62)</f>
        <v>2.7</v>
      </c>
    </row>
    <row r="54" ht="17.25" customHeight="1">
      <c r="A54" s="11"/>
      <c r="B54" s="10"/>
      <c r="C54" s="8"/>
      <c r="D54" s="8"/>
      <c r="E54" s="8"/>
      <c r="F54" s="8"/>
      <c r="G54" s="10" t="str">
        <f>IFERROR(__xludf.DUMMYFUNCTION("""COMPUTED_VALUE"""),"◇掲載終了前+UP_35歳以上 A")</f>
        <v>◇掲載終了前+UP_35歳以上 A</v>
      </c>
      <c r="H54" s="8">
        <f>IFERROR(__xludf.DUMMYFUNCTION("""COMPUTED_VALUE"""),1.0)</f>
        <v>1</v>
      </c>
      <c r="I54" s="8" t="str">
        <f>IFERROR(__xludf.DUMMYFUNCTION("""COMPUTED_VALUE"""),"平")</f>
        <v>平</v>
      </c>
      <c r="J54" s="8" t="str">
        <f>IFERROR(__xludf.DUMMYFUNCTION("""COMPUTED_VALUE"""),"内")</f>
        <v>内</v>
      </c>
      <c r="K54" s="8"/>
      <c r="L54" s="10"/>
      <c r="M54" s="8"/>
      <c r="N54" s="8"/>
      <c r="O54" s="8"/>
      <c r="P54" s="8"/>
      <c r="Q54" s="10"/>
      <c r="R54" s="8"/>
      <c r="S54" s="8"/>
      <c r="T54" s="8"/>
      <c r="U54" s="8"/>
      <c r="V54" s="10" t="str">
        <f>IFERROR(__xludf.DUMMYFUNCTION("""COMPUTED_VALUE"""),"ランキング_事務（総務・人事）_希望")</f>
        <v>ランキング_事務（総務・人事）_希望</v>
      </c>
      <c r="W54" s="8">
        <f>IFERROR(__xludf.DUMMYFUNCTION("""COMPUTED_VALUE"""),0.9)</f>
        <v>0.9</v>
      </c>
      <c r="X54" s="8" t="str">
        <f>IFERROR(__xludf.DUMMYFUNCTION("""COMPUTED_VALUE"""),"R")</f>
        <v>R</v>
      </c>
      <c r="Y54" s="8"/>
      <c r="Z54" s="8"/>
      <c r="AA54" s="10" t="str">
        <f>IFERROR(__xludf.DUMMYFUNCTION("""COMPUTED_VALUE"""),"フルリモート_35歳以上")</f>
        <v>フルリモート_35歳以上</v>
      </c>
      <c r="AB54" s="8">
        <f>IFERROR(__xludf.DUMMYFUNCTION("""COMPUTED_VALUE"""),2.1)</f>
        <v>2.1</v>
      </c>
      <c r="AC54" s="8" t="str">
        <f>IFERROR(__xludf.DUMMYFUNCTION("""COMPUTED_VALUE"""),"R")</f>
        <v>R</v>
      </c>
      <c r="AD54" s="8"/>
      <c r="AE54" s="8"/>
      <c r="AF54" s="10" t="str">
        <f>IFERROR(__xludf.DUMMYFUNCTION("""COMPUTED_VALUE"""),"美容業界×事務_希望")</f>
        <v>美容業界×事務_希望</v>
      </c>
      <c r="AG54" s="8">
        <f>IFERROR(__xludf.DUMMYFUNCTION("""COMPUTED_VALUE"""),0.3)</f>
        <v>0.3</v>
      </c>
      <c r="AH54" s="8" t="str">
        <f>IFERROR(__xludf.DUMMYFUNCTION("""COMPUTED_VALUE"""),"R")</f>
        <v>R</v>
      </c>
      <c r="AI54" s="8"/>
      <c r="AJ54" s="8"/>
    </row>
    <row r="55" ht="17.25" customHeight="1">
      <c r="A55" s="11"/>
      <c r="B55" s="10"/>
      <c r="C55" s="8"/>
      <c r="D55" s="8"/>
      <c r="E55" s="8"/>
      <c r="F55" s="8"/>
      <c r="G55" s="10" t="str">
        <f>IFERROR(__xludf.DUMMYFUNCTION("""COMPUTED_VALUE"""),"◇掲載終了前+UP_関西 A")</f>
        <v>◇掲載終了前+UP_関西 A</v>
      </c>
      <c r="H55" s="8">
        <f>IFERROR(__xludf.DUMMYFUNCTION("""COMPUTED_VALUE"""),1.0)</f>
        <v>1</v>
      </c>
      <c r="I55" s="8" t="str">
        <f>IFERROR(__xludf.DUMMYFUNCTION("""COMPUTED_VALUE"""),"平")</f>
        <v>平</v>
      </c>
      <c r="J55" s="8" t="str">
        <f>IFERROR(__xludf.DUMMYFUNCTION("""COMPUTED_VALUE"""),"内")</f>
        <v>内</v>
      </c>
      <c r="K55" s="8"/>
      <c r="L55" s="10"/>
      <c r="M55" s="8"/>
      <c r="N55" s="8"/>
      <c r="O55" s="8"/>
      <c r="P55" s="8"/>
      <c r="Q55" s="10"/>
      <c r="R55" s="8"/>
      <c r="S55" s="8"/>
      <c r="T55" s="8"/>
      <c r="U55" s="8"/>
      <c r="V55" s="10"/>
      <c r="W55" s="8"/>
      <c r="X55" s="8"/>
      <c r="Y55" s="8"/>
      <c r="Z55" s="8"/>
      <c r="AA55" s="10"/>
      <c r="AB55" s="8"/>
      <c r="AC55" s="8"/>
      <c r="AD55" s="8"/>
      <c r="AE55" s="8"/>
      <c r="AF55" s="10"/>
      <c r="AG55" s="8"/>
      <c r="AH55" s="8"/>
      <c r="AI55" s="8"/>
      <c r="AJ55" s="8"/>
    </row>
    <row r="56" ht="17.25" customHeight="1">
      <c r="A56" s="11"/>
      <c r="B56" s="12"/>
      <c r="C56" s="8"/>
      <c r="D56" s="8"/>
      <c r="E56" s="8"/>
      <c r="F56" s="8"/>
      <c r="G56" s="12" t="str">
        <f>IFERROR(__xludf.DUMMYFUNCTION("""COMPUTED_VALUE"""),"関西単独求人メルマガ_A")</f>
        <v>関西単独求人メルマガ_A</v>
      </c>
      <c r="H56" s="8">
        <f>IFERROR(__xludf.DUMMYFUNCTION("""COMPUTED_VALUE"""),0.4)</f>
        <v>0.4</v>
      </c>
      <c r="I56" s="8" t="str">
        <f>IFERROR(__xludf.DUMMYFUNCTION("""COMPUTED_VALUE"""),"武")</f>
        <v>武</v>
      </c>
      <c r="J56" s="8" t="str">
        <f>IFERROR(__xludf.DUMMYFUNCTION("""COMPUTED_VALUE"""),"部")</f>
        <v>部</v>
      </c>
      <c r="K56" s="8"/>
      <c r="L56" s="12"/>
      <c r="M56" s="8"/>
      <c r="N56" s="8"/>
      <c r="O56" s="8"/>
      <c r="P56" s="8"/>
      <c r="Q56" s="12"/>
      <c r="R56" s="8"/>
      <c r="S56" s="8"/>
      <c r="T56" s="8"/>
      <c r="U56" s="8"/>
      <c r="V56" s="12"/>
      <c r="W56" s="8"/>
      <c r="X56" s="8"/>
      <c r="Y56" s="8"/>
      <c r="Z56" s="8"/>
      <c r="AA56" s="12"/>
      <c r="AB56" s="8"/>
      <c r="AC56" s="8"/>
      <c r="AD56" s="8"/>
      <c r="AE56" s="8"/>
      <c r="AF56" s="12"/>
      <c r="AG56" s="8"/>
      <c r="AH56" s="8"/>
      <c r="AI56" s="8"/>
      <c r="AJ56" s="8"/>
    </row>
    <row r="57" ht="17.25" customHeight="1">
      <c r="A57" s="11"/>
      <c r="B57" s="13"/>
      <c r="C57" s="8"/>
      <c r="D57" s="8"/>
      <c r="E57" s="8"/>
      <c r="F57" s="8"/>
      <c r="G57" s="13"/>
      <c r="H57" s="8"/>
      <c r="I57" s="8"/>
      <c r="J57" s="8"/>
      <c r="K57" s="8"/>
      <c r="L57" s="13"/>
      <c r="M57" s="8"/>
      <c r="N57" s="8"/>
      <c r="O57" s="8"/>
      <c r="P57" s="8"/>
      <c r="Q57" s="13"/>
      <c r="R57" s="8"/>
      <c r="S57" s="8"/>
      <c r="T57" s="8"/>
      <c r="U57" s="8"/>
      <c r="V57" s="13"/>
      <c r="W57" s="8"/>
      <c r="X57" s="8"/>
      <c r="Y57" s="8"/>
      <c r="Z57" s="8"/>
      <c r="AA57" s="13"/>
      <c r="AB57" s="8"/>
      <c r="AC57" s="8"/>
      <c r="AD57" s="8"/>
      <c r="AE57" s="8"/>
      <c r="AF57" s="13"/>
      <c r="AG57" s="8"/>
      <c r="AH57" s="8"/>
      <c r="AI57" s="8"/>
      <c r="AJ57" s="8"/>
    </row>
    <row r="58" ht="17.25" customHeight="1">
      <c r="A58" s="11"/>
      <c r="B58" s="13"/>
      <c r="C58" s="8"/>
      <c r="D58" s="8"/>
      <c r="E58" s="8"/>
      <c r="F58" s="8"/>
      <c r="G58" s="13"/>
      <c r="H58" s="8"/>
      <c r="I58" s="8"/>
      <c r="J58" s="8"/>
      <c r="K58" s="8"/>
      <c r="L58" s="13"/>
      <c r="M58" s="8"/>
      <c r="N58" s="8"/>
      <c r="O58" s="8"/>
      <c r="P58" s="8"/>
      <c r="Q58" s="13"/>
      <c r="R58" s="8"/>
      <c r="S58" s="8"/>
      <c r="T58" s="8"/>
      <c r="U58" s="8"/>
      <c r="V58" s="13"/>
      <c r="W58" s="8"/>
      <c r="X58" s="8"/>
      <c r="Y58" s="8"/>
      <c r="Z58" s="8"/>
      <c r="AA58" s="13"/>
      <c r="AB58" s="8"/>
      <c r="AC58" s="8"/>
      <c r="AD58" s="8"/>
      <c r="AE58" s="8"/>
      <c r="AF58" s="13"/>
      <c r="AG58" s="8"/>
      <c r="AH58" s="8"/>
      <c r="AI58" s="8"/>
      <c r="AJ58" s="8"/>
    </row>
    <row r="59" ht="17.25" customHeight="1">
      <c r="A59" s="11"/>
      <c r="B59" s="13"/>
      <c r="C59" s="8"/>
      <c r="D59" s="8"/>
      <c r="E59" s="8"/>
      <c r="F59" s="8"/>
      <c r="G59" s="13"/>
      <c r="H59" s="8"/>
      <c r="I59" s="8"/>
      <c r="J59" s="8"/>
      <c r="K59" s="8"/>
      <c r="L59" s="13"/>
      <c r="M59" s="8"/>
      <c r="N59" s="8"/>
      <c r="O59" s="8"/>
      <c r="P59" s="8"/>
      <c r="Q59" s="13"/>
      <c r="R59" s="8"/>
      <c r="S59" s="8"/>
      <c r="T59" s="8"/>
      <c r="U59" s="8"/>
      <c r="V59" s="13"/>
      <c r="W59" s="8"/>
      <c r="X59" s="8"/>
      <c r="Y59" s="8"/>
      <c r="Z59" s="8"/>
      <c r="AA59" s="13"/>
      <c r="AB59" s="8"/>
      <c r="AC59" s="8"/>
      <c r="AD59" s="8"/>
      <c r="AE59" s="8"/>
      <c r="AF59" s="13"/>
      <c r="AG59" s="8"/>
      <c r="AH59" s="8"/>
      <c r="AI59" s="8"/>
      <c r="AJ59" s="8"/>
    </row>
    <row r="60" ht="17.25" customHeight="1">
      <c r="A60" s="11"/>
      <c r="B60" s="13"/>
      <c r="C60" s="8"/>
      <c r="D60" s="8"/>
      <c r="E60" s="8"/>
      <c r="F60" s="8"/>
      <c r="G60" s="13"/>
      <c r="H60" s="8"/>
      <c r="I60" s="8"/>
      <c r="J60" s="8"/>
      <c r="K60" s="8"/>
      <c r="L60" s="13"/>
      <c r="M60" s="8"/>
      <c r="N60" s="8"/>
      <c r="O60" s="8"/>
      <c r="P60" s="8"/>
      <c r="Q60" s="13"/>
      <c r="R60" s="8"/>
      <c r="S60" s="8"/>
      <c r="T60" s="8"/>
      <c r="U60" s="8"/>
      <c r="V60" s="13"/>
      <c r="W60" s="8"/>
      <c r="X60" s="8"/>
      <c r="Y60" s="8"/>
      <c r="Z60" s="8"/>
      <c r="AA60" s="13"/>
      <c r="AB60" s="8"/>
      <c r="AC60" s="8"/>
      <c r="AD60" s="8"/>
      <c r="AE60" s="8"/>
      <c r="AF60" s="13"/>
      <c r="AG60" s="8"/>
      <c r="AH60" s="8"/>
      <c r="AI60" s="8"/>
      <c r="AJ60" s="8"/>
    </row>
    <row r="61" ht="17.25" customHeight="1">
      <c r="A61" s="11"/>
      <c r="B61" s="13"/>
      <c r="C61" s="8"/>
      <c r="D61" s="8"/>
      <c r="E61" s="8"/>
      <c r="F61" s="8"/>
      <c r="G61" s="13"/>
      <c r="H61" s="8"/>
      <c r="I61" s="8"/>
      <c r="J61" s="8"/>
      <c r="K61" s="8"/>
      <c r="L61" s="13"/>
      <c r="M61" s="8"/>
      <c r="N61" s="8"/>
      <c r="O61" s="8"/>
      <c r="P61" s="8"/>
      <c r="Q61" s="13"/>
      <c r="R61" s="8"/>
      <c r="S61" s="8"/>
      <c r="T61" s="8"/>
      <c r="U61" s="8"/>
      <c r="V61" s="13"/>
      <c r="W61" s="8"/>
      <c r="X61" s="8"/>
      <c r="Y61" s="8"/>
      <c r="Z61" s="8"/>
      <c r="AA61" s="13"/>
      <c r="AB61" s="8"/>
      <c r="AC61" s="8"/>
      <c r="AD61" s="8"/>
      <c r="AE61" s="8"/>
      <c r="AF61" s="13"/>
      <c r="AG61" s="8"/>
      <c r="AH61" s="8"/>
      <c r="AI61" s="8"/>
      <c r="AJ61" s="8"/>
    </row>
    <row r="62" ht="17.25" customHeight="1">
      <c r="A62" s="11"/>
      <c r="B62" s="13"/>
      <c r="C62" s="8"/>
      <c r="D62" s="8"/>
      <c r="E62" s="8"/>
      <c r="F62" s="8"/>
      <c r="G62" s="13"/>
      <c r="H62" s="8"/>
      <c r="I62" s="8"/>
      <c r="J62" s="8"/>
      <c r="K62" s="8"/>
      <c r="L62" s="13"/>
      <c r="M62" s="8"/>
      <c r="N62" s="8"/>
      <c r="O62" s="8"/>
      <c r="P62" s="8"/>
      <c r="Q62" s="13"/>
      <c r="R62" s="8"/>
      <c r="S62" s="8"/>
      <c r="T62" s="8"/>
      <c r="U62" s="8"/>
      <c r="V62" s="13"/>
      <c r="W62" s="8"/>
      <c r="X62" s="8"/>
      <c r="Y62" s="8"/>
      <c r="Z62" s="8"/>
      <c r="AA62" s="13"/>
      <c r="AB62" s="8"/>
      <c r="AC62" s="8"/>
      <c r="AD62" s="8"/>
      <c r="AE62" s="8"/>
      <c r="AF62" s="13"/>
      <c r="AG62" s="8"/>
      <c r="AH62" s="8"/>
      <c r="AI62" s="8"/>
      <c r="AJ62" s="8"/>
    </row>
    <row r="63" ht="17.25" customHeight="1">
      <c r="A63" s="9">
        <f>A53+1</f>
        <v>14</v>
      </c>
      <c r="B63" s="10" t="str">
        <f>IFERROR(__xludf.DUMMYFUNCTION("IFERROR(LET(
  day, TEXT(B$1, ""ddd""),
  hour, LOOKUP(2, 1/($A63&lt;&gt;""""), $A63),
  type_A, $A$1,
  list_data, IFERROR(FILTER({'リスト'!$E$4:$F142, 'リスト'!$O$4:$P142}, ('リスト'!$A$4:$A142=day)*('リスト'!$B$4:$B142=hour)*(('リスト'!$G$4:$G142=""毎週配信"")+('リスト'!$G$4:$G14"&amp;"2=type_A))), {"""","""","""",""""}),
  new_data, IFERROR(FILTER({'新規'!$E$2:$F142, '新規'!$O$2:$P142}, ('新規'!$A$2:$A142=B$1)*('新規'!$B$2:$B142=hour)),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"""")"),"福祉事務")</f>
        <v>福祉事務</v>
      </c>
      <c r="C63" s="8">
        <f>IFERROR(__xludf.DUMMYFUNCTION("""COMPUTED_VALUE"""),1.2)</f>
        <v>1.2</v>
      </c>
      <c r="D63" s="8" t="str">
        <f>IFERROR(__xludf.DUMMYFUNCTION("""COMPUTED_VALUE"""),"R")</f>
        <v>R</v>
      </c>
      <c r="E63" s="8"/>
      <c r="F63" s="8">
        <f>SUM(C63:C72)</f>
        <v>4.2</v>
      </c>
      <c r="G63" s="10" t="str">
        <f>IFERROR(__xludf.DUMMYFUNCTION("IFERROR(LET(
  day, TEXT(G$1, ""ddd""),
  hour, LOOKUP(2, 1/($A63&lt;&gt;""""), $A63),
  type_A, $A$1,
  list_data, IFERROR(FILTER({'リスト'!$E$4:$F142, 'リスト'!$O$4:$P142}, ('リスト'!$A$4:$A142=day)*('リスト'!$B$4:$B142=hour)*(('リスト'!$G$4:$G142=""毎週配信"")+('リスト'!$G$4:$G14"&amp;"2=type_A))), {"""","""","""",""""}),
  new_data, IFERROR(FILTER({'新規'!$E$2:$F142, '新規'!$O$2:$P142}, ('新規'!$A$2:$A142=G$1)*('新規'!$B$2:$B142=hour)),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f>
        <v/>
      </c>
      <c r="H63" s="8"/>
      <c r="I63" s="8"/>
      <c r="J63" s="8"/>
      <c r="K63" s="8">
        <f>SUM(H63:H72)</f>
        <v>0</v>
      </c>
      <c r="L63" s="10" t="str">
        <f>IFERROR(__xludf.DUMMYFUNCTION("IFERROR(LET(
  day, TEXT(L$1, ""ddd""),
  hour, LOOKUP(2, 1/($A63&lt;&gt;""""), $A63),
  type_A, $A$1,
  list_data, IFERROR(FILTER({'リスト'!$E$4:$F142, 'リスト'!$O$4:$P142}, ('リスト'!$A$4:$A142=day)*('リスト'!$B$4:$B142=hour)*(('リスト'!$G$4:$G142=""毎週配信"")+('リスト'!$G$4:$G14"&amp;"2=type_A))), {"""","""","""",""""}),
  new_data, IFERROR(FILTER({'新規'!$E$2:$F142, '新規'!$O$2:$P142}, ('新規'!$A$2:$A142=L$1)*('新規'!$B$2:$B142=hour)),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"""")"),"リモートワーク A_35歳以上")</f>
        <v>リモートワーク A_35歳以上</v>
      </c>
      <c r="M63" s="8">
        <f>IFERROR(__xludf.DUMMYFUNCTION("""COMPUTED_VALUE"""),1.1)</f>
        <v>1.1</v>
      </c>
      <c r="N63" s="8" t="str">
        <f>IFERROR(__xludf.DUMMYFUNCTION("""COMPUTED_VALUE"""),"R")</f>
        <v>R</v>
      </c>
      <c r="O63" s="8"/>
      <c r="P63" s="8">
        <f>SUM(M63:M72)</f>
        <v>2.3</v>
      </c>
      <c r="Q63" s="10" t="str">
        <f>IFERROR(__xludf.DUMMYFUNCTION("IFERROR(LET(
  day, TEXT(Q$1, ""ddd""),
  hour, LOOKUP(2, 1/($A63&lt;&gt;""""), $A63),
  type_A, $A$1,
  list_data, IFERROR(FILTER({'リスト'!$E$4:$F142, 'リスト'!$O$4:$P142}, ('リスト'!$A$4:$A142=day)*('リスト'!$B$4:$B142=hour)*(('リスト'!$G$4:$G142=""毎週配信"")+('リスト'!$G$4:$G14"&amp;"2=type_A))), {"""","""","""",""""}),
  new_data, IFERROR(FILTER({'新規'!$E$2:$F142, '新規'!$O$2:$P142}, ('新規'!$A$2:$A142=Q$1)*('新規'!$B$2:$B142=hour)),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"""")"),"フルリモート_全国")</f>
        <v>フルリモート_全国</v>
      </c>
      <c r="R63" s="8">
        <f>IFERROR(__xludf.DUMMYFUNCTION("""COMPUTED_VALUE"""),3.7)</f>
        <v>3.7</v>
      </c>
      <c r="S63" s="8" t="str">
        <f>IFERROR(__xludf.DUMMYFUNCTION("""COMPUTED_VALUE"""),"R")</f>
        <v>R</v>
      </c>
      <c r="T63" s="8"/>
      <c r="U63" s="8">
        <f>SUM(R63:R72)</f>
        <v>3.7</v>
      </c>
      <c r="V63" s="10" t="str">
        <f>IFERROR(__xludf.DUMMYFUNCTION("IFERROR(LET(
  day, TEXT(V$1, ""ddd""),
  hour, LOOKUP(2, 1/($A63&lt;&gt;""""), $A63),
  type_A, $A$1,
  list_data, IFERROR(FILTER({'リスト'!$E$4:$F142, 'リスト'!$O$4:$P142}, ('リスト'!$A$4:$A142=day)*('リスト'!$B$4:$B142=hour)*(('リスト'!$G$4:$G142=""毎週配信"")+('リスト'!$G$4:$G14"&amp;"2=type_A))), {"""","""","""",""""}),
  new_data, IFERROR(FILTER({'新規'!$E$2:$F142, '新規'!$O$2:$P142}, ('新規'!$A$2:$A142=V$1)*('新規'!$B$2:$B142=hour)),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"""")"),"☆横浜")</f>
        <v>☆横浜</v>
      </c>
      <c r="W63" s="8">
        <f>IFERROR(__xludf.DUMMYFUNCTION("""COMPUTED_VALUE"""),4.0)</f>
        <v>4</v>
      </c>
      <c r="X63" s="8" t="str">
        <f>IFERROR(__xludf.DUMMYFUNCTION("""COMPUTED_VALUE"""),"平")</f>
        <v>平</v>
      </c>
      <c r="Y63" s="8" t="str">
        <f>IFERROR(__xludf.DUMMYFUNCTION("""COMPUTED_VALUE"""),"荒")</f>
        <v>荒</v>
      </c>
      <c r="Z63" s="8">
        <f>SUM(W63:W72)</f>
        <v>4</v>
      </c>
      <c r="AA63" s="10" t="str">
        <f>IFERROR(__xludf.DUMMYFUNCTION("IFERROR(LET(
  day, TEXT(AA$1, ""ddd""),
  hour, LOOKUP(2, 1/($A63&lt;&gt;""""), $A63),
  type_A, $A$1,
  list_data, IFERROR(FILTER({'リスト'!$E$4:$F142, 'リスト'!$O$4:$P142}, ('リスト'!$A$4:$A142=day)*('リスト'!$B$4:$B142=hour)*(('リスト'!$G$4:$G142=""毎週配信"")+('リスト'!$G$4:$G1"&amp;"42=type_A))), {"""","""","""",""""}),
  new_data, IFERROR(FILTER({'新規'!$E$2:$F142, '新規'!$O$2:$P142}, ('新規'!$A$2:$A142=AA$1)*('新規'!$B$2:$B142=hour)),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f>
        <v/>
      </c>
      <c r="AB63" s="8"/>
      <c r="AC63" s="8"/>
      <c r="AD63" s="8"/>
      <c r="AE63" s="8">
        <f>SUM(AB63:AB72)</f>
        <v>0</v>
      </c>
      <c r="AF63" s="10" t="str">
        <f>IFERROR(__xludf.DUMMYFUNCTION("IFERROR(LET(
  day, TEXT(AF$1, ""ddd""),
  hour, LOOKUP(2, 1/($A63&lt;&gt;""""), $A63),
  type_A, $A$1,
  list_data, IFERROR(FILTER({'リスト'!$E$4:$F142, 'リスト'!$O$4:$P142}, ('リスト'!$A$4:$A142=day)*('リスト'!$B$4:$B142=hour)*(('リスト'!$G$4:$G142=""毎週配信"")+('リスト'!$G$4:$G1"&amp;"42=type_A))), {"""","""","""",""""}),
  new_data, IFERROR(FILTER({'新規'!$E$2:$F142, '新規'!$O$2:$P142}, ('新規'!$A$2:$A142=AF$1)*('新規'!$B$2:$B142=hour)),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"""")"),"☆関西")</f>
        <v>☆関西</v>
      </c>
      <c r="AG63" s="8">
        <f>IFERROR(__xludf.DUMMYFUNCTION("""COMPUTED_VALUE"""),1.4)</f>
        <v>1.4</v>
      </c>
      <c r="AH63" s="8" t="str">
        <f>IFERROR(__xludf.DUMMYFUNCTION("""COMPUTED_VALUE"""),"平")</f>
        <v>平</v>
      </c>
      <c r="AI63" s="8" t="str">
        <f>IFERROR(__xludf.DUMMYFUNCTION("""COMPUTED_VALUE"""),"荒")</f>
        <v>荒</v>
      </c>
      <c r="AJ63" s="8">
        <f>SUM(AG63:AG72)</f>
        <v>6.2</v>
      </c>
    </row>
    <row r="64" ht="17.25" customHeight="1">
      <c r="A64" s="11"/>
      <c r="B64" s="10" t="str">
        <f>IFERROR(__xludf.DUMMYFUNCTION("""COMPUTED_VALUE"""),"福祉事務_35歳以上")</f>
        <v>福祉事務_35歳以上</v>
      </c>
      <c r="C64" s="8">
        <f>IFERROR(__xludf.DUMMYFUNCTION("""COMPUTED_VALUE"""),1.0)</f>
        <v>1</v>
      </c>
      <c r="D64" s="8" t="str">
        <f>IFERROR(__xludf.DUMMYFUNCTION("""COMPUTED_VALUE"""),"R")</f>
        <v>R</v>
      </c>
      <c r="E64" s="8"/>
      <c r="F64" s="8"/>
      <c r="G64" s="10"/>
      <c r="H64" s="8"/>
      <c r="I64" s="8"/>
      <c r="J64" s="8"/>
      <c r="K64" s="8"/>
      <c r="L64" s="10" t="str">
        <f>IFERROR(__xludf.DUMMYFUNCTION("""COMPUTED_VALUE"""),"関西‗リモート×フレックス")</f>
        <v>関西‗リモート×フレックス</v>
      </c>
      <c r="M64" s="8">
        <f>IFERROR(__xludf.DUMMYFUNCTION("""COMPUTED_VALUE"""),1.2)</f>
        <v>1.2</v>
      </c>
      <c r="N64" s="8" t="str">
        <f>IFERROR(__xludf.DUMMYFUNCTION("""COMPUTED_VALUE"""),"部")</f>
        <v>部</v>
      </c>
      <c r="O64" s="8" t="str">
        <f>IFERROR(__xludf.DUMMYFUNCTION("""COMPUTED_VALUE"""),"武")</f>
        <v>武</v>
      </c>
      <c r="P64" s="8"/>
      <c r="Q64" s="10"/>
      <c r="R64" s="8"/>
      <c r="S64" s="8"/>
      <c r="T64" s="8"/>
      <c r="U64" s="8"/>
      <c r="V64" s="10"/>
      <c r="W64" s="8"/>
      <c r="X64" s="8"/>
      <c r="Y64" s="8"/>
      <c r="Z64" s="8"/>
      <c r="AA64" s="10"/>
      <c r="AB64" s="8"/>
      <c r="AC64" s="8"/>
      <c r="AD64" s="8"/>
      <c r="AE64" s="8"/>
      <c r="AF64" s="10" t="str">
        <f>IFERROR(__xludf.DUMMYFUNCTION("""COMPUTED_VALUE"""),"☆東海")</f>
        <v>☆東海</v>
      </c>
      <c r="AG64" s="8">
        <f>IFERROR(__xludf.DUMMYFUNCTION("""COMPUTED_VALUE"""),0.5)</f>
        <v>0.5</v>
      </c>
      <c r="AH64" s="8" t="str">
        <f>IFERROR(__xludf.DUMMYFUNCTION("""COMPUTED_VALUE"""),"平")</f>
        <v>平</v>
      </c>
      <c r="AI64" s="8" t="str">
        <f>IFERROR(__xludf.DUMMYFUNCTION("""COMPUTED_VALUE"""),"荒")</f>
        <v>荒</v>
      </c>
      <c r="AJ64" s="8"/>
    </row>
    <row r="65" ht="17.25" customHeight="1">
      <c r="A65" s="11"/>
      <c r="B65" s="10" t="str">
        <f>IFERROR(__xludf.DUMMYFUNCTION("""COMPUTED_VALUE"""),"未経験向け急募求人_クリエイティブ")</f>
        <v>未経験向け急募求人_クリエイティブ</v>
      </c>
      <c r="C65" s="8">
        <f>IFERROR(__xludf.DUMMYFUNCTION("""COMPUTED_VALUE"""),0.5)</f>
        <v>0.5</v>
      </c>
      <c r="D65" s="8" t="str">
        <f>IFERROR(__xludf.DUMMYFUNCTION("""COMPUTED_VALUE"""),"R")</f>
        <v>R</v>
      </c>
      <c r="E65" s="8"/>
      <c r="F65" s="8"/>
      <c r="G65" s="10"/>
      <c r="H65" s="8"/>
      <c r="I65" s="8"/>
      <c r="J65" s="8"/>
      <c r="K65" s="8"/>
      <c r="L65" s="10"/>
      <c r="M65" s="8"/>
      <c r="N65" s="8"/>
      <c r="O65" s="8"/>
      <c r="P65" s="8"/>
      <c r="Q65" s="10"/>
      <c r="R65" s="8"/>
      <c r="S65" s="8"/>
      <c r="T65" s="8"/>
      <c r="U65" s="8"/>
      <c r="V65" s="10"/>
      <c r="W65" s="8"/>
      <c r="X65" s="8"/>
      <c r="Y65" s="8"/>
      <c r="Z65" s="8"/>
      <c r="AA65" s="10"/>
      <c r="AB65" s="8"/>
      <c r="AC65" s="8"/>
      <c r="AD65" s="8"/>
      <c r="AE65" s="8"/>
      <c r="AF65" s="10" t="str">
        <f>IFERROR(__xludf.DUMMYFUNCTION("""COMPUTED_VALUE"""),"希望勤務地_埼玉")</f>
        <v>希望勤務地_埼玉</v>
      </c>
      <c r="AG65" s="8">
        <f>IFERROR(__xludf.DUMMYFUNCTION("""COMPUTED_VALUE"""),0.7)</f>
        <v>0.7</v>
      </c>
      <c r="AH65" s="8" t="str">
        <f>IFERROR(__xludf.DUMMYFUNCTION("""COMPUTED_VALUE"""),"R")</f>
        <v>R</v>
      </c>
      <c r="AI65" s="8"/>
      <c r="AJ65" s="8"/>
    </row>
    <row r="66" ht="17.25" customHeight="1">
      <c r="A66" s="11"/>
      <c r="B66" s="12" t="str">
        <f>IFERROR(__xludf.DUMMYFUNCTION("""COMPUTED_VALUE"""),"未経験向け急募求人_営業")</f>
        <v>未経験向け急募求人_営業</v>
      </c>
      <c r="C66" s="8">
        <f>IFERROR(__xludf.DUMMYFUNCTION("""COMPUTED_VALUE"""),0.5)</f>
        <v>0.5</v>
      </c>
      <c r="D66" s="8" t="str">
        <f>IFERROR(__xludf.DUMMYFUNCTION("""COMPUTED_VALUE"""),"R")</f>
        <v>R</v>
      </c>
      <c r="E66" s="8"/>
      <c r="F66" s="8"/>
      <c r="G66" s="12"/>
      <c r="H66" s="8"/>
      <c r="I66" s="8"/>
      <c r="J66" s="8"/>
      <c r="K66" s="8"/>
      <c r="L66" s="12"/>
      <c r="M66" s="8"/>
      <c r="N66" s="8"/>
      <c r="O66" s="8"/>
      <c r="P66" s="8"/>
      <c r="Q66" s="12"/>
      <c r="R66" s="8"/>
      <c r="S66" s="8"/>
      <c r="T66" s="8"/>
      <c r="U66" s="8"/>
      <c r="V66" s="12"/>
      <c r="W66" s="8"/>
      <c r="X66" s="8"/>
      <c r="Y66" s="8"/>
      <c r="Z66" s="8"/>
      <c r="AA66" s="12"/>
      <c r="AB66" s="8"/>
      <c r="AC66" s="8"/>
      <c r="AD66" s="8"/>
      <c r="AE66" s="8"/>
      <c r="AF66" s="12" t="str">
        <f>IFERROR(__xludf.DUMMYFUNCTION("""COMPUTED_VALUE"""),"希望勤務地_千葉")</f>
        <v>希望勤務地_千葉</v>
      </c>
      <c r="AG66" s="8">
        <f>IFERROR(__xludf.DUMMYFUNCTION("""COMPUTED_VALUE"""),0.7)</f>
        <v>0.7</v>
      </c>
      <c r="AH66" s="8" t="str">
        <f>IFERROR(__xludf.DUMMYFUNCTION("""COMPUTED_VALUE"""),"R")</f>
        <v>R</v>
      </c>
      <c r="AI66" s="8"/>
      <c r="AJ66" s="8"/>
    </row>
    <row r="67" ht="17.25" customHeight="1">
      <c r="A67" s="11"/>
      <c r="B67" s="13" t="str">
        <f>IFERROR(__xludf.DUMMYFUNCTION("""COMPUTED_VALUE"""),"未経験向け急募求人_事務")</f>
        <v>未経験向け急募求人_事務</v>
      </c>
      <c r="C67" s="8">
        <f>IFERROR(__xludf.DUMMYFUNCTION("""COMPUTED_VALUE"""),1.0)</f>
        <v>1</v>
      </c>
      <c r="D67" s="8" t="str">
        <f>IFERROR(__xludf.DUMMYFUNCTION("""COMPUTED_VALUE"""),"R")</f>
        <v>R</v>
      </c>
      <c r="E67" s="8"/>
      <c r="F67" s="8"/>
      <c r="G67" s="13"/>
      <c r="H67" s="8"/>
      <c r="I67" s="8"/>
      <c r="J67" s="8"/>
      <c r="K67" s="8"/>
      <c r="L67" s="13"/>
      <c r="M67" s="8"/>
      <c r="N67" s="8"/>
      <c r="O67" s="8"/>
      <c r="P67" s="8"/>
      <c r="Q67" s="13"/>
      <c r="R67" s="8"/>
      <c r="S67" s="8"/>
      <c r="T67" s="8"/>
      <c r="U67" s="8"/>
      <c r="V67" s="13"/>
      <c r="W67" s="8"/>
      <c r="X67" s="8"/>
      <c r="Y67" s="8"/>
      <c r="Z67" s="8"/>
      <c r="AA67" s="13"/>
      <c r="AB67" s="8"/>
      <c r="AC67" s="8"/>
      <c r="AD67" s="8"/>
      <c r="AE67" s="8"/>
      <c r="AF67" s="13" t="str">
        <f>IFERROR(__xludf.DUMMYFUNCTION("""COMPUTED_VALUE"""),"希望勤務地_東京")</f>
        <v>希望勤務地_東京</v>
      </c>
      <c r="AG67" s="8">
        <f>IFERROR(__xludf.DUMMYFUNCTION("""COMPUTED_VALUE"""),1.9)</f>
        <v>1.9</v>
      </c>
      <c r="AH67" s="8" t="str">
        <f>IFERROR(__xludf.DUMMYFUNCTION("""COMPUTED_VALUE"""),"R")</f>
        <v>R</v>
      </c>
      <c r="AI67" s="8"/>
      <c r="AJ67" s="8"/>
    </row>
    <row r="68" ht="17.25" customHeight="1">
      <c r="A68" s="11"/>
      <c r="B68" s="13"/>
      <c r="C68" s="8"/>
      <c r="D68" s="8"/>
      <c r="E68" s="8"/>
      <c r="F68" s="8"/>
      <c r="G68" s="13"/>
      <c r="H68" s="8"/>
      <c r="I68" s="8"/>
      <c r="J68" s="8"/>
      <c r="K68" s="8"/>
      <c r="L68" s="13"/>
      <c r="M68" s="8"/>
      <c r="N68" s="8"/>
      <c r="O68" s="8"/>
      <c r="P68" s="8"/>
      <c r="Q68" s="13"/>
      <c r="R68" s="8"/>
      <c r="S68" s="8"/>
      <c r="T68" s="8"/>
      <c r="U68" s="8"/>
      <c r="V68" s="13"/>
      <c r="W68" s="8"/>
      <c r="X68" s="8"/>
      <c r="Y68" s="8"/>
      <c r="Z68" s="8"/>
      <c r="AA68" s="13"/>
      <c r="AB68" s="8"/>
      <c r="AC68" s="8"/>
      <c r="AD68" s="8"/>
      <c r="AE68" s="8"/>
      <c r="AF68" s="13" t="str">
        <f>IFERROR(__xludf.DUMMYFUNCTION("""COMPUTED_VALUE"""),"大手・上場企業×事務")</f>
        <v>大手・上場企業×事務</v>
      </c>
      <c r="AG68" s="8">
        <f>IFERROR(__xludf.DUMMYFUNCTION("""COMPUTED_VALUE"""),1.0)</f>
        <v>1</v>
      </c>
      <c r="AH68" s="8" t="str">
        <f>IFERROR(__xludf.DUMMYFUNCTION("""COMPUTED_VALUE"""),"R")</f>
        <v>R</v>
      </c>
      <c r="AI68" s="8"/>
      <c r="AJ68" s="8"/>
    </row>
    <row r="69" ht="17.25" customHeight="1">
      <c r="A69" s="11"/>
      <c r="B69" s="13"/>
      <c r="C69" s="8"/>
      <c r="D69" s="8"/>
      <c r="E69" s="8"/>
      <c r="F69" s="8"/>
      <c r="G69" s="13"/>
      <c r="H69" s="8"/>
      <c r="I69" s="8"/>
      <c r="J69" s="8"/>
      <c r="K69" s="8"/>
      <c r="L69" s="13"/>
      <c r="M69" s="8"/>
      <c r="N69" s="8"/>
      <c r="O69" s="8"/>
      <c r="P69" s="8"/>
      <c r="Q69" s="13"/>
      <c r="R69" s="8"/>
      <c r="S69" s="8"/>
      <c r="T69" s="8"/>
      <c r="U69" s="8"/>
      <c r="V69" s="13"/>
      <c r="W69" s="8"/>
      <c r="X69" s="8"/>
      <c r="Y69" s="8"/>
      <c r="Z69" s="8"/>
      <c r="AA69" s="13"/>
      <c r="AB69" s="8"/>
      <c r="AC69" s="8"/>
      <c r="AD69" s="8"/>
      <c r="AE69" s="8"/>
      <c r="AF69" s="13"/>
      <c r="AG69" s="8"/>
      <c r="AH69" s="8"/>
      <c r="AI69" s="8"/>
      <c r="AJ69" s="8"/>
    </row>
    <row r="70" ht="17.25" customHeight="1">
      <c r="A70" s="11"/>
      <c r="B70" s="13"/>
      <c r="C70" s="8"/>
      <c r="D70" s="8"/>
      <c r="E70" s="8"/>
      <c r="F70" s="8"/>
      <c r="G70" s="13"/>
      <c r="H70" s="8"/>
      <c r="I70" s="8"/>
      <c r="J70" s="8"/>
      <c r="K70" s="8"/>
      <c r="L70" s="13"/>
      <c r="M70" s="8"/>
      <c r="N70" s="8"/>
      <c r="O70" s="8"/>
      <c r="P70" s="8"/>
      <c r="Q70" s="13"/>
      <c r="R70" s="8"/>
      <c r="S70" s="8"/>
      <c r="T70" s="8"/>
      <c r="U70" s="8"/>
      <c r="V70" s="13"/>
      <c r="W70" s="8"/>
      <c r="X70" s="8"/>
      <c r="Y70" s="8"/>
      <c r="Z70" s="8"/>
      <c r="AA70" s="13"/>
      <c r="AB70" s="8"/>
      <c r="AC70" s="8"/>
      <c r="AD70" s="8"/>
      <c r="AE70" s="8"/>
      <c r="AF70" s="13"/>
      <c r="AG70" s="8"/>
      <c r="AH70" s="8"/>
      <c r="AI70" s="8"/>
      <c r="AJ70" s="8"/>
    </row>
    <row r="71" ht="17.25" customHeight="1">
      <c r="A71" s="11"/>
      <c r="B71" s="13"/>
      <c r="C71" s="8"/>
      <c r="D71" s="8"/>
      <c r="E71" s="8"/>
      <c r="F71" s="8"/>
      <c r="G71" s="13"/>
      <c r="H71" s="8"/>
      <c r="I71" s="8"/>
      <c r="J71" s="8"/>
      <c r="K71" s="8"/>
      <c r="L71" s="13"/>
      <c r="M71" s="8"/>
      <c r="N71" s="8"/>
      <c r="O71" s="8"/>
      <c r="P71" s="8"/>
      <c r="Q71" s="13"/>
      <c r="R71" s="8"/>
      <c r="S71" s="8"/>
      <c r="T71" s="8"/>
      <c r="U71" s="8"/>
      <c r="V71" s="13"/>
      <c r="W71" s="8"/>
      <c r="X71" s="8"/>
      <c r="Y71" s="8"/>
      <c r="Z71" s="8"/>
      <c r="AA71" s="13"/>
      <c r="AB71" s="8"/>
      <c r="AC71" s="8"/>
      <c r="AD71" s="8"/>
      <c r="AE71" s="8"/>
      <c r="AF71" s="13"/>
      <c r="AG71" s="8"/>
      <c r="AH71" s="8"/>
      <c r="AI71" s="8"/>
      <c r="AJ71" s="8"/>
    </row>
    <row r="72" ht="17.25" customHeight="1">
      <c r="A72" s="11"/>
      <c r="B72" s="13"/>
      <c r="C72" s="8"/>
      <c r="D72" s="8"/>
      <c r="E72" s="8"/>
      <c r="F72" s="8"/>
      <c r="G72" s="13"/>
      <c r="H72" s="8"/>
      <c r="I72" s="8"/>
      <c r="J72" s="8"/>
      <c r="K72" s="8"/>
      <c r="L72" s="13"/>
      <c r="M72" s="8"/>
      <c r="N72" s="8"/>
      <c r="O72" s="8"/>
      <c r="P72" s="8"/>
      <c r="Q72" s="13"/>
      <c r="R72" s="8"/>
      <c r="S72" s="8"/>
      <c r="T72" s="8"/>
      <c r="U72" s="8"/>
      <c r="V72" s="13"/>
      <c r="W72" s="8"/>
      <c r="X72" s="8"/>
      <c r="Y72" s="8"/>
      <c r="Z72" s="8"/>
      <c r="AA72" s="13"/>
      <c r="AB72" s="8"/>
      <c r="AC72" s="8"/>
      <c r="AD72" s="8"/>
      <c r="AE72" s="8"/>
      <c r="AF72" s="13"/>
      <c r="AG72" s="8"/>
      <c r="AH72" s="8"/>
      <c r="AI72" s="8"/>
      <c r="AJ72" s="8"/>
    </row>
    <row r="73" ht="17.25" customHeight="1">
      <c r="A73" s="9">
        <f>A63+1</f>
        <v>15</v>
      </c>
      <c r="B73" s="10" t="str">
        <f>IFERROR(__xludf.DUMMYFUNCTION("IFERROR(LET(
  day, TEXT(B$1, ""ddd""),
  hour, LOOKUP(2, 1/($A73&lt;&gt;""""), $A73),
  type_A, $A$1,
  list_data, IFERROR(FILTER({'リスト'!$E$4:$F142, 'リスト'!$O$4:$P142}, ('リスト'!$A$4:$A142=day)*('リスト'!$B$4:$B142=hour)*(('リスト'!$G$4:$G142=""毎週配信"")+('リスト'!$G$4:$G14"&amp;"2=type_A))), {"""","""","""",""""}),
  new_data, IFERROR(FILTER({'新規'!$E$2:$F142, '新規'!$O$2:$P142}, ('新規'!$A$2:$A142=B$1)*('新規'!$B$2:$B142=hour)),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"""")"),"ECサイト運用_未経験")</f>
        <v>ECサイト運用_未経験</v>
      </c>
      <c r="C73" s="8">
        <f>IFERROR(__xludf.DUMMYFUNCTION("""COMPUTED_VALUE"""),0.7)</f>
        <v>0.7</v>
      </c>
      <c r="D73" s="8" t="str">
        <f>IFERROR(__xludf.DUMMYFUNCTION("""COMPUTED_VALUE"""),"福")</f>
        <v>福</v>
      </c>
      <c r="E73" s="8" t="str">
        <f>IFERROR(__xludf.DUMMYFUNCTION("""COMPUTED_VALUE"""),"部")</f>
        <v>部</v>
      </c>
      <c r="F73" s="8">
        <f>SUM(C73:C82)</f>
        <v>2.3</v>
      </c>
      <c r="G73" s="10" t="str">
        <f>IFERROR(__xludf.DUMMYFUNCTION("IFERROR(LET(
  day, TEXT(G$1, ""ddd""),
  hour, LOOKUP(2, 1/($A73&lt;&gt;""""), $A73),
  type_A, $A$1,
  list_data, IFERROR(FILTER({'リスト'!$E$4:$F142, 'リスト'!$O$4:$P142}, ('リスト'!$A$4:$A142=day)*('リスト'!$B$4:$B142=hour)*(('リスト'!$G$4:$G142=""毎週配信"")+('リスト'!$G$4:$G14"&amp;"2=type_A))), {"""","""","""",""""}),
  new_data, IFERROR(FILTER({'新規'!$E$2:$F142, '新規'!$O$2:$P142}, ('新規'!$A$2:$A142=G$1)*('新規'!$B$2:$B142=hour)),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"""")"),"営業（コールセンター）_希望")</f>
        <v>営業（コールセンター）_希望</v>
      </c>
      <c r="H73" s="8">
        <f>IFERROR(__xludf.DUMMYFUNCTION("""COMPUTED_VALUE"""),0.2)</f>
        <v>0.2</v>
      </c>
      <c r="I73" s="8" t="str">
        <f>IFERROR(__xludf.DUMMYFUNCTION("""COMPUTED_VALUE"""),"R")</f>
        <v>R</v>
      </c>
      <c r="J73" s="8"/>
      <c r="K73" s="8">
        <f>SUM(H73:H82)</f>
        <v>2.3</v>
      </c>
      <c r="L73" s="10" t="str">
        <f>IFERROR(__xludf.DUMMYFUNCTION("IFERROR(LET(
  day, TEXT(L$1, ""ddd""),
  hour, LOOKUP(2, 1/($A73&lt;&gt;""""), $A73),
  type_A, $A$1,
  list_data, IFERROR(FILTER({'リスト'!$E$4:$F142, 'リスト'!$O$4:$P142}, ('リスト'!$A$4:$A142=day)*('リスト'!$B$4:$B142=hour)*(('リスト'!$G$4:$G142=""毎週配信"")+('リスト'!$G$4:$G14"&amp;"2=type_A))), {"""","""","""",""""}),
  new_data, IFERROR(FILTER({'新規'!$E$2:$F142, '新規'!$O$2:$P142}, ('新規'!$A$2:$A142=L$1)*('新規'!$B$2:$B142=hour)),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"""")"),"営業（マーケ）_希望")</f>
        <v>営業（マーケ）_希望</v>
      </c>
      <c r="M73" s="8">
        <f>IFERROR(__xludf.DUMMYFUNCTION("""COMPUTED_VALUE"""),0.4)</f>
        <v>0.4</v>
      </c>
      <c r="N73" s="8" t="str">
        <f>IFERROR(__xludf.DUMMYFUNCTION("""COMPUTED_VALUE"""),"R")</f>
        <v>R</v>
      </c>
      <c r="O73" s="8"/>
      <c r="P73" s="8">
        <f>SUM(M73:M82)</f>
        <v>0.8</v>
      </c>
      <c r="Q73" s="10" t="str">
        <f>IFERROR(__xludf.DUMMYFUNCTION("IFERROR(LET(
  day, TEXT(Q$1, ""ddd""),
  hour, LOOKUP(2, 1/($A73&lt;&gt;""""), $A73),
  type_A, $A$1,
  list_data, IFERROR(FILTER({'リスト'!$E$4:$F142, 'リスト'!$O$4:$P142}, ('リスト'!$A$4:$A142=day)*('リスト'!$B$4:$B142=hour)*(('リスト'!$G$4:$G142=""毎週配信"")+('リスト'!$G$4:$G14"&amp;"2=type_A))), {"""","""","""",""""}),
  new_data, IFERROR(FILTER({'新規'!$E$2:$F142, '新規'!$O$2:$P142}, ('新規'!$A$2:$A142=Q$1)*('新規'!$B$2:$B142=hour)),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"""")"),"リモート手当あり")</f>
        <v>リモート手当あり</v>
      </c>
      <c r="R73" s="8">
        <f>IFERROR(__xludf.DUMMYFUNCTION("""COMPUTED_VALUE"""),4.7)</f>
        <v>4.7</v>
      </c>
      <c r="S73" s="8" t="str">
        <f>IFERROR(__xludf.DUMMYFUNCTION("""COMPUTED_VALUE"""),"R")</f>
        <v>R</v>
      </c>
      <c r="T73" s="8"/>
      <c r="U73" s="8">
        <f>SUM(R73:R82)</f>
        <v>5.5</v>
      </c>
      <c r="V73" s="10" t="str">
        <f>IFERROR(__xludf.DUMMYFUNCTION("IFERROR(LET(
  day, TEXT(V$1, ""ddd""),
  hour, LOOKUP(2, 1/($A73&lt;&gt;""""), $A73),
  type_A, $A$1,
  list_data, IFERROR(FILTER({'リスト'!$E$4:$F142, 'リスト'!$O$4:$P142}, ('リスト'!$A$4:$A142=day)*('リスト'!$B$4:$B142=hour)*(('リスト'!$G$4:$G142=""毎週配信"")+('リスト'!$G$4:$G14"&amp;"2=type_A))), {"""","""","""",""""}),
  new_data, IFERROR(FILTER({'新規'!$E$2:$F142, '新規'!$O$2:$P142}, ('新規'!$A$2:$A142=V$1)*('新規'!$B$2:$B142=hour)),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"""")"),"事務（貿易事務）_希望")</f>
        <v>事務（貿易事務）_希望</v>
      </c>
      <c r="W73" s="8">
        <f>IFERROR(__xludf.DUMMYFUNCTION("""COMPUTED_VALUE"""),0.4)</f>
        <v>0.4</v>
      </c>
      <c r="X73" s="8" t="str">
        <f>IFERROR(__xludf.DUMMYFUNCTION("""COMPUTED_VALUE"""),"R")</f>
        <v>R</v>
      </c>
      <c r="Y73" s="8"/>
      <c r="Z73" s="8">
        <f>SUM(W73:W82)</f>
        <v>0.7</v>
      </c>
      <c r="AA73" s="10" t="str">
        <f>IFERROR(__xludf.DUMMYFUNCTION("IFERROR(LET(
  day, TEXT(AA$1, ""ddd""),
  hour, LOOKUP(2, 1/($A73&lt;&gt;""""), $A73),
  type_A, $A$1,
  list_data, IFERROR(FILTER({'リスト'!$E$4:$F142, 'リスト'!$O$4:$P142}, ('リスト'!$A$4:$A142=day)*('リスト'!$B$4:$B142=hour)*(('リスト'!$G$4:$G142=""毎週配信"")+('リスト'!$G$4:$G1"&amp;"42=type_A))), {"""","""","""",""""}),
  new_data, IFERROR(FILTER({'新規'!$E$2:$F142, '新規'!$O$2:$P142}, ('新規'!$A$2:$A142=AA$1)*('新規'!$B$2:$B142=hour)),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f>
        <v/>
      </c>
      <c r="AB73" s="8"/>
      <c r="AC73" s="8"/>
      <c r="AD73" s="8"/>
      <c r="AE73" s="8">
        <f>SUM(AB73:AB82)</f>
        <v>0</v>
      </c>
      <c r="AF73" s="10" t="str">
        <f>IFERROR(__xludf.DUMMYFUNCTION("IFERROR(LET(
  day, TEXT(AF$1, ""ddd""),
  hour, LOOKUP(2, 1/($A73&lt;&gt;""""), $A73),
  type_A, $A$1,
  list_data, IFERROR(FILTER({'リスト'!$E$4:$F142, 'リスト'!$O$4:$P142}, ('リスト'!$A$4:$A142=day)*('リスト'!$B$4:$B142=hour)*(('リスト'!$G$4:$G142=""毎週配信"")+('リスト'!$G$4:$G1"&amp;"42=type_A))), {"""","""","""",""""}),
  new_data, IFERROR(FILTER({'新規'!$E$2:$F142, '新規'!$O$2:$P142}, ('新規'!$A$2:$A142=AF$1)*('新規'!$B$2:$B142=hour)),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"""")"),"ランキング_事務（医療事務）_希望")</f>
        <v>ランキング_事務（医療事務）_希望</v>
      </c>
      <c r="AG73" s="8">
        <f>IFERROR(__xludf.DUMMYFUNCTION("""COMPUTED_VALUE"""),0.2)</f>
        <v>0.2</v>
      </c>
      <c r="AH73" s="8" t="str">
        <f>IFERROR(__xludf.DUMMYFUNCTION("""COMPUTED_VALUE"""),"R")</f>
        <v>R</v>
      </c>
      <c r="AI73" s="8"/>
      <c r="AJ73" s="8">
        <f>SUM(AG73:AG82)</f>
        <v>0.4</v>
      </c>
    </row>
    <row r="74" ht="17.25" customHeight="1">
      <c r="A74" s="11"/>
      <c r="B74" s="10" t="str">
        <f>IFERROR(__xludf.DUMMYFUNCTION("""COMPUTED_VALUE"""),"好条件×業務委託")</f>
        <v>好条件×業務委託</v>
      </c>
      <c r="C74" s="8">
        <f>IFERROR(__xludf.DUMMYFUNCTION("""COMPUTED_VALUE"""),0.4)</f>
        <v>0.4</v>
      </c>
      <c r="D74" s="8" t="str">
        <f>IFERROR(__xludf.DUMMYFUNCTION("""COMPUTED_VALUE"""),"部")</f>
        <v>部</v>
      </c>
      <c r="E74" s="8" t="str">
        <f>IFERROR(__xludf.DUMMYFUNCTION("""COMPUTED_VALUE"""),"武")</f>
        <v>武</v>
      </c>
      <c r="F74" s="8"/>
      <c r="G74" s="10" t="str">
        <f>IFERROR(__xludf.DUMMYFUNCTION("""COMPUTED_VALUE"""),"事務（金融関連）_希望")</f>
        <v>事務（金融関連）_希望</v>
      </c>
      <c r="H74" s="8">
        <f>IFERROR(__xludf.DUMMYFUNCTION("""COMPUTED_VALUE"""),0.3)</f>
        <v>0.3</v>
      </c>
      <c r="I74" s="8" t="str">
        <f>IFERROR(__xludf.DUMMYFUNCTION("""COMPUTED_VALUE"""),"R")</f>
        <v>R</v>
      </c>
      <c r="J74" s="8"/>
      <c r="K74" s="8"/>
      <c r="L74" s="10" t="str">
        <f>IFERROR(__xludf.DUMMYFUNCTION("""COMPUTED_VALUE"""),"事務（その他）_希望")</f>
        <v>事務（その他）_希望</v>
      </c>
      <c r="M74" s="8">
        <f>IFERROR(__xludf.DUMMYFUNCTION("""COMPUTED_VALUE"""),0.4)</f>
        <v>0.4</v>
      </c>
      <c r="N74" s="8" t="str">
        <f>IFERROR(__xludf.DUMMYFUNCTION("""COMPUTED_VALUE"""),"R")</f>
        <v>R</v>
      </c>
      <c r="O74" s="8"/>
      <c r="P74" s="8"/>
      <c r="Q74" s="10" t="str">
        <f>IFERROR(__xludf.DUMMYFUNCTION("""COMPUTED_VALUE"""),"営業（その他）_希望")</f>
        <v>営業（その他）_希望</v>
      </c>
      <c r="R74" s="8">
        <f>IFERROR(__xludf.DUMMYFUNCTION("""COMPUTED_VALUE"""),0.3)</f>
        <v>0.3</v>
      </c>
      <c r="S74" s="8" t="str">
        <f>IFERROR(__xludf.DUMMYFUNCTION("""COMPUTED_VALUE"""),"R")</f>
        <v>R</v>
      </c>
      <c r="T74" s="8"/>
      <c r="U74" s="8"/>
      <c r="V74" s="10" t="str">
        <f>IFERROR(__xludf.DUMMYFUNCTION("""COMPUTED_VALUE"""),"販サ（フロント）_希望")</f>
        <v>販サ（フロント）_希望</v>
      </c>
      <c r="W74" s="8">
        <f>IFERROR(__xludf.DUMMYFUNCTION("""COMPUTED_VALUE"""),0.3)</f>
        <v>0.3</v>
      </c>
      <c r="X74" s="8" t="str">
        <f>IFERROR(__xludf.DUMMYFUNCTION("""COMPUTED_VALUE"""),"R")</f>
        <v>R</v>
      </c>
      <c r="Y74" s="8"/>
      <c r="Z74" s="8"/>
      <c r="AA74" s="10"/>
      <c r="AB74" s="8"/>
      <c r="AC74" s="8"/>
      <c r="AD74" s="8"/>
      <c r="AE74" s="8"/>
      <c r="AF74" s="10" t="str">
        <f>IFERROR(__xludf.DUMMYFUNCTION("""COMPUTED_VALUE"""),"営業（キャリアカウンセラー）_希望")</f>
        <v>営業（キャリアカウンセラー）_希望</v>
      </c>
      <c r="AG74" s="8">
        <f>IFERROR(__xludf.DUMMYFUNCTION("""COMPUTED_VALUE"""),0.2)</f>
        <v>0.2</v>
      </c>
      <c r="AH74" s="8" t="str">
        <f>IFERROR(__xludf.DUMMYFUNCTION("""COMPUTED_VALUE"""),"R")</f>
        <v>R</v>
      </c>
      <c r="AI74" s="8"/>
      <c r="AJ74" s="8"/>
    </row>
    <row r="75" ht="17.25" customHeight="1">
      <c r="A75" s="11"/>
      <c r="B75" s="10" t="str">
        <f>IFERROR(__xludf.DUMMYFUNCTION("""COMPUTED_VALUE"""),"好条件×契約社員")</f>
        <v>好条件×契約社員</v>
      </c>
      <c r="C75" s="8">
        <f>IFERROR(__xludf.DUMMYFUNCTION("""COMPUTED_VALUE"""),1.2)</f>
        <v>1.2</v>
      </c>
      <c r="D75" s="8" t="str">
        <f>IFERROR(__xludf.DUMMYFUNCTION("""COMPUTED_VALUE"""),"R")</f>
        <v>R</v>
      </c>
      <c r="E75" s="8"/>
      <c r="F75" s="8"/>
      <c r="G75" s="10" t="str">
        <f>IFERROR(__xludf.DUMMYFUNCTION("""COMPUTED_VALUE"""),"転職回数不問")</f>
        <v>転職回数不問</v>
      </c>
      <c r="H75" s="8">
        <f>IFERROR(__xludf.DUMMYFUNCTION("""COMPUTED_VALUE"""),1.8)</f>
        <v>1.8</v>
      </c>
      <c r="I75" s="8" t="str">
        <f>IFERROR(__xludf.DUMMYFUNCTION("""COMPUTED_VALUE"""),"R")</f>
        <v>R</v>
      </c>
      <c r="J75" s="8"/>
      <c r="K75" s="8"/>
      <c r="L75" s="10"/>
      <c r="M75" s="8"/>
      <c r="N75" s="8"/>
      <c r="O75" s="8"/>
      <c r="P75" s="8"/>
      <c r="Q75" s="10" t="str">
        <f>IFERROR(__xludf.DUMMYFUNCTION("""COMPUTED_VALUE"""),"事務（医療事務）_希望")</f>
        <v>事務（医療事務）_希望</v>
      </c>
      <c r="R75" s="8">
        <f>IFERROR(__xludf.DUMMYFUNCTION("""COMPUTED_VALUE"""),0.5)</f>
        <v>0.5</v>
      </c>
      <c r="S75" s="8" t="str">
        <f>IFERROR(__xludf.DUMMYFUNCTION("""COMPUTED_VALUE"""),"R")</f>
        <v>R</v>
      </c>
      <c r="T75" s="8"/>
      <c r="U75" s="8"/>
      <c r="V75" s="10"/>
      <c r="W75" s="8"/>
      <c r="X75" s="8"/>
      <c r="Y75" s="8"/>
      <c r="Z75" s="8"/>
      <c r="AA75" s="10"/>
      <c r="AB75" s="8"/>
      <c r="AC75" s="8"/>
      <c r="AD75" s="8"/>
      <c r="AE75" s="8"/>
      <c r="AF75" s="10"/>
      <c r="AG75" s="8"/>
      <c r="AH75" s="8"/>
      <c r="AI75" s="8"/>
      <c r="AJ75" s="8"/>
    </row>
    <row r="76" ht="17.25" customHeight="1">
      <c r="A76" s="11"/>
      <c r="B76" s="12"/>
      <c r="C76" s="8"/>
      <c r="D76" s="8"/>
      <c r="E76" s="8"/>
      <c r="F76" s="8"/>
      <c r="G76" s="12"/>
      <c r="H76" s="8"/>
      <c r="I76" s="8"/>
      <c r="J76" s="8"/>
      <c r="K76" s="8"/>
      <c r="L76" s="12"/>
      <c r="M76" s="8"/>
      <c r="N76" s="8"/>
      <c r="O76" s="8"/>
      <c r="P76" s="8"/>
      <c r="Q76" s="12"/>
      <c r="R76" s="8"/>
      <c r="S76" s="8"/>
      <c r="T76" s="8"/>
      <c r="U76" s="8"/>
      <c r="V76" s="12"/>
      <c r="W76" s="8"/>
      <c r="X76" s="8"/>
      <c r="Y76" s="8"/>
      <c r="Z76" s="8"/>
      <c r="AA76" s="12"/>
      <c r="AB76" s="8"/>
      <c r="AC76" s="8"/>
      <c r="AD76" s="8"/>
      <c r="AE76" s="8"/>
      <c r="AF76" s="12"/>
      <c r="AG76" s="8"/>
      <c r="AH76" s="8"/>
      <c r="AI76" s="8"/>
      <c r="AJ76" s="8"/>
    </row>
    <row r="77" ht="17.25" customHeight="1">
      <c r="A77" s="11"/>
      <c r="B77" s="13"/>
      <c r="C77" s="8"/>
      <c r="D77" s="8"/>
      <c r="E77" s="8"/>
      <c r="F77" s="8"/>
      <c r="G77" s="13"/>
      <c r="H77" s="8"/>
      <c r="I77" s="8"/>
      <c r="J77" s="8"/>
      <c r="K77" s="8"/>
      <c r="L77" s="13"/>
      <c r="M77" s="8"/>
      <c r="N77" s="8"/>
      <c r="O77" s="8"/>
      <c r="P77" s="8"/>
      <c r="Q77" s="13"/>
      <c r="R77" s="8"/>
      <c r="S77" s="8"/>
      <c r="T77" s="8"/>
      <c r="U77" s="8"/>
      <c r="V77" s="13"/>
      <c r="W77" s="8"/>
      <c r="X77" s="8"/>
      <c r="Y77" s="8"/>
      <c r="Z77" s="8"/>
      <c r="AA77" s="13"/>
      <c r="AB77" s="8"/>
      <c r="AC77" s="8"/>
      <c r="AD77" s="8"/>
      <c r="AE77" s="8"/>
      <c r="AF77" s="13"/>
      <c r="AG77" s="8"/>
      <c r="AH77" s="8"/>
      <c r="AI77" s="8"/>
      <c r="AJ77" s="8"/>
    </row>
    <row r="78" ht="17.25" customHeight="1">
      <c r="A78" s="11"/>
      <c r="B78" s="13"/>
      <c r="C78" s="8"/>
      <c r="D78" s="8"/>
      <c r="E78" s="8"/>
      <c r="F78" s="8"/>
      <c r="G78" s="13"/>
      <c r="H78" s="8"/>
      <c r="I78" s="8"/>
      <c r="J78" s="8"/>
      <c r="K78" s="8"/>
      <c r="L78" s="13"/>
      <c r="M78" s="8"/>
      <c r="N78" s="8"/>
      <c r="O78" s="8"/>
      <c r="P78" s="8"/>
      <c r="Q78" s="13"/>
      <c r="R78" s="8"/>
      <c r="S78" s="8"/>
      <c r="T78" s="8"/>
      <c r="U78" s="8"/>
      <c r="V78" s="13"/>
      <c r="W78" s="8"/>
      <c r="X78" s="8"/>
      <c r="Y78" s="8"/>
      <c r="Z78" s="8"/>
      <c r="AA78" s="13"/>
      <c r="AB78" s="8"/>
      <c r="AC78" s="8"/>
      <c r="AD78" s="8"/>
      <c r="AE78" s="8"/>
      <c r="AF78" s="13"/>
      <c r="AG78" s="8"/>
      <c r="AH78" s="8"/>
      <c r="AI78" s="8"/>
      <c r="AJ78" s="8"/>
    </row>
    <row r="79" ht="17.25" customHeight="1">
      <c r="A79" s="11"/>
      <c r="B79" s="13"/>
      <c r="C79" s="8"/>
      <c r="D79" s="8"/>
      <c r="E79" s="8"/>
      <c r="F79" s="8"/>
      <c r="G79" s="13"/>
      <c r="H79" s="8"/>
      <c r="I79" s="8"/>
      <c r="J79" s="8"/>
      <c r="K79" s="8"/>
      <c r="L79" s="13"/>
      <c r="M79" s="8"/>
      <c r="N79" s="8"/>
      <c r="O79" s="8"/>
      <c r="P79" s="8"/>
      <c r="Q79" s="13"/>
      <c r="R79" s="8"/>
      <c r="S79" s="8"/>
      <c r="T79" s="8"/>
      <c r="U79" s="8"/>
      <c r="V79" s="13"/>
      <c r="W79" s="8"/>
      <c r="X79" s="8"/>
      <c r="Y79" s="8"/>
      <c r="Z79" s="8"/>
      <c r="AA79" s="13"/>
      <c r="AB79" s="8"/>
      <c r="AC79" s="8"/>
      <c r="AD79" s="8"/>
      <c r="AE79" s="8"/>
      <c r="AF79" s="13"/>
      <c r="AG79" s="8"/>
      <c r="AH79" s="8"/>
      <c r="AI79" s="8"/>
      <c r="AJ79" s="8"/>
    </row>
    <row r="80" ht="17.25" customHeight="1">
      <c r="A80" s="11"/>
      <c r="B80" s="13"/>
      <c r="C80" s="8"/>
      <c r="D80" s="8"/>
      <c r="E80" s="8"/>
      <c r="F80" s="8"/>
      <c r="G80" s="13"/>
      <c r="H80" s="8"/>
      <c r="I80" s="8"/>
      <c r="J80" s="8"/>
      <c r="K80" s="8"/>
      <c r="L80" s="13"/>
      <c r="M80" s="8"/>
      <c r="N80" s="8"/>
      <c r="O80" s="8"/>
      <c r="P80" s="8"/>
      <c r="Q80" s="13"/>
      <c r="R80" s="8"/>
      <c r="S80" s="8"/>
      <c r="T80" s="8"/>
      <c r="U80" s="8"/>
      <c r="V80" s="13"/>
      <c r="W80" s="8"/>
      <c r="X80" s="8"/>
      <c r="Y80" s="8"/>
      <c r="Z80" s="8"/>
      <c r="AA80" s="13"/>
      <c r="AB80" s="8"/>
      <c r="AC80" s="8"/>
      <c r="AD80" s="8"/>
      <c r="AE80" s="8"/>
      <c r="AF80" s="13"/>
      <c r="AG80" s="8"/>
      <c r="AH80" s="8"/>
      <c r="AI80" s="8"/>
      <c r="AJ80" s="8"/>
    </row>
    <row r="81" ht="17.25" customHeight="1">
      <c r="A81" s="11"/>
      <c r="B81" s="13"/>
      <c r="C81" s="8"/>
      <c r="D81" s="8"/>
      <c r="E81" s="8"/>
      <c r="F81" s="8"/>
      <c r="G81" s="13"/>
      <c r="H81" s="8"/>
      <c r="I81" s="8"/>
      <c r="J81" s="8"/>
      <c r="K81" s="8"/>
      <c r="L81" s="13"/>
      <c r="M81" s="8"/>
      <c r="N81" s="8"/>
      <c r="O81" s="8"/>
      <c r="P81" s="8"/>
      <c r="Q81" s="13"/>
      <c r="R81" s="8"/>
      <c r="S81" s="8"/>
      <c r="T81" s="8"/>
      <c r="U81" s="8"/>
      <c r="V81" s="13"/>
      <c r="W81" s="8"/>
      <c r="X81" s="8"/>
      <c r="Y81" s="8"/>
      <c r="Z81" s="8"/>
      <c r="AA81" s="13"/>
      <c r="AB81" s="8"/>
      <c r="AC81" s="8"/>
      <c r="AD81" s="8"/>
      <c r="AE81" s="8"/>
      <c r="AF81" s="13"/>
      <c r="AG81" s="8"/>
      <c r="AH81" s="8"/>
      <c r="AI81" s="8"/>
      <c r="AJ81" s="8"/>
    </row>
    <row r="82" ht="17.25" customHeight="1">
      <c r="A82" s="11"/>
      <c r="B82" s="13"/>
      <c r="C82" s="8"/>
      <c r="D82" s="8"/>
      <c r="E82" s="8"/>
      <c r="F82" s="8"/>
      <c r="G82" s="13"/>
      <c r="H82" s="8"/>
      <c r="I82" s="8"/>
      <c r="J82" s="8"/>
      <c r="K82" s="8"/>
      <c r="L82" s="13"/>
      <c r="M82" s="8"/>
      <c r="N82" s="8"/>
      <c r="O82" s="8"/>
      <c r="P82" s="8"/>
      <c r="Q82" s="13"/>
      <c r="R82" s="8"/>
      <c r="S82" s="8"/>
      <c r="T82" s="8"/>
      <c r="U82" s="8"/>
      <c r="V82" s="13"/>
      <c r="W82" s="8"/>
      <c r="X82" s="8"/>
      <c r="Y82" s="8"/>
      <c r="Z82" s="8"/>
      <c r="AA82" s="13"/>
      <c r="AB82" s="8"/>
      <c r="AC82" s="8"/>
      <c r="AD82" s="8"/>
      <c r="AE82" s="8"/>
      <c r="AF82" s="13"/>
      <c r="AG82" s="8"/>
      <c r="AH82" s="8"/>
      <c r="AI82" s="8"/>
      <c r="AJ82" s="8"/>
    </row>
    <row r="83" ht="17.25" customHeight="1">
      <c r="A83" s="9">
        <f>A73+1</f>
        <v>16</v>
      </c>
      <c r="B83" s="10" t="str">
        <f>IFERROR(__xludf.DUMMYFUNCTION("IFERROR(LET(
  day, TEXT(B$1, ""ddd""),
  hour, LOOKUP(2, 1/($A83&lt;&gt;""""), $A83),
  type_A, $A$1,
  list_data, IFERROR(FILTER({'リスト'!$E$4:$F142, 'リスト'!$O$4:$P142}, ('リスト'!$A$4:$A142=day)*('リスト'!$B$4:$B142=hour)*(('リスト'!$G$4:$G142=""毎週配信"")+('リスト'!$G$4:$G14"&amp;"2=type_A))), {"""","""","""",""""}),
  new_data, IFERROR(FILTER({'新規'!$E$2:$F142, '新規'!$O$2:$P142}, ('新規'!$A$2:$A142=B$1)*('新規'!$B$2:$B142=hour)),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"""")"),"35歳以上向け A")</f>
        <v>35歳以上向け A</v>
      </c>
      <c r="C83" s="8">
        <f>IFERROR(__xludf.DUMMYFUNCTION("""COMPUTED_VALUE"""),1.0)</f>
        <v>1</v>
      </c>
      <c r="D83" s="8" t="str">
        <f>IFERROR(__xludf.DUMMYFUNCTION("""COMPUTED_VALUE"""),"R")</f>
        <v>R</v>
      </c>
      <c r="E83" s="8"/>
      <c r="F83" s="8">
        <f>SUM(C83:C92)</f>
        <v>1.6</v>
      </c>
      <c r="G83" s="10" t="str">
        <f>IFERROR(__xludf.DUMMYFUNCTION("IFERROR(LET(
  day, TEXT(G$1, ""ddd""),
  hour, LOOKUP(2, 1/($A83&lt;&gt;""""), $A83),
  type_A, $A$1,
  list_data, IFERROR(FILTER({'リスト'!$E$4:$F142, 'リスト'!$O$4:$P142}, ('リスト'!$A$4:$A142=day)*('リスト'!$B$4:$B142=hour)*(('リスト'!$G$4:$G142=""毎週配信"")+('リスト'!$G$4:$G14"&amp;"2=type_A))), {"""","""","""",""""}),
  new_data, IFERROR(FILTER({'新規'!$E$2:$F142, '新規'!$O$2:$P142}, ('新規'!$A$2:$A142=G$1)*('新規'!$B$2:$B142=hour)),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"""")"),"年収UP_関西")</f>
        <v>年収UP_関西</v>
      </c>
      <c r="H83" s="8">
        <f>IFERROR(__xludf.DUMMYFUNCTION("""COMPUTED_VALUE"""),1.0)</f>
        <v>1</v>
      </c>
      <c r="I83" s="8" t="str">
        <f>IFERROR(__xludf.DUMMYFUNCTION("""COMPUTED_VALUE"""),"R")</f>
        <v>R</v>
      </c>
      <c r="J83" s="8"/>
      <c r="K83" s="8">
        <f>SUM(H83:H92)</f>
        <v>3.8</v>
      </c>
      <c r="L83" s="10" t="str">
        <f>IFERROR(__xludf.DUMMYFUNCTION("IFERROR(LET(
  day, TEXT(L$1, ""ddd""),
  hour, LOOKUP(2, 1/($A83&lt;&gt;""""), $A83),
  type_A, $A$1,
  list_data, IFERROR(FILTER({'リスト'!$E$4:$F142, 'リスト'!$O$4:$P142}, ('リスト'!$A$4:$A142=day)*('リスト'!$B$4:$B142=hour)*(('リスト'!$G$4:$G142=""毎週配信"")+('リスト'!$G$4:$G14"&amp;"2=type_A))), {"""","""","""",""""}),
  new_data, IFERROR(FILTER({'新規'!$E$2:$F142, '新規'!$O$2:$P142}, ('新規'!$A$2:$A142=L$1)*('新規'!$B$2:$B142=hour)),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"""")"),"エンジニア限定_単独求人メルマガ")</f>
        <v>エンジニア限定_単独求人メルマガ</v>
      </c>
      <c r="M83" s="8">
        <f>IFERROR(__xludf.DUMMYFUNCTION("""COMPUTED_VALUE"""),0.5)</f>
        <v>0.5</v>
      </c>
      <c r="N83" s="8" t="str">
        <f>IFERROR(__xludf.DUMMYFUNCTION("""COMPUTED_VALUE"""),"武")</f>
        <v>武</v>
      </c>
      <c r="O83" s="8" t="str">
        <f>IFERROR(__xludf.DUMMYFUNCTION("""COMPUTED_VALUE"""),"部")</f>
        <v>部</v>
      </c>
      <c r="P83" s="8">
        <f>SUM(M83:M92)</f>
        <v>2.6</v>
      </c>
      <c r="Q83" s="10" t="str">
        <f>IFERROR(__xludf.DUMMYFUNCTION("IFERROR(LET(
  day, TEXT(Q$1, ""ddd""),
  hour, LOOKUP(2, 1/($A83&lt;&gt;""""), $A83),
  type_A, $A$1,
  list_data, IFERROR(FILTER({'リスト'!$E$4:$F142, 'リスト'!$O$4:$P142}, ('リスト'!$A$4:$A142=day)*('リスト'!$B$4:$B142=hour)*(('リスト'!$G$4:$G142=""毎週配信"")+('リスト'!$G$4:$G14"&amp;"2=type_A))), {"""","""","""",""""}),
  new_data, IFERROR(FILTER({'新規'!$E$2:$F142, '新規'!$O$2:$P142}, ('新規'!$A$2:$A142=Q$1)*('新規'!$B$2:$B142=hour)),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"""")"),"◇ポジションマッチ B1")</f>
        <v>◇ポジションマッチ B1</v>
      </c>
      <c r="R83" s="8">
        <f>IFERROR(__xludf.DUMMYFUNCTION("""COMPUTED_VALUE"""),2.5)</f>
        <v>2.5</v>
      </c>
      <c r="S83" s="8" t="str">
        <f>IFERROR(__xludf.DUMMYFUNCTION("""COMPUTED_VALUE"""),"荒")</f>
        <v>荒</v>
      </c>
      <c r="T83" s="8" t="str">
        <f>IFERROR(__xludf.DUMMYFUNCTION("""COMPUTED_VALUE"""),"平")</f>
        <v>平</v>
      </c>
      <c r="U83" s="8">
        <f>SUM(R83:R92)</f>
        <v>5</v>
      </c>
      <c r="V83" s="10" t="str">
        <f>IFERROR(__xludf.DUMMYFUNCTION("IFERROR(LET(
  day, TEXT(V$1, ""ddd""),
  hour, LOOKUP(2, 1/($A83&lt;&gt;""""), $A83),
  type_A, $A$1,
  list_data, IFERROR(FILTER({'リスト'!$E$4:$F142, 'リスト'!$O$4:$P142}, ('リスト'!$A$4:$A142=day)*('リスト'!$B$4:$B142=hour)*(('リスト'!$G$4:$G142=""毎週配信"")+('リスト'!$G$4:$G14"&amp;"2=type_A))), {"""","""","""",""""}),
  new_data, IFERROR(FILTER({'新規'!$E$2:$F142, '新規'!$O$2:$P142}, ('新規'!$A$2:$A142=V$1)*('新規'!$B$2:$B142=hour)),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"""")"),"☆救済メルマガ(UP10)")</f>
        <v>☆救済メルマガ(UP10)</v>
      </c>
      <c r="W83" s="8">
        <f>IFERROR(__xludf.DUMMYFUNCTION("""COMPUTED_VALUE"""),4.0)</f>
        <v>4</v>
      </c>
      <c r="X83" s="8" t="str">
        <f>IFERROR(__xludf.DUMMYFUNCTION("""COMPUTED_VALUE"""),"平")</f>
        <v>平</v>
      </c>
      <c r="Y83" s="8" t="str">
        <f>IFERROR(__xludf.DUMMYFUNCTION("""COMPUTED_VALUE"""),"荒")</f>
        <v>荒</v>
      </c>
      <c r="Z83" s="8">
        <f>SUM(W83:W92)</f>
        <v>4</v>
      </c>
      <c r="AA83" s="10" t="str">
        <f>IFERROR(__xludf.DUMMYFUNCTION("IFERROR(LET(
  day, TEXT(AA$1, ""ddd""),
  hour, LOOKUP(2, 1/($A83&lt;&gt;""""), $A83),
  type_A, $A$1,
  list_data, IFERROR(FILTER({'リスト'!$E$4:$F142, 'リスト'!$O$4:$P142}, ('リスト'!$A$4:$A142=day)*('リスト'!$B$4:$B142=hour)*(('リスト'!$G$4:$G142=""毎週配信"")+('リスト'!$G$4:$G1"&amp;"42=type_A))), {"""","""","""",""""}),
  new_data, IFERROR(FILTER({'新規'!$E$2:$F142, '新規'!$O$2:$P142}, ('新規'!$A$2:$A142=AA$1)*('新規'!$B$2:$B142=hour)),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f>
        <v/>
      </c>
      <c r="AB83" s="8"/>
      <c r="AC83" s="8"/>
      <c r="AD83" s="8"/>
      <c r="AE83" s="8">
        <f>SUM(AB83:AB92)</f>
        <v>0</v>
      </c>
      <c r="AF83" s="10" t="str">
        <f>IFERROR(__xludf.DUMMYFUNCTION("IFERROR(LET(
  day, TEXT(AF$1, ""ddd""),
  hour, LOOKUP(2, 1/($A83&lt;&gt;""""), $A83),
  type_A, $A$1,
  list_data, IFERROR(FILTER({'リスト'!$E$4:$F142, 'リスト'!$O$4:$P142}, ('リスト'!$A$4:$A142=day)*('リスト'!$B$4:$B142=hour)*(('リスト'!$G$4:$G142=""毎週配信"")+('リスト'!$G$4:$G1"&amp;"42=type_A))), {"""","""","""",""""}),
  new_data, IFERROR(FILTER({'新規'!$E$2:$F142, '新規'!$O$2:$P142}, ('新規'!$A$2:$A142=AF$1)*('新規'!$B$2:$B142=hour)),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"""")"),"事務職 B")</f>
        <v>事務職 B</v>
      </c>
      <c r="AG83" s="8">
        <f>IFERROR(__xludf.DUMMYFUNCTION("""COMPUTED_VALUE"""),1.7)</f>
        <v>1.7</v>
      </c>
      <c r="AH83" s="8" t="str">
        <f>IFERROR(__xludf.DUMMYFUNCTION("""COMPUTED_VALUE"""),"R")</f>
        <v>R</v>
      </c>
      <c r="AI83" s="8"/>
      <c r="AJ83" s="8">
        <f>SUM(AG83:AG92)</f>
        <v>5.7</v>
      </c>
    </row>
    <row r="84" ht="17.25" customHeight="1">
      <c r="A84" s="11"/>
      <c r="B84" s="10" t="str">
        <f>IFERROR(__xludf.DUMMYFUNCTION("""COMPUTED_VALUE"""),"育児両立_フレックス")</f>
        <v>育児両立_フレックス</v>
      </c>
      <c r="C84" s="8">
        <f>IFERROR(__xludf.DUMMYFUNCTION("""COMPUTED_VALUE"""),0.6)</f>
        <v>0.6</v>
      </c>
      <c r="D84" s="8" t="str">
        <f>IFERROR(__xludf.DUMMYFUNCTION("""COMPUTED_VALUE"""),"R")</f>
        <v>R</v>
      </c>
      <c r="E84" s="8"/>
      <c r="F84" s="8"/>
      <c r="G84" s="10" t="str">
        <f>IFERROR(__xludf.DUMMYFUNCTION("""COMPUTED_VALUE"""),"副業OK×リモート_ランキング")</f>
        <v>副業OK×リモート_ランキング</v>
      </c>
      <c r="H84" s="8">
        <f>IFERROR(__xludf.DUMMYFUNCTION("""COMPUTED_VALUE"""),2.8)</f>
        <v>2.8</v>
      </c>
      <c r="I84" s="8" t="str">
        <f>IFERROR(__xludf.DUMMYFUNCTION("""COMPUTED_VALUE"""),"R")</f>
        <v>R</v>
      </c>
      <c r="J84" s="8"/>
      <c r="K84" s="8"/>
      <c r="L84" s="10" t="str">
        <f>IFERROR(__xludf.DUMMYFUNCTION("""COMPUTED_VALUE"""),"年休130日以上_残業10時間以下")</f>
        <v>年休130日以上_残業10時間以下</v>
      </c>
      <c r="M84" s="8">
        <f>IFERROR(__xludf.DUMMYFUNCTION("""COMPUTED_VALUE"""),2.1)</f>
        <v>2.1</v>
      </c>
      <c r="N84" s="8" t="str">
        <f>IFERROR(__xludf.DUMMYFUNCTION("""COMPUTED_VALUE"""),"R")</f>
        <v>R</v>
      </c>
      <c r="O84" s="8"/>
      <c r="P84" s="8"/>
      <c r="Q84" s="10" t="str">
        <f>IFERROR(__xludf.DUMMYFUNCTION("""COMPUTED_VALUE"""),"◇ポジションマッチ_36歳以上 B1")</f>
        <v>◇ポジションマッチ_36歳以上 B1</v>
      </c>
      <c r="R84" s="8">
        <f>IFERROR(__xludf.DUMMYFUNCTION("""COMPUTED_VALUE"""),2.5)</f>
        <v>2.5</v>
      </c>
      <c r="S84" s="8" t="str">
        <f>IFERROR(__xludf.DUMMYFUNCTION("""COMPUTED_VALUE"""),"荒")</f>
        <v>荒</v>
      </c>
      <c r="T84" s="8" t="str">
        <f>IFERROR(__xludf.DUMMYFUNCTION("""COMPUTED_VALUE"""),"平")</f>
        <v>平</v>
      </c>
      <c r="U84" s="8"/>
      <c r="V84" s="10"/>
      <c r="W84" s="8"/>
      <c r="X84" s="8"/>
      <c r="Y84" s="8"/>
      <c r="Z84" s="8"/>
      <c r="AA84" s="10"/>
      <c r="AB84" s="8"/>
      <c r="AC84" s="8"/>
      <c r="AD84" s="8"/>
      <c r="AE84" s="8"/>
      <c r="AF84" s="10" t="str">
        <f>IFERROR(__xludf.DUMMYFUNCTION("""COMPUTED_VALUE"""),"事務職_35歳以上 B")</f>
        <v>事務職_35歳以上 B</v>
      </c>
      <c r="AG84" s="8">
        <f>IFERROR(__xludf.DUMMYFUNCTION("""COMPUTED_VALUE"""),3.0)</f>
        <v>3</v>
      </c>
      <c r="AH84" s="8" t="str">
        <f>IFERROR(__xludf.DUMMYFUNCTION("""COMPUTED_VALUE"""),"R")</f>
        <v>R</v>
      </c>
      <c r="AI84" s="8"/>
      <c r="AJ84" s="8"/>
    </row>
    <row r="85" ht="17.25" customHeight="1">
      <c r="A85" s="11"/>
      <c r="B85" s="10"/>
      <c r="C85" s="8"/>
      <c r="D85" s="8"/>
      <c r="E85" s="8"/>
      <c r="F85" s="8"/>
      <c r="G85" s="10"/>
      <c r="H85" s="8"/>
      <c r="I85" s="8"/>
      <c r="J85" s="8"/>
      <c r="K85" s="8"/>
      <c r="L85" s="10"/>
      <c r="M85" s="8"/>
      <c r="N85" s="8"/>
      <c r="O85" s="8"/>
      <c r="P85" s="8"/>
      <c r="Q85" s="10"/>
      <c r="R85" s="8"/>
      <c r="S85" s="8"/>
      <c r="T85" s="8"/>
      <c r="U85" s="8"/>
      <c r="V85" s="10"/>
      <c r="W85" s="8"/>
      <c r="X85" s="8"/>
      <c r="Y85" s="8"/>
      <c r="Z85" s="8"/>
      <c r="AA85" s="10"/>
      <c r="AB85" s="8"/>
      <c r="AC85" s="8"/>
      <c r="AD85" s="8"/>
      <c r="AE85" s="8"/>
      <c r="AF85" s="10" t="str">
        <f>IFERROR(__xludf.DUMMYFUNCTION("""COMPUTED_VALUE"""),"事務職_関西 B")</f>
        <v>事務職_関西 B</v>
      </c>
      <c r="AG85" s="8">
        <f>IFERROR(__xludf.DUMMYFUNCTION("""COMPUTED_VALUE"""),1.0)</f>
        <v>1</v>
      </c>
      <c r="AH85" s="8" t="str">
        <f>IFERROR(__xludf.DUMMYFUNCTION("""COMPUTED_VALUE"""),"R")</f>
        <v>R</v>
      </c>
      <c r="AI85" s="8"/>
      <c r="AJ85" s="8"/>
    </row>
    <row r="86" ht="17.25" customHeight="1">
      <c r="A86" s="11"/>
      <c r="B86" s="12"/>
      <c r="C86" s="8"/>
      <c r="D86" s="8"/>
      <c r="E86" s="8"/>
      <c r="F86" s="8"/>
      <c r="G86" s="12"/>
      <c r="H86" s="8"/>
      <c r="I86" s="8"/>
      <c r="J86" s="8"/>
      <c r="K86" s="8"/>
      <c r="L86" s="12"/>
      <c r="M86" s="8"/>
      <c r="N86" s="8"/>
      <c r="O86" s="8"/>
      <c r="P86" s="8"/>
      <c r="Q86" s="12"/>
      <c r="R86" s="8"/>
      <c r="S86" s="8"/>
      <c r="T86" s="8"/>
      <c r="U86" s="8"/>
      <c r="V86" s="12"/>
      <c r="W86" s="8"/>
      <c r="X86" s="8"/>
      <c r="Y86" s="8"/>
      <c r="Z86" s="8"/>
      <c r="AA86" s="12"/>
      <c r="AB86" s="8"/>
      <c r="AC86" s="8"/>
      <c r="AD86" s="8"/>
      <c r="AE86" s="8"/>
      <c r="AF86" s="12"/>
      <c r="AG86" s="8"/>
      <c r="AH86" s="8"/>
      <c r="AI86" s="8"/>
      <c r="AJ86" s="8"/>
    </row>
    <row r="87" ht="17.25" customHeight="1">
      <c r="A87" s="11"/>
      <c r="B87" s="13"/>
      <c r="C87" s="8"/>
      <c r="D87" s="8"/>
      <c r="E87" s="8"/>
      <c r="F87" s="8"/>
      <c r="G87" s="13"/>
      <c r="H87" s="8"/>
      <c r="I87" s="8"/>
      <c r="J87" s="8"/>
      <c r="K87" s="8"/>
      <c r="L87" s="13"/>
      <c r="M87" s="8"/>
      <c r="N87" s="8"/>
      <c r="O87" s="8"/>
      <c r="P87" s="8"/>
      <c r="Q87" s="13"/>
      <c r="R87" s="8"/>
      <c r="S87" s="8"/>
      <c r="T87" s="8"/>
      <c r="U87" s="8"/>
      <c r="V87" s="13"/>
      <c r="W87" s="8"/>
      <c r="X87" s="8"/>
      <c r="Y87" s="8"/>
      <c r="Z87" s="8"/>
      <c r="AA87" s="13"/>
      <c r="AB87" s="8"/>
      <c r="AC87" s="8"/>
      <c r="AD87" s="8"/>
      <c r="AE87" s="8"/>
      <c r="AF87" s="13"/>
      <c r="AG87" s="8"/>
      <c r="AH87" s="8"/>
      <c r="AI87" s="8"/>
      <c r="AJ87" s="8"/>
    </row>
    <row r="88" ht="17.25" customHeight="1">
      <c r="A88" s="11"/>
      <c r="B88" s="13"/>
      <c r="C88" s="8"/>
      <c r="D88" s="8"/>
      <c r="E88" s="8"/>
      <c r="F88" s="8"/>
      <c r="G88" s="13"/>
      <c r="H88" s="8"/>
      <c r="I88" s="8"/>
      <c r="J88" s="8"/>
      <c r="K88" s="8"/>
      <c r="L88" s="13"/>
      <c r="M88" s="8"/>
      <c r="N88" s="8"/>
      <c r="O88" s="8"/>
      <c r="P88" s="8"/>
      <c r="Q88" s="13"/>
      <c r="R88" s="8"/>
      <c r="S88" s="8"/>
      <c r="T88" s="8"/>
      <c r="U88" s="8"/>
      <c r="V88" s="13"/>
      <c r="W88" s="8"/>
      <c r="X88" s="8"/>
      <c r="Y88" s="8"/>
      <c r="Z88" s="8"/>
      <c r="AA88" s="13"/>
      <c r="AB88" s="8"/>
      <c r="AC88" s="8"/>
      <c r="AD88" s="8"/>
      <c r="AE88" s="8"/>
      <c r="AF88" s="13"/>
      <c r="AG88" s="8"/>
      <c r="AH88" s="8"/>
      <c r="AI88" s="8"/>
      <c r="AJ88" s="8"/>
    </row>
    <row r="89" ht="17.25" customHeight="1">
      <c r="A89" s="11"/>
      <c r="B89" s="13"/>
      <c r="C89" s="8"/>
      <c r="D89" s="8"/>
      <c r="E89" s="8"/>
      <c r="F89" s="8"/>
      <c r="G89" s="13"/>
      <c r="H89" s="8"/>
      <c r="I89" s="8"/>
      <c r="J89" s="8"/>
      <c r="K89" s="8"/>
      <c r="L89" s="13"/>
      <c r="M89" s="8"/>
      <c r="N89" s="8"/>
      <c r="O89" s="8"/>
      <c r="P89" s="8"/>
      <c r="Q89" s="13"/>
      <c r="R89" s="8"/>
      <c r="S89" s="8"/>
      <c r="T89" s="8"/>
      <c r="U89" s="8"/>
      <c r="V89" s="13"/>
      <c r="W89" s="8"/>
      <c r="X89" s="8"/>
      <c r="Y89" s="8"/>
      <c r="Z89" s="8"/>
      <c r="AA89" s="13"/>
      <c r="AB89" s="8"/>
      <c r="AC89" s="8"/>
      <c r="AD89" s="8"/>
      <c r="AE89" s="8"/>
      <c r="AF89" s="13"/>
      <c r="AG89" s="8"/>
      <c r="AH89" s="8"/>
      <c r="AI89" s="8"/>
      <c r="AJ89" s="8"/>
    </row>
    <row r="90" ht="17.25" customHeight="1">
      <c r="A90" s="11"/>
      <c r="B90" s="13"/>
      <c r="C90" s="8"/>
      <c r="D90" s="8"/>
      <c r="E90" s="8"/>
      <c r="F90" s="8"/>
      <c r="G90" s="13"/>
      <c r="H90" s="8"/>
      <c r="I90" s="8"/>
      <c r="J90" s="8"/>
      <c r="K90" s="8"/>
      <c r="L90" s="13"/>
      <c r="M90" s="8"/>
      <c r="N90" s="8"/>
      <c r="O90" s="8"/>
      <c r="P90" s="8"/>
      <c r="Q90" s="13"/>
      <c r="R90" s="8"/>
      <c r="S90" s="8"/>
      <c r="T90" s="8"/>
      <c r="U90" s="8"/>
      <c r="V90" s="13"/>
      <c r="W90" s="8"/>
      <c r="X90" s="8"/>
      <c r="Y90" s="8"/>
      <c r="Z90" s="8"/>
      <c r="AA90" s="13"/>
      <c r="AB90" s="8"/>
      <c r="AC90" s="8"/>
      <c r="AD90" s="8"/>
      <c r="AE90" s="8"/>
      <c r="AF90" s="13"/>
      <c r="AG90" s="8"/>
      <c r="AH90" s="8"/>
      <c r="AI90" s="8"/>
      <c r="AJ90" s="8"/>
    </row>
    <row r="91" ht="17.25" customHeight="1">
      <c r="A91" s="11"/>
      <c r="B91" s="13"/>
      <c r="C91" s="8"/>
      <c r="D91" s="8"/>
      <c r="E91" s="8"/>
      <c r="F91" s="8"/>
      <c r="G91" s="13"/>
      <c r="H91" s="8"/>
      <c r="I91" s="8"/>
      <c r="J91" s="8"/>
      <c r="K91" s="8"/>
      <c r="L91" s="13"/>
      <c r="M91" s="8"/>
      <c r="N91" s="8"/>
      <c r="O91" s="8"/>
      <c r="P91" s="8"/>
      <c r="Q91" s="13"/>
      <c r="R91" s="8"/>
      <c r="S91" s="8"/>
      <c r="T91" s="8"/>
      <c r="U91" s="8"/>
      <c r="V91" s="13"/>
      <c r="W91" s="8"/>
      <c r="X91" s="8"/>
      <c r="Y91" s="8"/>
      <c r="Z91" s="8"/>
      <c r="AA91" s="13"/>
      <c r="AB91" s="8"/>
      <c r="AC91" s="8"/>
      <c r="AD91" s="8"/>
      <c r="AE91" s="8"/>
      <c r="AF91" s="13"/>
      <c r="AG91" s="8"/>
      <c r="AH91" s="8"/>
      <c r="AI91" s="8"/>
      <c r="AJ91" s="8"/>
    </row>
    <row r="92" ht="17.25" customHeight="1">
      <c r="A92" s="11"/>
      <c r="B92" s="13"/>
      <c r="C92" s="8"/>
      <c r="D92" s="8"/>
      <c r="E92" s="8"/>
      <c r="F92" s="8"/>
      <c r="G92" s="13"/>
      <c r="H92" s="8"/>
      <c r="I92" s="8"/>
      <c r="J92" s="8"/>
      <c r="K92" s="8"/>
      <c r="L92" s="13"/>
      <c r="M92" s="8"/>
      <c r="N92" s="8"/>
      <c r="O92" s="8"/>
      <c r="P92" s="8"/>
      <c r="Q92" s="13"/>
      <c r="R92" s="8"/>
      <c r="S92" s="8"/>
      <c r="T92" s="8"/>
      <c r="U92" s="8"/>
      <c r="V92" s="13"/>
      <c r="W92" s="8"/>
      <c r="X92" s="8"/>
      <c r="Y92" s="8"/>
      <c r="Z92" s="8"/>
      <c r="AA92" s="13"/>
      <c r="AB92" s="8"/>
      <c r="AC92" s="8"/>
      <c r="AD92" s="8"/>
      <c r="AE92" s="8"/>
      <c r="AF92" s="13"/>
      <c r="AG92" s="8"/>
      <c r="AH92" s="8"/>
      <c r="AI92" s="8"/>
      <c r="AJ92" s="8"/>
    </row>
    <row r="93" ht="17.25" customHeight="1">
      <c r="A93" s="9">
        <f>A83+1</f>
        <v>17</v>
      </c>
      <c r="B93" s="10" t="str">
        <f>IFERROR(__xludf.DUMMYFUNCTION("IFERROR(LET(
  day, TEXT(B$1, ""ddd""),
  hour, LOOKUP(2, 1/($A93&lt;&gt;""""), $A93),
  type_A, $A$1,
  list_data, IFERROR(FILTER({'リスト'!$E$4:$F142, 'リスト'!$O$4:$P142}, ('リスト'!$A$4:$A142=day)*('リスト'!$B$4:$B142=hour)*(('リスト'!$G$4:$G142=""毎週配信"")+('リスト'!$G$4:$G14"&amp;"2=type_A))), {"""","""","""",""""}),
  new_data, IFERROR(FILTER({'新規'!$E$2:$F142, '新規'!$O$2:$P142}, ('新規'!$A$2:$A142=B$1)*('新規'!$B$2:$B142=hour)),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"""")"),"引っ越し特典")</f>
        <v>引っ越し特典</v>
      </c>
      <c r="C93" s="8">
        <f>IFERROR(__xludf.DUMMYFUNCTION("""COMPUTED_VALUE"""),2.3)</f>
        <v>2.3</v>
      </c>
      <c r="D93" s="8" t="str">
        <f>IFERROR(__xludf.DUMMYFUNCTION("""COMPUTED_VALUE"""),"部")</f>
        <v>部</v>
      </c>
      <c r="E93" s="8" t="str">
        <f>IFERROR(__xludf.DUMMYFUNCTION("""COMPUTED_VALUE"""),"石")</f>
        <v>石</v>
      </c>
      <c r="F93" s="8">
        <f>SUM(C93:C102)</f>
        <v>7.2</v>
      </c>
      <c r="G93" s="10" t="str">
        <f>IFERROR(__xludf.DUMMYFUNCTION("IFERROR(LET(
  day, TEXT(G$1, ""ddd""),
  hour, LOOKUP(2, 1/($A93&lt;&gt;""""), $A93),
  type_A, $A$1,
  list_data, IFERROR(FILTER({'リスト'!$E$4:$F142, 'リスト'!$O$4:$P142}, ('リスト'!$A$4:$A142=day)*('リスト'!$B$4:$B142=hour)*(('リスト'!$G$4:$G142=""毎週配信"")+('リスト'!$G$4:$G14"&amp;"2=type_A))), {"""","""","""",""""}),
  new_data, IFERROR(FILTER({'新規'!$E$2:$F142, '新規'!$O$2:$P142}, ('新規'!$A$2:$A142=G$1)*('新規'!$B$2:$B142=hour)),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"""")"),"☆推進課")</f>
        <v>☆推進課</v>
      </c>
      <c r="H93" s="8">
        <f>IFERROR(__xludf.DUMMYFUNCTION("""COMPUTED_VALUE"""),3.0)</f>
        <v>3</v>
      </c>
      <c r="I93" s="8" t="str">
        <f>IFERROR(__xludf.DUMMYFUNCTION("""COMPUTED_VALUE"""),"荒")</f>
        <v>荒</v>
      </c>
      <c r="J93" s="8" t="str">
        <f>IFERROR(__xludf.DUMMYFUNCTION("""COMPUTED_VALUE"""),"平")</f>
        <v>平</v>
      </c>
      <c r="K93" s="8">
        <f>SUM(H93:H102)</f>
        <v>8.1</v>
      </c>
      <c r="L93" s="10" t="str">
        <f>IFERROR(__xludf.DUMMYFUNCTION("IFERROR(LET(
  day, TEXT(L$1, ""ddd""),
  hour, LOOKUP(2, 1/($A93&lt;&gt;""""), $A93),
  type_A, $A$1,
  list_data, IFERROR(FILTER({'リスト'!$E$4:$F142, 'リスト'!$O$4:$P142}, ('リスト'!$A$4:$A142=day)*('リスト'!$B$4:$B142=hour)*(('リスト'!$G$4:$G142=""毎週配信"")+('リスト'!$G$4:$G14"&amp;"2=type_A))), {"""","""","""",""""}),
  new_data, IFERROR(FILTER({'新規'!$E$2:$F142, '新規'!$O$2:$P142}, ('新規'!$A$2:$A142=L$1)*('新規'!$B$2:$B142=hour)),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"""")"),"単独求人訴求メルマガ_C")</f>
        <v>単独求人訴求メルマガ_C</v>
      </c>
      <c r="M93" s="8">
        <f>IFERROR(__xludf.DUMMYFUNCTION("""COMPUTED_VALUE"""),2.3)</f>
        <v>2.3</v>
      </c>
      <c r="N93" s="8" t="str">
        <f>IFERROR(__xludf.DUMMYFUNCTION("""COMPUTED_VALUE"""),"石")</f>
        <v>石</v>
      </c>
      <c r="O93" s="8" t="str">
        <f>IFERROR(__xludf.DUMMYFUNCTION("""COMPUTED_VALUE"""),"武")</f>
        <v>武</v>
      </c>
      <c r="P93" s="8">
        <f>SUM(M93:M102)</f>
        <v>2.9</v>
      </c>
      <c r="Q93" s="10" t="str">
        <f>IFERROR(__xludf.DUMMYFUNCTION("IFERROR(LET(
  day, TEXT(Q$1, ""ddd""),
  hour, LOOKUP(2, 1/($A93&lt;&gt;""""), $A93),
  type_A, $A$1,
  list_data, IFERROR(FILTER({'リスト'!$E$4:$F142, 'リスト'!$O$4:$P142}, ('リスト'!$A$4:$A142=day)*('リスト'!$B$4:$B142=hour)*(('リスト'!$G$4:$G142=""毎週配信"")+('リスト'!$G$4:$G14"&amp;"2=type_A))), {"""","""","""",""""}),
  new_data, IFERROR(FILTER({'新規'!$E$2:$F142, '新規'!$O$2:$P142}, ('新規'!$A$2:$A142=Q$1)*('新規'!$B$2:$B142=hour)),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"""")"),"☆Womantype[全]")</f>
        <v>☆Womantype[全]</v>
      </c>
      <c r="R93" s="8">
        <f>IFERROR(__xludf.DUMMYFUNCTION("""COMPUTED_VALUE"""),5.0)</f>
        <v>5</v>
      </c>
      <c r="S93" s="8" t="str">
        <f>IFERROR(__xludf.DUMMYFUNCTION("""COMPUTED_VALUE"""),"内")</f>
        <v>内</v>
      </c>
      <c r="T93" s="8" t="str">
        <f>IFERROR(__xludf.DUMMYFUNCTION("""COMPUTED_VALUE"""),"平")</f>
        <v>平</v>
      </c>
      <c r="U93" s="8">
        <f>SUM(R93:R102)</f>
        <v>5</v>
      </c>
      <c r="V93" s="10" t="str">
        <f>IFERROR(__xludf.DUMMYFUNCTION("IFERROR(LET(
  day, TEXT(V$1, ""ddd""),
  hour, LOOKUP(2, 1/($A93&lt;&gt;""""), $A93),
  type_A, $A$1,
  list_data, IFERROR(FILTER({'リスト'!$E$4:$F142, 'リスト'!$O$4:$P142}, ('リスト'!$A$4:$A142=day)*('リスト'!$B$4:$B142=hour)*(('リスト'!$G$4:$G142=""毎週配信"")+('リスト'!$G$4:$G14"&amp;"2=type_A))), {"""","""","""",""""}),
  new_data, IFERROR(FILTER({'新規'!$E$2:$F142, '新規'!$O$2:$P142}, ('新規'!$A$2:$A142=V$1)*('新規'!$B$2:$B142=hour)), {"""","""","""",""""}),
  special_data, IFERROR(FILTER({'特殊配信マスタ'!$E$2:$F142, '特殊配信マスタ'!$O$2:$P142}, ('特殊配信マ"&amp;"スタ'!$A$2:$A142=day)*('特殊配信マスタ'!$B$2:$B142=hour)*('特殊配信マスタ'!$R$2:$R142='特殊配信マスタ'!$S$2:$S142)), {"""","""","""",""""}),
  combined, VSTACK(list_data, new_data, special_data),
  FILTER(combined, INDEX(combined, , 1)&lt;&gt;"""", INDEX(combined, , 1)&lt;&gt;0)
), """")"),"京都市で働く")</f>
        <v>京都市で働く</v>
      </c>
      <c r="W93" s="8">
        <f>IFERROR(__xludf.DUMMYFUNCTION("""COMPUTED_VALUE"""),0.2)</f>
        <v>0.2</v>
      </c>
      <c r="X93" s="8" t="str">
        <f>IFERROR(__xludf.DUMMYFUNCTION("""COMPUTED_VALUE"""),"部")</f>
        <v>部</v>
      </c>
      <c r="Y93" s="8" t="str">
        <f>IFERROR(__xludf.DUMMYFUNCTION("""COMPUTED_VALUE"""),"武")</f>
        <v>武</v>
      </c>
      <c r="Z93" s="8">
        <f>SUM(W93:W102)</f>
        <v>4.1</v>
      </c>
      <c r="AA93" s="10" t="str">
        <f>IFERROR(__xludf.DUMMYFUNCTION("IFERROR(LET(
  day, TEXT(AA$1, ""ddd""),
  hour, LOOKUP(2, 1/($A93&lt;&gt;""""), $A93),
  type_A, $A$1,
  list_data, IFERROR(FILTER({'リスト'!$E$4:$F142, 'リスト'!$O$4:$P142}, ('リスト'!$A$4:$A142=day)*('リスト'!$B$4:$B142=hour)*(('リスト'!$G$4:$G142=""毎週配信"")+('リスト'!$G$4:$G1"&amp;"42=type_A))), {"""","""","""",""""}),
  new_data, IFERROR(FILTER({'新規'!$E$2:$F142, '新規'!$O$2:$P142}, ('新規'!$A$2:$A142=AA$1)*('新規'!$B$2:$B142=hour)),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"""")"),"☆IT派遣［全］")</f>
        <v>☆IT派遣［全］</v>
      </c>
      <c r="AB93" s="8">
        <f>IFERROR(__xludf.DUMMYFUNCTION("""COMPUTED_VALUE"""),2.6)</f>
        <v>2.6</v>
      </c>
      <c r="AC93" s="8" t="str">
        <f>IFERROR(__xludf.DUMMYFUNCTION("""COMPUTED_VALUE"""),"内")</f>
        <v>内</v>
      </c>
      <c r="AD93" s="8" t="str">
        <f>IFERROR(__xludf.DUMMYFUNCTION("""COMPUTED_VALUE"""),"平")</f>
        <v>平</v>
      </c>
      <c r="AE93" s="8">
        <f>SUM(AB93:AB102)</f>
        <v>3.3</v>
      </c>
      <c r="AF93" s="10" t="str">
        <f>IFERROR(__xludf.DUMMYFUNCTION("IFERROR(LET(
  day, TEXT(AF$1, ""ddd""),
  hour, LOOKUP(2, 1/($A93&lt;&gt;""""), $A93),
  type_A, $A$1,
  list_data, IFERROR(FILTER({'リスト'!$E$4:$F142, 'リスト'!$O$4:$P142}, ('リスト'!$A$4:$A142=day)*('リスト'!$B$4:$B142=hour)*(('リスト'!$G$4:$G142=""毎週配信"")+('リスト'!$G$4:$G1"&amp;"42=type_A))), {"""","""","""",""""}),
  new_data, IFERROR(FILTER({'新規'!$E$2:$F142, '新規'!$O$2:$P142}, ('新規'!$A$2:$A142=AF$1)*('新規'!$B$2:$B142=hour)),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"""")"),"単独求人訴求メルマガ_C")</f>
        <v>単独求人訴求メルマガ_C</v>
      </c>
      <c r="AG93" s="8">
        <f>IFERROR(__xludf.DUMMYFUNCTION("""COMPUTED_VALUE"""),3.0)</f>
        <v>3</v>
      </c>
      <c r="AH93" s="8" t="str">
        <f>IFERROR(__xludf.DUMMYFUNCTION("""COMPUTED_VALUE"""),"石")</f>
        <v>石</v>
      </c>
      <c r="AI93" s="8" t="str">
        <f>IFERROR(__xludf.DUMMYFUNCTION("""COMPUTED_VALUE"""),"武")</f>
        <v>武</v>
      </c>
      <c r="AJ93" s="8">
        <f>SUM(AG93:AG102)</f>
        <v>3</v>
      </c>
    </row>
    <row r="94" ht="17.25" customHeight="1">
      <c r="A94" s="11"/>
      <c r="B94" s="10" t="str">
        <f>IFERROR(__xludf.DUMMYFUNCTION("""COMPUTED_VALUE"""),"◇応募ランキング A")</f>
        <v>◇応募ランキング A</v>
      </c>
      <c r="C94" s="8">
        <f>IFERROR(__xludf.DUMMYFUNCTION("""COMPUTED_VALUE"""),0.7)</f>
        <v>0.7</v>
      </c>
      <c r="D94" s="8" t="str">
        <f>IFERROR(__xludf.DUMMYFUNCTION("""COMPUTED_VALUE"""),"荒")</f>
        <v>荒</v>
      </c>
      <c r="E94" s="8" t="str">
        <f>IFERROR(__xludf.DUMMYFUNCTION("""COMPUTED_VALUE"""),"平")</f>
        <v>平</v>
      </c>
      <c r="F94" s="8"/>
      <c r="G94" s="10" t="str">
        <f>IFERROR(__xludf.DUMMYFUNCTION("""COMPUTED_VALUE"""),"☆推進課_35歳以上")</f>
        <v>☆推進課_35歳以上</v>
      </c>
      <c r="H94" s="8">
        <f>IFERROR(__xludf.DUMMYFUNCTION("""COMPUTED_VALUE"""),1.0)</f>
        <v>1</v>
      </c>
      <c r="I94" s="8" t="str">
        <f>IFERROR(__xludf.DUMMYFUNCTION("""COMPUTED_VALUE"""),"荒")</f>
        <v>荒</v>
      </c>
      <c r="J94" s="8" t="str">
        <f>IFERROR(__xludf.DUMMYFUNCTION("""COMPUTED_VALUE"""),"平")</f>
        <v>平</v>
      </c>
      <c r="K94" s="8"/>
      <c r="L94" s="10" t="str">
        <f>IFERROR(__xludf.DUMMYFUNCTION("""COMPUTED_VALUE"""),"東海_リモート")</f>
        <v>東海_リモート</v>
      </c>
      <c r="M94" s="8">
        <f>IFERROR(__xludf.DUMMYFUNCTION("""COMPUTED_VALUE"""),0.6)</f>
        <v>0.6</v>
      </c>
      <c r="N94" s="8" t="str">
        <f>IFERROR(__xludf.DUMMYFUNCTION("""COMPUTED_VALUE"""),"R")</f>
        <v>R</v>
      </c>
      <c r="O94" s="8"/>
      <c r="P94" s="8"/>
      <c r="Q94" s="10"/>
      <c r="R94" s="8"/>
      <c r="S94" s="8"/>
      <c r="T94" s="8"/>
      <c r="U94" s="8"/>
      <c r="V94" s="10" t="str">
        <f>IFERROR(__xludf.DUMMYFUNCTION("""COMPUTED_VALUE"""),"熊本市で働く")</f>
        <v>熊本市で働く</v>
      </c>
      <c r="W94" s="8">
        <f>IFERROR(__xludf.DUMMYFUNCTION("""COMPUTED_VALUE"""),0.1)</f>
        <v>0.1</v>
      </c>
      <c r="X94" s="8" t="str">
        <f>IFERROR(__xludf.DUMMYFUNCTION("""COMPUTED_VALUE"""),"部")</f>
        <v>部</v>
      </c>
      <c r="Y94" s="8" t="str">
        <f>IFERROR(__xludf.DUMMYFUNCTION("""COMPUTED_VALUE"""),"武")</f>
        <v>武</v>
      </c>
      <c r="Z94" s="8"/>
      <c r="AA94" s="10" t="str">
        <f>IFERROR(__xludf.DUMMYFUNCTION("""COMPUTED_VALUE"""),"事務・営業職経験者向け")</f>
        <v>事務・営業職経験者向け</v>
      </c>
      <c r="AB94" s="8">
        <f>IFERROR(__xludf.DUMMYFUNCTION("""COMPUTED_VALUE"""),0.7)</f>
        <v>0.7</v>
      </c>
      <c r="AC94" s="8" t="str">
        <f>IFERROR(__xludf.DUMMYFUNCTION("""COMPUTED_VALUE"""),"R")</f>
        <v>R</v>
      </c>
      <c r="AD94" s="8"/>
      <c r="AE94" s="8"/>
      <c r="AF94" s="10"/>
      <c r="AG94" s="8"/>
      <c r="AH94" s="8"/>
      <c r="AI94" s="8"/>
      <c r="AJ94" s="8"/>
    </row>
    <row r="95" ht="17.25" customHeight="1">
      <c r="A95" s="11"/>
      <c r="B95" s="10" t="str">
        <f>IFERROR(__xludf.DUMMYFUNCTION("""COMPUTED_VALUE"""),"仙台_リモートOK_未経験")</f>
        <v>仙台_リモートOK_未経験</v>
      </c>
      <c r="C95" s="8">
        <f>IFERROR(__xludf.DUMMYFUNCTION("""COMPUTED_VALUE"""),0.2)</f>
        <v>0.2</v>
      </c>
      <c r="D95" s="8" t="str">
        <f>IFERROR(__xludf.DUMMYFUNCTION("""COMPUTED_VALUE"""),"R")</f>
        <v>R</v>
      </c>
      <c r="E95" s="8"/>
      <c r="F95" s="8"/>
      <c r="G95" s="10" t="str">
        <f>IFERROR(__xludf.DUMMYFUNCTION("""COMPUTED_VALUE"""),"☆推進課_関西")</f>
        <v>☆推進課_関西</v>
      </c>
      <c r="H95" s="8">
        <f>IFERROR(__xludf.DUMMYFUNCTION("""COMPUTED_VALUE"""),1.0)</f>
        <v>1</v>
      </c>
      <c r="I95" s="8" t="str">
        <f>IFERROR(__xludf.DUMMYFUNCTION("""COMPUTED_VALUE"""),"荒")</f>
        <v>荒</v>
      </c>
      <c r="J95" s="8" t="str">
        <f>IFERROR(__xludf.DUMMYFUNCTION("""COMPUTED_VALUE"""),"平")</f>
        <v>平</v>
      </c>
      <c r="K95" s="8"/>
      <c r="L95" s="10"/>
      <c r="M95" s="8"/>
      <c r="N95" s="8"/>
      <c r="O95" s="8"/>
      <c r="P95" s="8"/>
      <c r="Q95" s="10"/>
      <c r="R95" s="8"/>
      <c r="S95" s="8"/>
      <c r="T95" s="8"/>
      <c r="U95" s="8"/>
      <c r="V95" s="10" t="str">
        <f>IFERROR(__xludf.DUMMYFUNCTION("""COMPUTED_VALUE"""),"広島市で働く")</f>
        <v>広島市で働く</v>
      </c>
      <c r="W95" s="8">
        <f>IFERROR(__xludf.DUMMYFUNCTION("""COMPUTED_VALUE"""),0.1)</f>
        <v>0.1</v>
      </c>
      <c r="X95" s="8" t="str">
        <f>IFERROR(__xludf.DUMMYFUNCTION("""COMPUTED_VALUE"""),"部")</f>
        <v>部</v>
      </c>
      <c r="Y95" s="8" t="str">
        <f>IFERROR(__xludf.DUMMYFUNCTION("""COMPUTED_VALUE"""),"武")</f>
        <v>武</v>
      </c>
      <c r="Z95" s="8"/>
      <c r="AA95" s="10"/>
      <c r="AB95" s="8"/>
      <c r="AC95" s="8"/>
      <c r="AD95" s="8"/>
      <c r="AE95" s="8"/>
      <c r="AF95" s="10"/>
      <c r="AG95" s="8"/>
      <c r="AH95" s="8"/>
      <c r="AI95" s="8"/>
      <c r="AJ95" s="8"/>
    </row>
    <row r="96" ht="17.25" customHeight="1">
      <c r="A96" s="11"/>
      <c r="B96" s="12" t="str">
        <f>IFERROR(__xludf.DUMMYFUNCTION("""COMPUTED_VALUE"""),"大阪_リモートOK_未経験")</f>
        <v>大阪_リモートOK_未経験</v>
      </c>
      <c r="C96" s="8">
        <f>IFERROR(__xludf.DUMMYFUNCTION("""COMPUTED_VALUE"""),0.7)</f>
        <v>0.7</v>
      </c>
      <c r="D96" s="8" t="str">
        <f>IFERROR(__xludf.DUMMYFUNCTION("""COMPUTED_VALUE"""),"R")</f>
        <v>R</v>
      </c>
      <c r="E96" s="8"/>
      <c r="F96" s="8"/>
      <c r="G96" s="12" t="str">
        <f>IFERROR(__xludf.DUMMYFUNCTION("""COMPUTED_VALUE"""),"掲載終了間近_人気求人ランキング")</f>
        <v>掲載終了間近_人気求人ランキング</v>
      </c>
      <c r="H96" s="8">
        <f>IFERROR(__xludf.DUMMYFUNCTION("""COMPUTED_VALUE"""),3.1)</f>
        <v>3.1</v>
      </c>
      <c r="I96" s="8" t="str">
        <f>IFERROR(__xludf.DUMMYFUNCTION("""COMPUTED_VALUE"""),"武")</f>
        <v>武</v>
      </c>
      <c r="J96" s="8" t="str">
        <f>IFERROR(__xludf.DUMMYFUNCTION("""COMPUTED_VALUE"""),"部")</f>
        <v>部</v>
      </c>
      <c r="K96" s="8"/>
      <c r="L96" s="12"/>
      <c r="M96" s="8"/>
      <c r="N96" s="8"/>
      <c r="O96" s="8"/>
      <c r="P96" s="8"/>
      <c r="Q96" s="12"/>
      <c r="R96" s="8"/>
      <c r="S96" s="8"/>
      <c r="T96" s="8"/>
      <c r="U96" s="8"/>
      <c r="V96" s="12" t="str">
        <f>IFERROR(__xludf.DUMMYFUNCTION("""COMPUTED_VALUE"""),"横浜駅で働く")</f>
        <v>横浜駅で働く</v>
      </c>
      <c r="W96" s="8">
        <f>IFERROR(__xludf.DUMMYFUNCTION("""COMPUTED_VALUE"""),1.2)</f>
        <v>1.2</v>
      </c>
      <c r="X96" s="8" t="str">
        <f>IFERROR(__xludf.DUMMYFUNCTION("""COMPUTED_VALUE"""),"R")</f>
        <v>R</v>
      </c>
      <c r="Y96" s="8"/>
      <c r="Z96" s="8"/>
      <c r="AA96" s="12"/>
      <c r="AB96" s="8"/>
      <c r="AC96" s="8"/>
      <c r="AD96" s="8"/>
      <c r="AE96" s="8"/>
      <c r="AF96" s="12"/>
      <c r="AG96" s="8"/>
      <c r="AH96" s="8"/>
      <c r="AI96" s="8"/>
      <c r="AJ96" s="8"/>
    </row>
    <row r="97" ht="17.25" customHeight="1">
      <c r="A97" s="11"/>
      <c r="B97" s="13" t="str">
        <f>IFERROR(__xludf.DUMMYFUNCTION("""COMPUTED_VALUE"""),"単独求人訴求メルマガ_B")</f>
        <v>単独求人訴求メルマガ_B</v>
      </c>
      <c r="C97" s="8">
        <f>IFERROR(__xludf.DUMMYFUNCTION("""COMPUTED_VALUE"""),2.9)</f>
        <v>2.9</v>
      </c>
      <c r="D97" s="8" t="str">
        <f>IFERROR(__xludf.DUMMYFUNCTION("""COMPUTED_VALUE"""),"武")</f>
        <v>武</v>
      </c>
      <c r="E97" s="8" t="str">
        <f>IFERROR(__xludf.DUMMYFUNCTION("""COMPUTED_VALUE"""),"部")</f>
        <v>部</v>
      </c>
      <c r="F97" s="8"/>
      <c r="G97" s="13"/>
      <c r="H97" s="8"/>
      <c r="I97" s="8"/>
      <c r="J97" s="8"/>
      <c r="K97" s="8"/>
      <c r="L97" s="13"/>
      <c r="M97" s="8"/>
      <c r="N97" s="8"/>
      <c r="O97" s="8"/>
      <c r="P97" s="8"/>
      <c r="Q97" s="13"/>
      <c r="R97" s="8"/>
      <c r="S97" s="8"/>
      <c r="T97" s="8"/>
      <c r="U97" s="8"/>
      <c r="V97" s="13" t="str">
        <f>IFERROR(__xludf.DUMMYFUNCTION("""COMPUTED_VALUE"""),"札幌駅で働く")</f>
        <v>札幌駅で働く</v>
      </c>
      <c r="W97" s="8">
        <f>IFERROR(__xludf.DUMMYFUNCTION("""COMPUTED_VALUE"""),0.2)</f>
        <v>0.2</v>
      </c>
      <c r="X97" s="8" t="str">
        <f>IFERROR(__xludf.DUMMYFUNCTION("""COMPUTED_VALUE"""),"R")</f>
        <v>R</v>
      </c>
      <c r="Y97" s="8"/>
      <c r="Z97" s="8"/>
      <c r="AA97" s="13"/>
      <c r="AB97" s="8"/>
      <c r="AC97" s="8"/>
      <c r="AD97" s="8"/>
      <c r="AE97" s="8"/>
      <c r="AF97" s="13"/>
      <c r="AG97" s="8"/>
      <c r="AH97" s="8"/>
      <c r="AI97" s="8"/>
      <c r="AJ97" s="8"/>
    </row>
    <row r="98" ht="17.25" customHeight="1">
      <c r="A98" s="11"/>
      <c r="B98" s="13" t="str">
        <f>IFERROR(__xludf.DUMMYFUNCTION("""COMPUTED_VALUE"""),"福岡_リモートOK_未経験")</f>
        <v>福岡_リモートOK_未経験</v>
      </c>
      <c r="C98" s="8">
        <f>IFERROR(__xludf.DUMMYFUNCTION("""COMPUTED_VALUE"""),0.4)</f>
        <v>0.4</v>
      </c>
      <c r="D98" s="8" t="str">
        <f>IFERROR(__xludf.DUMMYFUNCTION("""COMPUTED_VALUE"""),"R")</f>
        <v>R</v>
      </c>
      <c r="E98" s="8"/>
      <c r="F98" s="8"/>
      <c r="G98" s="13"/>
      <c r="H98" s="8"/>
      <c r="I98" s="8"/>
      <c r="J98" s="8"/>
      <c r="K98" s="8"/>
      <c r="L98" s="13"/>
      <c r="M98" s="8"/>
      <c r="N98" s="8"/>
      <c r="O98" s="8"/>
      <c r="P98" s="8"/>
      <c r="Q98" s="13"/>
      <c r="R98" s="8"/>
      <c r="S98" s="8"/>
      <c r="T98" s="8"/>
      <c r="U98" s="8"/>
      <c r="V98" s="13" t="str">
        <f>IFERROR(__xludf.DUMMYFUNCTION("""COMPUTED_VALUE"""),"新大阪駅・本町駅で働く")</f>
        <v>新大阪駅・本町駅で働く</v>
      </c>
      <c r="W98" s="8">
        <f>IFERROR(__xludf.DUMMYFUNCTION("""COMPUTED_VALUE"""),0.9)</f>
        <v>0.9</v>
      </c>
      <c r="X98" s="8" t="str">
        <f>IFERROR(__xludf.DUMMYFUNCTION("""COMPUTED_VALUE"""),"R")</f>
        <v>R</v>
      </c>
      <c r="Y98" s="8"/>
      <c r="Z98" s="8"/>
      <c r="AA98" s="13"/>
      <c r="AB98" s="8"/>
      <c r="AC98" s="8"/>
      <c r="AD98" s="8"/>
      <c r="AE98" s="8"/>
      <c r="AF98" s="13"/>
      <c r="AG98" s="8"/>
      <c r="AH98" s="8"/>
      <c r="AI98" s="8"/>
      <c r="AJ98" s="8"/>
    </row>
    <row r="99" ht="17.25" customHeight="1">
      <c r="A99" s="11"/>
      <c r="B99" s="13"/>
      <c r="C99" s="8"/>
      <c r="D99" s="8"/>
      <c r="E99" s="8"/>
      <c r="F99" s="8"/>
      <c r="G99" s="13"/>
      <c r="H99" s="8"/>
      <c r="I99" s="8"/>
      <c r="J99" s="8"/>
      <c r="K99" s="8"/>
      <c r="L99" s="13"/>
      <c r="M99" s="8"/>
      <c r="N99" s="8"/>
      <c r="O99" s="8"/>
      <c r="P99" s="8"/>
      <c r="Q99" s="13"/>
      <c r="R99" s="8"/>
      <c r="S99" s="8"/>
      <c r="T99" s="8"/>
      <c r="U99" s="8"/>
      <c r="V99" s="13" t="str">
        <f>IFERROR(__xludf.DUMMYFUNCTION("""COMPUTED_VALUE"""),"仙台駅で働く")</f>
        <v>仙台駅で働く</v>
      </c>
      <c r="W99" s="8">
        <f>IFERROR(__xludf.DUMMYFUNCTION("""COMPUTED_VALUE"""),0.2)</f>
        <v>0.2</v>
      </c>
      <c r="X99" s="8" t="str">
        <f>IFERROR(__xludf.DUMMYFUNCTION("""COMPUTED_VALUE"""),"R")</f>
        <v>R</v>
      </c>
      <c r="Y99" s="8"/>
      <c r="Z99" s="8"/>
      <c r="AA99" s="13"/>
      <c r="AB99" s="8"/>
      <c r="AC99" s="8"/>
      <c r="AD99" s="8"/>
      <c r="AE99" s="8"/>
      <c r="AF99" s="13"/>
      <c r="AG99" s="8"/>
      <c r="AH99" s="8"/>
      <c r="AI99" s="8"/>
      <c r="AJ99" s="8"/>
    </row>
    <row r="100" ht="17.25" customHeight="1">
      <c r="A100" s="11"/>
      <c r="B100" s="13"/>
      <c r="C100" s="8"/>
      <c r="D100" s="8"/>
      <c r="E100" s="8"/>
      <c r="F100" s="8"/>
      <c r="G100" s="13"/>
      <c r="H100" s="8"/>
      <c r="I100" s="8"/>
      <c r="J100" s="8"/>
      <c r="K100" s="8"/>
      <c r="L100" s="13"/>
      <c r="M100" s="8"/>
      <c r="N100" s="8"/>
      <c r="O100" s="8"/>
      <c r="P100" s="8"/>
      <c r="Q100" s="13"/>
      <c r="R100" s="8"/>
      <c r="S100" s="8"/>
      <c r="T100" s="8"/>
      <c r="U100" s="8"/>
      <c r="V100" s="13" t="str">
        <f>IFERROR(__xludf.DUMMYFUNCTION("""COMPUTED_VALUE"""),"大宮浦和で働く")</f>
        <v>大宮浦和で働く</v>
      </c>
      <c r="W100" s="8">
        <f>IFERROR(__xludf.DUMMYFUNCTION("""COMPUTED_VALUE"""),0.8)</f>
        <v>0.8</v>
      </c>
      <c r="X100" s="8" t="str">
        <f>IFERROR(__xludf.DUMMYFUNCTION("""COMPUTED_VALUE"""),"R")</f>
        <v>R</v>
      </c>
      <c r="Y100" s="8"/>
      <c r="Z100" s="8"/>
      <c r="AA100" s="13"/>
      <c r="AB100" s="8"/>
      <c r="AC100" s="8"/>
      <c r="AD100" s="8"/>
      <c r="AE100" s="8"/>
      <c r="AF100" s="13"/>
      <c r="AG100" s="8"/>
      <c r="AH100" s="8"/>
      <c r="AI100" s="8"/>
      <c r="AJ100" s="8"/>
    </row>
    <row r="101" ht="17.25" customHeight="1">
      <c r="A101" s="11"/>
      <c r="B101" s="13"/>
      <c r="C101" s="8"/>
      <c r="D101" s="8"/>
      <c r="E101" s="8"/>
      <c r="F101" s="8"/>
      <c r="G101" s="13"/>
      <c r="H101" s="8"/>
      <c r="I101" s="8"/>
      <c r="J101" s="8"/>
      <c r="K101" s="8"/>
      <c r="L101" s="13"/>
      <c r="M101" s="8"/>
      <c r="N101" s="8"/>
      <c r="O101" s="8"/>
      <c r="P101" s="8"/>
      <c r="Q101" s="13"/>
      <c r="R101" s="8"/>
      <c r="S101" s="8"/>
      <c r="T101" s="8"/>
      <c r="U101" s="8"/>
      <c r="V101" s="13" t="str">
        <f>IFERROR(__xludf.DUMMYFUNCTION("""COMPUTED_VALUE"""),"博多区で働く")</f>
        <v>博多区で働く</v>
      </c>
      <c r="W101" s="8">
        <f>IFERROR(__xludf.DUMMYFUNCTION("""COMPUTED_VALUE"""),0.4)</f>
        <v>0.4</v>
      </c>
      <c r="X101" s="8" t="str">
        <f>IFERROR(__xludf.DUMMYFUNCTION("""COMPUTED_VALUE"""),"R")</f>
        <v>R</v>
      </c>
      <c r="Y101" s="8"/>
      <c r="Z101" s="8"/>
      <c r="AA101" s="13"/>
      <c r="AB101" s="8"/>
      <c r="AC101" s="8"/>
      <c r="AD101" s="8"/>
      <c r="AE101" s="8"/>
      <c r="AF101" s="13"/>
      <c r="AG101" s="8"/>
      <c r="AH101" s="8"/>
      <c r="AI101" s="8"/>
      <c r="AJ101" s="8"/>
    </row>
    <row r="102" ht="17.25" customHeight="1">
      <c r="A102" s="11"/>
      <c r="B102" s="13"/>
      <c r="C102" s="8"/>
      <c r="D102" s="8"/>
      <c r="E102" s="8"/>
      <c r="F102" s="8"/>
      <c r="G102" s="13"/>
      <c r="H102" s="8"/>
      <c r="I102" s="8"/>
      <c r="J102" s="8"/>
      <c r="K102" s="8"/>
      <c r="L102" s="13"/>
      <c r="M102" s="8"/>
      <c r="N102" s="8"/>
      <c r="O102" s="8"/>
      <c r="P102" s="8"/>
      <c r="Q102" s="13"/>
      <c r="R102" s="8"/>
      <c r="S102" s="8"/>
      <c r="T102" s="8"/>
      <c r="U102" s="8"/>
      <c r="V102" s="13"/>
      <c r="W102" s="8"/>
      <c r="X102" s="8"/>
      <c r="Y102" s="8"/>
      <c r="Z102" s="8"/>
      <c r="AA102" s="13"/>
      <c r="AB102" s="8"/>
      <c r="AC102" s="8"/>
      <c r="AD102" s="8"/>
      <c r="AE102" s="8"/>
      <c r="AF102" s="13"/>
      <c r="AG102" s="8"/>
      <c r="AH102" s="8"/>
      <c r="AI102" s="8"/>
      <c r="AJ102" s="8"/>
    </row>
    <row r="103" ht="17.25" customHeight="1">
      <c r="A103" s="9">
        <f>A93+1</f>
        <v>18</v>
      </c>
      <c r="B103" s="10" t="str">
        <f>IFERROR(__xludf.DUMMYFUNCTION("IFERROR(LET(
  day, TEXT(B$1, ""ddd""),
  hour, LOOKUP(2, 1/($A103&lt;&gt;""""), $A103),
  type_A, $A$1,
  list_data, IFERROR(FILTER({'リスト'!$E$4:$F142, 'リスト'!$O$4:$P142}, ('リスト'!$A$4:$A142=day)*('リスト'!$B$4:$B142=hour)*(('リスト'!$G$4:$G142=""毎週配信"")+('リスト'!$G$4:$G"&amp;"142=type_A))), {"""","""","""",""""}),
  new_data, IFERROR(FILTER({'新規'!$E$2:$F142, '新規'!$O$2:$P142}, ('新規'!$A$2:$A142=B$1)*('新規'!$B$2:$B142=hour)),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"""")"),"☆エンジニア_経験_首都圏版")</f>
        <v>☆エンジニア_経験_首都圏版</v>
      </c>
      <c r="C103" s="8">
        <f>IFERROR(__xludf.DUMMYFUNCTION("""COMPUTED_VALUE"""),0.1)</f>
        <v>0.1</v>
      </c>
      <c r="D103" s="8" t="str">
        <f>IFERROR(__xludf.DUMMYFUNCTION("""COMPUTED_VALUE"""),"部")</f>
        <v>部</v>
      </c>
      <c r="E103" s="8" t="str">
        <f>IFERROR(__xludf.DUMMYFUNCTION("""COMPUTED_VALUE"""),"内")</f>
        <v>内</v>
      </c>
      <c r="F103" s="8">
        <f>SUM(C103:C112)</f>
        <v>0.5</v>
      </c>
      <c r="G103" s="10" t="str">
        <f>IFERROR(__xludf.DUMMYFUNCTION("IFERROR(LET(
  day, TEXT(G$1, ""ddd""),
  hour, LOOKUP(2, 1/($A103&lt;&gt;""""), $A103),
  type_A, $A$1,
  list_data, IFERROR(FILTER({'リスト'!$E$4:$F142, 'リスト'!$O$4:$P142}, ('リスト'!$A$4:$A142=day)*('リスト'!$B$4:$B142=hour)*(('リスト'!$G$4:$G142=""毎週配信"")+('リスト'!$G$4:$G"&amp;"142=type_A))), {"""","""","""",""""}),
  new_data, IFERROR(FILTER({'新規'!$E$2:$F142, '新規'!$O$2:$P142}, ('新規'!$A$2:$A142=G$1)*('新規'!$B$2:$B142=hour)),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"""")"),"過去会員×フルリモート×未経験歓迎")</f>
        <v>過去会員×フルリモート×未経験歓迎</v>
      </c>
      <c r="H103" s="8">
        <f>IFERROR(__xludf.DUMMYFUNCTION("""COMPUTED_VALUE"""),8.5)</f>
        <v>8.5</v>
      </c>
      <c r="I103" s="8" t="str">
        <f>IFERROR(__xludf.DUMMYFUNCTION("""COMPUTED_VALUE"""),"部")</f>
        <v>部</v>
      </c>
      <c r="J103" s="8" t="str">
        <f>IFERROR(__xludf.DUMMYFUNCTION("""COMPUTED_VALUE"""),"石")</f>
        <v>石</v>
      </c>
      <c r="K103" s="8">
        <f>SUM(H103:H112)</f>
        <v>10.6</v>
      </c>
      <c r="L103" s="10" t="str">
        <f>IFERROR(__xludf.DUMMYFUNCTION("IFERROR(LET(
  day, TEXT(L$1, ""ddd""),
  hour, LOOKUP(2, 1/($A103&lt;&gt;""""), $A103),
  type_A, $A$1,
  list_data, IFERROR(FILTER({'リスト'!$E$4:$F142, 'リスト'!$O$4:$P142}, ('リスト'!$A$4:$A142=day)*('リスト'!$B$4:$B142=hour)*(('リスト'!$G$4:$G142=""毎週配信"")+('リスト'!$G$4:$G"&amp;"142=type_A))), {"""","""","""",""""}),
  new_data, IFERROR(FILTER({'新規'!$E$2:$F142, '新規'!$O$2:$P142}, ('新規'!$A$2:$A142=L$1)*('新規'!$B$2:$B142=hour)),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"""")"),"TP部_働きやすい企業特集")</f>
        <v>TP部_働きやすい企業特集</v>
      </c>
      <c r="M103" s="8">
        <f>IFERROR(__xludf.DUMMYFUNCTION("""COMPUTED_VALUE"""),1.6)</f>
        <v>1.6</v>
      </c>
      <c r="N103" s="8" t="str">
        <f>IFERROR(__xludf.DUMMYFUNCTION("""COMPUTED_VALUE"""),"武")</f>
        <v>武</v>
      </c>
      <c r="O103" s="8" t="str">
        <f>IFERROR(__xludf.DUMMYFUNCTION("""COMPUTED_VALUE"""),"部")</f>
        <v>部</v>
      </c>
      <c r="P103" s="8">
        <f>SUM(M103:M112)</f>
        <v>3.3</v>
      </c>
      <c r="Q103" s="10" t="str">
        <f>IFERROR(__xludf.DUMMYFUNCTION("IFERROR(LET(
  day, TEXT(Q$1, ""ddd""),
  hour, LOOKUP(2, 1/($A103&lt;&gt;""""), $A103),
  type_A, $A$1,
  list_data, IFERROR(FILTER({'リスト'!$E$4:$F142, 'リスト'!$O$4:$P142}, ('リスト'!$A$4:$A142=day)*('リスト'!$B$4:$B142=hour)*(('リスト'!$G$4:$G142=""毎週配信"")+('リスト'!$G$4:$G"&amp;"142=type_A))), {"""","""","""",""""}),
  new_data, IFERROR(FILTER({'新規'!$E$2:$F142, '新規'!$O$2:$P142}, ('新規'!$A$2:$A142=Q$1)*('新規'!$B$2:$B142=hour)),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f>
        <v/>
      </c>
      <c r="R103" s="8"/>
      <c r="S103" s="8"/>
      <c r="T103" s="8"/>
      <c r="U103" s="8">
        <f>SUM(R103:R112)</f>
        <v>0</v>
      </c>
      <c r="V103" s="10" t="str">
        <f>IFERROR(__xludf.DUMMYFUNCTION("IFERROR(LET(
  day, TEXT(V$1, ""ddd""),
  hour, LOOKUP(2, 1/($A103&lt;&gt;""""), $A103),
  type_A, $A$1,
  list_data, IFERROR(FILTER({'リスト'!$E$4:$F142, 'リスト'!$O$4:$P142}, ('リスト'!$A$4:$A142=day)*('リスト'!$B$4:$B142=hour)*(('リスト'!$G$4:$G142=""毎週配信"")+('リスト'!$G$4:$G"&amp;"142=type_A))), {"""","""","""",""""}),
  new_data, IFERROR(FILTER({'新規'!$E$2:$F142, '新規'!$O$2:$P142}, ('新規'!$A$2:$A142=V$1)*('新規'!$B$2:$B142=hour)),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"""")"),"関西限定事務求人特集")</f>
        <v>関西限定事務求人特集</v>
      </c>
      <c r="W103" s="8">
        <f>IFERROR(__xludf.DUMMYFUNCTION("""COMPUTED_VALUE"""),0.6)</f>
        <v>0.6</v>
      </c>
      <c r="X103" s="8" t="str">
        <f>IFERROR(__xludf.DUMMYFUNCTION("""COMPUTED_VALUE"""),"R")</f>
        <v>R</v>
      </c>
      <c r="Y103" s="8"/>
      <c r="Z103" s="8">
        <f>SUM(W103:W112)</f>
        <v>3.1</v>
      </c>
      <c r="AA103" s="10" t="str">
        <f>IFERROR(__xludf.DUMMYFUNCTION("IFERROR(LET(
  day, TEXT(AA$1, ""ddd""),
  hour, LOOKUP(2, 1/($A103&lt;&gt;""""), $A103),
  type_A, $A$1,
  list_data, IFERROR(FILTER({'リスト'!$E$4:$F142, 'リスト'!$O$4:$P142}, ('リスト'!$A$4:$A142=day)*('リスト'!$B$4:$B142=hour)*(('リスト'!$G$4:$G142=""毎週配信"")+('リスト'!$G$4:$"&amp;"G142=type_A))), {"""","""","""",""""}),
  new_data, IFERROR(FILTER({'新規'!$E$2:$F142, '新規'!$O$2:$P142}, ('新規'!$A$2:$A142=AA$1)*('新規'!$B$2:$B142=hour)), {"""","""","""",""""}),
  special_data, IFERROR(FILTER({'特殊配信マスタ'!$E$2:$F142, '特殊配信マスタ'!$O$2:$P142}, ('特"&amp;"殊配信マスタ'!$A$2:$A142=day)*('特殊配信マスタ'!$B$2:$B142=hour)*('特殊配信マスタ'!$R$2:$R142='特殊配信マスタ'!$S$2:$S142)), {"""","""","""",""""}),
  combined, VSTACK(list_data, new_data, special_data),
  FILTER(combined, INDEX(combined, , 1)&lt;&gt;"""", INDEX(combined, , 1)&lt;&gt;0)
), """&amp;""")"),"コスメ業界_希望")</f>
        <v>コスメ業界_希望</v>
      </c>
      <c r="AB103" s="8">
        <f>IFERROR(__xludf.DUMMYFUNCTION("""COMPUTED_VALUE"""),0.3)</f>
        <v>0.3</v>
      </c>
      <c r="AC103" s="8" t="str">
        <f>IFERROR(__xludf.DUMMYFUNCTION("""COMPUTED_VALUE"""),"部")</f>
        <v>部</v>
      </c>
      <c r="AD103" s="8" t="str">
        <f>IFERROR(__xludf.DUMMYFUNCTION("""COMPUTED_VALUE"""),"石")</f>
        <v>石</v>
      </c>
      <c r="AE103" s="8">
        <f>SUM(AB103:AB112)</f>
        <v>3.5</v>
      </c>
      <c r="AF103" s="10" t="str">
        <f>IFERROR(__xludf.DUMMYFUNCTION("IFERROR(LET(
  day, TEXT(AF$1, ""ddd""),
  hour, LOOKUP(2, 1/($A103&lt;&gt;""""), $A103),
  type_A, $A$1,
  list_data, IFERROR(FILTER({'リスト'!$E$4:$F142, 'リスト'!$O$4:$P142}, ('リスト'!$A$4:$A142=day)*('リスト'!$B$4:$B142=hour)*(('リスト'!$G$4:$G142=""毎週配信"")+('リスト'!$G$4:$"&amp;"G142=type_A))), {"""","""","""",""""}),
  new_data, IFERROR(FILTER({'新規'!$E$2:$F142, '新規'!$O$2:$P142}, ('新規'!$A$2:$A142=AF$1)*('新規'!$B$2:$B142=hour)), {"""","""","""",""""}),
  special_data, IFERROR(FILTER({'特殊配信マスタ'!$E$2:$F142, '特殊配信マスタ'!$O$2:$P142}, ('特"&amp;"殊配信マスタ'!$A$2:$A142=day)*('特殊配信マスタ'!$B$2:$B142=hour)*('特殊配信マスタ'!$R$2:$R142='特殊配信マスタ'!$S$2:$S142)), {"""","""","""",""""}),
  combined, VSTACK(list_data, new_data, special_data),
  FILTER(combined, INDEX(combined, , 1)&lt;&gt;"""", INDEX(combined, , 1)&lt;&gt;0)
), """&amp;""")"),"自己PR不要_フルリモート")</f>
        <v>自己PR不要_フルリモート</v>
      </c>
      <c r="AG103" s="8">
        <f>IFERROR(__xludf.DUMMYFUNCTION("""COMPUTED_VALUE"""),2.2)</f>
        <v>2.2</v>
      </c>
      <c r="AH103" s="8" t="str">
        <f>IFERROR(__xludf.DUMMYFUNCTION("""COMPUTED_VALUE"""),"R")</f>
        <v>R</v>
      </c>
      <c r="AI103" s="8"/>
      <c r="AJ103" s="8">
        <f>SUM(AG103:AG112)</f>
        <v>3.6</v>
      </c>
    </row>
    <row r="104" ht="17.25" customHeight="1">
      <c r="A104" s="11"/>
      <c r="B104" s="10" t="str">
        <f>IFERROR(__xludf.DUMMYFUNCTION("""COMPUTED_VALUE"""),"☆エンジニア_未経験_首都圏版")</f>
        <v>☆エンジニア_未経験_首都圏版</v>
      </c>
      <c r="C104" s="8">
        <f>IFERROR(__xludf.DUMMYFUNCTION("""COMPUTED_VALUE"""),0.4)</f>
        <v>0.4</v>
      </c>
      <c r="D104" s="8" t="str">
        <f>IFERROR(__xludf.DUMMYFUNCTION("""COMPUTED_VALUE"""),"部")</f>
        <v>部</v>
      </c>
      <c r="E104" s="8" t="str">
        <f>IFERROR(__xludf.DUMMYFUNCTION("""COMPUTED_VALUE"""),"内")</f>
        <v>内</v>
      </c>
      <c r="F104" s="8"/>
      <c r="G104" s="10" t="str">
        <f>IFERROR(__xludf.DUMMYFUNCTION("""COMPUTED_VALUE"""),"☆営業_経験_首都圏版")</f>
        <v>☆営業_経験_首都圏版</v>
      </c>
      <c r="H104" s="8">
        <f>IFERROR(__xludf.DUMMYFUNCTION("""COMPUTED_VALUE"""),0.1)</f>
        <v>0.1</v>
      </c>
      <c r="I104" s="8" t="str">
        <f>IFERROR(__xludf.DUMMYFUNCTION("""COMPUTED_VALUE"""),"部")</f>
        <v>部</v>
      </c>
      <c r="J104" s="8" t="str">
        <f>IFERROR(__xludf.DUMMYFUNCTION("""COMPUTED_VALUE"""),"荒")</f>
        <v>荒</v>
      </c>
      <c r="K104" s="8"/>
      <c r="L104" s="10" t="str">
        <f>IFERROR(__xludf.DUMMYFUNCTION("""COMPUTED_VALUE"""),"☆販サ_経験_35歳以上_首都圏版")</f>
        <v>☆販サ_経験_35歳以上_首都圏版</v>
      </c>
      <c r="M104" s="8">
        <f>IFERROR(__xludf.DUMMYFUNCTION("""COMPUTED_VALUE"""),0.1)</f>
        <v>0.1</v>
      </c>
      <c r="N104" s="8" t="str">
        <f>IFERROR(__xludf.DUMMYFUNCTION("""COMPUTED_VALUE"""),"部")</f>
        <v>部</v>
      </c>
      <c r="O104" s="8" t="str">
        <f>IFERROR(__xludf.DUMMYFUNCTION("""COMPUTED_VALUE"""),"平")</f>
        <v>平</v>
      </c>
      <c r="P104" s="8"/>
      <c r="Q104" s="10"/>
      <c r="R104" s="8"/>
      <c r="S104" s="8"/>
      <c r="T104" s="8"/>
      <c r="U104" s="8"/>
      <c r="V104" s="10" t="str">
        <f>IFERROR(__xludf.DUMMYFUNCTION("""COMPUTED_VALUE"""),"賞与3ヶ月以上×リモート_ランキング")</f>
        <v>賞与3ヶ月以上×リモート_ランキング</v>
      </c>
      <c r="W104" s="8">
        <f>IFERROR(__xludf.DUMMYFUNCTION("""COMPUTED_VALUE"""),2.5)</f>
        <v>2.5</v>
      </c>
      <c r="X104" s="8" t="str">
        <f>IFERROR(__xludf.DUMMYFUNCTION("""COMPUTED_VALUE"""),"R")</f>
        <v>R</v>
      </c>
      <c r="Y104" s="8"/>
      <c r="Z104" s="8"/>
      <c r="AA104" s="10" t="str">
        <f>IFERROR(__xludf.DUMMYFUNCTION("""COMPUTED_VALUE"""),"プライベート重視_35歳以上")</f>
        <v>プライベート重視_35歳以上</v>
      </c>
      <c r="AB104" s="8">
        <f>IFERROR(__xludf.DUMMYFUNCTION("""COMPUTED_VALUE"""),0.9)</f>
        <v>0.9</v>
      </c>
      <c r="AC104" s="8" t="str">
        <f>IFERROR(__xludf.DUMMYFUNCTION("""COMPUTED_VALUE"""),"R")</f>
        <v>R</v>
      </c>
      <c r="AD104" s="8"/>
      <c r="AE104" s="8"/>
      <c r="AF104" s="10" t="str">
        <f>IFERROR(__xludf.DUMMYFUNCTION("""COMPUTED_VALUE"""),"事務_経験_35歳以上_首都圏版")</f>
        <v>事務_経験_35歳以上_首都圏版</v>
      </c>
      <c r="AG104" s="8">
        <f>IFERROR(__xludf.DUMMYFUNCTION("""COMPUTED_VALUE"""),0.1)</f>
        <v>0.1</v>
      </c>
      <c r="AH104" s="8" t="str">
        <f>IFERROR(__xludf.DUMMYFUNCTION("""COMPUTED_VALUE"""),"R")</f>
        <v>R</v>
      </c>
      <c r="AI104" s="8"/>
      <c r="AJ104" s="8"/>
    </row>
    <row r="105" ht="17.25" customHeight="1">
      <c r="A105" s="11"/>
      <c r="B105" s="10"/>
      <c r="C105" s="8"/>
      <c r="D105" s="8"/>
      <c r="E105" s="8"/>
      <c r="F105" s="8"/>
      <c r="G105" s="10" t="str">
        <f>IFERROR(__xludf.DUMMYFUNCTION("""COMPUTED_VALUE"""),"☆営業_未経験_首都圏版")</f>
        <v>☆営業_未経験_首都圏版</v>
      </c>
      <c r="H105" s="8">
        <f>IFERROR(__xludf.DUMMYFUNCTION("""COMPUTED_VALUE"""),0.3)</f>
        <v>0.3</v>
      </c>
      <c r="I105" s="8" t="str">
        <f>IFERROR(__xludf.DUMMYFUNCTION("""COMPUTED_VALUE"""),"部")</f>
        <v>部</v>
      </c>
      <c r="J105" s="8" t="str">
        <f>IFERROR(__xludf.DUMMYFUNCTION("""COMPUTED_VALUE"""),"荒")</f>
        <v>荒</v>
      </c>
      <c r="K105" s="8"/>
      <c r="L105" s="10" t="str">
        <f>IFERROR(__xludf.DUMMYFUNCTION("""COMPUTED_VALUE"""),"☆販サ_経験_35歳以上_全国版")</f>
        <v>☆販サ_経験_35歳以上_全国版</v>
      </c>
      <c r="M105" s="8">
        <f>IFERROR(__xludf.DUMMYFUNCTION("""COMPUTED_VALUE"""),0.2)</f>
        <v>0.2</v>
      </c>
      <c r="N105" s="8" t="str">
        <f>IFERROR(__xludf.DUMMYFUNCTION("""COMPUTED_VALUE"""),"部")</f>
        <v>部</v>
      </c>
      <c r="O105" s="8" t="str">
        <f>IFERROR(__xludf.DUMMYFUNCTION("""COMPUTED_VALUE"""),"平")</f>
        <v>平</v>
      </c>
      <c r="P105" s="8"/>
      <c r="Q105" s="10"/>
      <c r="R105" s="8"/>
      <c r="S105" s="8"/>
      <c r="T105" s="8"/>
      <c r="U105" s="8"/>
      <c r="V105" s="10"/>
      <c r="W105" s="8"/>
      <c r="X105" s="8"/>
      <c r="Y105" s="8"/>
      <c r="Z105" s="8"/>
      <c r="AA105" s="10" t="str">
        <f>IFERROR(__xludf.DUMMYFUNCTION("""COMPUTED_VALUE"""),"月曜日はリモート×フレックスで働く")</f>
        <v>月曜日はリモート×フレックスで働く</v>
      </c>
      <c r="AB105" s="8">
        <f>IFERROR(__xludf.DUMMYFUNCTION("""COMPUTED_VALUE"""),2.3)</f>
        <v>2.3</v>
      </c>
      <c r="AC105" s="8" t="str">
        <f>IFERROR(__xludf.DUMMYFUNCTION("""COMPUTED_VALUE"""),"R")</f>
        <v>R</v>
      </c>
      <c r="AD105" s="8"/>
      <c r="AE105" s="8"/>
      <c r="AF105" s="10" t="str">
        <f>IFERROR(__xludf.DUMMYFUNCTION("""COMPUTED_VALUE"""),"事務_未経験_35歳以上_首都圏版")</f>
        <v>事務_未経験_35歳以上_首都圏版</v>
      </c>
      <c r="AG105" s="8">
        <f>IFERROR(__xludf.DUMMYFUNCTION("""COMPUTED_VALUE"""),0.1)</f>
        <v>0.1</v>
      </c>
      <c r="AH105" s="8" t="str">
        <f>IFERROR(__xludf.DUMMYFUNCTION("""COMPUTED_VALUE"""),"R")</f>
        <v>R</v>
      </c>
      <c r="AI105" s="8"/>
      <c r="AJ105" s="8"/>
    </row>
    <row r="106" ht="17.25" customHeight="1">
      <c r="A106" s="11"/>
      <c r="B106" s="12"/>
      <c r="C106" s="8"/>
      <c r="D106" s="8"/>
      <c r="E106" s="8"/>
      <c r="F106" s="8"/>
      <c r="G106" s="12" t="str">
        <f>IFERROR(__xludf.DUMMYFUNCTION("""COMPUTED_VALUE"""),"駅直結_事務")</f>
        <v>駅直結_事務</v>
      </c>
      <c r="H106" s="8">
        <f>IFERROR(__xludf.DUMMYFUNCTION("""COMPUTED_VALUE"""),1.7)</f>
        <v>1.7</v>
      </c>
      <c r="I106" s="8" t="str">
        <f>IFERROR(__xludf.DUMMYFUNCTION("""COMPUTED_VALUE"""),"R")</f>
        <v>R</v>
      </c>
      <c r="J106" s="8"/>
      <c r="K106" s="8"/>
      <c r="L106" s="12" t="str">
        <f>IFERROR(__xludf.DUMMYFUNCTION("""COMPUTED_VALUE"""),"☆販サ_経験_首都圏版")</f>
        <v>☆販サ_経験_首都圏版</v>
      </c>
      <c r="M106" s="8">
        <f>IFERROR(__xludf.DUMMYFUNCTION("""COMPUTED_VALUE"""),0.2)</f>
        <v>0.2</v>
      </c>
      <c r="N106" s="8" t="str">
        <f>IFERROR(__xludf.DUMMYFUNCTION("""COMPUTED_VALUE"""),"部")</f>
        <v>部</v>
      </c>
      <c r="O106" s="8" t="str">
        <f>IFERROR(__xludf.DUMMYFUNCTION("""COMPUTED_VALUE"""),"平")</f>
        <v>平</v>
      </c>
      <c r="P106" s="8"/>
      <c r="Q106" s="12"/>
      <c r="R106" s="8"/>
      <c r="S106" s="8"/>
      <c r="T106" s="8"/>
      <c r="U106" s="8"/>
      <c r="V106" s="12"/>
      <c r="W106" s="8"/>
      <c r="X106" s="8"/>
      <c r="Y106" s="8"/>
      <c r="Z106" s="8"/>
      <c r="AA106" s="12"/>
      <c r="AB106" s="8"/>
      <c r="AC106" s="8"/>
      <c r="AD106" s="8"/>
      <c r="AE106" s="8"/>
      <c r="AF106" s="12" t="str">
        <f>IFERROR(__xludf.DUMMYFUNCTION("""COMPUTED_VALUE"""),"事務_未経験_休眠会員_首都圏版")</f>
        <v>事務_未経験_休眠会員_首都圏版</v>
      </c>
      <c r="AG106" s="8">
        <f>IFERROR(__xludf.DUMMYFUNCTION("""COMPUTED_VALUE"""),1.0)</f>
        <v>1</v>
      </c>
      <c r="AH106" s="8" t="str">
        <f>IFERROR(__xludf.DUMMYFUNCTION("""COMPUTED_VALUE"""),"R")</f>
        <v>R</v>
      </c>
      <c r="AI106" s="8"/>
      <c r="AJ106" s="8"/>
    </row>
    <row r="107" ht="17.25" customHeight="1">
      <c r="A107" s="11"/>
      <c r="B107" s="13"/>
      <c r="C107" s="8"/>
      <c r="D107" s="8"/>
      <c r="E107" s="8"/>
      <c r="F107" s="8"/>
      <c r="G107" s="13"/>
      <c r="H107" s="8"/>
      <c r="I107" s="8"/>
      <c r="J107" s="8"/>
      <c r="K107" s="8"/>
      <c r="L107" s="13" t="str">
        <f>IFERROR(__xludf.DUMMYFUNCTION("""COMPUTED_VALUE"""),"☆販サ_経験_全国版")</f>
        <v>☆販サ_経験_全国版</v>
      </c>
      <c r="M107" s="8">
        <f>IFERROR(__xludf.DUMMYFUNCTION("""COMPUTED_VALUE"""),0.3)</f>
        <v>0.3</v>
      </c>
      <c r="N107" s="8" t="str">
        <f>IFERROR(__xludf.DUMMYFUNCTION("""COMPUTED_VALUE"""),"部")</f>
        <v>部</v>
      </c>
      <c r="O107" s="8" t="str">
        <f>IFERROR(__xludf.DUMMYFUNCTION("""COMPUTED_VALUE"""),"平")</f>
        <v>平</v>
      </c>
      <c r="P107" s="8"/>
      <c r="Q107" s="13"/>
      <c r="R107" s="8"/>
      <c r="S107" s="8"/>
      <c r="T107" s="8"/>
      <c r="U107" s="8"/>
      <c r="V107" s="13"/>
      <c r="W107" s="8"/>
      <c r="X107" s="8"/>
      <c r="Y107" s="8"/>
      <c r="Z107" s="8"/>
      <c r="AA107" s="13"/>
      <c r="AB107" s="8"/>
      <c r="AC107" s="8"/>
      <c r="AD107" s="8"/>
      <c r="AE107" s="8"/>
      <c r="AF107" s="13" t="str">
        <f>IFERROR(__xludf.DUMMYFUNCTION("""COMPUTED_VALUE"""),"中国地方で働く")</f>
        <v>中国地方で働く</v>
      </c>
      <c r="AG107" s="8">
        <f>IFERROR(__xludf.DUMMYFUNCTION("""COMPUTED_VALUE"""),0.2)</f>
        <v>0.2</v>
      </c>
      <c r="AH107" s="8" t="str">
        <f>IFERROR(__xludf.DUMMYFUNCTION("""COMPUTED_VALUE"""),"R")</f>
        <v>R</v>
      </c>
      <c r="AI107" s="8"/>
      <c r="AJ107" s="8"/>
    </row>
    <row r="108" ht="17.25" customHeight="1">
      <c r="A108" s="11"/>
      <c r="B108" s="13"/>
      <c r="C108" s="8"/>
      <c r="D108" s="8"/>
      <c r="E108" s="8"/>
      <c r="F108" s="8"/>
      <c r="G108" s="13"/>
      <c r="H108" s="8"/>
      <c r="I108" s="8"/>
      <c r="J108" s="8"/>
      <c r="K108" s="8"/>
      <c r="L108" s="13" t="str">
        <f>IFERROR(__xludf.DUMMYFUNCTION("""COMPUTED_VALUE"""),"☆販サ_未経験_35歳以上_首都圏版")</f>
        <v>☆販サ_未経験_35歳以上_首都圏版</v>
      </c>
      <c r="M108" s="8">
        <f>IFERROR(__xludf.DUMMYFUNCTION("""COMPUTED_VALUE"""),0.2)</f>
        <v>0.2</v>
      </c>
      <c r="N108" s="8" t="str">
        <f>IFERROR(__xludf.DUMMYFUNCTION("""COMPUTED_VALUE"""),"部")</f>
        <v>部</v>
      </c>
      <c r="O108" s="8" t="str">
        <f>IFERROR(__xludf.DUMMYFUNCTION("""COMPUTED_VALUE"""),"平")</f>
        <v>平</v>
      </c>
      <c r="P108" s="8"/>
      <c r="Q108" s="13"/>
      <c r="R108" s="8"/>
      <c r="S108" s="8"/>
      <c r="T108" s="8"/>
      <c r="U108" s="8"/>
      <c r="V108" s="13"/>
      <c r="W108" s="8"/>
      <c r="X108" s="8"/>
      <c r="Y108" s="8"/>
      <c r="Z108" s="8"/>
      <c r="AA108" s="13"/>
      <c r="AB108" s="8"/>
      <c r="AC108" s="8"/>
      <c r="AD108" s="8"/>
      <c r="AE108" s="8"/>
      <c r="AF108" s="13"/>
      <c r="AG108" s="8"/>
      <c r="AH108" s="8"/>
      <c r="AI108" s="8"/>
      <c r="AJ108" s="8"/>
    </row>
    <row r="109" ht="17.25" customHeight="1">
      <c r="A109" s="11"/>
      <c r="B109" s="13"/>
      <c r="C109" s="8"/>
      <c r="D109" s="8"/>
      <c r="E109" s="8"/>
      <c r="F109" s="8"/>
      <c r="G109" s="13"/>
      <c r="H109" s="8"/>
      <c r="I109" s="8"/>
      <c r="J109" s="8"/>
      <c r="K109" s="8"/>
      <c r="L109" s="13" t="str">
        <f>IFERROR(__xludf.DUMMYFUNCTION("""COMPUTED_VALUE"""),"☆販サ_未経験_首都圏版")</f>
        <v>☆販サ_未経験_首都圏版</v>
      </c>
      <c r="M109" s="8">
        <f>IFERROR(__xludf.DUMMYFUNCTION("""COMPUTED_VALUE"""),0.3)</f>
        <v>0.3</v>
      </c>
      <c r="N109" s="8" t="str">
        <f>IFERROR(__xludf.DUMMYFUNCTION("""COMPUTED_VALUE"""),"部")</f>
        <v>部</v>
      </c>
      <c r="O109" s="8" t="str">
        <f>IFERROR(__xludf.DUMMYFUNCTION("""COMPUTED_VALUE"""),"平")</f>
        <v>平</v>
      </c>
      <c r="P109" s="8"/>
      <c r="Q109" s="13"/>
      <c r="R109" s="8"/>
      <c r="S109" s="8"/>
      <c r="T109" s="8"/>
      <c r="U109" s="8"/>
      <c r="V109" s="13"/>
      <c r="W109" s="8"/>
      <c r="X109" s="8"/>
      <c r="Y109" s="8"/>
      <c r="Z109" s="8"/>
      <c r="AA109" s="13"/>
      <c r="AB109" s="8"/>
      <c r="AC109" s="8"/>
      <c r="AD109" s="8"/>
      <c r="AE109" s="8"/>
      <c r="AF109" s="13"/>
      <c r="AG109" s="8"/>
      <c r="AH109" s="8"/>
      <c r="AI109" s="8"/>
      <c r="AJ109" s="8"/>
    </row>
    <row r="110" ht="17.25" customHeight="1">
      <c r="A110" s="11"/>
      <c r="B110" s="13"/>
      <c r="C110" s="8"/>
      <c r="D110" s="8"/>
      <c r="E110" s="8"/>
      <c r="F110" s="8"/>
      <c r="G110" s="13"/>
      <c r="H110" s="8"/>
      <c r="I110" s="8"/>
      <c r="J110" s="8"/>
      <c r="K110" s="8"/>
      <c r="L110" s="13" t="str">
        <f>IFERROR(__xludf.DUMMYFUNCTION("""COMPUTED_VALUE"""),"40代事務ランキング")</f>
        <v>40代事務ランキング</v>
      </c>
      <c r="M110" s="8">
        <f>IFERROR(__xludf.DUMMYFUNCTION("""COMPUTED_VALUE"""),0.4)</f>
        <v>0.4</v>
      </c>
      <c r="N110" s="8" t="str">
        <f>IFERROR(__xludf.DUMMYFUNCTION("""COMPUTED_VALUE"""),"石")</f>
        <v>石</v>
      </c>
      <c r="O110" s="8" t="str">
        <f>IFERROR(__xludf.DUMMYFUNCTION("""COMPUTED_VALUE"""),"部")</f>
        <v>部</v>
      </c>
      <c r="P110" s="8"/>
      <c r="Q110" s="13"/>
      <c r="R110" s="8"/>
      <c r="S110" s="8"/>
      <c r="T110" s="8"/>
      <c r="U110" s="8"/>
      <c r="V110" s="13"/>
      <c r="W110" s="8"/>
      <c r="X110" s="8"/>
      <c r="Y110" s="8"/>
      <c r="Z110" s="8"/>
      <c r="AA110" s="13"/>
      <c r="AB110" s="8"/>
      <c r="AC110" s="8"/>
      <c r="AD110" s="8"/>
      <c r="AE110" s="8"/>
      <c r="AF110" s="13"/>
      <c r="AG110" s="8"/>
      <c r="AH110" s="8"/>
      <c r="AI110" s="8"/>
      <c r="AJ110" s="8"/>
    </row>
    <row r="111" ht="17.25" customHeight="1">
      <c r="A111" s="11"/>
      <c r="B111" s="13"/>
      <c r="C111" s="8"/>
      <c r="D111" s="8"/>
      <c r="E111" s="8"/>
      <c r="F111" s="8"/>
      <c r="G111" s="13"/>
      <c r="H111" s="8"/>
      <c r="I111" s="8"/>
      <c r="J111" s="8"/>
      <c r="K111" s="8"/>
      <c r="L111" s="13"/>
      <c r="M111" s="8"/>
      <c r="N111" s="8"/>
      <c r="O111" s="8"/>
      <c r="P111" s="8"/>
      <c r="Q111" s="13"/>
      <c r="R111" s="8"/>
      <c r="S111" s="8"/>
      <c r="T111" s="8"/>
      <c r="U111" s="8"/>
      <c r="V111" s="13"/>
      <c r="W111" s="8"/>
      <c r="X111" s="8"/>
      <c r="Y111" s="8"/>
      <c r="Z111" s="8"/>
      <c r="AA111" s="13"/>
      <c r="AB111" s="8"/>
      <c r="AC111" s="8"/>
      <c r="AD111" s="8"/>
      <c r="AE111" s="8"/>
      <c r="AF111" s="13"/>
      <c r="AG111" s="8"/>
      <c r="AH111" s="8"/>
      <c r="AI111" s="8"/>
      <c r="AJ111" s="8"/>
    </row>
    <row r="112" ht="17.25" customHeight="1">
      <c r="A112" s="11"/>
      <c r="B112" s="13"/>
      <c r="C112" s="8"/>
      <c r="D112" s="8"/>
      <c r="E112" s="8"/>
      <c r="F112" s="8"/>
      <c r="G112" s="13"/>
      <c r="H112" s="8"/>
      <c r="I112" s="8"/>
      <c r="J112" s="8"/>
      <c r="K112" s="8"/>
      <c r="L112" s="13"/>
      <c r="M112" s="8"/>
      <c r="N112" s="8"/>
      <c r="O112" s="8"/>
      <c r="P112" s="8"/>
      <c r="Q112" s="13"/>
      <c r="R112" s="8"/>
      <c r="S112" s="8"/>
      <c r="T112" s="8"/>
      <c r="U112" s="8"/>
      <c r="V112" s="13"/>
      <c r="W112" s="8"/>
      <c r="X112" s="8"/>
      <c r="Y112" s="8"/>
      <c r="Z112" s="8"/>
      <c r="AA112" s="13"/>
      <c r="AB112" s="8"/>
      <c r="AC112" s="8"/>
      <c r="AD112" s="8"/>
      <c r="AE112" s="8"/>
      <c r="AF112" s="13"/>
      <c r="AG112" s="8"/>
      <c r="AH112" s="8"/>
      <c r="AI112" s="8"/>
      <c r="AJ112" s="8"/>
    </row>
    <row r="113" ht="17.25" customHeight="1">
      <c r="A113" s="9">
        <f>A103+1</f>
        <v>19</v>
      </c>
      <c r="B113" s="10" t="str">
        <f>IFERROR(__xludf.DUMMYFUNCTION("IFERROR(LET(
  day, TEXT(B$1, ""ddd""),
  hour, LOOKUP(2, 1/($A113&lt;&gt;""""), $A113),
  type_A, $A$1,
  list_data, IFERROR(FILTER({'リスト'!$E$4:$F142, 'リスト'!$O$4:$P142}, ('リスト'!$A$4:$A142=day)*('リスト'!$B$4:$B142=hour)*(('リスト'!$G$4:$G142=""毎週配信"")+('リスト'!$G$4:$G"&amp;"142=type_A))), {"""","""","""",""""}),
  new_data, IFERROR(FILTER({'新規'!$E$2:$F142, '新規'!$O$2:$P142}, ('新規'!$A$2:$A142=B$1)*('新規'!$B$2:$B142=hour)),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"""")"),"35歳以上向け_関西 A")</f>
        <v>35歳以上向け_関西 A</v>
      </c>
      <c r="C113" s="8">
        <f>IFERROR(__xludf.DUMMYFUNCTION("""COMPUTED_VALUE"""),0.3)</f>
        <v>0.3</v>
      </c>
      <c r="D113" s="8" t="str">
        <f>IFERROR(__xludf.DUMMYFUNCTION("""COMPUTED_VALUE"""),"R")</f>
        <v>R</v>
      </c>
      <c r="E113" s="8"/>
      <c r="F113" s="8">
        <f>SUM(C113:C122)</f>
        <v>13.4</v>
      </c>
      <c r="G113" s="10" t="str">
        <f>IFERROR(__xludf.DUMMYFUNCTION("IFERROR(LET(
  day, TEXT(G$1, ""ddd""),
  hour, LOOKUP(2, 1/($A113&lt;&gt;""""), $A113),
  type_A, $A$1,
  list_data, IFERROR(FILTER({'リスト'!$E$4:$F142, 'リスト'!$O$4:$P142}, ('リスト'!$A$4:$A142=day)*('リスト'!$B$4:$B142=hour)*(('リスト'!$G$4:$G142=""毎週配信"")+('リスト'!$G$4:$G"&amp;"142=type_A))), {"""","""","""",""""}),
  new_data, IFERROR(FILTER({'新規'!$E$2:$F142, '新規'!$O$2:$P142}, ('新規'!$A$2:$A142=G$1)*('新規'!$B$2:$B142=hour)),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"""")"),"フルリモート×正社員")</f>
        <v>フルリモート×正社員</v>
      </c>
      <c r="H113" s="8">
        <f>IFERROR(__xludf.DUMMYFUNCTION("""COMPUTED_VALUE"""),3.0)</f>
        <v>3</v>
      </c>
      <c r="I113" s="8" t="str">
        <f>IFERROR(__xludf.DUMMYFUNCTION("""COMPUTED_VALUE"""),"R")</f>
        <v>R</v>
      </c>
      <c r="J113" s="8"/>
      <c r="K113" s="8">
        <f>SUM(H113:H122)</f>
        <v>6.5</v>
      </c>
      <c r="L113" s="10" t="str">
        <f>IFERROR(__xludf.DUMMYFUNCTION("IFERROR(LET(
  day, TEXT(L$1, ""ddd""),
  hour, LOOKUP(2, 1/($A113&lt;&gt;""""), $A113),
  type_A, $A$1,
  list_data, IFERROR(FILTER({'リスト'!$E$4:$F142, 'リスト'!$O$4:$P142}, ('リスト'!$A$4:$A142=day)*('リスト'!$B$4:$B142=hour)*(('リスト'!$G$4:$G142=""毎週配信"")+('リスト'!$G$4:$G"&amp;"142=type_A))), {"""","""","""",""""}),
  new_data, IFERROR(FILTER({'新規'!$E$2:$F142, '新規'!$O$2:$P142}, ('新規'!$A$2:$A142=L$1)*('新規'!$B$2:$B142=hour)),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"""")"),"埼玉_路線")</f>
        <v>埼玉_路線</v>
      </c>
      <c r="M113" s="8">
        <f>IFERROR(__xludf.DUMMYFUNCTION("""COMPUTED_VALUE"""),0.7)</f>
        <v>0.7</v>
      </c>
      <c r="N113" s="8" t="str">
        <f>IFERROR(__xludf.DUMMYFUNCTION("""COMPUTED_VALUE"""),"部")</f>
        <v>部</v>
      </c>
      <c r="O113" s="8" t="str">
        <f>IFERROR(__xludf.DUMMYFUNCTION("""COMPUTED_VALUE"""),"内")</f>
        <v>内</v>
      </c>
      <c r="P113" s="8">
        <f>SUM(M113:M122)</f>
        <v>4.3</v>
      </c>
      <c r="Q113" s="10" t="str">
        <f>IFERROR(__xludf.DUMMYFUNCTION("IFERROR(LET(
  day, TEXT(Q$1, ""ddd""),
  hour, LOOKUP(2, 1/($A113&lt;&gt;""""), $A113),
  type_A, $A$1,
  list_data, IFERROR(FILTER({'リスト'!$E$4:$F142, 'リスト'!$O$4:$P142}, ('リスト'!$A$4:$A142=day)*('リスト'!$B$4:$B142=hour)*(('リスト'!$G$4:$G142=""毎週配信"")+('リスト'!$G$4:$G"&amp;"142=type_A))), {"""","""","""",""""}),
  new_data, IFERROR(FILTER({'新規'!$E$2:$F142, '新規'!$O$2:$P142}, ('新規'!$A$2:$A142=Q$1)*('新規'!$B$2:$B142=hour)),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"""")"),"TP部_リモート×未経験OKの求人特集")</f>
        <v>TP部_リモート×未経験OKの求人特集</v>
      </c>
      <c r="R113" s="8">
        <f>IFERROR(__xludf.DUMMYFUNCTION("""COMPUTED_VALUE"""),1.9)</f>
        <v>1.9</v>
      </c>
      <c r="S113" s="8" t="str">
        <f>IFERROR(__xludf.DUMMYFUNCTION("""COMPUTED_VALUE"""),"部")</f>
        <v>部</v>
      </c>
      <c r="T113" s="8" t="str">
        <f>IFERROR(__xludf.DUMMYFUNCTION("""COMPUTED_VALUE"""),"石")</f>
        <v>石</v>
      </c>
      <c r="U113" s="8">
        <f>SUM(R113:R122)</f>
        <v>3.4</v>
      </c>
      <c r="V113" s="10" t="str">
        <f>IFERROR(__xludf.DUMMYFUNCTION("IFERROR(LET(
  day, TEXT(V$1, ""ddd""),
  hour, LOOKUP(2, 1/($A113&lt;&gt;""""), $A113),
  type_A, $A$1,
  list_data, IFERROR(FILTER({'リスト'!$E$4:$F142, 'リスト'!$O$4:$P142}, ('リスト'!$A$4:$A142=day)*('リスト'!$B$4:$B142=hour)*(('リスト'!$G$4:$G142=""毎週配信"")+('リスト'!$G$4:$G"&amp;"142=type_A))), {"""","""","""",""""}),
  new_data, IFERROR(FILTER({'新規'!$E$2:$F142, '新規'!$O$2:$P142}, ('新規'!$A$2:$A142=V$1)*('新規'!$B$2:$B142=hour)),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"""")"),"美容業界×未経験歓迎")</f>
        <v>美容業界×未経験歓迎</v>
      </c>
      <c r="W113" s="8">
        <f>IFERROR(__xludf.DUMMYFUNCTION("""COMPUTED_VALUE"""),0.3)</f>
        <v>0.3</v>
      </c>
      <c r="X113" s="8" t="str">
        <f>IFERROR(__xludf.DUMMYFUNCTION("""COMPUTED_VALUE"""),"部")</f>
        <v>部</v>
      </c>
      <c r="Y113" s="8" t="str">
        <f>IFERROR(__xludf.DUMMYFUNCTION("""COMPUTED_VALUE"""),"石")</f>
        <v>石</v>
      </c>
      <c r="Z113" s="8">
        <f>SUM(W113:W122)</f>
        <v>7</v>
      </c>
      <c r="AA113" s="10" t="str">
        <f>IFERROR(__xludf.DUMMYFUNCTION("IFERROR(LET(
  day, TEXT(AA$1, ""ddd""),
  hour, LOOKUP(2, 1/($A113&lt;&gt;""""), $A113),
  type_A, $A$1,
  list_data, IFERROR(FILTER({'リスト'!$E$4:$F142, 'リスト'!$O$4:$P142}, ('リスト'!$A$4:$A142=day)*('リスト'!$B$4:$B142=hour)*(('リスト'!$G$4:$G142=""毎週配信"")+('リスト'!$G$4:$"&amp;"G142=type_A))), {"""","""","""",""""}),
  new_data, IFERROR(FILTER({'新規'!$E$2:$F142, '新規'!$O$2:$P142}, ('新規'!$A$2:$A142=AA$1)*('新規'!$B$2:$B142=hour)), {"""","""","""",""""}),
  special_data, IFERROR(FILTER({'特殊配信マスタ'!$E$2:$F142, '特殊配信マスタ'!$O$2:$P142}, ('特"&amp;"殊配信マスタ'!$A$2:$A142=day)*('特殊配信マスタ'!$B$2:$B142=hour)*('特殊配信マスタ'!$R$2:$R142='特殊配信マスタ'!$S$2:$S142)), {"""","""","""",""""}),
  combined, VSTACK(list_data, new_data, special_data),
  FILTER(combined, INDEX(combined, , 1)&lt;&gt;"""", INDEX(combined, , 1)&lt;&gt;0)
), """&amp;""")"),"☆TP部メルマガ")</f>
        <v>☆TP部メルマガ</v>
      </c>
      <c r="AB113" s="8">
        <f>IFERROR(__xludf.DUMMYFUNCTION("""COMPUTED_VALUE"""),1.3)</f>
        <v>1.3</v>
      </c>
      <c r="AC113" s="8" t="str">
        <f>IFERROR(__xludf.DUMMYFUNCTION("""COMPUTED_VALUE"""),"荒")</f>
        <v>荒</v>
      </c>
      <c r="AD113" s="8" t="str">
        <f>IFERROR(__xludf.DUMMYFUNCTION("""COMPUTED_VALUE"""),"平")</f>
        <v>平</v>
      </c>
      <c r="AE113" s="8">
        <f>SUM(AB113:AB122)</f>
        <v>6.1</v>
      </c>
      <c r="AF113" s="10" t="str">
        <f>IFERROR(__xludf.DUMMYFUNCTION("IFERROR(LET(
  day, TEXT(AF$1, ""ddd""),
  hour, LOOKUP(2, 1/($A113&lt;&gt;""""), $A113),
  type_A, $A$1,
  list_data, IFERROR(FILTER({'リスト'!$E$4:$F142, 'リスト'!$O$4:$P142}, ('リスト'!$A$4:$A142=day)*('リスト'!$B$4:$B142=hour)*(('リスト'!$G$4:$G142=""毎週配信"")+('リスト'!$G$4:$"&amp;"G142=type_A))), {"""","""","""",""""}),
  new_data, IFERROR(FILTER({'新規'!$E$2:$F142, '新規'!$O$2:$P142}, ('新規'!$A$2:$A142=AF$1)*('新規'!$B$2:$B142=hour)), {"""","""","""",""""}),
  special_data, IFERROR(FILTER({'特殊配信マスタ'!$E$2:$F142, '特殊配信マスタ'!$O$2:$P142}, ('特"&amp;"殊配信マスタ'!$A$2:$A142=day)*('特殊配信マスタ'!$B$2:$B142=hour)*('特殊配信マスタ'!$R$2:$R142='特殊配信マスタ'!$S$2:$S142)), {"""","""","""",""""}),
  combined, VSTACK(list_data, new_data, special_data),
  FILTER(combined, INDEX(combined, , 1)&lt;&gt;"""", INDEX(combined, , 1)&lt;&gt;0)
), """&amp;""")"),"超好条件_営業")</f>
        <v>超好条件_営業</v>
      </c>
      <c r="AG113" s="8">
        <f>IFERROR(__xludf.DUMMYFUNCTION("""COMPUTED_VALUE"""),0.9)</f>
        <v>0.9</v>
      </c>
      <c r="AH113" s="8" t="str">
        <f>IFERROR(__xludf.DUMMYFUNCTION("""COMPUTED_VALUE"""),"部")</f>
        <v>部</v>
      </c>
      <c r="AI113" s="8" t="str">
        <f>IFERROR(__xludf.DUMMYFUNCTION("""COMPUTED_VALUE"""),"石")</f>
        <v>石</v>
      </c>
      <c r="AJ113" s="8">
        <f>SUM(AG113:AG122)</f>
        <v>3.4</v>
      </c>
    </row>
    <row r="114" ht="17.25" customHeight="1">
      <c r="A114" s="11"/>
      <c r="B114" s="10" t="str">
        <f>IFERROR(__xludf.DUMMYFUNCTION("""COMPUTED_VALUE"""),"40代ラスト転職")</f>
        <v>40代ラスト転職</v>
      </c>
      <c r="C114" s="8">
        <f>IFERROR(__xludf.DUMMYFUNCTION("""COMPUTED_VALUE"""),0.9)</f>
        <v>0.9</v>
      </c>
      <c r="D114" s="8" t="str">
        <f>IFERROR(__xludf.DUMMYFUNCTION("""COMPUTED_VALUE"""),"R")</f>
        <v>R</v>
      </c>
      <c r="E114" s="8"/>
      <c r="F114" s="8"/>
      <c r="G114" s="10" t="str">
        <f>IFERROR(__xludf.DUMMYFUNCTION("""COMPUTED_VALUE"""),"渋谷・恵比寿勤務_事務")</f>
        <v>渋谷・恵比寿勤務_事務</v>
      </c>
      <c r="H114" s="8">
        <f>IFERROR(__xludf.DUMMYFUNCTION("""COMPUTED_VALUE"""),1.2)</f>
        <v>1.2</v>
      </c>
      <c r="I114" s="8" t="str">
        <f>IFERROR(__xludf.DUMMYFUNCTION("""COMPUTED_VALUE"""),"R")</f>
        <v>R</v>
      </c>
      <c r="J114" s="8"/>
      <c r="K114" s="8"/>
      <c r="L114" s="10" t="str">
        <f>IFERROR(__xludf.DUMMYFUNCTION("""COMPUTED_VALUE"""),"神奈川_路線")</f>
        <v>神奈川_路線</v>
      </c>
      <c r="M114" s="8">
        <f>IFERROR(__xludf.DUMMYFUNCTION("""COMPUTED_VALUE"""),0.9)</f>
        <v>0.9</v>
      </c>
      <c r="N114" s="8" t="str">
        <f>IFERROR(__xludf.DUMMYFUNCTION("""COMPUTED_VALUE"""),"部")</f>
        <v>部</v>
      </c>
      <c r="O114" s="8" t="str">
        <f>IFERROR(__xludf.DUMMYFUNCTION("""COMPUTED_VALUE"""),"内")</f>
        <v>内</v>
      </c>
      <c r="P114" s="8"/>
      <c r="Q114" s="10" t="str">
        <f>IFERROR(__xludf.DUMMYFUNCTION("""COMPUTED_VALUE"""),"経験_アパレル・コスメ")</f>
        <v>経験_アパレル・コスメ</v>
      </c>
      <c r="R114" s="8">
        <f>IFERROR(__xludf.DUMMYFUNCTION("""COMPUTED_VALUE"""),0.2)</f>
        <v>0.2</v>
      </c>
      <c r="S114" s="8" t="str">
        <f>IFERROR(__xludf.DUMMYFUNCTION("""COMPUTED_VALUE"""),"R")</f>
        <v>R</v>
      </c>
      <c r="T114" s="8"/>
      <c r="U114" s="8"/>
      <c r="V114" s="10" t="str">
        <f>IFERROR(__xludf.DUMMYFUNCTION("""COMPUTED_VALUE"""),"フルリモート×未経験歓迎")</f>
        <v>フルリモート×未経験歓迎</v>
      </c>
      <c r="W114" s="8">
        <f>IFERROR(__xludf.DUMMYFUNCTION("""COMPUTED_VALUE"""),6.7)</f>
        <v>6.7</v>
      </c>
      <c r="X114" s="8" t="str">
        <f>IFERROR(__xludf.DUMMYFUNCTION("""COMPUTED_VALUE"""),"R")</f>
        <v>R</v>
      </c>
      <c r="Y114" s="8"/>
      <c r="Z114" s="8"/>
      <c r="AA114" s="10" t="str">
        <f>IFERROR(__xludf.DUMMYFUNCTION("""COMPUTED_VALUE"""),"☆TP部メルマガ_未就業")</f>
        <v>☆TP部メルマガ_未就業</v>
      </c>
      <c r="AB114" s="8">
        <f>IFERROR(__xludf.DUMMYFUNCTION("""COMPUTED_VALUE"""),0.5)</f>
        <v>0.5</v>
      </c>
      <c r="AC114" s="8" t="str">
        <f>IFERROR(__xludf.DUMMYFUNCTION("""COMPUTED_VALUE"""),"荒")</f>
        <v>荒</v>
      </c>
      <c r="AD114" s="8" t="str">
        <f>IFERROR(__xludf.DUMMYFUNCTION("""COMPUTED_VALUE"""),"平")</f>
        <v>平</v>
      </c>
      <c r="AE114" s="8"/>
      <c r="AF114" s="10" t="str">
        <f>IFERROR(__xludf.DUMMYFUNCTION("""COMPUTED_VALUE"""),"自己PR不要_35歳以上")</f>
        <v>自己PR不要_35歳以上</v>
      </c>
      <c r="AG114" s="8">
        <f>IFERROR(__xludf.DUMMYFUNCTION("""COMPUTED_VALUE"""),0.4)</f>
        <v>0.4</v>
      </c>
      <c r="AH114" s="8" t="str">
        <f>IFERROR(__xludf.DUMMYFUNCTION("""COMPUTED_VALUE"""),"R")</f>
        <v>R</v>
      </c>
      <c r="AI114" s="8"/>
      <c r="AJ114" s="8"/>
    </row>
    <row r="115" ht="17.25" customHeight="1">
      <c r="A115" s="11"/>
      <c r="B115" s="10" t="str">
        <f>IFERROR(__xludf.DUMMYFUNCTION("""COMPUTED_VALUE"""),"TP部_営業_現住所")</f>
        <v>TP部_営業_現住所</v>
      </c>
      <c r="C115" s="8">
        <f>IFERROR(__xludf.DUMMYFUNCTION("""COMPUTED_VALUE"""),2.0)</f>
        <v>2</v>
      </c>
      <c r="D115" s="8" t="str">
        <f>IFERROR(__xludf.DUMMYFUNCTION("""COMPUTED_VALUE"""),"R")</f>
        <v>R</v>
      </c>
      <c r="E115" s="8"/>
      <c r="F115" s="8"/>
      <c r="G115" s="10" t="str">
        <f>IFERROR(__xludf.DUMMYFUNCTION("""COMPUTED_VALUE"""),"未経験_研修・資格_エンジニア系_首都圏")</f>
        <v>未経験_研修・資格_エンジニア系_首都圏</v>
      </c>
      <c r="H115" s="8">
        <f>IFERROR(__xludf.DUMMYFUNCTION("""COMPUTED_VALUE"""),0.3)</f>
        <v>0.3</v>
      </c>
      <c r="I115" s="8" t="str">
        <f>IFERROR(__xludf.DUMMYFUNCTION("""COMPUTED_VALUE"""),"R")</f>
        <v>R</v>
      </c>
      <c r="J115" s="8"/>
      <c r="K115" s="8"/>
      <c r="L115" s="10" t="str">
        <f>IFERROR(__xludf.DUMMYFUNCTION("""COMPUTED_VALUE"""),"千葉_路線")</f>
        <v>千葉_路線</v>
      </c>
      <c r="M115" s="8">
        <f>IFERROR(__xludf.DUMMYFUNCTION("""COMPUTED_VALUE"""),0.6)</f>
        <v>0.6</v>
      </c>
      <c r="N115" s="8" t="str">
        <f>IFERROR(__xludf.DUMMYFUNCTION("""COMPUTED_VALUE"""),"部")</f>
        <v>部</v>
      </c>
      <c r="O115" s="8" t="str">
        <f>IFERROR(__xludf.DUMMYFUNCTION("""COMPUTED_VALUE"""),"内")</f>
        <v>内</v>
      </c>
      <c r="P115" s="8"/>
      <c r="Q115" s="10" t="str">
        <f>IFERROR(__xludf.DUMMYFUNCTION("""COMPUTED_VALUE"""),"経験_一般事務")</f>
        <v>経験_一般事務</v>
      </c>
      <c r="R115" s="8">
        <f>IFERROR(__xludf.DUMMYFUNCTION("""COMPUTED_VALUE"""),0.7)</f>
        <v>0.7</v>
      </c>
      <c r="S115" s="8" t="str">
        <f>IFERROR(__xludf.DUMMYFUNCTION("""COMPUTED_VALUE"""),"R")</f>
        <v>R</v>
      </c>
      <c r="T115" s="8"/>
      <c r="U115" s="8"/>
      <c r="V115" s="10"/>
      <c r="W115" s="8"/>
      <c r="X115" s="8"/>
      <c r="Y115" s="8"/>
      <c r="Z115" s="8"/>
      <c r="AA115" s="10" t="str">
        <f>IFERROR(__xludf.DUMMYFUNCTION("""COMPUTED_VALUE"""),"ランキング_販サ（フロント）_希望")</f>
        <v>ランキング_販サ（フロント）_希望</v>
      </c>
      <c r="AB115" s="8">
        <f>IFERROR(__xludf.DUMMYFUNCTION("""COMPUTED_VALUE"""),0.3)</f>
        <v>0.3</v>
      </c>
      <c r="AC115" s="8" t="str">
        <f>IFERROR(__xludf.DUMMYFUNCTION("""COMPUTED_VALUE"""),"R")</f>
        <v>R</v>
      </c>
      <c r="AD115" s="8"/>
      <c r="AE115" s="8"/>
      <c r="AF115" s="10" t="str">
        <f>IFERROR(__xludf.DUMMYFUNCTION("""COMPUTED_VALUE"""),"関西‗超好条件_事務")</f>
        <v>関西‗超好条件_事務</v>
      </c>
      <c r="AG115" s="8">
        <f>IFERROR(__xludf.DUMMYFUNCTION("""COMPUTED_VALUE"""),0.7)</f>
        <v>0.7</v>
      </c>
      <c r="AH115" s="8" t="str">
        <f>IFERROR(__xludf.DUMMYFUNCTION("""COMPUTED_VALUE"""),"部")</f>
        <v>部</v>
      </c>
      <c r="AI115" s="8" t="str">
        <f>IFERROR(__xludf.DUMMYFUNCTION("""COMPUTED_VALUE"""),"武")</f>
        <v>武</v>
      </c>
      <c r="AJ115" s="8"/>
    </row>
    <row r="116" ht="17.25" customHeight="1">
      <c r="A116" s="11"/>
      <c r="B116" s="12" t="str">
        <f>IFERROR(__xludf.DUMMYFUNCTION("""COMPUTED_VALUE"""),"フルリモート_全国_エンジニア")</f>
        <v>フルリモート_全国_エンジニア</v>
      </c>
      <c r="C116" s="8">
        <f>IFERROR(__xludf.DUMMYFUNCTION("""COMPUTED_VALUE"""),1.3)</f>
        <v>1.3</v>
      </c>
      <c r="D116" s="8" t="str">
        <f>IFERROR(__xludf.DUMMYFUNCTION("""COMPUTED_VALUE"""),"R")</f>
        <v>R</v>
      </c>
      <c r="E116" s="8"/>
      <c r="F116" s="8"/>
      <c r="G116" s="12" t="str">
        <f>IFERROR(__xludf.DUMMYFUNCTION("""COMPUTED_VALUE"""),"六本木勤務")</f>
        <v>六本木勤務</v>
      </c>
      <c r="H116" s="8">
        <f>IFERROR(__xludf.DUMMYFUNCTION("""COMPUTED_VALUE"""),2.0)</f>
        <v>2</v>
      </c>
      <c r="I116" s="8" t="str">
        <f>IFERROR(__xludf.DUMMYFUNCTION("""COMPUTED_VALUE"""),"R")</f>
        <v>R</v>
      </c>
      <c r="J116" s="8"/>
      <c r="K116" s="8"/>
      <c r="L116" s="12" t="str">
        <f>IFERROR(__xludf.DUMMYFUNCTION("""COMPUTED_VALUE"""),"大阪_路線")</f>
        <v>大阪_路線</v>
      </c>
      <c r="M116" s="8">
        <f>IFERROR(__xludf.DUMMYFUNCTION("""COMPUTED_VALUE"""),0.7)</f>
        <v>0.7</v>
      </c>
      <c r="N116" s="8" t="str">
        <f>IFERROR(__xludf.DUMMYFUNCTION("""COMPUTED_VALUE"""),"部")</f>
        <v>部</v>
      </c>
      <c r="O116" s="8" t="str">
        <f>IFERROR(__xludf.DUMMYFUNCTION("""COMPUTED_VALUE"""),"内")</f>
        <v>内</v>
      </c>
      <c r="P116" s="8"/>
      <c r="Q116" s="12" t="str">
        <f>IFERROR(__xludf.DUMMYFUNCTION("""COMPUTED_VALUE"""),"経験_営業")</f>
        <v>経験_営業</v>
      </c>
      <c r="R116" s="8">
        <f>IFERROR(__xludf.DUMMYFUNCTION("""COMPUTED_VALUE"""),0.6)</f>
        <v>0.6</v>
      </c>
      <c r="S116" s="8" t="str">
        <f>IFERROR(__xludf.DUMMYFUNCTION("""COMPUTED_VALUE"""),"R")</f>
        <v>R</v>
      </c>
      <c r="T116" s="8"/>
      <c r="U116" s="8"/>
      <c r="V116" s="12"/>
      <c r="W116" s="8"/>
      <c r="X116" s="8"/>
      <c r="Y116" s="8"/>
      <c r="Z116" s="8"/>
      <c r="AA116" s="12" t="str">
        <f>IFERROR(__xludf.DUMMYFUNCTION("""COMPUTED_VALUE"""),"上場_営業経験")</f>
        <v>上場_営業経験</v>
      </c>
      <c r="AB116" s="8">
        <f>IFERROR(__xludf.DUMMYFUNCTION("""COMPUTED_VALUE"""),0.7)</f>
        <v>0.7</v>
      </c>
      <c r="AC116" s="8" t="str">
        <f>IFERROR(__xludf.DUMMYFUNCTION("""COMPUTED_VALUE"""),"R")</f>
        <v>R</v>
      </c>
      <c r="AD116" s="8"/>
      <c r="AE116" s="8"/>
      <c r="AF116" s="12" t="str">
        <f>IFERROR(__xludf.DUMMYFUNCTION("""COMPUTED_VALUE"""),"全国_超好条件_事務")</f>
        <v>全国_超好条件_事務</v>
      </c>
      <c r="AG116" s="8">
        <f>IFERROR(__xludf.DUMMYFUNCTION("""COMPUTED_VALUE"""),1.0)</f>
        <v>1</v>
      </c>
      <c r="AH116" s="8" t="str">
        <f>IFERROR(__xludf.DUMMYFUNCTION("""COMPUTED_VALUE"""),"R")</f>
        <v>R</v>
      </c>
      <c r="AI116" s="8"/>
      <c r="AJ116" s="8"/>
    </row>
    <row r="117" ht="17.25" customHeight="1">
      <c r="A117" s="11"/>
      <c r="B117" s="13" t="str">
        <f>IFERROR(__xludf.DUMMYFUNCTION("""COMPUTED_VALUE"""),"フルリモート_全国_営業")</f>
        <v>フルリモート_全国_営業</v>
      </c>
      <c r="C117" s="8">
        <f>IFERROR(__xludf.DUMMYFUNCTION("""COMPUTED_VALUE"""),1.8)</f>
        <v>1.8</v>
      </c>
      <c r="D117" s="8" t="str">
        <f>IFERROR(__xludf.DUMMYFUNCTION("""COMPUTED_VALUE"""),"R")</f>
        <v>R</v>
      </c>
      <c r="E117" s="8"/>
      <c r="F117" s="8"/>
      <c r="G117" s="13"/>
      <c r="H117" s="8"/>
      <c r="I117" s="8"/>
      <c r="J117" s="8"/>
      <c r="K117" s="8"/>
      <c r="L117" s="13" t="str">
        <f>IFERROR(__xludf.DUMMYFUNCTION("""COMPUTED_VALUE"""),"東京_路線_事務")</f>
        <v>東京_路線_事務</v>
      </c>
      <c r="M117" s="8">
        <f>IFERROR(__xludf.DUMMYFUNCTION("""COMPUTED_VALUE"""),1.0)</f>
        <v>1</v>
      </c>
      <c r="N117" s="8" t="str">
        <f>IFERROR(__xludf.DUMMYFUNCTION("""COMPUTED_VALUE"""),"部")</f>
        <v>部</v>
      </c>
      <c r="O117" s="8" t="str">
        <f>IFERROR(__xludf.DUMMYFUNCTION("""COMPUTED_VALUE"""),"内")</f>
        <v>内</v>
      </c>
      <c r="P117" s="8"/>
      <c r="Q117" s="13"/>
      <c r="R117" s="8"/>
      <c r="S117" s="8"/>
      <c r="T117" s="8"/>
      <c r="U117" s="8"/>
      <c r="V117" s="13"/>
      <c r="W117" s="8"/>
      <c r="X117" s="8"/>
      <c r="Y117" s="8"/>
      <c r="Z117" s="8"/>
      <c r="AA117" s="13" t="str">
        <f>IFERROR(__xludf.DUMMYFUNCTION("""COMPUTED_VALUE"""),"上場_事務経験")</f>
        <v>上場_事務経験</v>
      </c>
      <c r="AB117" s="8">
        <f>IFERROR(__xludf.DUMMYFUNCTION("""COMPUTED_VALUE"""),1.9)</f>
        <v>1.9</v>
      </c>
      <c r="AC117" s="8" t="str">
        <f>IFERROR(__xludf.DUMMYFUNCTION("""COMPUTED_VALUE"""),"R")</f>
        <v>R</v>
      </c>
      <c r="AD117" s="8"/>
      <c r="AE117" s="8"/>
      <c r="AF117" s="13" t="str">
        <f>IFERROR(__xludf.DUMMYFUNCTION("""COMPUTED_VALUE"""),"超好条件_エンジニア")</f>
        <v>超好条件_エンジニア</v>
      </c>
      <c r="AG117" s="8">
        <f>IFERROR(__xludf.DUMMYFUNCTION("""COMPUTED_VALUE"""),0.4)</f>
        <v>0.4</v>
      </c>
      <c r="AH117" s="8" t="str">
        <f>IFERROR(__xludf.DUMMYFUNCTION("""COMPUTED_VALUE"""),"部")</f>
        <v>部</v>
      </c>
      <c r="AI117" s="8" t="str">
        <f>IFERROR(__xludf.DUMMYFUNCTION("""COMPUTED_VALUE"""),"石")</f>
        <v>石</v>
      </c>
      <c r="AJ117" s="8"/>
    </row>
    <row r="118" ht="17.25" customHeight="1">
      <c r="A118" s="11"/>
      <c r="B118" s="13" t="str">
        <f>IFERROR(__xludf.DUMMYFUNCTION("""COMPUTED_VALUE"""),"フルリモート_全国_事務")</f>
        <v>フルリモート_全国_事務</v>
      </c>
      <c r="C118" s="8">
        <f>IFERROR(__xludf.DUMMYFUNCTION("""COMPUTED_VALUE"""),5.5)</f>
        <v>5.5</v>
      </c>
      <c r="D118" s="8" t="str">
        <f>IFERROR(__xludf.DUMMYFUNCTION("""COMPUTED_VALUE"""),"R")</f>
        <v>R</v>
      </c>
      <c r="E118" s="8"/>
      <c r="F118" s="8"/>
      <c r="G118" s="13"/>
      <c r="H118" s="8"/>
      <c r="I118" s="8"/>
      <c r="J118" s="8"/>
      <c r="K118" s="8"/>
      <c r="L118" s="13" t="str">
        <f>IFERROR(__xludf.DUMMYFUNCTION("""COMPUTED_VALUE"""),"未経験エンジニア希望向け_首都圏")</f>
        <v>未経験エンジニア希望向け_首都圏</v>
      </c>
      <c r="M118" s="8">
        <f>IFERROR(__xludf.DUMMYFUNCTION("""COMPUTED_VALUE"""),0.4)</f>
        <v>0.4</v>
      </c>
      <c r="N118" s="8" t="str">
        <f>IFERROR(__xludf.DUMMYFUNCTION("""COMPUTED_VALUE"""),"R")</f>
        <v>R</v>
      </c>
      <c r="O118" s="8"/>
      <c r="P118" s="8"/>
      <c r="Q118" s="13"/>
      <c r="R118" s="8"/>
      <c r="S118" s="8"/>
      <c r="T118" s="8"/>
      <c r="U118" s="8"/>
      <c r="V118" s="13"/>
      <c r="W118" s="8"/>
      <c r="X118" s="8"/>
      <c r="Y118" s="8"/>
      <c r="Z118" s="8"/>
      <c r="AA118" s="13" t="str">
        <f>IFERROR(__xludf.DUMMYFUNCTION("""COMPUTED_VALUE"""),"上場_販サ経験")</f>
        <v>上場_販サ経験</v>
      </c>
      <c r="AB118" s="8">
        <f>IFERROR(__xludf.DUMMYFUNCTION("""COMPUTED_VALUE"""),1.4)</f>
        <v>1.4</v>
      </c>
      <c r="AC118" s="8" t="str">
        <f>IFERROR(__xludf.DUMMYFUNCTION("""COMPUTED_VALUE"""),"R")</f>
        <v>R</v>
      </c>
      <c r="AD118" s="8"/>
      <c r="AE118" s="8"/>
      <c r="AF118" s="13"/>
      <c r="AG118" s="8"/>
      <c r="AH118" s="8"/>
      <c r="AI118" s="8"/>
      <c r="AJ118" s="8"/>
    </row>
    <row r="119" ht="17.25" customHeight="1">
      <c r="A119" s="11"/>
      <c r="B119" s="13" t="str">
        <f>IFERROR(__xludf.DUMMYFUNCTION("""COMPUTED_VALUE"""),"未経験_研修・資格_事務系_関西")</f>
        <v>未経験_研修・資格_事務系_関西</v>
      </c>
      <c r="C119" s="8">
        <f>IFERROR(__xludf.DUMMYFUNCTION("""COMPUTED_VALUE"""),0.3)</f>
        <v>0.3</v>
      </c>
      <c r="D119" s="8" t="str">
        <f>IFERROR(__xludf.DUMMYFUNCTION("""COMPUTED_VALUE"""),"R")</f>
        <v>R</v>
      </c>
      <c r="E119" s="8"/>
      <c r="F119" s="8"/>
      <c r="G119" s="13"/>
      <c r="H119" s="8"/>
      <c r="I119" s="8"/>
      <c r="J119" s="8"/>
      <c r="K119" s="8"/>
      <c r="L119" s="13"/>
      <c r="M119" s="8"/>
      <c r="N119" s="8"/>
      <c r="O119" s="8"/>
      <c r="P119" s="8"/>
      <c r="Q119" s="13"/>
      <c r="R119" s="8"/>
      <c r="S119" s="8"/>
      <c r="T119" s="8"/>
      <c r="U119" s="8"/>
      <c r="V119" s="13"/>
      <c r="W119" s="8"/>
      <c r="X119" s="8"/>
      <c r="Y119" s="8"/>
      <c r="Z119" s="8"/>
      <c r="AA119" s="13"/>
      <c r="AB119" s="8"/>
      <c r="AC119" s="8"/>
      <c r="AD119" s="8"/>
      <c r="AE119" s="8"/>
      <c r="AF119" s="13"/>
      <c r="AG119" s="8"/>
      <c r="AH119" s="8"/>
      <c r="AI119" s="8"/>
      <c r="AJ119" s="8"/>
    </row>
    <row r="120" ht="17.25" customHeight="1">
      <c r="A120" s="11"/>
      <c r="B120" s="13" t="str">
        <f>IFERROR(__xludf.DUMMYFUNCTION("""COMPUTED_VALUE"""),"未経験_研修・資格_事務系_首都圏")</f>
        <v>未経験_研修・資格_事務系_首都圏</v>
      </c>
      <c r="C120" s="8">
        <f>IFERROR(__xludf.DUMMYFUNCTION("""COMPUTED_VALUE"""),1.3)</f>
        <v>1.3</v>
      </c>
      <c r="D120" s="8" t="str">
        <f>IFERROR(__xludf.DUMMYFUNCTION("""COMPUTED_VALUE"""),"R")</f>
        <v>R</v>
      </c>
      <c r="E120" s="8"/>
      <c r="F120" s="8"/>
      <c r="G120" s="13"/>
      <c r="H120" s="8"/>
      <c r="I120" s="8"/>
      <c r="J120" s="8"/>
      <c r="K120" s="8"/>
      <c r="L120" s="13"/>
      <c r="M120" s="8"/>
      <c r="N120" s="8"/>
      <c r="O120" s="8"/>
      <c r="P120" s="8"/>
      <c r="Q120" s="13"/>
      <c r="R120" s="8"/>
      <c r="S120" s="8"/>
      <c r="T120" s="8"/>
      <c r="U120" s="8"/>
      <c r="V120" s="13"/>
      <c r="W120" s="8"/>
      <c r="X120" s="8"/>
      <c r="Y120" s="8"/>
      <c r="Z120" s="8"/>
      <c r="AA120" s="13"/>
      <c r="AB120" s="8"/>
      <c r="AC120" s="8"/>
      <c r="AD120" s="8"/>
      <c r="AE120" s="8"/>
      <c r="AF120" s="13"/>
      <c r="AG120" s="8"/>
      <c r="AH120" s="8"/>
      <c r="AI120" s="8"/>
      <c r="AJ120" s="8"/>
    </row>
    <row r="121" ht="17.25" customHeight="1">
      <c r="A121" s="11"/>
      <c r="B121" s="13"/>
      <c r="C121" s="8"/>
      <c r="D121" s="8"/>
      <c r="E121" s="8"/>
      <c r="F121" s="8"/>
      <c r="G121" s="13"/>
      <c r="H121" s="8"/>
      <c r="I121" s="8"/>
      <c r="J121" s="8"/>
      <c r="K121" s="8"/>
      <c r="L121" s="13"/>
      <c r="M121" s="8"/>
      <c r="N121" s="8"/>
      <c r="O121" s="8"/>
      <c r="P121" s="8"/>
      <c r="Q121" s="13"/>
      <c r="R121" s="8"/>
      <c r="S121" s="8"/>
      <c r="T121" s="8"/>
      <c r="U121" s="8"/>
      <c r="V121" s="13"/>
      <c r="W121" s="8"/>
      <c r="X121" s="8"/>
      <c r="Y121" s="8"/>
      <c r="Z121" s="8"/>
      <c r="AA121" s="13"/>
      <c r="AB121" s="8"/>
      <c r="AC121" s="8"/>
      <c r="AD121" s="8"/>
      <c r="AE121" s="8"/>
      <c r="AF121" s="13"/>
      <c r="AG121" s="8"/>
      <c r="AH121" s="8"/>
      <c r="AI121" s="8"/>
      <c r="AJ121" s="8"/>
    </row>
    <row r="122" ht="17.25" customHeight="1">
      <c r="A122" s="11"/>
      <c r="B122" s="13"/>
      <c r="C122" s="8"/>
      <c r="D122" s="8"/>
      <c r="E122" s="8"/>
      <c r="F122" s="8"/>
      <c r="G122" s="13"/>
      <c r="H122" s="8"/>
      <c r="I122" s="8"/>
      <c r="J122" s="8"/>
      <c r="K122" s="8"/>
      <c r="L122" s="13"/>
      <c r="M122" s="8"/>
      <c r="N122" s="8"/>
      <c r="O122" s="8"/>
      <c r="P122" s="8"/>
      <c r="Q122" s="13"/>
      <c r="R122" s="8"/>
      <c r="S122" s="8"/>
      <c r="T122" s="8"/>
      <c r="U122" s="8"/>
      <c r="V122" s="13"/>
      <c r="W122" s="8"/>
      <c r="X122" s="8"/>
      <c r="Y122" s="8"/>
      <c r="Z122" s="8"/>
      <c r="AA122" s="13"/>
      <c r="AB122" s="8"/>
      <c r="AC122" s="8"/>
      <c r="AD122" s="8"/>
      <c r="AE122" s="8"/>
      <c r="AF122" s="13"/>
      <c r="AG122" s="8"/>
      <c r="AH122" s="8"/>
      <c r="AI122" s="8"/>
      <c r="AJ122" s="8"/>
    </row>
    <row r="123" ht="17.25" customHeight="1">
      <c r="A123" s="9">
        <f>A113+1</f>
        <v>20</v>
      </c>
      <c r="B123" s="10" t="str">
        <f>IFERROR(__xludf.DUMMYFUNCTION("IFERROR(LET(
  day, TEXT(B$1, ""ddd""),
  hour, LOOKUP(2, 1/($A123&lt;&gt;""""), $A123),
  type_A, $A$1,
  list_data, IFERROR(FILTER({'リスト'!$E$4:$F142, 'リスト'!$O$4:$P142}, ('リスト'!$A$4:$A142=day)*('リスト'!$B$4:$B142=hour)*(('リスト'!$G$4:$G142=""毎週配信"")+('リスト'!$G$4:$G"&amp;"142=type_A))), {"""","""","""",""""}),
  new_data, IFERROR(FILTER({'新規'!$E$2:$F142, '新規'!$O$2:$P142}, ('新規'!$A$2:$A142=B$1)*('新規'!$B$2:$B142=hour)),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"""")"),"当日新規会員")</f>
        <v>当日新規会員</v>
      </c>
      <c r="C123" s="8">
        <f>IFERROR(__xludf.DUMMYFUNCTION("""COMPUTED_VALUE"""),0.1)</f>
        <v>0.1</v>
      </c>
      <c r="D123" s="8" t="str">
        <f>IFERROR(__xludf.DUMMYFUNCTION("""COMPUTED_VALUE"""),"荒")</f>
        <v>荒</v>
      </c>
      <c r="E123" s="8" t="str">
        <f>IFERROR(__xludf.DUMMYFUNCTION("""COMPUTED_VALUE"""),"内")</f>
        <v>内</v>
      </c>
      <c r="F123" s="8">
        <f>SUM(C123:C132)</f>
        <v>0.1</v>
      </c>
      <c r="G123" s="10" t="str">
        <f>IFERROR(__xludf.DUMMYFUNCTION("IFERROR(LET(
  day, TEXT(G$1, ""ddd""),
  hour, LOOKUP(2, 1/($A123&lt;&gt;""""), $A123),
  type_A, $A$1,
  list_data, IFERROR(FILTER({'リスト'!$E$4:$F142, 'リスト'!$O$4:$P142}, ('リスト'!$A$4:$A142=day)*('リスト'!$B$4:$B142=hour)*(('リスト'!$G$4:$G142=""毎週配信"")+('リスト'!$G$4:$G"&amp;"142=type_A))), {"""","""","""",""""}),
  new_data, IFERROR(FILTER({'新規'!$E$2:$F142, '新規'!$O$2:$P142}, ('新規'!$A$2:$A142=G$1)*('新規'!$B$2:$B142=hour)),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"""")"),"これから人気")</f>
        <v>これから人気</v>
      </c>
      <c r="H123" s="8">
        <f>IFERROR(__xludf.DUMMYFUNCTION("""COMPUTED_VALUE"""),1.0)</f>
        <v>1</v>
      </c>
      <c r="I123" s="8" t="str">
        <f>IFERROR(__xludf.DUMMYFUNCTION("""COMPUTED_VALUE"""),"R")</f>
        <v>R</v>
      </c>
      <c r="J123" s="8"/>
      <c r="K123" s="8">
        <f>SUM(H123:H132)</f>
        <v>5</v>
      </c>
      <c r="L123" s="10" t="str">
        <f>IFERROR(__xludf.DUMMYFUNCTION("IFERROR(LET(
  day, TEXT(L$1, ""ddd""),
  hour, LOOKUP(2, 1/($A123&lt;&gt;""""), $A123),
  type_A, $A$1,
  list_data, IFERROR(FILTER({'リスト'!$E$4:$F142, 'リスト'!$O$4:$P142}, ('リスト'!$A$4:$A142=day)*('リスト'!$B$4:$B142=hour)*(('リスト'!$G$4:$G142=""毎週配信"")+('リスト'!$G$4:$G"&amp;"142=type_A))), {"""","""","""",""""}),
  new_data, IFERROR(FILTER({'新規'!$E$2:$F142, '新規'!$O$2:$P142}, ('新規'!$A$2:$A142=L$1)*('新規'!$B$2:$B142=hour)),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"""")"),"事務職 A")</f>
        <v>事務職 A</v>
      </c>
      <c r="M123" s="8">
        <f>IFERROR(__xludf.DUMMYFUNCTION("""COMPUTED_VALUE"""),1.3)</f>
        <v>1.3</v>
      </c>
      <c r="N123" s="8" t="str">
        <f>IFERROR(__xludf.DUMMYFUNCTION("""COMPUTED_VALUE"""),"R")</f>
        <v>R</v>
      </c>
      <c r="O123" s="8"/>
      <c r="P123" s="8">
        <f>SUM(M123:M132)</f>
        <v>7.9</v>
      </c>
      <c r="Q123" s="10" t="str">
        <f>IFERROR(__xludf.DUMMYFUNCTION("IFERROR(LET(
  day, TEXT(Q$1, ""ddd""),
  hour, LOOKUP(2, 1/($A123&lt;&gt;""""), $A123),
  type_A, $A$1,
  list_data, IFERROR(FILTER({'リスト'!$E$4:$F142, 'リスト'!$O$4:$P142}, ('リスト'!$A$4:$A142=day)*('リスト'!$B$4:$B142=hour)*(('リスト'!$G$4:$G142=""毎週配信"")+('リスト'!$G$4:$G"&amp;"142=type_A))), {"""","""","""",""""}),
  new_data, IFERROR(FILTER({'新規'!$E$2:$F142, '新規'!$O$2:$P142}, ('新規'!$A$2:$A142=Q$1)*('新規'!$B$2:$B142=hour)),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"""")"),"２回目転職×称号")</f>
        <v>２回目転職×称号</v>
      </c>
      <c r="R123" s="8">
        <f>IFERROR(__xludf.DUMMYFUNCTION("""COMPUTED_VALUE"""),0.9)</f>
        <v>0.9</v>
      </c>
      <c r="S123" s="8" t="str">
        <f>IFERROR(__xludf.DUMMYFUNCTION("""COMPUTED_VALUE"""),"部")</f>
        <v>部</v>
      </c>
      <c r="T123" s="8" t="str">
        <f>IFERROR(__xludf.DUMMYFUNCTION("""COMPUTED_VALUE"""),"石")</f>
        <v>石</v>
      </c>
      <c r="U123" s="8">
        <f>SUM(R123:R132)</f>
        <v>9.2</v>
      </c>
      <c r="V123" s="10" t="str">
        <f>IFERROR(__xludf.DUMMYFUNCTION("IFERROR(LET(
  day, TEXT(V$1, ""ddd""),
  hour, LOOKUP(2, 1/($A123&lt;&gt;""""), $A123),
  type_A, $A$1,
  list_data, IFERROR(FILTER({'リスト'!$E$4:$F142, 'リスト'!$O$4:$P142}, ('リスト'!$A$4:$A142=day)*('リスト'!$B$4:$B142=hour)*(('リスト'!$G$4:$G142=""毎週配信"")+('リスト'!$G$4:$G"&amp;"142=type_A))), {"""","""","""",""""}),
  new_data, IFERROR(FILTER({'新規'!$E$2:$F142, '新規'!$O$2:$P142}, ('新規'!$A$2:$A142=V$1)*('新規'!$B$2:$B142=hour)),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"""")"),"35歳以上向け B")</f>
        <v>35歳以上向け B</v>
      </c>
      <c r="W123" s="8">
        <f>IFERROR(__xludf.DUMMYFUNCTION("""COMPUTED_VALUE"""),1.1)</f>
        <v>1.1</v>
      </c>
      <c r="X123" s="8" t="str">
        <f>IFERROR(__xludf.DUMMYFUNCTION("""COMPUTED_VALUE"""),"R")</f>
        <v>R</v>
      </c>
      <c r="Y123" s="8"/>
      <c r="Z123" s="8">
        <f>SUM(W123:W132)</f>
        <v>2.5</v>
      </c>
      <c r="AA123" s="10" t="str">
        <f>IFERROR(__xludf.DUMMYFUNCTION("IFERROR(LET(
  day, TEXT(AA$1, ""ddd""),
  hour, LOOKUP(2, 1/($A123&lt;&gt;""""), $A123),
  type_A, $A$1,
  list_data, IFERROR(FILTER({'リスト'!$E$4:$F142, 'リスト'!$O$4:$P142}, ('リスト'!$A$4:$A142=day)*('リスト'!$B$4:$B142=hour)*(('リスト'!$G$4:$G142=""毎週配信"")+('リスト'!$G$4:$"&amp;"G142=type_A))), {"""","""","""",""""}),
  new_data, IFERROR(FILTER({'新規'!$E$2:$F142, '新規'!$O$2:$P142}, ('新規'!$A$2:$A142=AA$1)*('新規'!$B$2:$B142=hour)), {"""","""","""",""""}),
  special_data, IFERROR(FILTER({'特殊配信マスタ'!$E$2:$F142, '特殊配信マスタ'!$O$2:$P142}, ('特"&amp;"殊配信マスタ'!$A$2:$A142=day)*('特殊配信マスタ'!$B$2:$B142=hour)*('特殊配信マスタ'!$R$2:$R142='特殊配信マスタ'!$S$2:$S142)), {"""","""","""",""""}),
  combined, VSTACK(list_data, new_data, special_data),
  FILTER(combined, INDEX(combined, , 1)&lt;&gt;"""", INDEX(combined, , 1)&lt;&gt;0)
), """&amp;""")"),"異業種提案_事務")</f>
        <v>異業種提案_事務</v>
      </c>
      <c r="AB123" s="8">
        <f>IFERROR(__xludf.DUMMYFUNCTION("""COMPUTED_VALUE"""),2.1)</f>
        <v>2.1</v>
      </c>
      <c r="AC123" s="8" t="str">
        <f>IFERROR(__xludf.DUMMYFUNCTION("""COMPUTED_VALUE"""),"R")</f>
        <v>R</v>
      </c>
      <c r="AD123" s="8"/>
      <c r="AE123" s="8">
        <f>SUM(AB123:AB132)</f>
        <v>3.8</v>
      </c>
      <c r="AF123" s="10" t="str">
        <f>IFERROR(__xludf.DUMMYFUNCTION("IFERROR(LET(
  day, TEXT(AF$1, ""ddd""),
  hour, LOOKUP(2, 1/($A123&lt;&gt;""""), $A123),
  type_A, $A$1,
  list_data, IFERROR(FILTER({'リスト'!$E$4:$F142, 'リスト'!$O$4:$P142}, ('リスト'!$A$4:$A142=day)*('リスト'!$B$4:$B142=hour)*(('リスト'!$G$4:$G142=""毎週配信"")+('リスト'!$G$4:$"&amp;"G142=type_A))), {"""","""","""",""""}),
  new_data, IFERROR(FILTER({'新規'!$E$2:$F142, '新規'!$O$2:$P142}, ('新規'!$A$2:$A142=AF$1)*('新規'!$B$2:$B142=hour)), {"""","""","""",""""}),
  special_data, IFERROR(FILTER({'特殊配信マスタ'!$E$2:$F142, '特殊配信マスタ'!$O$2:$P142}, ('特"&amp;"殊配信マスタ'!$A$2:$A142=day)*('特殊配信マスタ'!$B$2:$B142=hour)*('特殊配信マスタ'!$R$2:$R142='特殊配信マスタ'!$S$2:$S142)), {"""","""","""",""""}),
  combined, VSTACK(list_data, new_data, special_data),
  FILTER(combined, INDEX(combined, , 1)&lt;&gt;"""", INDEX(combined, , 1)&lt;&gt;0)
), """&amp;""")"),"36歳以上正社員求人")</f>
        <v>36歳以上正社員求人</v>
      </c>
      <c r="AG123" s="8">
        <f>IFERROR(__xludf.DUMMYFUNCTION("""COMPUTED_VALUE"""),2.0)</f>
        <v>2</v>
      </c>
      <c r="AH123" s="8" t="str">
        <f>IFERROR(__xludf.DUMMYFUNCTION("""COMPUTED_VALUE"""),"R")</f>
        <v>R</v>
      </c>
      <c r="AI123" s="8"/>
      <c r="AJ123" s="8">
        <f>SUM(AG123:AG132)</f>
        <v>5.4</v>
      </c>
    </row>
    <row r="124" ht="17.25" customHeight="1">
      <c r="A124" s="11"/>
      <c r="B124" s="10"/>
      <c r="C124" s="8"/>
      <c r="D124" s="8"/>
      <c r="E124" s="8"/>
      <c r="F124" s="8"/>
      <c r="G124" s="10" t="str">
        <f>IFERROR(__xludf.DUMMYFUNCTION("""COMPUTED_VALUE"""),"ユニークな福利厚生制度_B")</f>
        <v>ユニークな福利厚生制度_B</v>
      </c>
      <c r="H124" s="8">
        <f>IFERROR(__xludf.DUMMYFUNCTION("""COMPUTED_VALUE"""),1.2)</f>
        <v>1.2</v>
      </c>
      <c r="I124" s="8" t="str">
        <f>IFERROR(__xludf.DUMMYFUNCTION("""COMPUTED_VALUE"""),"R")</f>
        <v>R</v>
      </c>
      <c r="J124" s="8"/>
      <c r="K124" s="8"/>
      <c r="L124" s="10" t="str">
        <f>IFERROR(__xludf.DUMMYFUNCTION("""COMPUTED_VALUE"""),"事務職_35歳以上 A_ランキング")</f>
        <v>事務職_35歳以上 A_ランキング</v>
      </c>
      <c r="M124" s="8">
        <f>IFERROR(__xludf.DUMMYFUNCTION("""COMPUTED_VALUE"""),1.0)</f>
        <v>1</v>
      </c>
      <c r="N124" s="8" t="str">
        <f>IFERROR(__xludf.DUMMYFUNCTION("""COMPUTED_VALUE"""),"R")</f>
        <v>R</v>
      </c>
      <c r="O124" s="8"/>
      <c r="P124" s="8"/>
      <c r="Q124" s="10" t="str">
        <f>IFERROR(__xludf.DUMMYFUNCTION("""COMPUTED_VALUE"""),"残業したくない")</f>
        <v>残業したくない</v>
      </c>
      <c r="R124" s="8">
        <f>IFERROR(__xludf.DUMMYFUNCTION("""COMPUTED_VALUE"""),2.1)</f>
        <v>2.1</v>
      </c>
      <c r="S124" s="8" t="str">
        <f>IFERROR(__xludf.DUMMYFUNCTION("""COMPUTED_VALUE"""),"R")</f>
        <v>R</v>
      </c>
      <c r="T124" s="8"/>
      <c r="U124" s="8"/>
      <c r="V124" s="10" t="str">
        <f>IFERROR(__xludf.DUMMYFUNCTION("""COMPUTED_VALUE"""),"35歳以上向け_関西 B")</f>
        <v>35歳以上向け_関西 B</v>
      </c>
      <c r="W124" s="8">
        <f>IFERROR(__xludf.DUMMYFUNCTION("""COMPUTED_VALUE"""),0.3)</f>
        <v>0.3</v>
      </c>
      <c r="X124" s="8" t="str">
        <f>IFERROR(__xludf.DUMMYFUNCTION("""COMPUTED_VALUE"""),"R")</f>
        <v>R</v>
      </c>
      <c r="Y124" s="8"/>
      <c r="Z124" s="8"/>
      <c r="AA124" s="10" t="str">
        <f>IFERROR(__xludf.DUMMYFUNCTION("""COMPUTED_VALUE"""),"正社員_関西")</f>
        <v>正社員_関西</v>
      </c>
      <c r="AB124" s="8">
        <f>IFERROR(__xludf.DUMMYFUNCTION("""COMPUTED_VALUE"""),1.6)</f>
        <v>1.6</v>
      </c>
      <c r="AC124" s="8" t="str">
        <f>IFERROR(__xludf.DUMMYFUNCTION("""COMPUTED_VALUE"""),"R")</f>
        <v>R</v>
      </c>
      <c r="AD124" s="8"/>
      <c r="AE124" s="8"/>
      <c r="AF124" s="10" t="str">
        <f>IFERROR(__xludf.DUMMYFUNCTION("""COMPUTED_VALUE"""),"広報・マーケティング_リモート_未経験")</f>
        <v>広報・マーケティング_リモート_未経験</v>
      </c>
      <c r="AG124" s="8">
        <f>IFERROR(__xludf.DUMMYFUNCTION("""COMPUTED_VALUE"""),1.0)</f>
        <v>1</v>
      </c>
      <c r="AH124" s="8" t="str">
        <f>IFERROR(__xludf.DUMMYFUNCTION("""COMPUTED_VALUE"""),"R")</f>
        <v>R</v>
      </c>
      <c r="AI124" s="8"/>
      <c r="AJ124" s="8"/>
    </row>
    <row r="125" ht="17.25" customHeight="1">
      <c r="A125" s="11"/>
      <c r="B125" s="10"/>
      <c r="C125" s="8"/>
      <c r="D125" s="8"/>
      <c r="E125" s="8"/>
      <c r="F125" s="8"/>
      <c r="G125" s="10" t="str">
        <f>IFERROR(__xludf.DUMMYFUNCTION("""COMPUTED_VALUE"""),"大手上場_35歳以上 A")</f>
        <v>大手上場_35歳以上 A</v>
      </c>
      <c r="H125" s="8">
        <f>IFERROR(__xludf.DUMMYFUNCTION("""COMPUTED_VALUE"""),1.0)</f>
        <v>1</v>
      </c>
      <c r="I125" s="8" t="str">
        <f>IFERROR(__xludf.DUMMYFUNCTION("""COMPUTED_VALUE"""),"R")</f>
        <v>R</v>
      </c>
      <c r="J125" s="8"/>
      <c r="K125" s="8"/>
      <c r="L125" s="10" t="str">
        <f>IFERROR(__xludf.DUMMYFUNCTION("""COMPUTED_VALUE"""),"事務職_関西 A")</f>
        <v>事務職_関西 A</v>
      </c>
      <c r="M125" s="8">
        <f>IFERROR(__xludf.DUMMYFUNCTION("""COMPUTED_VALUE"""),1.0)</f>
        <v>1</v>
      </c>
      <c r="N125" s="8" t="str">
        <f>IFERROR(__xludf.DUMMYFUNCTION("""COMPUTED_VALUE"""),"R")</f>
        <v>R</v>
      </c>
      <c r="O125" s="8"/>
      <c r="P125" s="8"/>
      <c r="Q125" s="10" t="str">
        <f>IFERROR(__xludf.DUMMYFUNCTION("""COMPUTED_VALUE"""),"残業したくない_関西")</f>
        <v>残業したくない_関西</v>
      </c>
      <c r="R125" s="8">
        <f>IFERROR(__xludf.DUMMYFUNCTION("""COMPUTED_VALUE"""),0.7)</f>
        <v>0.7</v>
      </c>
      <c r="S125" s="8" t="str">
        <f>IFERROR(__xludf.DUMMYFUNCTION("""COMPUTED_VALUE"""),"R")</f>
        <v>R</v>
      </c>
      <c r="T125" s="8"/>
      <c r="U125" s="8"/>
      <c r="V125" s="10" t="str">
        <f>IFERROR(__xludf.DUMMYFUNCTION("""COMPUTED_VALUE"""),"35歳未満_PV多い求人")</f>
        <v>35歳未満_PV多い求人</v>
      </c>
      <c r="W125" s="8">
        <f>IFERROR(__xludf.DUMMYFUNCTION("""COMPUTED_VALUE"""),1.0)</f>
        <v>1</v>
      </c>
      <c r="X125" s="8" t="str">
        <f>IFERROR(__xludf.DUMMYFUNCTION("""COMPUTED_VALUE"""),"R")</f>
        <v>R</v>
      </c>
      <c r="Y125" s="8"/>
      <c r="Z125" s="8"/>
      <c r="AA125" s="10" t="str">
        <f>IFERROR(__xludf.DUMMYFUNCTION("""COMPUTED_VALUE"""),"当日新規会員")</f>
        <v>当日新規会員</v>
      </c>
      <c r="AB125" s="8">
        <f>IFERROR(__xludf.DUMMYFUNCTION("""COMPUTED_VALUE"""),0.1)</f>
        <v>0.1</v>
      </c>
      <c r="AC125" s="8" t="str">
        <f>IFERROR(__xludf.DUMMYFUNCTION("""COMPUTED_VALUE"""),"荒")</f>
        <v>荒</v>
      </c>
      <c r="AD125" s="8" t="str">
        <f>IFERROR(__xludf.DUMMYFUNCTION("""COMPUTED_VALUE"""),"内")</f>
        <v>内</v>
      </c>
      <c r="AE125" s="8"/>
      <c r="AF125" s="10" t="str">
        <f>IFERROR(__xludf.DUMMYFUNCTION("""COMPUTED_VALUE"""),"国認定企業")</f>
        <v>国認定企業</v>
      </c>
      <c r="AG125" s="8">
        <f>IFERROR(__xludf.DUMMYFUNCTION("""COMPUTED_VALUE"""),1.6)</f>
        <v>1.6</v>
      </c>
      <c r="AH125" s="8" t="str">
        <f>IFERROR(__xludf.DUMMYFUNCTION("""COMPUTED_VALUE"""),"R")</f>
        <v>R</v>
      </c>
      <c r="AI125" s="8"/>
      <c r="AJ125" s="8"/>
    </row>
    <row r="126" ht="17.25" customHeight="1">
      <c r="A126" s="11"/>
      <c r="B126" s="12"/>
      <c r="C126" s="8"/>
      <c r="D126" s="8"/>
      <c r="E126" s="8"/>
      <c r="F126" s="8"/>
      <c r="G126" s="12" t="str">
        <f>IFERROR(__xludf.DUMMYFUNCTION("""COMPUTED_VALUE"""),"大手上場_関西 A")</f>
        <v>大手上場_関西 A</v>
      </c>
      <c r="H126" s="8">
        <f>IFERROR(__xludf.DUMMYFUNCTION("""COMPUTED_VALUE"""),1.0)</f>
        <v>1</v>
      </c>
      <c r="I126" s="8" t="str">
        <f>IFERROR(__xludf.DUMMYFUNCTION("""COMPUTED_VALUE"""),"R")</f>
        <v>R</v>
      </c>
      <c r="J126" s="8"/>
      <c r="K126" s="8"/>
      <c r="L126" s="12" t="str">
        <f>IFERROR(__xludf.DUMMYFUNCTION("""COMPUTED_VALUE"""),"首都圏_フルリモート_求人特集")</f>
        <v>首都圏_フルリモート_求人特集</v>
      </c>
      <c r="M126" s="8">
        <f>IFERROR(__xludf.DUMMYFUNCTION("""COMPUTED_VALUE"""),3.9)</f>
        <v>3.9</v>
      </c>
      <c r="N126" s="8" t="str">
        <f>IFERROR(__xludf.DUMMYFUNCTION("""COMPUTED_VALUE"""),"R")</f>
        <v>R</v>
      </c>
      <c r="O126" s="8"/>
      <c r="P126" s="8"/>
      <c r="Q126" s="12" t="str">
        <f>IFERROR(__xludf.DUMMYFUNCTION("""COMPUTED_VALUE"""),"住宅手当あり_首都圏")</f>
        <v>住宅手当あり_首都圏</v>
      </c>
      <c r="R126" s="8">
        <f>IFERROR(__xludf.DUMMYFUNCTION("""COMPUTED_VALUE"""),1.8)</f>
        <v>1.8</v>
      </c>
      <c r="S126" s="8" t="str">
        <f>IFERROR(__xludf.DUMMYFUNCTION("""COMPUTED_VALUE"""),"R")</f>
        <v>R</v>
      </c>
      <c r="T126" s="8"/>
      <c r="U126" s="8"/>
      <c r="V126" s="12" t="str">
        <f>IFERROR(__xludf.DUMMYFUNCTION("""COMPUTED_VALUE"""),"当日新規会員")</f>
        <v>当日新規会員</v>
      </c>
      <c r="W126" s="8">
        <f>IFERROR(__xludf.DUMMYFUNCTION("""COMPUTED_VALUE"""),0.1)</f>
        <v>0.1</v>
      </c>
      <c r="X126" s="8" t="str">
        <f>IFERROR(__xludf.DUMMYFUNCTION("""COMPUTED_VALUE"""),"荒")</f>
        <v>荒</v>
      </c>
      <c r="Y126" s="8" t="str">
        <f>IFERROR(__xludf.DUMMYFUNCTION("""COMPUTED_VALUE"""),"内")</f>
        <v>内</v>
      </c>
      <c r="Z126" s="8"/>
      <c r="AA126" s="12"/>
      <c r="AB126" s="8"/>
      <c r="AC126" s="8"/>
      <c r="AD126" s="8"/>
      <c r="AE126" s="8"/>
      <c r="AF126" s="12" t="str">
        <f>IFERROR(__xludf.DUMMYFUNCTION("""COMPUTED_VALUE"""),"新規会員向け_フルリモート×未経験歓迎")</f>
        <v>新規会員向け_フルリモート×未経験歓迎</v>
      </c>
      <c r="AG126" s="8">
        <f>IFERROR(__xludf.DUMMYFUNCTION("""COMPUTED_VALUE"""),0.4)</f>
        <v>0.4</v>
      </c>
      <c r="AH126" s="8" t="str">
        <f>IFERROR(__xludf.DUMMYFUNCTION("""COMPUTED_VALUE"""),"R")</f>
        <v>R</v>
      </c>
      <c r="AI126" s="8"/>
      <c r="AJ126" s="8"/>
    </row>
    <row r="127" ht="17.25" customHeight="1">
      <c r="A127" s="11"/>
      <c r="B127" s="13"/>
      <c r="C127" s="8"/>
      <c r="D127" s="8"/>
      <c r="E127" s="8"/>
      <c r="F127" s="8"/>
      <c r="G127" s="13" t="str">
        <f>IFERROR(__xludf.DUMMYFUNCTION("""COMPUTED_VALUE"""),"大手上場_第二新卒 A")</f>
        <v>大手上場_第二新卒 A</v>
      </c>
      <c r="H127" s="8">
        <f>IFERROR(__xludf.DUMMYFUNCTION("""COMPUTED_VALUE"""),0.7)</f>
        <v>0.7</v>
      </c>
      <c r="I127" s="8" t="str">
        <f>IFERROR(__xludf.DUMMYFUNCTION("""COMPUTED_VALUE"""),"R")</f>
        <v>R</v>
      </c>
      <c r="J127" s="8"/>
      <c r="K127" s="8"/>
      <c r="L127" s="13" t="str">
        <f>IFERROR(__xludf.DUMMYFUNCTION("""COMPUTED_VALUE"""),"当日新規会員")</f>
        <v>当日新規会員</v>
      </c>
      <c r="M127" s="8">
        <f>IFERROR(__xludf.DUMMYFUNCTION("""COMPUTED_VALUE"""),0.1)</f>
        <v>0.1</v>
      </c>
      <c r="N127" s="8" t="str">
        <f>IFERROR(__xludf.DUMMYFUNCTION("""COMPUTED_VALUE"""),"荒")</f>
        <v>荒</v>
      </c>
      <c r="O127" s="8" t="str">
        <f>IFERROR(__xludf.DUMMYFUNCTION("""COMPUTED_VALUE"""),"内")</f>
        <v>内</v>
      </c>
      <c r="P127" s="8"/>
      <c r="Q127" s="13" t="str">
        <f>IFERROR(__xludf.DUMMYFUNCTION("""COMPUTED_VALUE"""),"住宅手当あり_首都圏_35歳以上")</f>
        <v>住宅手当あり_首都圏_35歳以上</v>
      </c>
      <c r="R127" s="8">
        <f>IFERROR(__xludf.DUMMYFUNCTION("""COMPUTED_VALUE"""),1.4)</f>
        <v>1.4</v>
      </c>
      <c r="S127" s="8" t="str">
        <f>IFERROR(__xludf.DUMMYFUNCTION("""COMPUTED_VALUE"""),"R")</f>
        <v>R</v>
      </c>
      <c r="T127" s="8"/>
      <c r="U127" s="8"/>
      <c r="V127" s="13"/>
      <c r="W127" s="8"/>
      <c r="X127" s="8"/>
      <c r="Y127" s="8"/>
      <c r="Z127" s="8"/>
      <c r="AA127" s="13"/>
      <c r="AB127" s="8"/>
      <c r="AC127" s="8"/>
      <c r="AD127" s="8"/>
      <c r="AE127" s="8"/>
      <c r="AF127" s="13" t="str">
        <f>IFERROR(__xludf.DUMMYFUNCTION("""COMPUTED_VALUE"""),"当日新規会員")</f>
        <v>当日新規会員</v>
      </c>
      <c r="AG127" s="8">
        <f>IFERROR(__xludf.DUMMYFUNCTION("""COMPUTED_VALUE"""),0.1)</f>
        <v>0.1</v>
      </c>
      <c r="AH127" s="8" t="str">
        <f>IFERROR(__xludf.DUMMYFUNCTION("""COMPUTED_VALUE"""),"荒")</f>
        <v>荒</v>
      </c>
      <c r="AI127" s="8" t="str">
        <f>IFERROR(__xludf.DUMMYFUNCTION("""COMPUTED_VALUE"""),"内")</f>
        <v>内</v>
      </c>
      <c r="AJ127" s="8"/>
    </row>
    <row r="128" ht="17.25" customHeight="1">
      <c r="A128" s="11"/>
      <c r="B128" s="13"/>
      <c r="C128" s="8"/>
      <c r="D128" s="8"/>
      <c r="E128" s="8"/>
      <c r="F128" s="8"/>
      <c r="G128" s="13" t="str">
        <f>IFERROR(__xludf.DUMMYFUNCTION("""COMPUTED_VALUE"""),"当日新規会員")</f>
        <v>当日新規会員</v>
      </c>
      <c r="H128" s="8">
        <f>IFERROR(__xludf.DUMMYFUNCTION("""COMPUTED_VALUE"""),0.1)</f>
        <v>0.1</v>
      </c>
      <c r="I128" s="8" t="str">
        <f>IFERROR(__xludf.DUMMYFUNCTION("""COMPUTED_VALUE"""),"荒")</f>
        <v>荒</v>
      </c>
      <c r="J128" s="8" t="str">
        <f>IFERROR(__xludf.DUMMYFUNCTION("""COMPUTED_VALUE"""),"内")</f>
        <v>内</v>
      </c>
      <c r="K128" s="8"/>
      <c r="L128" s="13" t="str">
        <f>IFERROR(__xludf.DUMMYFUNCTION("""COMPUTED_VALUE"""),"未経験_研修・資格_クリエイティブ系_埼玉神奈川千葉")</f>
        <v>未経験_研修・資格_クリエイティブ系_埼玉神奈川千葉</v>
      </c>
      <c r="M128" s="8">
        <f>IFERROR(__xludf.DUMMYFUNCTION("""COMPUTED_VALUE"""),0.3)</f>
        <v>0.3</v>
      </c>
      <c r="N128" s="8" t="str">
        <f>IFERROR(__xludf.DUMMYFUNCTION("""COMPUTED_VALUE"""),"R")</f>
        <v>R</v>
      </c>
      <c r="O128" s="8"/>
      <c r="P128" s="8"/>
      <c r="Q128" s="13" t="str">
        <f>IFERROR(__xludf.DUMMYFUNCTION("""COMPUTED_VALUE"""),"当日新規会員")</f>
        <v>当日新規会員</v>
      </c>
      <c r="R128" s="8">
        <f>IFERROR(__xludf.DUMMYFUNCTION("""COMPUTED_VALUE"""),0.1)</f>
        <v>0.1</v>
      </c>
      <c r="S128" s="8" t="str">
        <f>IFERROR(__xludf.DUMMYFUNCTION("""COMPUTED_VALUE"""),"荒")</f>
        <v>荒</v>
      </c>
      <c r="T128" s="8" t="str">
        <f>IFERROR(__xludf.DUMMYFUNCTION("""COMPUTED_VALUE"""),"内")</f>
        <v>内</v>
      </c>
      <c r="U128" s="8"/>
      <c r="V128" s="13"/>
      <c r="W128" s="8"/>
      <c r="X128" s="8"/>
      <c r="Y128" s="8"/>
      <c r="Z128" s="8"/>
      <c r="AA128" s="13"/>
      <c r="AB128" s="8"/>
      <c r="AC128" s="8"/>
      <c r="AD128" s="8"/>
      <c r="AE128" s="8"/>
      <c r="AF128" s="13" t="str">
        <f>IFERROR(__xludf.DUMMYFUNCTION("""COMPUTED_VALUE"""),"不動産×事務")</f>
        <v>不動産×事務</v>
      </c>
      <c r="AG128" s="8">
        <f>IFERROR(__xludf.DUMMYFUNCTION("""COMPUTED_VALUE"""),0.2)</f>
        <v>0.2</v>
      </c>
      <c r="AH128" s="8" t="str">
        <f>IFERROR(__xludf.DUMMYFUNCTION("""COMPUTED_VALUE"""),"R")</f>
        <v>R</v>
      </c>
      <c r="AI128" s="8"/>
      <c r="AJ128" s="8"/>
    </row>
    <row r="129" ht="17.25" customHeight="1">
      <c r="A129" s="11"/>
      <c r="B129" s="13"/>
      <c r="C129" s="8"/>
      <c r="D129" s="8"/>
      <c r="E129" s="8"/>
      <c r="F129" s="8"/>
      <c r="G129" s="13"/>
      <c r="H129" s="8"/>
      <c r="I129" s="8"/>
      <c r="J129" s="8"/>
      <c r="K129" s="8"/>
      <c r="L129" s="13" t="str">
        <f>IFERROR(__xludf.DUMMYFUNCTION("""COMPUTED_VALUE"""),"未経験_研修・資格_クリエイティブ系_東京")</f>
        <v>未経験_研修・資格_クリエイティブ系_東京</v>
      </c>
      <c r="M129" s="8">
        <f>IFERROR(__xludf.DUMMYFUNCTION("""COMPUTED_VALUE"""),0.3)</f>
        <v>0.3</v>
      </c>
      <c r="N129" s="8" t="str">
        <f>IFERROR(__xludf.DUMMYFUNCTION("""COMPUTED_VALUE"""),"R")</f>
        <v>R</v>
      </c>
      <c r="O129" s="8"/>
      <c r="P129" s="8"/>
      <c r="Q129" s="13" t="str">
        <f>IFERROR(__xludf.DUMMYFUNCTION("""COMPUTED_VALUE"""),"有給取得率")</f>
        <v>有給取得率</v>
      </c>
      <c r="R129" s="8">
        <f>IFERROR(__xludf.DUMMYFUNCTION("""COMPUTED_VALUE"""),2.2)</f>
        <v>2.2</v>
      </c>
      <c r="S129" s="8" t="str">
        <f>IFERROR(__xludf.DUMMYFUNCTION("""COMPUTED_VALUE"""),"石")</f>
        <v>石</v>
      </c>
      <c r="T129" s="8" t="str">
        <f>IFERROR(__xludf.DUMMYFUNCTION("""COMPUTED_VALUE"""),"武")</f>
        <v>武</v>
      </c>
      <c r="U129" s="8"/>
      <c r="V129" s="13"/>
      <c r="W129" s="8"/>
      <c r="X129" s="8"/>
      <c r="Y129" s="8"/>
      <c r="Z129" s="8"/>
      <c r="AA129" s="13"/>
      <c r="AB129" s="8"/>
      <c r="AC129" s="8"/>
      <c r="AD129" s="8"/>
      <c r="AE129" s="8"/>
      <c r="AF129" s="13" t="str">
        <f>IFERROR(__xludf.DUMMYFUNCTION("""COMPUTED_VALUE"""),"保育士_幼稚園教諭")</f>
        <v>保育士_幼稚園教諭</v>
      </c>
      <c r="AG129" s="8">
        <f>IFERROR(__xludf.DUMMYFUNCTION("""COMPUTED_VALUE"""),0.1)</f>
        <v>0.1</v>
      </c>
      <c r="AH129" s="8" t="str">
        <f>IFERROR(__xludf.DUMMYFUNCTION("""COMPUTED_VALUE"""),"石")</f>
        <v>石</v>
      </c>
      <c r="AI129" s="8" t="str">
        <f>IFERROR(__xludf.DUMMYFUNCTION("""COMPUTED_VALUE"""),"部")</f>
        <v>部</v>
      </c>
      <c r="AJ129" s="8"/>
    </row>
    <row r="130" ht="17.25" customHeight="1">
      <c r="A130" s="11"/>
      <c r="B130" s="13"/>
      <c r="C130" s="8"/>
      <c r="D130" s="8"/>
      <c r="E130" s="8"/>
      <c r="F130" s="8"/>
      <c r="G130" s="13"/>
      <c r="H130" s="8"/>
      <c r="I130" s="8"/>
      <c r="J130" s="8"/>
      <c r="K130" s="8"/>
      <c r="L130" s="13"/>
      <c r="M130" s="8"/>
      <c r="N130" s="8"/>
      <c r="O130" s="8"/>
      <c r="P130" s="8"/>
      <c r="Q130" s="13" t="str">
        <f>IFERROR(__xludf.DUMMYFUNCTION("""COMPUTED_VALUE"""),"有給取得率①")</f>
        <v>有給取得率①</v>
      </c>
      <c r="R130" s="8"/>
      <c r="S130" s="8"/>
      <c r="T130" s="8"/>
      <c r="U130" s="8"/>
      <c r="V130" s="13"/>
      <c r="W130" s="8"/>
      <c r="X130" s="8"/>
      <c r="Y130" s="8"/>
      <c r="Z130" s="8"/>
      <c r="AA130" s="13"/>
      <c r="AB130" s="8"/>
      <c r="AC130" s="8"/>
      <c r="AD130" s="8"/>
      <c r="AE130" s="8"/>
      <c r="AF130" s="13" t="str">
        <f>IFERROR(__xludf.DUMMYFUNCTION("""COMPUTED_VALUE"""),"保育士_幼稚園教諭")</f>
        <v>保育士_幼稚園教諭</v>
      </c>
      <c r="AG130" s="8"/>
      <c r="AH130" s="8"/>
      <c r="AI130" s="8"/>
      <c r="AJ130" s="8"/>
    </row>
    <row r="131" ht="17.25" customHeight="1">
      <c r="A131" s="11"/>
      <c r="B131" s="13"/>
      <c r="C131" s="8"/>
      <c r="D131" s="8"/>
      <c r="E131" s="8"/>
      <c r="F131" s="8"/>
      <c r="G131" s="13"/>
      <c r="H131" s="8"/>
      <c r="I131" s="8"/>
      <c r="J131" s="8"/>
      <c r="K131" s="8"/>
      <c r="L131" s="13"/>
      <c r="M131" s="8"/>
      <c r="N131" s="8"/>
      <c r="O131" s="8"/>
      <c r="P131" s="8"/>
      <c r="Q131" s="13"/>
      <c r="R131" s="8"/>
      <c r="S131" s="8"/>
      <c r="T131" s="8"/>
      <c r="U131" s="8"/>
      <c r="V131" s="13"/>
      <c r="W131" s="8"/>
      <c r="X131" s="8"/>
      <c r="Y131" s="8"/>
      <c r="Z131" s="8"/>
      <c r="AA131" s="13"/>
      <c r="AB131" s="8"/>
      <c r="AC131" s="8"/>
      <c r="AD131" s="8"/>
      <c r="AE131" s="8"/>
      <c r="AF131" s="13"/>
      <c r="AG131" s="8"/>
      <c r="AH131" s="8"/>
      <c r="AI131" s="8"/>
      <c r="AJ131" s="8"/>
    </row>
    <row r="132" ht="17.25" customHeight="1">
      <c r="A132" s="11"/>
      <c r="B132" s="13"/>
      <c r="C132" s="8"/>
      <c r="D132" s="8"/>
      <c r="E132" s="8"/>
      <c r="F132" s="8"/>
      <c r="G132" s="13"/>
      <c r="H132" s="8"/>
      <c r="I132" s="8"/>
      <c r="J132" s="8"/>
      <c r="K132" s="8"/>
      <c r="L132" s="13"/>
      <c r="M132" s="8"/>
      <c r="N132" s="8"/>
      <c r="O132" s="8"/>
      <c r="P132" s="8"/>
      <c r="Q132" s="13"/>
      <c r="R132" s="8"/>
      <c r="S132" s="8"/>
      <c r="T132" s="8"/>
      <c r="U132" s="8"/>
      <c r="V132" s="13"/>
      <c r="W132" s="8"/>
      <c r="X132" s="8"/>
      <c r="Y132" s="8"/>
      <c r="Z132" s="8"/>
      <c r="AA132" s="13"/>
      <c r="AB132" s="8"/>
      <c r="AC132" s="8"/>
      <c r="AD132" s="8"/>
      <c r="AE132" s="8"/>
      <c r="AF132" s="13"/>
      <c r="AG132" s="8"/>
      <c r="AH132" s="8"/>
      <c r="AI132" s="8"/>
      <c r="AJ132" s="8"/>
    </row>
    <row r="133" ht="17.25" customHeight="1">
      <c r="A133" s="9">
        <f>A123+1</f>
        <v>21</v>
      </c>
      <c r="B133" s="10" t="str">
        <f>IFERROR(__xludf.DUMMYFUNCTION("IFERROR(LET(
  day, TEXT(B$1, ""ddd""),
  hour, LOOKUP(2, 1/($A133&lt;&gt;""""), $A133),
  type_A, $A$1,
  list_data, IFERROR(FILTER({'リスト'!$E$4:$F142, 'リスト'!$O$4:$P142}, ('リスト'!$A$4:$A142=day)*('リスト'!$B$4:$B142=hour)*(('リスト'!$G$4:$G142=""毎週配信"")+('リスト'!$G$4:$G"&amp;"142=type_A))), {"""","""","""",""""}),
  new_data, IFERROR(FILTER({'新規'!$E$2:$F142, '新規'!$O$2:$P142}, ('新規'!$A$2:$A142=B$1)*('新規'!$B$2:$B142=hour)),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"""")"),"WEB面接・コロナ対策")</f>
        <v>WEB面接・コロナ対策</v>
      </c>
      <c r="C133" s="8">
        <f>IFERROR(__xludf.DUMMYFUNCTION("""COMPUTED_VALUE"""),9.3)</f>
        <v>9.3</v>
      </c>
      <c r="D133" s="8" t="str">
        <f>IFERROR(__xludf.DUMMYFUNCTION("""COMPUTED_VALUE"""),"R")</f>
        <v>R</v>
      </c>
      <c r="E133" s="8"/>
      <c r="F133" s="8">
        <f>SUM(C133:C142)</f>
        <v>10.6</v>
      </c>
      <c r="G133" s="10" t="str">
        <f>IFERROR(__xludf.DUMMYFUNCTION("IFERROR(LET(
  day, TEXT(G$1, ""ddd""),
  hour, LOOKUP(2, 1/($A133&lt;&gt;""""), $A133),
  type_A, $A$1,
  list_data, IFERROR(FILTER({'リスト'!$E$4:$F142, 'リスト'!$O$4:$P142}, ('リスト'!$A$4:$A142=day)*('リスト'!$B$4:$B142=hour)*(('リスト'!$G$4:$G142=""毎週配信"")+('リスト'!$G$4:$G"&amp;"142=type_A))), {"""","""","""",""""}),
  new_data, IFERROR(FILTER({'新規'!$E$2:$F142, '新規'!$O$2:$P142}, ('新規'!$A$2:$A142=G$1)*('新規'!$B$2:$B142=hour)),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"""")"),"◇ウキにしか掲載していない求人")</f>
        <v>◇ウキにしか掲載していない求人</v>
      </c>
      <c r="H133" s="8">
        <f>IFERROR(__xludf.DUMMYFUNCTION("""COMPUTED_VALUE"""),6.9)</f>
        <v>6.9</v>
      </c>
      <c r="I133" s="8" t="str">
        <f>IFERROR(__xludf.DUMMYFUNCTION("""COMPUTED_VALUE"""),"部")</f>
        <v>部</v>
      </c>
      <c r="J133" s="8" t="str">
        <f>IFERROR(__xludf.DUMMYFUNCTION("""COMPUTED_VALUE"""),"武")</f>
        <v>武</v>
      </c>
      <c r="K133" s="8">
        <f>SUM(H133:H142)</f>
        <v>9.8</v>
      </c>
      <c r="L133" s="10" t="str">
        <f>IFERROR(__xludf.DUMMYFUNCTION("IFERROR(LET(
  day, TEXT(L$1, ""ddd""),
  hour, LOOKUP(2, 1/($A133&lt;&gt;""""), $A133),
  type_A, $A$1,
  list_data, IFERROR(FILTER({'リスト'!$E$4:$F142, 'リスト'!$O$4:$P142}, ('リスト'!$A$4:$A142=day)*('リスト'!$B$4:$B142=hour)*(('リスト'!$G$4:$G142=""毎週配信"")+('リスト'!$G$4:$G"&amp;"142=type_A))), {"""","""","""",""""}),
  new_data, IFERROR(FILTER({'新規'!$E$2:$F142, '新規'!$O$2:$P142}, ('新規'!$A$2:$A142=L$1)*('新規'!$B$2:$B142=hour)),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"""")"),"応募から1日_好条件事務ランキング")</f>
        <v>応募から1日_好条件事務ランキング</v>
      </c>
      <c r="M133" s="8">
        <f>IFERROR(__xludf.DUMMYFUNCTION("""COMPUTED_VALUE"""),0.1)</f>
        <v>0.1</v>
      </c>
      <c r="N133" s="8" t="str">
        <f>IFERROR(__xludf.DUMMYFUNCTION("""COMPUTED_VALUE"""),"R")</f>
        <v>R</v>
      </c>
      <c r="O133" s="8"/>
      <c r="P133" s="8">
        <f>SUM(M133:M142)</f>
        <v>6.1</v>
      </c>
      <c r="Q133" s="10" t="str">
        <f>IFERROR(__xludf.DUMMYFUNCTION("IFERROR(LET(
  day, TEXT(Q$1, ""ddd""),
  hour, LOOKUP(2, 1/($A133&lt;&gt;""""), $A133),
  type_A, $A$1,
  list_data, IFERROR(FILTER({'リスト'!$E$4:$F142, 'リスト'!$O$4:$P142}, ('リスト'!$A$4:$A142=day)*('リスト'!$B$4:$B142=hour)*(('リスト'!$G$4:$G142=""毎週配信"")+('リスト'!$G$4:$G"&amp;"142=type_A))), {"""","""","""",""""}),
  new_data, IFERROR(FILTER({'新規'!$E$2:$F142, '新規'!$O$2:$P142}, ('新規'!$A$2:$A142=Q$1)*('新規'!$B$2:$B142=hour)),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"""")"),"ウルトラ好条件")</f>
        <v>ウルトラ好条件</v>
      </c>
      <c r="R133" s="8">
        <f>IFERROR(__xludf.DUMMYFUNCTION("""COMPUTED_VALUE"""),6.7)</f>
        <v>6.7</v>
      </c>
      <c r="S133" s="8" t="str">
        <f>IFERROR(__xludf.DUMMYFUNCTION("""COMPUTED_VALUE"""),"R")</f>
        <v>R</v>
      </c>
      <c r="T133" s="8"/>
      <c r="U133" s="8">
        <f>SUM(R133:R142)</f>
        <v>7.4</v>
      </c>
      <c r="V133" s="10" t="str">
        <f>IFERROR(__xludf.DUMMYFUNCTION("IFERROR(LET(
  day, TEXT(V$1, ""ddd""),
  hour, LOOKUP(2, 1/($A133&lt;&gt;""""), $A133),
  type_A, $A$1,
  list_data, IFERROR(FILTER({'リスト'!$E$4:$F142, 'リスト'!$O$4:$P142}, ('リスト'!$A$4:$A142=day)*('リスト'!$B$4:$B142=hour)*(('リスト'!$G$4:$G142=""毎週配信"")+('リスト'!$G$4:$G"&amp;"142=type_A))), {"""","""","""",""""}),
  new_data, IFERROR(FILTER({'新規'!$E$2:$F142, '新規'!$O$2:$P142}, ('新規'!$A$2:$A142=V$1)*('新規'!$B$2:$B142=hour)), {"""","""","""",""""}),
  special_data, IFERROR(FILTER({'特殊配信マスタ'!$E$2:$F142, '特殊配信マスタ'!$O$2:$P142}, ('特殊配"&amp;"信マスタ'!$A$2:$A142=day)*('特殊配信マスタ'!$B$2:$B142=hour)*('特殊配信マスタ'!$R$2:$R142='特殊配信マスタ'!$S$2:$S142)), {"""","""","""",""""}),
  combined, VSTACK(list_data, new_data, special_data),
  FILTER(combined, INDEX(combined, , 1)&lt;&gt;"""", INDEX(combined, , 1)&lt;&gt;0)
), """")"),"応募から1日_好条件事務ランキング")</f>
        <v>応募から1日_好条件事務ランキング</v>
      </c>
      <c r="W133" s="8">
        <f>IFERROR(__xludf.DUMMYFUNCTION("""COMPUTED_VALUE"""),0.1)</f>
        <v>0.1</v>
      </c>
      <c r="X133" s="8" t="str">
        <f>IFERROR(__xludf.DUMMYFUNCTION("""COMPUTED_VALUE"""),"R")</f>
        <v>R</v>
      </c>
      <c r="Y133" s="8"/>
      <c r="Z133" s="8">
        <f>SUM(W133:W142)</f>
        <v>3.9</v>
      </c>
      <c r="AA133" s="10" t="str">
        <f>IFERROR(__xludf.DUMMYFUNCTION("IFERROR(LET(
  day, TEXT(AA$1, ""ddd""),
  hour, LOOKUP(2, 1/($A133&lt;&gt;""""), $A133),
  type_A, $A$1,
  list_data, IFERROR(FILTER({'リスト'!$E$4:$F142, 'リスト'!$O$4:$P142}, ('リスト'!$A$4:$A142=day)*('リスト'!$B$4:$B142=hour)*(('リスト'!$G$4:$G142=""毎週配信"")+('リスト'!$G$4:$"&amp;"G142=type_A))), {"""","""","""",""""}),
  new_data, IFERROR(FILTER({'新規'!$E$2:$F142, '新規'!$O$2:$P142}, ('新規'!$A$2:$A142=AA$1)*('新規'!$B$2:$B142=hour)), {"""","""","""",""""}),
  special_data, IFERROR(FILTER({'特殊配信マスタ'!$E$2:$F142, '特殊配信マスタ'!$O$2:$P142}, ('特"&amp;"殊配信マスタ'!$A$2:$A142=day)*('特殊配信マスタ'!$B$2:$B142=hour)*('特殊配信マスタ'!$R$2:$R142='特殊配信マスタ'!$S$2:$S142)), {"""","""","""",""""}),
  combined, VSTACK(list_data, new_data, special_data),
  FILTER(combined, INDEX(combined, , 1)&lt;&gt;"""", INDEX(combined, , 1)&lt;&gt;0)
), """&amp;""")"),"リモート_ランキング")</f>
        <v>リモート_ランキング</v>
      </c>
      <c r="AB133" s="8">
        <f>IFERROR(__xludf.DUMMYFUNCTION("""COMPUTED_VALUE"""),2.5)</f>
        <v>2.5</v>
      </c>
      <c r="AC133" s="8" t="str">
        <f>IFERROR(__xludf.DUMMYFUNCTION("""COMPUTED_VALUE"""),"R")</f>
        <v>R</v>
      </c>
      <c r="AD133" s="8"/>
      <c r="AE133" s="8">
        <f>SUM(AB133:AB142)</f>
        <v>3.3</v>
      </c>
      <c r="AF133" s="10" t="str">
        <f>IFERROR(__xludf.DUMMYFUNCTION("IFERROR(LET(
  day, TEXT(AF$1, ""ddd""),
  hour, LOOKUP(2, 1/($A133&lt;&gt;""""), $A133),
  type_A, $A$1,
  list_data, IFERROR(FILTER({'リスト'!$E$4:$F142, 'リスト'!$O$4:$P142}, ('リスト'!$A$4:$A142=day)*('リスト'!$B$4:$B142=hour)*(('リスト'!$G$4:$G142=""毎週配信"")+('リスト'!$G$4:$"&amp;"G142=type_A))), {"""","""","""",""""}),
  new_data, IFERROR(FILTER({'新規'!$E$2:$F142, '新規'!$O$2:$P142}, ('新規'!$A$2:$A142=AF$1)*('新規'!$B$2:$B142=hour)), {"""","""","""",""""}),
  special_data, IFERROR(FILTER({'特殊配信マスタ'!$E$2:$F142, '特殊配信マスタ'!$O$2:$P142}, ('特"&amp;"殊配信マスタ'!$A$2:$A142=day)*('特殊配信マスタ'!$B$2:$B142=hour)*('特殊配信マスタ'!$R$2:$R142='特殊配信マスタ'!$S$2:$S142)), {"""","""","""",""""}),
  combined, VSTACK(list_data, new_data, special_data),
  FILTER(combined, INDEX(combined, , 1)&lt;&gt;"""", INDEX(combined, , 1)&lt;&gt;0)
), """&amp;""")"),"フルフレックス")</f>
        <v>フルフレックス</v>
      </c>
      <c r="AG133" s="8">
        <f>IFERROR(__xludf.DUMMYFUNCTION("""COMPUTED_VALUE"""),3.1)</f>
        <v>3.1</v>
      </c>
      <c r="AH133" s="8" t="str">
        <f>IFERROR(__xludf.DUMMYFUNCTION("""COMPUTED_VALUE"""),"R")</f>
        <v>R</v>
      </c>
      <c r="AI133" s="8"/>
      <c r="AJ133" s="8">
        <f>SUM(AG133:AG142)</f>
        <v>4.1</v>
      </c>
    </row>
    <row r="134" ht="17.25" customHeight="1">
      <c r="A134" s="11"/>
      <c r="B134" s="10" t="str">
        <f>IFERROR(__xludf.DUMMYFUNCTION("""COMPUTED_VALUE"""),"ランキング_事務（貿易事務）_希望")</f>
        <v>ランキング_事務（貿易事務）_希望</v>
      </c>
      <c r="C134" s="8">
        <f>IFERROR(__xludf.DUMMYFUNCTION("""COMPUTED_VALUE"""),0.4)</f>
        <v>0.4</v>
      </c>
      <c r="D134" s="8" t="str">
        <f>IFERROR(__xludf.DUMMYFUNCTION("""COMPUTED_VALUE"""),"R")</f>
        <v>R</v>
      </c>
      <c r="E134" s="8"/>
      <c r="F134" s="8"/>
      <c r="G134" s="10" t="str">
        <f>IFERROR(__xludf.DUMMYFUNCTION("""COMPUTED_VALUE"""),"応募から1日_好条件事務ランキング")</f>
        <v>応募から1日_好条件事務ランキング</v>
      </c>
      <c r="H134" s="8">
        <f>IFERROR(__xludf.DUMMYFUNCTION("""COMPUTED_VALUE"""),0.1)</f>
        <v>0.1</v>
      </c>
      <c r="I134" s="8" t="str">
        <f>IFERROR(__xludf.DUMMYFUNCTION("""COMPUTED_VALUE"""),"R")</f>
        <v>R</v>
      </c>
      <c r="J134" s="8"/>
      <c r="K134" s="8"/>
      <c r="L134" s="10" t="str">
        <f>IFERROR(__xludf.DUMMYFUNCTION("""COMPUTED_VALUE"""),"応募から3日会員")</f>
        <v>応募から3日会員</v>
      </c>
      <c r="M134" s="8">
        <f>IFERROR(__xludf.DUMMYFUNCTION("""COMPUTED_VALUE"""),0.1)</f>
        <v>0.1</v>
      </c>
      <c r="N134" s="8" t="str">
        <f>IFERROR(__xludf.DUMMYFUNCTION("""COMPUTED_VALUE"""),"R")</f>
        <v>R</v>
      </c>
      <c r="O134" s="8"/>
      <c r="P134" s="8"/>
      <c r="Q134" s="10" t="str">
        <f>IFERROR(__xludf.DUMMYFUNCTION("""COMPUTED_VALUE"""),"応募から1日_好条件事務ランキング")</f>
        <v>応募から1日_好条件事務ランキング</v>
      </c>
      <c r="R134" s="8">
        <f>IFERROR(__xludf.DUMMYFUNCTION("""COMPUTED_VALUE"""),0.1)</f>
        <v>0.1</v>
      </c>
      <c r="S134" s="8" t="str">
        <f>IFERROR(__xludf.DUMMYFUNCTION("""COMPUTED_VALUE"""),"R")</f>
        <v>R</v>
      </c>
      <c r="T134" s="8"/>
      <c r="U134" s="8"/>
      <c r="V134" s="10" t="str">
        <f>IFERROR(__xludf.DUMMYFUNCTION("""COMPUTED_VALUE"""),"応募から3日会員")</f>
        <v>応募から3日会員</v>
      </c>
      <c r="W134" s="8">
        <f>IFERROR(__xludf.DUMMYFUNCTION("""COMPUTED_VALUE"""),0.1)</f>
        <v>0.1</v>
      </c>
      <c r="X134" s="8" t="str">
        <f>IFERROR(__xludf.DUMMYFUNCTION("""COMPUTED_VALUE"""),"R")</f>
        <v>R</v>
      </c>
      <c r="Y134" s="8"/>
      <c r="Z134" s="8"/>
      <c r="AA134" s="10" t="str">
        <f>IFERROR(__xludf.DUMMYFUNCTION("""COMPUTED_VALUE"""),"応募から1日_好条件事務ランキング")</f>
        <v>応募から1日_好条件事務ランキング</v>
      </c>
      <c r="AB134" s="8">
        <f>IFERROR(__xludf.DUMMYFUNCTION("""COMPUTED_VALUE"""),0.1)</f>
        <v>0.1</v>
      </c>
      <c r="AC134" s="8" t="str">
        <f>IFERROR(__xludf.DUMMYFUNCTION("""COMPUTED_VALUE"""),"R")</f>
        <v>R</v>
      </c>
      <c r="AD134" s="8"/>
      <c r="AE134" s="8"/>
      <c r="AF134" s="10" t="str">
        <f>IFERROR(__xludf.DUMMYFUNCTION("""COMPUTED_VALUE"""),"営業_カタカナ職業")</f>
        <v>営業_カタカナ職業</v>
      </c>
      <c r="AG134" s="8">
        <f>IFERROR(__xludf.DUMMYFUNCTION("""COMPUTED_VALUE"""),0.8)</f>
        <v>0.8</v>
      </c>
      <c r="AH134" s="8" t="str">
        <f>IFERROR(__xludf.DUMMYFUNCTION("""COMPUTED_VALUE"""),"R")</f>
        <v>R</v>
      </c>
      <c r="AI134" s="8"/>
      <c r="AJ134" s="8"/>
    </row>
    <row r="135" ht="17.25" customHeight="1">
      <c r="A135" s="11"/>
      <c r="B135" s="10" t="str">
        <f>IFERROR(__xludf.DUMMYFUNCTION("""COMPUTED_VALUE"""),"応募から1日_好条件事務ランキング")</f>
        <v>応募から1日_好条件事務ランキング</v>
      </c>
      <c r="C135" s="8">
        <f>IFERROR(__xludf.DUMMYFUNCTION("""COMPUTED_VALUE"""),0.1)</f>
        <v>0.1</v>
      </c>
      <c r="D135" s="8" t="str">
        <f>IFERROR(__xludf.DUMMYFUNCTION("""COMPUTED_VALUE"""),"R")</f>
        <v>R</v>
      </c>
      <c r="E135" s="8"/>
      <c r="F135" s="8"/>
      <c r="G135" s="10" t="str">
        <f>IFERROR(__xludf.DUMMYFUNCTION("""COMPUTED_VALUE"""),"応募から3日会員")</f>
        <v>応募から3日会員</v>
      </c>
      <c r="H135" s="8">
        <f>IFERROR(__xludf.DUMMYFUNCTION("""COMPUTED_VALUE"""),0.1)</f>
        <v>0.1</v>
      </c>
      <c r="I135" s="8" t="str">
        <f>IFERROR(__xludf.DUMMYFUNCTION("""COMPUTED_VALUE"""),"R")</f>
        <v>R</v>
      </c>
      <c r="J135" s="8"/>
      <c r="K135" s="8"/>
      <c r="L135" s="10" t="str">
        <f>IFERROR(__xludf.DUMMYFUNCTION("""COMPUTED_VALUE"""),"学歴不問×大手上場企業")</f>
        <v>学歴不問×大手上場企業</v>
      </c>
      <c r="M135" s="8">
        <f>IFERROR(__xludf.DUMMYFUNCTION("""COMPUTED_VALUE"""),1.3)</f>
        <v>1.3</v>
      </c>
      <c r="N135" s="8" t="str">
        <f>IFERROR(__xludf.DUMMYFUNCTION("""COMPUTED_VALUE"""),"R")</f>
        <v>R</v>
      </c>
      <c r="O135" s="8"/>
      <c r="P135" s="8"/>
      <c r="Q135" s="10" t="str">
        <f>IFERROR(__xludf.DUMMYFUNCTION("""COMPUTED_VALUE"""),"応募から3日会員")</f>
        <v>応募から3日会員</v>
      </c>
      <c r="R135" s="8">
        <f>IFERROR(__xludf.DUMMYFUNCTION("""COMPUTED_VALUE"""),0.1)</f>
        <v>0.1</v>
      </c>
      <c r="S135" s="8" t="str">
        <f>IFERROR(__xludf.DUMMYFUNCTION("""COMPUTED_VALUE"""),"R")</f>
        <v>R</v>
      </c>
      <c r="T135" s="8"/>
      <c r="U135" s="8"/>
      <c r="V135" s="10" t="str">
        <f>IFERROR(__xludf.DUMMYFUNCTION("""COMPUTED_VALUE"""),"月給30万以上_ランキング")</f>
        <v>月給30万以上_ランキング</v>
      </c>
      <c r="W135" s="8">
        <f>IFERROR(__xludf.DUMMYFUNCTION("""COMPUTED_VALUE"""),1.7)</f>
        <v>1.7</v>
      </c>
      <c r="X135" s="8" t="str">
        <f>IFERROR(__xludf.DUMMYFUNCTION("""COMPUTED_VALUE"""),"R")</f>
        <v>R</v>
      </c>
      <c r="Y135" s="8"/>
      <c r="Z135" s="8"/>
      <c r="AA135" s="10" t="str">
        <f>IFERROR(__xludf.DUMMYFUNCTION("""COMPUTED_VALUE"""),"応募から3日会員")</f>
        <v>応募から3日会員</v>
      </c>
      <c r="AB135" s="8">
        <f>IFERROR(__xludf.DUMMYFUNCTION("""COMPUTED_VALUE"""),0.1)</f>
        <v>0.1</v>
      </c>
      <c r="AC135" s="8" t="str">
        <f>IFERROR(__xludf.DUMMYFUNCTION("""COMPUTED_VALUE"""),"R")</f>
        <v>R</v>
      </c>
      <c r="AD135" s="8"/>
      <c r="AE135" s="8"/>
      <c r="AF135" s="10" t="str">
        <f>IFERROR(__xludf.DUMMYFUNCTION("""COMPUTED_VALUE"""),"応募から1日_好条件事務ランキング")</f>
        <v>応募から1日_好条件事務ランキング</v>
      </c>
      <c r="AG135" s="8">
        <f>IFERROR(__xludf.DUMMYFUNCTION("""COMPUTED_VALUE"""),0.1)</f>
        <v>0.1</v>
      </c>
      <c r="AH135" s="8" t="str">
        <f>IFERROR(__xludf.DUMMYFUNCTION("""COMPUTED_VALUE"""),"R")</f>
        <v>R</v>
      </c>
      <c r="AI135" s="8"/>
      <c r="AJ135" s="8"/>
    </row>
    <row r="136" ht="17.25" customHeight="1">
      <c r="A136" s="11"/>
      <c r="B136" s="12" t="str">
        <f>IFERROR(__xludf.DUMMYFUNCTION("""COMPUTED_VALUE"""),"応募から3日会員")</f>
        <v>応募から3日会員</v>
      </c>
      <c r="C136" s="8">
        <f>IFERROR(__xludf.DUMMYFUNCTION("""COMPUTED_VALUE"""),0.1)</f>
        <v>0.1</v>
      </c>
      <c r="D136" s="8" t="str">
        <f>IFERROR(__xludf.DUMMYFUNCTION("""COMPUTED_VALUE"""),"R")</f>
        <v>R</v>
      </c>
      <c r="E136" s="8"/>
      <c r="F136" s="8"/>
      <c r="G136" s="12" t="str">
        <f>IFERROR(__xludf.DUMMYFUNCTION("""COMPUTED_VALUE"""),"年収UP_営業")</f>
        <v>年収UP_営業</v>
      </c>
      <c r="H136" s="8">
        <f>IFERROR(__xludf.DUMMYFUNCTION("""COMPUTED_VALUE"""),0.6)</f>
        <v>0.6</v>
      </c>
      <c r="I136" s="8" t="str">
        <f>IFERROR(__xludf.DUMMYFUNCTION("""COMPUTED_VALUE"""),"R")</f>
        <v>R</v>
      </c>
      <c r="J136" s="8"/>
      <c r="K136" s="8"/>
      <c r="L136" s="12" t="str">
        <f>IFERROR(__xludf.DUMMYFUNCTION("""COMPUTED_VALUE"""),"新働きやすさ_A")</f>
        <v>新働きやすさ_A</v>
      </c>
      <c r="M136" s="8">
        <f>IFERROR(__xludf.DUMMYFUNCTION("""COMPUTED_VALUE"""),2.0)</f>
        <v>2</v>
      </c>
      <c r="N136" s="8" t="str">
        <f>IFERROR(__xludf.DUMMYFUNCTION("""COMPUTED_VALUE"""),"R")</f>
        <v>R</v>
      </c>
      <c r="O136" s="8"/>
      <c r="P136" s="8"/>
      <c r="Q136" s="12" t="str">
        <f>IFERROR(__xludf.DUMMYFUNCTION("""COMPUTED_VALUE"""),"希望業種_人材サービス")</f>
        <v>希望業種_人材サービス</v>
      </c>
      <c r="R136" s="8">
        <f>IFERROR(__xludf.DUMMYFUNCTION("""COMPUTED_VALUE"""),0.5)</f>
        <v>0.5</v>
      </c>
      <c r="S136" s="8" t="str">
        <f>IFERROR(__xludf.DUMMYFUNCTION("""COMPUTED_VALUE"""),"R")</f>
        <v>R</v>
      </c>
      <c r="T136" s="8"/>
      <c r="U136" s="8"/>
      <c r="V136" s="12" t="str">
        <f>IFERROR(__xludf.DUMMYFUNCTION("""COMPUTED_VALUE"""),"検討中ランキング_クリエイティブ")</f>
        <v>検討中ランキング_クリエイティブ</v>
      </c>
      <c r="W136" s="8">
        <f>IFERROR(__xludf.DUMMYFUNCTION("""COMPUTED_VALUE"""),0.3)</f>
        <v>0.3</v>
      </c>
      <c r="X136" s="8" t="str">
        <f>IFERROR(__xludf.DUMMYFUNCTION("""COMPUTED_VALUE"""),"R")</f>
        <v>R</v>
      </c>
      <c r="Y136" s="8"/>
      <c r="Z136" s="8"/>
      <c r="AA136" s="12" t="str">
        <f>IFERROR(__xludf.DUMMYFUNCTION("""COMPUTED_VALUE"""),"名駅・栄駅で働く")</f>
        <v>名駅・栄駅で働く</v>
      </c>
      <c r="AB136" s="8">
        <f>IFERROR(__xludf.DUMMYFUNCTION("""COMPUTED_VALUE"""),0.6)</f>
        <v>0.6</v>
      </c>
      <c r="AC136" s="8" t="str">
        <f>IFERROR(__xludf.DUMMYFUNCTION("""COMPUTED_VALUE"""),"R")</f>
        <v>R</v>
      </c>
      <c r="AD136" s="8"/>
      <c r="AE136" s="8"/>
      <c r="AF136" s="12" t="str">
        <f>IFERROR(__xludf.DUMMYFUNCTION("""COMPUTED_VALUE"""),"応募から3日会員")</f>
        <v>応募から3日会員</v>
      </c>
      <c r="AG136" s="8">
        <f>IFERROR(__xludf.DUMMYFUNCTION("""COMPUTED_VALUE"""),0.1)</f>
        <v>0.1</v>
      </c>
      <c r="AH136" s="8" t="str">
        <f>IFERROR(__xludf.DUMMYFUNCTION("""COMPUTED_VALUE"""),"R")</f>
        <v>R</v>
      </c>
      <c r="AI136" s="8"/>
      <c r="AJ136" s="8"/>
    </row>
    <row r="137" ht="17.25" customHeight="1">
      <c r="A137" s="11"/>
      <c r="B137" s="13" t="str">
        <f>IFERROR(__xludf.DUMMYFUNCTION("""COMPUTED_VALUE"""),"フルリモート×フレックス_エンジニア")</f>
        <v>フルリモート×フレックス_エンジニア</v>
      </c>
      <c r="C137" s="8">
        <f>IFERROR(__xludf.DUMMYFUNCTION("""COMPUTED_VALUE"""),0.7)</f>
        <v>0.7</v>
      </c>
      <c r="D137" s="8" t="str">
        <f>IFERROR(__xludf.DUMMYFUNCTION("""COMPUTED_VALUE"""),"石")</f>
        <v>石</v>
      </c>
      <c r="E137" s="8" t="str">
        <f>IFERROR(__xludf.DUMMYFUNCTION("""COMPUTED_VALUE"""),"部")</f>
        <v>部</v>
      </c>
      <c r="F137" s="8"/>
      <c r="G137" s="13" t="str">
        <f>IFERROR(__xludf.DUMMYFUNCTION("""COMPUTED_VALUE"""),"年収UP_事務")</f>
        <v>年収UP_事務</v>
      </c>
      <c r="H137" s="8">
        <f>IFERROR(__xludf.DUMMYFUNCTION("""COMPUTED_VALUE"""),1.5)</f>
        <v>1.5</v>
      </c>
      <c r="I137" s="8" t="str">
        <f>IFERROR(__xludf.DUMMYFUNCTION("""COMPUTED_VALUE"""),"R")</f>
        <v>R</v>
      </c>
      <c r="J137" s="8"/>
      <c r="K137" s="8"/>
      <c r="L137" s="13" t="str">
        <f>IFERROR(__xludf.DUMMYFUNCTION("""COMPUTED_VALUE"""),"新働きやすさ_A_関西")</f>
        <v>新働きやすさ_A_関西</v>
      </c>
      <c r="M137" s="8">
        <f>IFERROR(__xludf.DUMMYFUNCTION("""COMPUTED_VALUE"""),0.8)</f>
        <v>0.8</v>
      </c>
      <c r="N137" s="8" t="str">
        <f>IFERROR(__xludf.DUMMYFUNCTION("""COMPUTED_VALUE"""),"R")</f>
        <v>R</v>
      </c>
      <c r="O137" s="8"/>
      <c r="P137" s="8"/>
      <c r="Q137" s="13"/>
      <c r="R137" s="8"/>
      <c r="S137" s="8"/>
      <c r="T137" s="8"/>
      <c r="U137" s="8"/>
      <c r="V137" s="13" t="str">
        <f>IFERROR(__xludf.DUMMYFUNCTION("""COMPUTED_VALUE"""),"検討中ランキング_販サ")</f>
        <v>検討中ランキング_販サ</v>
      </c>
      <c r="W137" s="8">
        <f>IFERROR(__xludf.DUMMYFUNCTION("""COMPUTED_VALUE"""),0.4)</f>
        <v>0.4</v>
      </c>
      <c r="X137" s="8" t="str">
        <f>IFERROR(__xludf.DUMMYFUNCTION("""COMPUTED_VALUE"""),"R")</f>
        <v>R</v>
      </c>
      <c r="Y137" s="8"/>
      <c r="Z137" s="8"/>
      <c r="AA137" s="13"/>
      <c r="AB137" s="8"/>
      <c r="AC137" s="8"/>
      <c r="AD137" s="8"/>
      <c r="AE137" s="8"/>
      <c r="AF137" s="13"/>
      <c r="AG137" s="8"/>
      <c r="AH137" s="8"/>
      <c r="AI137" s="8"/>
      <c r="AJ137" s="8"/>
    </row>
    <row r="138" ht="17.25" customHeight="1">
      <c r="A138" s="11"/>
      <c r="B138" s="13" t="str">
        <f>IFERROR(__xludf.DUMMYFUNCTION("""COMPUTED_VALUE"""),"フルリモート×フレックス_エンジニア＿関西")</f>
        <v>フルリモート×フレックス_エンジニア＿関西</v>
      </c>
      <c r="C138" s="8"/>
      <c r="D138" s="8"/>
      <c r="E138" s="8"/>
      <c r="F138" s="8"/>
      <c r="G138" s="13" t="str">
        <f>IFERROR(__xludf.DUMMYFUNCTION("""COMPUTED_VALUE"""),"年収UP_販サ")</f>
        <v>年収UP_販サ</v>
      </c>
      <c r="H138" s="8">
        <f>IFERROR(__xludf.DUMMYFUNCTION("""COMPUTED_VALUE"""),0.6)</f>
        <v>0.6</v>
      </c>
      <c r="I138" s="8" t="str">
        <f>IFERROR(__xludf.DUMMYFUNCTION("""COMPUTED_VALUE"""),"R")</f>
        <v>R</v>
      </c>
      <c r="J138" s="8"/>
      <c r="K138" s="8"/>
      <c r="L138" s="13" t="str">
        <f>IFERROR(__xludf.DUMMYFUNCTION("""COMPUTED_VALUE"""),"髪色・服装自由_事務")</f>
        <v>髪色・服装自由_事務</v>
      </c>
      <c r="M138" s="8">
        <f>IFERROR(__xludf.DUMMYFUNCTION("""COMPUTED_VALUE"""),1.8)</f>
        <v>1.8</v>
      </c>
      <c r="N138" s="8" t="str">
        <f>IFERROR(__xludf.DUMMYFUNCTION("""COMPUTED_VALUE"""),"R")</f>
        <v>R</v>
      </c>
      <c r="O138" s="8"/>
      <c r="P138" s="8"/>
      <c r="Q138" s="13"/>
      <c r="R138" s="8"/>
      <c r="S138" s="8"/>
      <c r="T138" s="8"/>
      <c r="U138" s="8"/>
      <c r="V138" s="13" t="str">
        <f>IFERROR(__xludf.DUMMYFUNCTION("""COMPUTED_VALUE"""),"事務（一般事務）_希望")</f>
        <v>事務（一般事務）_希望</v>
      </c>
      <c r="W138" s="8">
        <f>IFERROR(__xludf.DUMMYFUNCTION("""COMPUTED_VALUE"""),1.3)</f>
        <v>1.3</v>
      </c>
      <c r="X138" s="8" t="str">
        <f>IFERROR(__xludf.DUMMYFUNCTION("""COMPUTED_VALUE"""),"R")</f>
        <v>R</v>
      </c>
      <c r="Y138" s="8"/>
      <c r="Z138" s="8"/>
      <c r="AA138" s="13"/>
      <c r="AB138" s="8"/>
      <c r="AC138" s="8"/>
      <c r="AD138" s="8"/>
      <c r="AE138" s="8"/>
      <c r="AF138" s="13"/>
      <c r="AG138" s="8"/>
      <c r="AH138" s="8"/>
      <c r="AI138" s="8"/>
      <c r="AJ138" s="8"/>
    </row>
    <row r="139" ht="17.25" customHeight="1">
      <c r="A139" s="11"/>
      <c r="B139" s="13"/>
      <c r="C139" s="8"/>
      <c r="D139" s="8"/>
      <c r="E139" s="8"/>
      <c r="F139" s="8"/>
      <c r="G139" s="13"/>
      <c r="H139" s="8"/>
      <c r="I139" s="8"/>
      <c r="J139" s="8"/>
      <c r="K139" s="8"/>
      <c r="L139" s="13"/>
      <c r="M139" s="8"/>
      <c r="N139" s="8"/>
      <c r="O139" s="8"/>
      <c r="P139" s="8"/>
      <c r="Q139" s="13"/>
      <c r="R139" s="8"/>
      <c r="S139" s="8"/>
      <c r="T139" s="8"/>
      <c r="U139" s="8"/>
      <c r="V139" s="13"/>
      <c r="W139" s="8"/>
      <c r="X139" s="8"/>
      <c r="Y139" s="8"/>
      <c r="Z139" s="8"/>
      <c r="AA139" s="13"/>
      <c r="AB139" s="8"/>
      <c r="AC139" s="8"/>
      <c r="AD139" s="8"/>
      <c r="AE139" s="8"/>
      <c r="AF139" s="13"/>
      <c r="AG139" s="8"/>
      <c r="AH139" s="8"/>
      <c r="AI139" s="8"/>
      <c r="AJ139" s="8"/>
    </row>
    <row r="140" ht="17.25" customHeight="1">
      <c r="A140" s="11"/>
      <c r="B140" s="13"/>
      <c r="C140" s="8"/>
      <c r="D140" s="8"/>
      <c r="E140" s="8"/>
      <c r="F140" s="8"/>
      <c r="G140" s="13"/>
      <c r="H140" s="8"/>
      <c r="I140" s="8"/>
      <c r="J140" s="8"/>
      <c r="K140" s="8"/>
      <c r="L140" s="13"/>
      <c r="M140" s="8"/>
      <c r="N140" s="8"/>
      <c r="O140" s="8"/>
      <c r="P140" s="8"/>
      <c r="Q140" s="13"/>
      <c r="R140" s="8"/>
      <c r="S140" s="8"/>
      <c r="T140" s="8"/>
      <c r="U140" s="8"/>
      <c r="V140" s="13"/>
      <c r="W140" s="8"/>
      <c r="X140" s="8"/>
      <c r="Y140" s="8"/>
      <c r="Z140" s="8"/>
      <c r="AA140" s="13"/>
      <c r="AB140" s="8"/>
      <c r="AC140" s="8"/>
      <c r="AD140" s="8"/>
      <c r="AE140" s="8"/>
      <c r="AF140" s="13"/>
      <c r="AG140" s="8"/>
      <c r="AH140" s="8"/>
      <c r="AI140" s="8"/>
      <c r="AJ140" s="8"/>
    </row>
    <row r="141" ht="17.25" customHeight="1">
      <c r="A141" s="11"/>
      <c r="B141" s="13"/>
      <c r="C141" s="8"/>
      <c r="D141" s="8"/>
      <c r="E141" s="8"/>
      <c r="F141" s="8"/>
      <c r="G141" s="13"/>
      <c r="H141" s="8"/>
      <c r="I141" s="8"/>
      <c r="J141" s="8"/>
      <c r="K141" s="8"/>
      <c r="L141" s="13"/>
      <c r="M141" s="8"/>
      <c r="N141" s="8"/>
      <c r="O141" s="8"/>
      <c r="P141" s="8"/>
      <c r="Q141" s="13"/>
      <c r="R141" s="8"/>
      <c r="S141" s="8"/>
      <c r="T141" s="8"/>
      <c r="U141" s="8"/>
      <c r="V141" s="13"/>
      <c r="W141" s="8"/>
      <c r="X141" s="8"/>
      <c r="Y141" s="8"/>
      <c r="Z141" s="8"/>
      <c r="AA141" s="13"/>
      <c r="AB141" s="8"/>
      <c r="AC141" s="8"/>
      <c r="AD141" s="8"/>
      <c r="AE141" s="8"/>
      <c r="AF141" s="13"/>
      <c r="AG141" s="8"/>
      <c r="AH141" s="8"/>
      <c r="AI141" s="8"/>
      <c r="AJ141" s="8"/>
    </row>
    <row r="142" ht="17.25" customHeight="1">
      <c r="A142" s="11"/>
      <c r="B142" s="13"/>
      <c r="C142" s="8"/>
      <c r="D142" s="8"/>
      <c r="E142" s="8"/>
      <c r="F142" s="8"/>
      <c r="G142" s="13"/>
      <c r="H142" s="8"/>
      <c r="I142" s="8"/>
      <c r="J142" s="8"/>
      <c r="K142" s="8"/>
      <c r="L142" s="13"/>
      <c r="M142" s="8"/>
      <c r="N142" s="8"/>
      <c r="O142" s="8"/>
      <c r="P142" s="8"/>
      <c r="Q142" s="13"/>
      <c r="R142" s="8"/>
      <c r="S142" s="8"/>
      <c r="T142" s="8"/>
      <c r="U142" s="8"/>
      <c r="V142" s="13"/>
      <c r="W142" s="8"/>
      <c r="X142" s="8"/>
      <c r="Y142" s="8"/>
      <c r="Z142" s="8"/>
      <c r="AA142" s="13"/>
      <c r="AB142" s="8"/>
      <c r="AC142" s="8"/>
      <c r="AD142" s="8"/>
      <c r="AE142" s="8"/>
      <c r="AF142" s="13"/>
      <c r="AG142" s="8"/>
      <c r="AH142" s="8"/>
      <c r="AI142" s="8"/>
      <c r="AJ142" s="8"/>
    </row>
  </sheetData>
  <conditionalFormatting sqref="B3:AJ138">
    <cfRule type="expression" dxfId="0" priority="1" stopIfTrue="1">
      <formula>AND(B3&lt;&gt;"", COUNTIF(INDIRECT("'特殊配信マスタ'!$E:$E"), B3)&gt;0)</formula>
    </cfRule>
  </conditionalFormatting>
  <conditionalFormatting sqref="A3:A139 B3:AF142 AG3:AJ3 AG13:AJ13 AG23:AJ23 AG33:AJ33 AG43:AJ43 AG53:AJ53 AG63:AJ63 AG73:AJ73 AG83:AJ83 AG93:AJ93 AG103:AJ103 AG113:AJ113 AG123:AJ123 AG133:AJ133">
    <cfRule type="cellIs" dxfId="1" priority="2" operator="equal">
      <formula>"配信不可"</formula>
    </cfRule>
  </conditionalFormatting>
  <conditionalFormatting sqref="A3:A139 B3:AF142 AG3:AJ3 AG13:AJ13 AG23:AJ23 AG33:AJ33 AG43:AJ43 AG53:AJ53 AG63:AJ63 AG73:AJ73 AG83:AJ83 AG93:AJ93 AG103:AJ103 AG113:AJ113 AG123:AJ123 AG133:AJ133">
    <cfRule type="expression" dxfId="2" priority="3">
      <formula>AND(MOD(COLUMN()-3, 5)=0, IFERROR(VLOOKUP(B3, INDIRECT("リスト!$C$2:$O"), 13, FALSE), FALSE))</formula>
    </cfRule>
  </conditionalFormatting>
  <conditionalFormatting sqref="B3:AF142 AG3:AJ3 AG13:AJ13 AG23:AJ23 AG33:AJ33 AG43:AJ43 AG53:AJ53 AG63:AJ63 AG73:AJ73 AG83:AJ83 AG93:AJ93 AG103:AJ103 AG113:AJ113 AG123:AJ123 AG133:AJ133">
    <cfRule type="expression" dxfId="3" priority="4">
      <formula>AND(MOD(COLUMN(B3)-2, 5)=0, B3&lt;&gt;"", COUNTIF(INDIRECT("'新規'!$E:$E"), B3)&gt;0)</formula>
    </cfRule>
  </conditionalFormatting>
  <conditionalFormatting sqref="B3:AF142 AG3:AJ3 AG13:AJ13 AG23:AJ23 AG33:AJ33 AG43:AJ43 AG53:AJ53 AG63:AJ63 AG73:AJ73 AG83:AJ83 AG93:AJ93 AG103:AJ103 AG113:AJ113 AG123:AJ123 AG133:AJ133">
    <cfRule type="expression" dxfId="4" priority="5" stopIfTrue="1">
      <formula>AND(MOD(COLUMN(B3)-2, 5)=0, XLOOKUP(B3, INDIRECT("'リスト'!$E:$E"), INDIRECT("'リスト'!$G:$G")) = "隔週B")</formula>
    </cfRule>
  </conditionalFormatting>
  <conditionalFormatting sqref="B3:AF142 AG3:AJ3 AG13:AJ13 AG23:AJ23 AG33:AJ33 AG43:AJ43 AG53:AJ53 AG63:AJ63 AG73:AJ73 AG83:AJ83 AG93:AJ93 AG103:AJ103 AG113:AJ113 AG123:AJ123 AG133:AJ133">
    <cfRule type="expression" dxfId="5" priority="6" stopIfTrue="1">
      <formula>AND(MOD(COLUMN(B3)-2, 5)=0, XLOOKUP(B3, INDIRECT("'リスト'!$E:$E"), INDIRECT("'リスト'!$G:$G")) = "隔週A")</formula>
    </cfRule>
  </conditionalFormatting>
  <conditionalFormatting sqref="D3:AH142 AI3:AJ3 AI13:AJ13 AI23:AJ23 AI33:AJ33 AI43:AJ43 AI53:AJ53 AI63:AJ63 AI73:AJ73 AI83:AJ83 AI93:AJ93 AI103:AJ103 AI113:AJ113 AI123:AJ123 AI133:AJ133">
    <cfRule type="expression" dxfId="6" priority="7">
      <formula>AND(MOD(COLUMN(), 5)=4, D3="R")</formula>
    </cfRule>
  </conditionalFormatting>
  <conditionalFormatting sqref="AF3:AJ142 B30:AE30 B47:AE50 B65:Z65 B67:Z68 B70:AE70 B83:Z83 B86:Z87 B90:AE90 B101:AE101 B105:AE106 B110:AE110 B119:AE119 B124:AE125 B130:AE130 B137:AE137">
    <cfRule type="expression" dxfId="7" priority="8" stopIfTrue="1">
      <formula>IFNA(VLOOKUP($AF3, INDIRECT("リスト!$C$2:$O$400"), 13, 0), FALSE)</formula>
    </cfRule>
  </conditionalFormatting>
  <printOptions gridLines="1" horizontalCentered="1"/>
  <pageMargins bottom="0.75" footer="0.0" header="0.0" left="0.25" right="0.25" top="0.75"/>
  <pageSetup fitToWidth="0" paperSize="8"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25"/>
    <col customWidth="1" min="2" max="2" width="12.5"/>
    <col customWidth="1" min="3" max="4" width="37.63"/>
  </cols>
  <sheetData>
    <row r="1">
      <c r="A1" s="14" t="s">
        <v>5</v>
      </c>
      <c r="B1" s="15"/>
      <c r="C1" s="16"/>
      <c r="D1" s="16"/>
    </row>
    <row r="2">
      <c r="A2" s="15" t="s">
        <v>6</v>
      </c>
      <c r="B2" s="15" t="s">
        <v>7</v>
      </c>
      <c r="C2" s="16" t="s">
        <v>8</v>
      </c>
      <c r="D2" s="16" t="s">
        <v>9</v>
      </c>
    </row>
    <row r="3">
      <c r="A3" s="17" t="s">
        <v>10</v>
      </c>
      <c r="B3" s="18" t="s">
        <v>11</v>
      </c>
      <c r="C3" s="19" t="s">
        <v>12</v>
      </c>
      <c r="D3" s="20"/>
    </row>
    <row r="4">
      <c r="A4" s="17" t="s">
        <v>13</v>
      </c>
      <c r="B4" s="21" t="s">
        <v>14</v>
      </c>
      <c r="C4" s="20"/>
      <c r="D4" s="20"/>
    </row>
    <row r="5">
      <c r="A5" s="17" t="s">
        <v>15</v>
      </c>
      <c r="B5" s="22" t="s">
        <v>16</v>
      </c>
      <c r="C5" s="20"/>
      <c r="D5" s="20"/>
    </row>
    <row r="6">
      <c r="A6" s="14" t="s">
        <v>17</v>
      </c>
      <c r="B6" s="23" t="s">
        <v>18</v>
      </c>
      <c r="C6" s="14"/>
    </row>
    <row r="7">
      <c r="A7" s="14" t="s">
        <v>19</v>
      </c>
      <c r="C7" s="14" t="s">
        <v>20</v>
      </c>
    </row>
    <row r="8">
      <c r="A8" s="14" t="s">
        <v>21</v>
      </c>
      <c r="C8" s="14" t="s">
        <v>22</v>
      </c>
    </row>
    <row r="9">
      <c r="A9" s="24" t="s">
        <v>23</v>
      </c>
      <c r="B9" s="14" t="s">
        <v>24</v>
      </c>
      <c r="C9" s="14" t="s">
        <v>25</v>
      </c>
    </row>
    <row r="10">
      <c r="A10" s="24" t="s">
        <v>23</v>
      </c>
      <c r="B10" s="14" t="s">
        <v>26</v>
      </c>
      <c r="C10" s="14" t="s">
        <v>27</v>
      </c>
    </row>
    <row r="11">
      <c r="A11" s="14" t="s">
        <v>28</v>
      </c>
    </row>
    <row r="13">
      <c r="B13" s="14" t="s">
        <v>29</v>
      </c>
      <c r="Y13" s="25">
        <v>45420.0</v>
      </c>
    </row>
    <row r="14">
      <c r="B14" s="14" t="s">
        <v>30</v>
      </c>
      <c r="C14" s="14" t="s">
        <v>31</v>
      </c>
    </row>
    <row r="15">
      <c r="C15" s="14" t="s">
        <v>32</v>
      </c>
    </row>
    <row r="16">
      <c r="C16" s="14" t="s">
        <v>33</v>
      </c>
    </row>
    <row r="18">
      <c r="B18" s="14" t="s">
        <v>34</v>
      </c>
      <c r="C18" s="14" t="s">
        <v>35</v>
      </c>
    </row>
    <row r="19">
      <c r="C19" s="14" t="s">
        <v>36</v>
      </c>
    </row>
    <row r="20">
      <c r="C20" s="14" t="s">
        <v>37</v>
      </c>
    </row>
    <row r="22">
      <c r="B22" s="14" t="s">
        <v>38</v>
      </c>
      <c r="C22" s="14" t="s">
        <v>39</v>
      </c>
    </row>
    <row r="23">
      <c r="C23" s="14" t="s">
        <v>40</v>
      </c>
    </row>
    <row r="24">
      <c r="C24" s="14" t="s">
        <v>41</v>
      </c>
    </row>
    <row r="26">
      <c r="B26" s="14" t="s">
        <v>42</v>
      </c>
      <c r="C26" s="14" t="s">
        <v>43</v>
      </c>
    </row>
    <row r="27">
      <c r="C27" s="14" t="s">
        <v>44</v>
      </c>
    </row>
    <row r="28">
      <c r="C28" s="14" t="s">
        <v>45</v>
      </c>
    </row>
    <row r="29">
      <c r="C29" s="14" t="s">
        <v>46</v>
      </c>
    </row>
    <row r="31">
      <c r="B31" s="14" t="s">
        <v>47</v>
      </c>
      <c r="C31" s="14" t="s">
        <v>48</v>
      </c>
    </row>
    <row r="32">
      <c r="C32" s="14" t="s">
        <v>49</v>
      </c>
    </row>
    <row r="33">
      <c r="C33" s="14" t="s">
        <v>50</v>
      </c>
    </row>
    <row r="35">
      <c r="B35" s="14" t="s">
        <v>51</v>
      </c>
      <c r="C35" s="14" t="s">
        <v>52</v>
      </c>
    </row>
    <row r="36">
      <c r="C36" s="14" t="s">
        <v>53</v>
      </c>
    </row>
    <row r="37">
      <c r="C37" s="14" t="s">
        <v>54</v>
      </c>
    </row>
    <row r="38">
      <c r="C38" s="14" t="s">
        <v>55</v>
      </c>
    </row>
    <row r="39">
      <c r="C39" s="14" t="s">
        <v>56</v>
      </c>
    </row>
    <row r="41">
      <c r="B41" s="14" t="s">
        <v>57</v>
      </c>
      <c r="C41" s="14" t="s">
        <v>58</v>
      </c>
    </row>
    <row r="42">
      <c r="C42" s="14" t="s">
        <v>59</v>
      </c>
    </row>
    <row r="43">
      <c r="C43" s="14" t="s">
        <v>60</v>
      </c>
    </row>
    <row r="44">
      <c r="C44" s="14" t="s">
        <v>61</v>
      </c>
    </row>
    <row r="46">
      <c r="B46" s="14" t="s">
        <v>62</v>
      </c>
      <c r="C46" s="14" t="s">
        <v>63</v>
      </c>
    </row>
    <row r="48">
      <c r="B48" s="14" t="s">
        <v>64</v>
      </c>
      <c r="C48" s="14" t="s">
        <v>65</v>
      </c>
    </row>
    <row r="49">
      <c r="C49" s="14" t="s">
        <v>66</v>
      </c>
    </row>
    <row r="50">
      <c r="C50" s="14" t="s">
        <v>67</v>
      </c>
    </row>
    <row r="51">
      <c r="C51" s="14" t="s">
        <v>68</v>
      </c>
    </row>
    <row r="52">
      <c r="C52" s="14" t="s">
        <v>69</v>
      </c>
    </row>
    <row r="53">
      <c r="C53" s="14" t="s">
        <v>70</v>
      </c>
    </row>
    <row r="55">
      <c r="B55" s="14" t="s">
        <v>71</v>
      </c>
      <c r="C55" s="14" t="s">
        <v>72</v>
      </c>
    </row>
    <row r="57">
      <c r="A57" s="14" t="s">
        <v>73</v>
      </c>
    </row>
    <row r="58">
      <c r="A58" s="14" t="s">
        <v>74</v>
      </c>
      <c r="B58" s="14" t="s">
        <v>75</v>
      </c>
    </row>
    <row r="59">
      <c r="A59" s="14" t="s">
        <v>76</v>
      </c>
      <c r="B59" s="14" t="s">
        <v>77</v>
      </c>
    </row>
    <row r="60">
      <c r="A60" s="14" t="s">
        <v>78</v>
      </c>
      <c r="B60" s="14" t="s">
        <v>79</v>
      </c>
    </row>
    <row r="64">
      <c r="A64" s="26" t="s">
        <v>80</v>
      </c>
    </row>
    <row r="65">
      <c r="A65" s="26" t="s">
        <v>81</v>
      </c>
    </row>
    <row r="67">
      <c r="A67" s="26" t="s">
        <v>82</v>
      </c>
    </row>
    <row r="69">
      <c r="A69" s="26" t="s">
        <v>83</v>
      </c>
    </row>
    <row r="71">
      <c r="A71" s="26" t="s">
        <v>84</v>
      </c>
    </row>
    <row r="72">
      <c r="A72" s="26" t="s">
        <v>85</v>
      </c>
    </row>
    <row r="74">
      <c r="A74" s="26" t="s">
        <v>86</v>
      </c>
    </row>
    <row r="76">
      <c r="A76" s="26" t="s">
        <v>87</v>
      </c>
    </row>
    <row r="78">
      <c r="A78" s="26" t="s">
        <v>88</v>
      </c>
    </row>
    <row r="80">
      <c r="A80" s="26" t="s">
        <v>89</v>
      </c>
    </row>
    <row r="81">
      <c r="A81" s="26" t="s">
        <v>90</v>
      </c>
    </row>
    <row r="83">
      <c r="A83" s="26" t="s">
        <v>91</v>
      </c>
    </row>
    <row r="85">
      <c r="A85" s="26" t="s">
        <v>92</v>
      </c>
    </row>
    <row r="87">
      <c r="A87" s="26" t="s">
        <v>93</v>
      </c>
    </row>
    <row r="89">
      <c r="A89" s="26" t="s">
        <v>94</v>
      </c>
    </row>
    <row r="91">
      <c r="A91" s="26" t="s">
        <v>95</v>
      </c>
    </row>
    <row r="93">
      <c r="A93" s="26" t="s">
        <v>96</v>
      </c>
    </row>
    <row r="94">
      <c r="A94" s="26" t="s">
        <v>97</v>
      </c>
    </row>
    <row r="96">
      <c r="A96" s="26" t="s">
        <v>98</v>
      </c>
    </row>
    <row r="98">
      <c r="A98" s="26" t="s">
        <v>99</v>
      </c>
    </row>
    <row r="100">
      <c r="A100" s="26" t="s">
        <v>100</v>
      </c>
    </row>
    <row r="101">
      <c r="A101" s="26" t="s">
        <v>101</v>
      </c>
    </row>
    <row r="102">
      <c r="A102" s="26" t="s">
        <v>102</v>
      </c>
    </row>
    <row r="104">
      <c r="A104" s="26" t="s">
        <v>103</v>
      </c>
    </row>
    <row r="106">
      <c r="A106" s="26" t="s">
        <v>104</v>
      </c>
    </row>
    <row r="108">
      <c r="A108" s="26" t="s">
        <v>105</v>
      </c>
    </row>
    <row r="109">
      <c r="A109" s="26" t="s">
        <v>106</v>
      </c>
    </row>
    <row r="111">
      <c r="A111" s="26" t="s">
        <v>107</v>
      </c>
    </row>
    <row r="113">
      <c r="A113" s="26" t="s">
        <v>108</v>
      </c>
    </row>
    <row r="115">
      <c r="A115" s="26" t="s">
        <v>109</v>
      </c>
    </row>
    <row r="117">
      <c r="A117" s="26" t="s">
        <v>110</v>
      </c>
    </row>
    <row r="119">
      <c r="A119" s="26" t="s">
        <v>111</v>
      </c>
    </row>
    <row r="120">
      <c r="A120" s="26" t="s">
        <v>112</v>
      </c>
    </row>
    <row r="121">
      <c r="A121" s="26" t="s">
        <v>113</v>
      </c>
      <c r="B121" s="26" t="s">
        <v>114</v>
      </c>
    </row>
    <row r="122">
      <c r="A122" s="26" t="s">
        <v>115</v>
      </c>
      <c r="B122" s="26" t="s">
        <v>116</v>
      </c>
    </row>
    <row r="123">
      <c r="A123" s="26" t="s">
        <v>117</v>
      </c>
      <c r="B123" s="26" t="s">
        <v>118</v>
      </c>
    </row>
    <row r="124">
      <c r="A124" s="26" t="s">
        <v>119</v>
      </c>
      <c r="B124" s="26" t="s">
        <v>120</v>
      </c>
    </row>
    <row r="125">
      <c r="A125" s="26" t="s">
        <v>121</v>
      </c>
      <c r="B125" s="26" t="s">
        <v>122</v>
      </c>
    </row>
    <row r="126">
      <c r="A126" s="26" t="s">
        <v>123</v>
      </c>
      <c r="B126" s="26" t="s">
        <v>124</v>
      </c>
    </row>
    <row r="127">
      <c r="A127" s="26" t="s">
        <v>125</v>
      </c>
    </row>
    <row r="129">
      <c r="A129" s="26" t="s">
        <v>126</v>
      </c>
    </row>
    <row r="131">
      <c r="A131" s="26" t="s">
        <v>127</v>
      </c>
    </row>
    <row r="133">
      <c r="A133" s="26" t="s">
        <v>128</v>
      </c>
    </row>
    <row r="135">
      <c r="A135" s="26" t="s">
        <v>129</v>
      </c>
    </row>
    <row r="137">
      <c r="A137" s="26" t="s">
        <v>130</v>
      </c>
    </row>
    <row r="140">
      <c r="A140" s="14" t="s">
        <v>131</v>
      </c>
    </row>
    <row r="141">
      <c r="A141" s="14" t="s">
        <v>132</v>
      </c>
    </row>
    <row r="142">
      <c r="A142" s="14" t="s">
        <v>133</v>
      </c>
    </row>
    <row r="143">
      <c r="A143" s="14" t="s">
        <v>134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63"/>
    <col customWidth="1" min="3" max="4" width="12.75"/>
    <col customWidth="1" min="5" max="5" width="35.13"/>
    <col customWidth="1" min="6" max="7" width="7.63"/>
    <col customWidth="1" min="8" max="8" width="12.63"/>
    <col customWidth="1" min="9" max="9" width="7.63"/>
    <col customWidth="1" min="10" max="12" width="12.63"/>
    <col customWidth="1" min="13" max="13" width="35.13"/>
    <col customWidth="1" min="14" max="20" width="7.63"/>
  </cols>
  <sheetData>
    <row r="1">
      <c r="A1" s="27" t="s">
        <v>135</v>
      </c>
      <c r="B1" s="28" t="s">
        <v>136</v>
      </c>
      <c r="C1" s="29" t="s">
        <v>137</v>
      </c>
      <c r="D1" s="30" t="s">
        <v>138</v>
      </c>
      <c r="E1" s="28" t="s">
        <v>0</v>
      </c>
      <c r="F1" s="31" t="s">
        <v>1</v>
      </c>
      <c r="G1" s="31" t="s">
        <v>139</v>
      </c>
      <c r="H1" s="31" t="s">
        <v>140</v>
      </c>
      <c r="I1" s="28" t="s">
        <v>141</v>
      </c>
      <c r="J1" s="28" t="s">
        <v>142</v>
      </c>
      <c r="K1" s="28" t="s">
        <v>143</v>
      </c>
      <c r="L1" s="29" t="s">
        <v>144</v>
      </c>
      <c r="M1" s="28" t="s">
        <v>145</v>
      </c>
      <c r="N1" s="28" t="s">
        <v>78</v>
      </c>
      <c r="O1" s="28" t="s">
        <v>2</v>
      </c>
      <c r="P1" s="28" t="s">
        <v>3</v>
      </c>
      <c r="Q1" s="30" t="s">
        <v>146</v>
      </c>
      <c r="R1" s="32" t="s">
        <v>147</v>
      </c>
      <c r="S1" s="32" t="s">
        <v>148</v>
      </c>
      <c r="T1" s="32" t="s">
        <v>149</v>
      </c>
    </row>
    <row r="2" ht="17.25" customHeight="1">
      <c r="A2" s="33">
        <v>46113.0</v>
      </c>
      <c r="B2" s="34">
        <v>12.0</v>
      </c>
      <c r="C2" s="34"/>
      <c r="D2" s="34"/>
      <c r="E2" s="34" t="s">
        <v>150</v>
      </c>
      <c r="F2" s="8">
        <v>2.0</v>
      </c>
      <c r="G2" s="35" t="s">
        <v>48</v>
      </c>
      <c r="H2" s="8"/>
      <c r="I2" s="36" t="s">
        <v>151</v>
      </c>
      <c r="J2" s="36"/>
      <c r="K2" s="36"/>
      <c r="L2" s="37"/>
      <c r="M2" s="38" t="s">
        <v>152</v>
      </c>
      <c r="N2" s="8"/>
      <c r="O2" s="8" t="s">
        <v>153</v>
      </c>
      <c r="P2" s="8" t="s">
        <v>154</v>
      </c>
      <c r="Q2" s="8" t="b">
        <v>0</v>
      </c>
      <c r="R2" s="8" t="b">
        <v>0</v>
      </c>
      <c r="S2" s="8" t="b">
        <v>0</v>
      </c>
      <c r="T2" s="8" t="b">
        <v>0</v>
      </c>
    </row>
    <row r="3" ht="17.25" customHeight="1">
      <c r="A3" s="33">
        <v>46126.0</v>
      </c>
      <c r="B3" s="8">
        <v>21.0</v>
      </c>
      <c r="C3" s="34"/>
      <c r="D3" s="34"/>
      <c r="E3" s="34" t="s">
        <v>155</v>
      </c>
      <c r="F3" s="8">
        <v>0.7</v>
      </c>
      <c r="G3" s="35" t="s">
        <v>48</v>
      </c>
      <c r="H3" s="39"/>
      <c r="I3" s="36" t="s">
        <v>156</v>
      </c>
      <c r="J3" s="36"/>
      <c r="K3" s="36"/>
      <c r="L3" s="37"/>
      <c r="M3" s="38"/>
      <c r="N3" s="39"/>
      <c r="O3" s="39" t="s">
        <v>153</v>
      </c>
      <c r="P3" s="8" t="s">
        <v>154</v>
      </c>
      <c r="Q3" s="8" t="b">
        <v>0</v>
      </c>
      <c r="R3" s="8" t="b">
        <v>0</v>
      </c>
      <c r="S3" s="8" t="b">
        <v>0</v>
      </c>
      <c r="T3" s="8" t="b">
        <v>0</v>
      </c>
    </row>
    <row r="4" ht="17.25" customHeight="1">
      <c r="A4" s="33">
        <v>46127.0</v>
      </c>
      <c r="B4" s="8">
        <v>12.0</v>
      </c>
      <c r="C4" s="34"/>
      <c r="D4" s="34"/>
      <c r="E4" s="34" t="s">
        <v>150</v>
      </c>
      <c r="F4" s="8">
        <v>2.0</v>
      </c>
      <c r="G4" s="35" t="s">
        <v>48</v>
      </c>
      <c r="H4" s="8"/>
      <c r="I4" s="36" t="s">
        <v>151</v>
      </c>
      <c r="J4" s="36"/>
      <c r="K4" s="36"/>
      <c r="L4" s="37"/>
      <c r="M4" s="38" t="s">
        <v>152</v>
      </c>
      <c r="N4" s="8"/>
      <c r="O4" s="8" t="s">
        <v>153</v>
      </c>
      <c r="P4" s="8" t="s">
        <v>154</v>
      </c>
      <c r="Q4" s="8" t="b">
        <v>0</v>
      </c>
      <c r="R4" s="8" t="b">
        <v>0</v>
      </c>
      <c r="S4" s="8" t="b">
        <v>0</v>
      </c>
      <c r="T4" s="8" t="b">
        <v>0</v>
      </c>
    </row>
    <row r="5" ht="17.25" customHeight="1">
      <c r="A5" s="33">
        <v>46129.0</v>
      </c>
      <c r="B5" s="8">
        <v>20.0</v>
      </c>
      <c r="C5" s="34"/>
      <c r="D5" s="34"/>
      <c r="E5" s="34" t="s">
        <v>157</v>
      </c>
      <c r="F5" s="8">
        <v>2.2</v>
      </c>
      <c r="G5" s="35" t="s">
        <v>48</v>
      </c>
      <c r="H5" s="8"/>
      <c r="I5" s="8" t="s">
        <v>156</v>
      </c>
      <c r="J5" s="8"/>
      <c r="K5" s="8"/>
      <c r="L5" s="37"/>
      <c r="M5" s="38"/>
      <c r="N5" s="8"/>
      <c r="O5" s="8" t="s">
        <v>153</v>
      </c>
      <c r="P5" s="8" t="s">
        <v>158</v>
      </c>
      <c r="Q5" s="8" t="b">
        <v>0</v>
      </c>
      <c r="R5" s="8" t="b">
        <v>0</v>
      </c>
      <c r="S5" s="8" t="b">
        <v>0</v>
      </c>
      <c r="T5" s="8" t="b">
        <v>0</v>
      </c>
    </row>
    <row r="6" ht="17.25" customHeight="1">
      <c r="A6" s="33">
        <v>46132.0</v>
      </c>
      <c r="B6" s="8">
        <v>20.0</v>
      </c>
      <c r="C6" s="8"/>
      <c r="D6" s="8"/>
      <c r="E6" s="8" t="s">
        <v>159</v>
      </c>
      <c r="F6" s="8">
        <v>0.1</v>
      </c>
      <c r="G6" s="35" t="s">
        <v>48</v>
      </c>
      <c r="H6" s="8"/>
      <c r="I6" s="40" t="s">
        <v>156</v>
      </c>
      <c r="J6" s="40"/>
      <c r="K6" s="40"/>
      <c r="L6" s="37"/>
      <c r="M6" s="41"/>
      <c r="N6" s="8"/>
      <c r="O6" s="8" t="s">
        <v>153</v>
      </c>
      <c r="P6" s="8" t="s">
        <v>154</v>
      </c>
      <c r="Q6" s="8" t="b">
        <v>0</v>
      </c>
      <c r="R6" s="8" t="b">
        <v>0</v>
      </c>
      <c r="S6" s="8" t="b">
        <v>0</v>
      </c>
      <c r="T6" s="8" t="b">
        <v>0</v>
      </c>
    </row>
    <row r="7" ht="17.25" customHeight="1">
      <c r="A7" s="33">
        <v>46132.0</v>
      </c>
      <c r="B7" s="8">
        <v>20.0</v>
      </c>
      <c r="C7" s="8"/>
      <c r="D7" s="8"/>
      <c r="E7" s="8" t="s">
        <v>159</v>
      </c>
      <c r="F7" s="8"/>
      <c r="G7" s="42"/>
      <c r="H7" s="43"/>
      <c r="I7" s="8"/>
      <c r="J7" s="8"/>
      <c r="K7" s="8"/>
      <c r="L7" s="37"/>
      <c r="M7" s="41" t="s">
        <v>160</v>
      </c>
      <c r="N7" s="44" t="s">
        <v>161</v>
      </c>
      <c r="O7" s="8"/>
      <c r="P7" s="8"/>
      <c r="Q7" s="8" t="b">
        <v>0</v>
      </c>
      <c r="R7" s="8" t="b">
        <v>0</v>
      </c>
      <c r="S7" s="8" t="b">
        <v>0</v>
      </c>
      <c r="T7" s="8" t="b">
        <v>0</v>
      </c>
    </row>
    <row r="8" ht="17.25" customHeight="1">
      <c r="A8" s="33">
        <v>46130.0</v>
      </c>
      <c r="B8" s="8">
        <v>10.0</v>
      </c>
      <c r="C8" s="8"/>
      <c r="D8" s="8"/>
      <c r="E8" s="8" t="s">
        <v>162</v>
      </c>
      <c r="F8" s="8">
        <v>2.0</v>
      </c>
      <c r="G8" s="42" t="s">
        <v>163</v>
      </c>
      <c r="H8" s="43"/>
      <c r="I8" s="36" t="s">
        <v>151</v>
      </c>
      <c r="J8" s="41" t="s">
        <v>164</v>
      </c>
      <c r="K8" s="8"/>
      <c r="L8" s="37"/>
      <c r="M8" s="43"/>
      <c r="N8" s="8"/>
      <c r="O8" s="8"/>
      <c r="P8" s="8"/>
      <c r="Q8" s="8" t="b">
        <v>0</v>
      </c>
      <c r="R8" s="8" t="b">
        <v>0</v>
      </c>
      <c r="S8" s="8" t="b">
        <v>0</v>
      </c>
      <c r="T8" s="8" t="b">
        <v>0</v>
      </c>
    </row>
    <row r="9" ht="17.25" customHeight="1">
      <c r="A9" s="33">
        <v>46137.0</v>
      </c>
      <c r="B9" s="8">
        <v>10.0</v>
      </c>
      <c r="C9" s="34"/>
      <c r="D9" s="34"/>
      <c r="E9" s="34" t="s">
        <v>162</v>
      </c>
      <c r="F9" s="8">
        <v>2.0</v>
      </c>
      <c r="G9" s="42" t="s">
        <v>163</v>
      </c>
      <c r="H9" s="41"/>
      <c r="I9" s="36" t="s">
        <v>151</v>
      </c>
      <c r="J9" s="38" t="s">
        <v>164</v>
      </c>
      <c r="K9" s="45"/>
      <c r="L9" s="37"/>
      <c r="M9" s="8"/>
      <c r="N9" s="8"/>
      <c r="O9" s="8"/>
      <c r="P9" s="8"/>
      <c r="Q9" s="8" t="b">
        <v>0</v>
      </c>
      <c r="R9" s="8" t="b">
        <v>0</v>
      </c>
      <c r="S9" s="8" t="b">
        <v>0</v>
      </c>
      <c r="T9" s="8" t="b">
        <v>0</v>
      </c>
    </row>
    <row r="10" ht="17.25" customHeight="1">
      <c r="A10" s="33">
        <v>46091.0</v>
      </c>
      <c r="B10" s="8">
        <v>11.0</v>
      </c>
      <c r="C10" s="8"/>
      <c r="D10" s="8"/>
      <c r="E10" s="8" t="s">
        <v>165</v>
      </c>
      <c r="F10" s="8"/>
      <c r="G10" s="42" t="s">
        <v>166</v>
      </c>
      <c r="H10" s="41"/>
      <c r="I10" s="36" t="s">
        <v>151</v>
      </c>
      <c r="J10" s="41" t="s">
        <v>167</v>
      </c>
      <c r="K10" s="8"/>
      <c r="L10" s="37"/>
      <c r="M10" s="8"/>
      <c r="N10" s="8"/>
      <c r="O10" s="8"/>
      <c r="P10" s="8"/>
      <c r="Q10" s="8" t="b">
        <v>0</v>
      </c>
      <c r="R10" s="8" t="b">
        <v>0</v>
      </c>
      <c r="S10" s="8" t="b">
        <v>0</v>
      </c>
      <c r="T10" s="8" t="b">
        <v>0</v>
      </c>
    </row>
    <row r="11" ht="17.25" customHeight="1">
      <c r="A11" s="33">
        <v>46098.0</v>
      </c>
      <c r="B11" s="8">
        <v>11.0</v>
      </c>
      <c r="C11" s="8"/>
      <c r="D11" s="8"/>
      <c r="E11" s="8" t="s">
        <v>165</v>
      </c>
      <c r="F11" s="8"/>
      <c r="G11" s="42" t="s">
        <v>166</v>
      </c>
      <c r="H11" s="41"/>
      <c r="I11" s="36" t="s">
        <v>151</v>
      </c>
      <c r="J11" s="41" t="s">
        <v>167</v>
      </c>
      <c r="K11" s="8"/>
      <c r="L11" s="37"/>
      <c r="M11" s="8"/>
      <c r="N11" s="8"/>
      <c r="O11" s="8"/>
      <c r="P11" s="8"/>
      <c r="Q11" s="8" t="b">
        <v>0</v>
      </c>
      <c r="R11" s="8" t="b">
        <v>0</v>
      </c>
      <c r="S11" s="8" t="b">
        <v>0</v>
      </c>
      <c r="T11" s="8" t="b">
        <v>0</v>
      </c>
    </row>
    <row r="12" ht="17.25" customHeight="1">
      <c r="A12" s="33">
        <v>46105.0</v>
      </c>
      <c r="B12" s="8">
        <v>11.0</v>
      </c>
      <c r="C12" s="34"/>
      <c r="D12" s="34"/>
      <c r="E12" s="34" t="s">
        <v>165</v>
      </c>
      <c r="F12" s="8"/>
      <c r="G12" s="42" t="s">
        <v>166</v>
      </c>
      <c r="H12" s="41"/>
      <c r="I12" s="36" t="s">
        <v>151</v>
      </c>
      <c r="J12" s="38" t="s">
        <v>167</v>
      </c>
      <c r="K12" s="8"/>
      <c r="L12" s="37"/>
      <c r="M12" s="8"/>
      <c r="N12" s="8"/>
      <c r="O12" s="8"/>
      <c r="P12" s="8"/>
      <c r="Q12" s="8" t="b">
        <v>0</v>
      </c>
      <c r="R12" s="8" t="b">
        <v>0</v>
      </c>
      <c r="S12" s="8" t="b">
        <v>0</v>
      </c>
      <c r="T12" s="8" t="b">
        <v>0</v>
      </c>
    </row>
    <row r="13" ht="17.25" customHeight="1">
      <c r="A13" s="33">
        <v>46112.0</v>
      </c>
      <c r="B13" s="8">
        <v>11.0</v>
      </c>
      <c r="C13" s="8"/>
      <c r="D13" s="8"/>
      <c r="E13" s="8" t="s">
        <v>165</v>
      </c>
      <c r="F13" s="8"/>
      <c r="G13" s="42" t="s">
        <v>166</v>
      </c>
      <c r="H13" s="41"/>
      <c r="I13" s="36" t="s">
        <v>151</v>
      </c>
      <c r="J13" s="41" t="s">
        <v>167</v>
      </c>
      <c r="K13" s="8"/>
      <c r="L13" s="37"/>
      <c r="M13" s="8"/>
      <c r="N13" s="8"/>
      <c r="O13" s="8"/>
      <c r="P13" s="8"/>
      <c r="Q13" s="8" t="b">
        <v>0</v>
      </c>
      <c r="R13" s="8" t="b">
        <v>0</v>
      </c>
      <c r="S13" s="8" t="b">
        <v>0</v>
      </c>
      <c r="T13" s="8" t="b">
        <v>0</v>
      </c>
    </row>
    <row r="14" ht="17.25" customHeight="1">
      <c r="A14" s="33">
        <v>46119.0</v>
      </c>
      <c r="B14" s="8">
        <v>11.0</v>
      </c>
      <c r="C14" s="39"/>
      <c r="D14" s="39"/>
      <c r="E14" s="39" t="s">
        <v>165</v>
      </c>
      <c r="F14" s="8"/>
      <c r="G14" s="42" t="s">
        <v>166</v>
      </c>
      <c r="H14" s="41"/>
      <c r="I14" s="36" t="s">
        <v>151</v>
      </c>
      <c r="J14" s="46" t="s">
        <v>167</v>
      </c>
      <c r="K14" s="39"/>
      <c r="L14" s="37"/>
      <c r="M14" s="39"/>
      <c r="N14" s="8"/>
      <c r="O14" s="39"/>
      <c r="P14" s="8"/>
      <c r="Q14" s="8" t="b">
        <v>0</v>
      </c>
      <c r="R14" s="8" t="b">
        <v>0</v>
      </c>
      <c r="S14" s="8" t="b">
        <v>0</v>
      </c>
      <c r="T14" s="8" t="b">
        <v>0</v>
      </c>
    </row>
    <row r="15" ht="17.25" customHeight="1">
      <c r="A15" s="33">
        <v>46119.0</v>
      </c>
      <c r="B15" s="8">
        <v>21.0</v>
      </c>
      <c r="C15" s="47"/>
      <c r="D15" s="47"/>
      <c r="E15" s="47" t="s">
        <v>155</v>
      </c>
      <c r="F15" s="8"/>
      <c r="G15" s="42"/>
      <c r="H15" s="41"/>
      <c r="I15" s="45"/>
      <c r="J15" s="36"/>
      <c r="K15" s="36"/>
      <c r="L15" s="37"/>
      <c r="M15" s="48" t="s">
        <v>160</v>
      </c>
      <c r="N15" s="8"/>
      <c r="O15" s="8"/>
      <c r="P15" s="34"/>
      <c r="Q15" s="8" t="b">
        <v>0</v>
      </c>
      <c r="R15" s="8" t="b">
        <v>0</v>
      </c>
      <c r="S15" s="8" t="b">
        <v>0</v>
      </c>
      <c r="T15" s="8" t="b">
        <v>0</v>
      </c>
    </row>
    <row r="16" ht="17.25" customHeight="1">
      <c r="A16" s="33">
        <v>46122.0</v>
      </c>
      <c r="B16" s="8">
        <v>20.0</v>
      </c>
      <c r="C16" s="34"/>
      <c r="D16" s="34"/>
      <c r="E16" s="34" t="s">
        <v>168</v>
      </c>
      <c r="F16" s="8"/>
      <c r="G16" s="42"/>
      <c r="H16" s="41"/>
      <c r="I16" s="8"/>
      <c r="J16" s="8"/>
      <c r="K16" s="8"/>
      <c r="L16" s="37"/>
      <c r="M16" s="38" t="s">
        <v>160</v>
      </c>
      <c r="N16" s="8"/>
      <c r="O16" s="8"/>
      <c r="P16" s="8"/>
      <c r="Q16" s="8" t="b">
        <v>0</v>
      </c>
      <c r="R16" s="8" t="b">
        <v>0</v>
      </c>
      <c r="S16" s="8" t="b">
        <v>0</v>
      </c>
      <c r="T16" s="8" t="b">
        <v>0</v>
      </c>
    </row>
    <row r="17" ht="17.25" customHeight="1">
      <c r="A17" s="33">
        <v>46126.0</v>
      </c>
      <c r="B17" s="8">
        <v>21.0</v>
      </c>
      <c r="C17" s="8"/>
      <c r="D17" s="8"/>
      <c r="E17" s="8" t="s">
        <v>169</v>
      </c>
      <c r="F17" s="45"/>
      <c r="G17" s="42"/>
      <c r="H17" s="41"/>
      <c r="I17" s="45"/>
      <c r="J17" s="45"/>
      <c r="K17" s="45"/>
      <c r="L17" s="37"/>
      <c r="M17" s="41" t="s">
        <v>160</v>
      </c>
      <c r="N17" s="8"/>
      <c r="O17" s="8"/>
      <c r="P17" s="8"/>
      <c r="Q17" s="8" t="b">
        <v>0</v>
      </c>
      <c r="R17" s="8" t="b">
        <v>0</v>
      </c>
      <c r="S17" s="8" t="b">
        <v>0</v>
      </c>
      <c r="T17" s="8" t="b">
        <v>0</v>
      </c>
    </row>
    <row r="18" ht="17.25" customHeight="1">
      <c r="A18" s="33">
        <v>46129.0</v>
      </c>
      <c r="B18" s="8">
        <v>20.0</v>
      </c>
      <c r="C18" s="49"/>
      <c r="D18" s="49"/>
      <c r="E18" s="49" t="s">
        <v>170</v>
      </c>
      <c r="F18" s="8"/>
      <c r="G18" s="42"/>
      <c r="H18" s="50"/>
      <c r="I18" s="36"/>
      <c r="J18" s="36"/>
      <c r="K18" s="36"/>
      <c r="L18" s="37"/>
      <c r="M18" s="51" t="s">
        <v>160</v>
      </c>
      <c r="N18" s="36"/>
      <c r="O18" s="36"/>
      <c r="P18" s="36"/>
      <c r="Q18" s="8" t="b">
        <v>0</v>
      </c>
      <c r="R18" s="8" t="b">
        <v>0</v>
      </c>
      <c r="S18" s="8" t="b">
        <v>0</v>
      </c>
      <c r="T18" s="8" t="b">
        <v>0</v>
      </c>
    </row>
  </sheetData>
  <autoFilter ref="$A$1:$Q$18">
    <sortState ref="A1:Q18">
      <sortCondition ref="G1:G18"/>
      <sortCondition ref="N1:N18"/>
      <sortCondition ref="A1:A18"/>
    </sortState>
  </autoFilter>
  <conditionalFormatting sqref="A2:T18">
    <cfRule type="expression" dxfId="3" priority="1">
      <formula>$G2="検"</formula>
    </cfRule>
  </conditionalFormatting>
  <conditionalFormatting sqref="M1 O1:O18 Q1">
    <cfRule type="cellIs" dxfId="6" priority="2" operator="equal">
      <formula>"R"</formula>
    </cfRule>
  </conditionalFormatting>
  <conditionalFormatting sqref="Q2:Q18">
    <cfRule type="expression" dxfId="1" priority="3">
      <formula>$Q2=TRUE</formula>
    </cfRule>
  </conditionalFormatting>
  <dataValidations>
    <dataValidation type="list" allowBlank="1" sqref="B3:B18">
      <formula1>"8,9,10,11,12,13,14,15,16,17,18,19,20,21"</formula1>
    </dataValidation>
    <dataValidation type="list" allowBlank="1" sqref="A3:A18">
      <formula1>"火,水,木,金,土,日,月"</formula1>
    </dataValidation>
  </dataValidations>
  <printOptions gridLines="1" horizontalCentered="1"/>
  <pageMargins bottom="0.75" footer="0.0" header="0.0" left="0.25" right="0.25" top="0.75"/>
  <pageSetup fitToWidth="0" paperSize="8" cellComments="atEnd"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7.63"/>
    <col customWidth="1" min="3" max="4" width="11.5"/>
    <col customWidth="1" min="5" max="5" width="35.13"/>
    <col customWidth="1" min="6" max="8" width="7.5"/>
    <col customWidth="1" min="9" max="9" width="7.63"/>
    <col customWidth="1" min="10" max="12" width="12.63"/>
    <col customWidth="1" min="13" max="13" width="35.13"/>
    <col customWidth="1" min="14" max="20" width="7.63"/>
  </cols>
  <sheetData>
    <row r="1">
      <c r="A1" s="52">
        <v>46126.0</v>
      </c>
      <c r="B1" s="53">
        <f>'26414_編集版'!B1</f>
        <v>46126</v>
      </c>
      <c r="C1" s="28"/>
      <c r="D1" s="28"/>
      <c r="E1" s="28"/>
      <c r="F1" s="31"/>
      <c r="G1" s="31"/>
      <c r="H1" s="31"/>
      <c r="I1" s="28"/>
      <c r="J1" s="28"/>
      <c r="K1" s="28"/>
      <c r="L1" s="29"/>
      <c r="M1" s="28"/>
      <c r="N1" s="28"/>
      <c r="O1" s="28"/>
      <c r="P1" s="28"/>
      <c r="Q1" s="30"/>
      <c r="R1" s="32"/>
      <c r="S1" s="32"/>
      <c r="T1" s="32"/>
    </row>
    <row r="2">
      <c r="A2" s="27" t="s">
        <v>135</v>
      </c>
      <c r="B2" s="28" t="s">
        <v>136</v>
      </c>
      <c r="C2" s="29" t="s">
        <v>137</v>
      </c>
      <c r="D2" s="30" t="s">
        <v>138</v>
      </c>
      <c r="E2" s="28" t="s">
        <v>0</v>
      </c>
      <c r="F2" s="31" t="s">
        <v>1</v>
      </c>
      <c r="G2" s="31" t="s">
        <v>139</v>
      </c>
      <c r="H2" s="31" t="s">
        <v>140</v>
      </c>
      <c r="I2" s="28" t="s">
        <v>141</v>
      </c>
      <c r="J2" s="28" t="s">
        <v>142</v>
      </c>
      <c r="K2" s="28" t="s">
        <v>143</v>
      </c>
      <c r="L2" s="29" t="s">
        <v>144</v>
      </c>
      <c r="M2" s="28" t="s">
        <v>145</v>
      </c>
      <c r="N2" s="28" t="s">
        <v>78</v>
      </c>
      <c r="O2" s="28" t="s">
        <v>2</v>
      </c>
      <c r="P2" s="28" t="s">
        <v>3</v>
      </c>
      <c r="Q2" s="30" t="s">
        <v>146</v>
      </c>
      <c r="R2" s="32" t="s">
        <v>147</v>
      </c>
      <c r="S2" s="32" t="s">
        <v>148</v>
      </c>
      <c r="T2" s="32" t="s">
        <v>149</v>
      </c>
    </row>
    <row r="3" ht="17.25" customHeight="1">
      <c r="A3" s="54" t="s">
        <v>171</v>
      </c>
      <c r="B3" s="8">
        <v>9.0</v>
      </c>
      <c r="C3" s="55"/>
      <c r="D3" s="55"/>
      <c r="E3" s="55" t="s">
        <v>172</v>
      </c>
      <c r="F3" s="56">
        <v>0.4</v>
      </c>
      <c r="G3" s="34" t="s">
        <v>173</v>
      </c>
      <c r="H3" s="57"/>
      <c r="I3" s="58" t="s">
        <v>156</v>
      </c>
      <c r="J3" s="58"/>
      <c r="K3" s="58"/>
      <c r="L3" s="59"/>
      <c r="M3" s="55"/>
      <c r="N3" s="60"/>
      <c r="O3" s="60" t="s">
        <v>154</v>
      </c>
      <c r="P3" s="56" t="s">
        <v>153</v>
      </c>
      <c r="Q3" s="8" t="b">
        <f>IF(G3="隔週A", MOD(INT(('26414_編集版'!$B$1-DATE(2026,4,14))/7), 2)=1, IF(G3="隔週B", MOD(INT(('26414_編集版'!$B$1-DATE(2026,4,14))/7), 2)=0, FALSE))</f>
        <v>0</v>
      </c>
      <c r="R3" s="8"/>
      <c r="S3" s="8"/>
      <c r="T3" s="8"/>
    </row>
    <row r="4" ht="17.25" customHeight="1">
      <c r="A4" s="54" t="s">
        <v>171</v>
      </c>
      <c r="B4" s="34">
        <v>15.0</v>
      </c>
      <c r="C4" s="55"/>
      <c r="D4" s="55"/>
      <c r="E4" s="55" t="s">
        <v>174</v>
      </c>
      <c r="F4" s="56">
        <v>0.7</v>
      </c>
      <c r="G4" s="34" t="s">
        <v>173</v>
      </c>
      <c r="H4" s="61"/>
      <c r="I4" s="58" t="s">
        <v>156</v>
      </c>
      <c r="J4" s="58"/>
      <c r="K4" s="58"/>
      <c r="L4" s="59"/>
      <c r="M4" s="55"/>
      <c r="N4" s="56"/>
      <c r="O4" s="56" t="s">
        <v>175</v>
      </c>
      <c r="P4" s="56" t="s">
        <v>154</v>
      </c>
      <c r="Q4" s="8" t="b">
        <f>IF(G4="隔週A", MOD(INT(('26414_編集版'!$B$1-DATE(2026,4,14))/7), 2)=1, IF(G4="隔週B", MOD(INT(('26414_編集版'!$B$1-DATE(2026,4,14))/7), 2)=0, FALSE))</f>
        <v>0</v>
      </c>
      <c r="R4" s="8"/>
      <c r="S4" s="8"/>
      <c r="T4" s="8"/>
    </row>
    <row r="5" ht="17.25" customHeight="1">
      <c r="A5" s="54" t="s">
        <v>171</v>
      </c>
      <c r="B5" s="8">
        <v>17.0</v>
      </c>
      <c r="C5" s="55"/>
      <c r="D5" s="55"/>
      <c r="E5" s="55" t="s">
        <v>176</v>
      </c>
      <c r="F5" s="8">
        <v>2.3</v>
      </c>
      <c r="G5" s="34" t="s">
        <v>173</v>
      </c>
      <c r="H5" s="41"/>
      <c r="I5" s="36" t="s">
        <v>156</v>
      </c>
      <c r="J5" s="36"/>
      <c r="K5" s="36"/>
      <c r="L5" s="59"/>
      <c r="M5" s="55"/>
      <c r="N5" s="8"/>
      <c r="O5" s="8" t="s">
        <v>154</v>
      </c>
      <c r="P5" s="8" t="s">
        <v>153</v>
      </c>
      <c r="Q5" s="8" t="b">
        <f>IF(G5="隔週A", MOD(INT(('26414_編集版'!$B$1-DATE(2026,4,14))/7), 2)=1, IF(G5="隔週B", MOD(INT(('26414_編集版'!$B$1-DATE(2026,4,14))/7), 2)=0, FALSE))</f>
        <v>0</v>
      </c>
      <c r="R5" s="8"/>
      <c r="S5" s="8"/>
      <c r="T5" s="8"/>
    </row>
    <row r="6" ht="17.25" customHeight="1">
      <c r="A6" s="54" t="s">
        <v>177</v>
      </c>
      <c r="B6" s="8">
        <v>13.0</v>
      </c>
      <c r="C6" s="42"/>
      <c r="D6" s="42"/>
      <c r="E6" s="42" t="s">
        <v>178</v>
      </c>
      <c r="F6" s="8">
        <v>1.4</v>
      </c>
      <c r="G6" s="34" t="s">
        <v>173</v>
      </c>
      <c r="H6" s="41"/>
      <c r="I6" s="8" t="s">
        <v>156</v>
      </c>
      <c r="J6" s="8"/>
      <c r="K6" s="8"/>
      <c r="L6" s="59"/>
      <c r="M6" s="42"/>
      <c r="N6" s="8"/>
      <c r="O6" s="8" t="s">
        <v>153</v>
      </c>
      <c r="P6" s="8" t="s">
        <v>154</v>
      </c>
      <c r="Q6" s="8" t="b">
        <f>IF(G6="隔週A", MOD(INT(('26414_編集版'!$B$1-DATE(2026,4,14))/7), 2)=1, IF(G6="隔週B", MOD(INT(('26414_編集版'!$B$1-DATE(2026,4,14))/7), 2)=0, FALSE))</f>
        <v>0</v>
      </c>
      <c r="R6" s="8"/>
      <c r="S6" s="8"/>
      <c r="T6" s="8"/>
    </row>
    <row r="7" ht="17.25" customHeight="1">
      <c r="A7" s="54" t="s">
        <v>177</v>
      </c>
      <c r="B7" s="8">
        <v>19.0</v>
      </c>
      <c r="C7" s="62"/>
      <c r="D7" s="62"/>
      <c r="E7" s="63" t="s">
        <v>179</v>
      </c>
      <c r="F7" s="8">
        <v>1.9</v>
      </c>
      <c r="G7" s="34" t="s">
        <v>173</v>
      </c>
      <c r="H7" s="41"/>
      <c r="I7" s="40" t="s">
        <v>156</v>
      </c>
      <c r="J7" s="40"/>
      <c r="K7" s="40"/>
      <c r="L7" s="59"/>
      <c r="M7" s="62"/>
      <c r="N7" s="8"/>
      <c r="O7" s="34" t="s">
        <v>154</v>
      </c>
      <c r="P7" s="8" t="s">
        <v>153</v>
      </c>
      <c r="Q7" s="8" t="b">
        <f>IF(G7="隔週A", MOD(INT(('26414_編集版'!$B$1-DATE(2026,4,14))/7), 2)=1, IF(G7="隔週B", MOD(INT(('26414_編集版'!$B$1-DATE(2026,4,14))/7), 2)=0, FALSE))</f>
        <v>0</v>
      </c>
      <c r="R7" s="8"/>
      <c r="S7" s="8"/>
      <c r="T7" s="8"/>
    </row>
    <row r="8" ht="17.25" customHeight="1">
      <c r="A8" s="54" t="s">
        <v>177</v>
      </c>
      <c r="B8" s="8">
        <v>20.0</v>
      </c>
      <c r="C8" s="35"/>
      <c r="D8" s="35"/>
      <c r="E8" s="35" t="s">
        <v>180</v>
      </c>
      <c r="F8" s="34">
        <v>0.9</v>
      </c>
      <c r="G8" s="34" t="s">
        <v>173</v>
      </c>
      <c r="H8" s="41"/>
      <c r="I8" s="8" t="s">
        <v>156</v>
      </c>
      <c r="J8" s="8"/>
      <c r="K8" s="8"/>
      <c r="L8" s="59"/>
      <c r="M8" s="35"/>
      <c r="N8" s="8"/>
      <c r="O8" s="34" t="s">
        <v>154</v>
      </c>
      <c r="P8" s="34" t="s">
        <v>153</v>
      </c>
      <c r="Q8" s="8" t="b">
        <f>IF(G8="隔週A", MOD(INT(('26414_編集版'!$B$1-DATE(2026,4,14))/7), 2)=1, IF(G8="隔週B", MOD(INT(('26414_編集版'!$B$1-DATE(2026,4,14))/7), 2)=0, FALSE))</f>
        <v>0</v>
      </c>
      <c r="R8" s="8"/>
      <c r="S8" s="8"/>
      <c r="T8" s="8"/>
    </row>
    <row r="9" ht="17.25" customHeight="1">
      <c r="A9" s="54" t="s">
        <v>181</v>
      </c>
      <c r="B9" s="8">
        <v>12.0</v>
      </c>
      <c r="C9" s="58"/>
      <c r="D9" s="58"/>
      <c r="E9" s="58" t="s">
        <v>182</v>
      </c>
      <c r="F9" s="56">
        <v>1.4</v>
      </c>
      <c r="G9" s="34" t="s">
        <v>173</v>
      </c>
      <c r="H9" s="61"/>
      <c r="I9" s="58" t="s">
        <v>156</v>
      </c>
      <c r="J9" s="58"/>
      <c r="K9" s="58"/>
      <c r="L9" s="59"/>
      <c r="M9" s="58"/>
      <c r="N9" s="56"/>
      <c r="O9" s="56" t="s">
        <v>154</v>
      </c>
      <c r="P9" s="56" t="s">
        <v>153</v>
      </c>
      <c r="Q9" s="8" t="b">
        <f>IF(G9="隔週A", MOD(INT(('26414_編集版'!$B$1-DATE(2026,4,14))/7), 2)=1, IF(G9="隔週B", MOD(INT(('26414_編集版'!$B$1-DATE(2026,4,14))/7), 2)=0, FALSE))</f>
        <v>0</v>
      </c>
      <c r="R9" s="8"/>
      <c r="S9" s="8"/>
      <c r="T9" s="8"/>
    </row>
    <row r="10" ht="17.25" customHeight="1">
      <c r="A10" s="54" t="s">
        <v>181</v>
      </c>
      <c r="B10" s="8">
        <v>19.0</v>
      </c>
      <c r="C10" s="58"/>
      <c r="D10" s="58"/>
      <c r="E10" s="58" t="s">
        <v>183</v>
      </c>
      <c r="F10" s="58">
        <v>0.9</v>
      </c>
      <c r="G10" s="34" t="s">
        <v>173</v>
      </c>
      <c r="H10" s="61"/>
      <c r="I10" s="58" t="s">
        <v>156</v>
      </c>
      <c r="J10" s="58"/>
      <c r="K10" s="58"/>
      <c r="L10" s="59"/>
      <c r="M10" s="58"/>
      <c r="N10" s="56"/>
      <c r="O10" s="56" t="s">
        <v>154</v>
      </c>
      <c r="P10" s="58" t="s">
        <v>153</v>
      </c>
      <c r="Q10" s="8" t="b">
        <f>IF(G10="隔週A", MOD(INT(('26414_編集版'!$B$1-DATE(2026,4,14))/7), 2)=1, IF(G10="隔週B", MOD(INT(('26414_編集版'!$B$1-DATE(2026,4,14))/7), 2)=0, FALSE))</f>
        <v>0</v>
      </c>
      <c r="R10" s="8"/>
      <c r="S10" s="8"/>
      <c r="T10" s="8"/>
    </row>
    <row r="11" ht="17.25" customHeight="1">
      <c r="A11" s="54" t="s">
        <v>184</v>
      </c>
      <c r="B11" s="8">
        <v>18.0</v>
      </c>
      <c r="C11" s="55"/>
      <c r="D11" s="55"/>
      <c r="E11" s="55" t="s">
        <v>185</v>
      </c>
      <c r="F11" s="56">
        <v>8.5</v>
      </c>
      <c r="G11" s="34" t="s">
        <v>173</v>
      </c>
      <c r="H11" s="41"/>
      <c r="I11" s="8" t="s">
        <v>156</v>
      </c>
      <c r="J11" s="8"/>
      <c r="K11" s="8"/>
      <c r="L11" s="59"/>
      <c r="M11" s="55"/>
      <c r="N11" s="8"/>
      <c r="O11" s="8" t="s">
        <v>154</v>
      </c>
      <c r="P11" s="8" t="s">
        <v>153</v>
      </c>
      <c r="Q11" s="8" t="b">
        <f>IF(G11="隔週A", MOD(INT(('26414_編集版'!$B$1-DATE(2026,4,14))/7), 2)=1, IF(G11="隔週B", MOD(INT(('26414_編集版'!$B$1-DATE(2026,4,14))/7), 2)=0, FALSE))</f>
        <v>0</v>
      </c>
      <c r="R11" s="8"/>
      <c r="S11" s="8"/>
      <c r="T11" s="8"/>
    </row>
    <row r="12" ht="17.25" customHeight="1">
      <c r="A12" s="54" t="s">
        <v>186</v>
      </c>
      <c r="B12" s="8">
        <v>11.0</v>
      </c>
      <c r="C12" s="58"/>
      <c r="D12" s="58"/>
      <c r="E12" s="58" t="s">
        <v>187</v>
      </c>
      <c r="F12" s="56">
        <v>2.0</v>
      </c>
      <c r="G12" s="34" t="s">
        <v>173</v>
      </c>
      <c r="H12" s="61"/>
      <c r="I12" s="56" t="s">
        <v>156</v>
      </c>
      <c r="J12" s="56"/>
      <c r="K12" s="56"/>
      <c r="L12" s="59"/>
      <c r="M12" s="58"/>
      <c r="N12" s="56"/>
      <c r="O12" s="56" t="s">
        <v>153</v>
      </c>
      <c r="P12" s="58" t="s">
        <v>175</v>
      </c>
      <c r="Q12" s="8" t="b">
        <f>IF(G12="隔週A", MOD(INT(('26414_編集版'!$B$1-DATE(2026,4,14))/7), 2)=1, IF(G12="隔週B", MOD(INT(('26414_編集版'!$B$1-DATE(2026,4,14))/7), 2)=0, FALSE))</f>
        <v>0</v>
      </c>
      <c r="R12" s="8"/>
      <c r="S12" s="8"/>
      <c r="T12" s="8"/>
    </row>
    <row r="13" ht="17.25" customHeight="1">
      <c r="A13" s="54" t="s">
        <v>186</v>
      </c>
      <c r="B13" s="8">
        <v>12.0</v>
      </c>
      <c r="C13" s="64"/>
      <c r="D13" s="64"/>
      <c r="E13" s="64" t="s">
        <v>188</v>
      </c>
      <c r="F13" s="64">
        <v>1.6</v>
      </c>
      <c r="G13" s="34" t="s">
        <v>173</v>
      </c>
      <c r="H13" s="65"/>
      <c r="I13" s="64" t="s">
        <v>156</v>
      </c>
      <c r="J13" s="64"/>
      <c r="K13" s="64"/>
      <c r="L13" s="59"/>
      <c r="M13" s="64"/>
      <c r="N13" s="64"/>
      <c r="O13" s="64" t="s">
        <v>154</v>
      </c>
      <c r="P13" s="64" t="s">
        <v>153</v>
      </c>
      <c r="Q13" s="8" t="b">
        <f>IF(G13="隔週A", MOD(INT(('26414_編集版'!$B$1-DATE(2026,4,14))/7), 2)=1, IF(G13="隔週B", MOD(INT(('26414_編集版'!$B$1-DATE(2026,4,14))/7), 2)=0, FALSE))</f>
        <v>0</v>
      </c>
      <c r="R13" s="8"/>
      <c r="S13" s="8"/>
      <c r="T13" s="8"/>
    </row>
    <row r="14" ht="17.25" customHeight="1">
      <c r="A14" s="54" t="s">
        <v>186</v>
      </c>
      <c r="B14" s="8">
        <v>12.0</v>
      </c>
      <c r="C14" s="64"/>
      <c r="D14" s="64"/>
      <c r="E14" s="64" t="s">
        <v>189</v>
      </c>
      <c r="F14" s="64">
        <v>0.5</v>
      </c>
      <c r="G14" s="34" t="s">
        <v>173</v>
      </c>
      <c r="H14" s="65"/>
      <c r="I14" s="64" t="s">
        <v>156</v>
      </c>
      <c r="J14" s="64"/>
      <c r="K14" s="64"/>
      <c r="L14" s="59"/>
      <c r="M14" s="64"/>
      <c r="N14" s="64"/>
      <c r="O14" s="64" t="s">
        <v>154</v>
      </c>
      <c r="P14" s="64" t="s">
        <v>153</v>
      </c>
      <c r="Q14" s="8" t="b">
        <f>IF(G14="隔週A", MOD(INT(('26414_編集版'!$B$1-DATE(2026,4,14))/7), 2)=1, IF(G14="隔週B", MOD(INT(('26414_編集版'!$B$1-DATE(2026,4,14))/7), 2)=0, FALSE))</f>
        <v>0</v>
      </c>
      <c r="R14" s="8"/>
      <c r="S14" s="8"/>
      <c r="T14" s="8"/>
    </row>
    <row r="15" ht="17.25" customHeight="1">
      <c r="A15" s="54" t="s">
        <v>186</v>
      </c>
      <c r="B15" s="8">
        <v>17.0</v>
      </c>
      <c r="C15" s="35"/>
      <c r="D15" s="35"/>
      <c r="E15" s="35" t="s">
        <v>190</v>
      </c>
      <c r="F15" s="8">
        <v>0.2</v>
      </c>
      <c r="G15" s="34" t="s">
        <v>173</v>
      </c>
      <c r="H15" s="41"/>
      <c r="I15" s="8" t="s">
        <v>156</v>
      </c>
      <c r="J15" s="8"/>
      <c r="K15" s="8"/>
      <c r="L15" s="59"/>
      <c r="M15" s="35"/>
      <c r="N15" s="8"/>
      <c r="O15" s="34" t="s">
        <v>154</v>
      </c>
      <c r="P15" s="34" t="s">
        <v>158</v>
      </c>
      <c r="Q15" s="8" t="b">
        <f>IF(G15="隔週A", MOD(INT(('26414_編集版'!$B$1-DATE(2026,4,14))/7), 2)=1, IF(G15="隔週B", MOD(INT(('26414_編集版'!$B$1-DATE(2026,4,14))/7), 2)=0, FALSE))</f>
        <v>0</v>
      </c>
      <c r="R15" s="8"/>
      <c r="S15" s="8"/>
      <c r="T15" s="8"/>
    </row>
    <row r="16" ht="17.25" customHeight="1">
      <c r="A16" s="54" t="s">
        <v>186</v>
      </c>
      <c r="B16" s="8">
        <v>17.0</v>
      </c>
      <c r="C16" s="35"/>
      <c r="D16" s="35"/>
      <c r="E16" s="35" t="s">
        <v>191</v>
      </c>
      <c r="F16" s="8">
        <v>0.1</v>
      </c>
      <c r="G16" s="34" t="s">
        <v>173</v>
      </c>
      <c r="H16" s="41"/>
      <c r="I16" s="8" t="s">
        <v>156</v>
      </c>
      <c r="J16" s="8"/>
      <c r="K16" s="8"/>
      <c r="L16" s="59"/>
      <c r="M16" s="35"/>
      <c r="N16" s="8"/>
      <c r="O16" s="34" t="s">
        <v>154</v>
      </c>
      <c r="P16" s="34" t="s">
        <v>158</v>
      </c>
      <c r="Q16" s="8" t="b">
        <f>IF(G16="隔週A", MOD(INT(('26414_編集版'!$B$1-DATE(2026,4,14))/7), 2)=1, IF(G16="隔週B", MOD(INT(('26414_編集版'!$B$1-DATE(2026,4,14))/7), 2)=0, FALSE))</f>
        <v>0</v>
      </c>
      <c r="R16" s="8"/>
      <c r="S16" s="8"/>
      <c r="T16" s="8"/>
    </row>
    <row r="17" ht="17.25" customHeight="1">
      <c r="A17" s="54" t="s">
        <v>186</v>
      </c>
      <c r="B17" s="8">
        <v>17.0</v>
      </c>
      <c r="C17" s="35"/>
      <c r="D17" s="35"/>
      <c r="E17" s="35" t="s">
        <v>192</v>
      </c>
      <c r="F17" s="8">
        <v>0.1</v>
      </c>
      <c r="G17" s="34" t="s">
        <v>173</v>
      </c>
      <c r="H17" s="41"/>
      <c r="I17" s="8" t="s">
        <v>156</v>
      </c>
      <c r="J17" s="8"/>
      <c r="K17" s="8"/>
      <c r="L17" s="59"/>
      <c r="M17" s="35"/>
      <c r="N17" s="8"/>
      <c r="O17" s="34" t="s">
        <v>154</v>
      </c>
      <c r="P17" s="34" t="s">
        <v>158</v>
      </c>
      <c r="Q17" s="8" t="b">
        <f>IF(G17="隔週A", MOD(INT(('26414_編集版'!$B$1-DATE(2026,4,14))/7), 2)=1, IF(G17="隔週B", MOD(INT(('26414_編集版'!$B$1-DATE(2026,4,14))/7), 2)=0, FALSE))</f>
        <v>0</v>
      </c>
      <c r="R17" s="8"/>
      <c r="S17" s="8"/>
      <c r="T17" s="8"/>
    </row>
    <row r="18" ht="17.25" customHeight="1">
      <c r="A18" s="54" t="s">
        <v>186</v>
      </c>
      <c r="B18" s="8">
        <v>19.0</v>
      </c>
      <c r="C18" s="66"/>
      <c r="D18" s="66"/>
      <c r="E18" s="66" t="s">
        <v>193</v>
      </c>
      <c r="F18" s="56">
        <v>0.3</v>
      </c>
      <c r="G18" s="34" t="s">
        <v>173</v>
      </c>
      <c r="H18" s="61"/>
      <c r="I18" s="67" t="s">
        <v>156</v>
      </c>
      <c r="J18" s="67"/>
      <c r="K18" s="67"/>
      <c r="L18" s="59"/>
      <c r="M18" s="66"/>
      <c r="N18" s="56"/>
      <c r="O18" s="56" t="s">
        <v>154</v>
      </c>
      <c r="P18" s="56" t="s">
        <v>153</v>
      </c>
      <c r="Q18" s="8" t="b">
        <f>IF(G18="隔週A", MOD(INT(('26414_編集版'!$B$1-DATE(2026,4,14))/7), 2)=1, IF(G18="隔週B", MOD(INT(('26414_編集版'!$B$1-DATE(2026,4,14))/7), 2)=0, FALSE))</f>
        <v>0</v>
      </c>
      <c r="R18" s="8"/>
      <c r="S18" s="8"/>
      <c r="T18" s="8"/>
    </row>
    <row r="19" ht="17.25" customHeight="1">
      <c r="A19" s="54" t="s">
        <v>194</v>
      </c>
      <c r="B19" s="8">
        <v>13.0</v>
      </c>
      <c r="C19" s="68"/>
      <c r="D19" s="68"/>
      <c r="E19" s="68" t="s">
        <v>195</v>
      </c>
      <c r="F19" s="8">
        <v>1.6</v>
      </c>
      <c r="G19" s="34" t="s">
        <v>173</v>
      </c>
      <c r="H19" s="41"/>
      <c r="I19" s="58" t="s">
        <v>151</v>
      </c>
      <c r="J19" s="58"/>
      <c r="K19" s="58"/>
      <c r="L19" s="59"/>
      <c r="M19" s="68"/>
      <c r="N19" s="8"/>
      <c r="O19" s="8" t="s">
        <v>154</v>
      </c>
      <c r="P19" s="8" t="s">
        <v>153</v>
      </c>
      <c r="Q19" s="8" t="b">
        <f>IF(G19="隔週A", MOD(INT(('26414_編集版'!$B$1-DATE(2026,4,14))/7), 2)=1, IF(G19="隔週B", MOD(INT(('26414_編集版'!$B$1-DATE(2026,4,14))/7), 2)=0, FALSE))</f>
        <v>0</v>
      </c>
      <c r="R19" s="8"/>
      <c r="S19" s="8"/>
      <c r="T19" s="8"/>
    </row>
    <row r="20" ht="17.25" customHeight="1">
      <c r="A20" s="54" t="s">
        <v>194</v>
      </c>
      <c r="B20" s="8">
        <v>18.0</v>
      </c>
      <c r="C20" s="66"/>
      <c r="D20" s="66"/>
      <c r="E20" s="66" t="s">
        <v>196</v>
      </c>
      <c r="F20" s="58">
        <v>0.3</v>
      </c>
      <c r="G20" s="34" t="s">
        <v>173</v>
      </c>
      <c r="H20" s="61"/>
      <c r="I20" s="58" t="s">
        <v>156</v>
      </c>
      <c r="J20" s="58"/>
      <c r="K20" s="58"/>
      <c r="L20" s="59"/>
      <c r="M20" s="66"/>
      <c r="N20" s="56"/>
      <c r="O20" s="56" t="s">
        <v>154</v>
      </c>
      <c r="P20" s="56" t="s">
        <v>153</v>
      </c>
      <c r="Q20" s="8" t="b">
        <f>IF(G20="隔週A", MOD(INT(('26414_編集版'!$B$1-DATE(2026,4,14))/7), 2)=1, IF(G20="隔週B", MOD(INT(('26414_編集版'!$B$1-DATE(2026,4,14))/7), 2)=0, FALSE))</f>
        <v>0</v>
      </c>
      <c r="R20" s="8"/>
      <c r="S20" s="8"/>
      <c r="T20" s="8"/>
    </row>
    <row r="21" ht="19.5" customHeight="1">
      <c r="A21" s="54" t="s">
        <v>197</v>
      </c>
      <c r="B21" s="8">
        <v>18.0</v>
      </c>
      <c r="C21" s="42"/>
      <c r="D21" s="42"/>
      <c r="E21" s="42" t="s">
        <v>198</v>
      </c>
      <c r="F21" s="8">
        <v>1.6</v>
      </c>
      <c r="G21" s="34" t="s">
        <v>173</v>
      </c>
      <c r="H21" s="41"/>
      <c r="I21" s="40" t="s">
        <v>156</v>
      </c>
      <c r="J21" s="40"/>
      <c r="K21" s="40"/>
      <c r="L21" s="59"/>
      <c r="M21" s="42"/>
      <c r="N21" s="8"/>
      <c r="O21" s="8" t="s">
        <v>158</v>
      </c>
      <c r="P21" s="8" t="s">
        <v>154</v>
      </c>
      <c r="Q21" s="8" t="b">
        <f>IF(G21="隔週A", MOD(INT(('26414_編集版'!$B$1-DATE(2026,4,14))/7), 2)=1, IF(G21="隔週B", MOD(INT(('26414_編集版'!$B$1-DATE(2026,4,14))/7), 2)=0, FALSE))</f>
        <v>0</v>
      </c>
      <c r="R21" s="8"/>
      <c r="S21" s="8"/>
      <c r="T21" s="8"/>
    </row>
    <row r="22" ht="19.5" customHeight="1">
      <c r="A22" s="54" t="s">
        <v>197</v>
      </c>
      <c r="B22" s="8">
        <v>19.0</v>
      </c>
      <c r="C22" s="56"/>
      <c r="D22" s="56"/>
      <c r="E22" s="56" t="s">
        <v>199</v>
      </c>
      <c r="F22" s="56">
        <v>0.7</v>
      </c>
      <c r="G22" s="34" t="s">
        <v>173</v>
      </c>
      <c r="H22" s="61"/>
      <c r="I22" s="58" t="s">
        <v>156</v>
      </c>
      <c r="J22" s="58"/>
      <c r="K22" s="58"/>
      <c r="L22" s="59"/>
      <c r="M22" s="56"/>
      <c r="N22" s="56"/>
      <c r="O22" s="56" t="s">
        <v>154</v>
      </c>
      <c r="P22" s="56" t="s">
        <v>200</v>
      </c>
      <c r="Q22" s="8" t="b">
        <f>IF(G22="隔週A", MOD(INT(('26414_編集版'!$B$1-DATE(2026,4,14))/7), 2)=1, IF(G22="隔週B", MOD(INT(('26414_編集版'!$B$1-DATE(2026,4,14))/7), 2)=0, FALSE))</f>
        <v>0</v>
      </c>
      <c r="R22" s="8"/>
      <c r="S22" s="8"/>
      <c r="T22" s="8"/>
    </row>
    <row r="23" ht="19.5" customHeight="1">
      <c r="A23" s="54" t="s">
        <v>197</v>
      </c>
      <c r="B23" s="8">
        <v>19.0</v>
      </c>
      <c r="C23" s="69"/>
      <c r="D23" s="69"/>
      <c r="E23" s="69" t="s">
        <v>201</v>
      </c>
      <c r="F23" s="56">
        <v>0.9</v>
      </c>
      <c r="G23" s="34" t="s">
        <v>173</v>
      </c>
      <c r="H23" s="61"/>
      <c r="I23" s="67" t="s">
        <v>156</v>
      </c>
      <c r="J23" s="67"/>
      <c r="K23" s="67"/>
      <c r="L23" s="59"/>
      <c r="M23" s="69"/>
      <c r="N23" s="56"/>
      <c r="O23" s="56" t="s">
        <v>154</v>
      </c>
      <c r="P23" s="56" t="s">
        <v>200</v>
      </c>
      <c r="Q23" s="8" t="b">
        <f>IF(G23="隔週A", MOD(INT(('26414_編集版'!$B$1-DATE(2026,4,14))/7), 2)=1, IF(G23="隔週B", MOD(INT(('26414_編集版'!$B$1-DATE(2026,4,14))/7), 2)=0, FALSE))</f>
        <v>0</v>
      </c>
      <c r="R23" s="8"/>
      <c r="S23" s="8"/>
      <c r="T23" s="8"/>
    </row>
    <row r="24" ht="17.25" customHeight="1">
      <c r="A24" s="54" t="s">
        <v>197</v>
      </c>
      <c r="B24" s="8">
        <v>19.0</v>
      </c>
      <c r="C24" s="69"/>
      <c r="D24" s="69"/>
      <c r="E24" s="69" t="s">
        <v>202</v>
      </c>
      <c r="F24" s="56">
        <v>0.6</v>
      </c>
      <c r="G24" s="34" t="s">
        <v>173</v>
      </c>
      <c r="H24" s="61"/>
      <c r="I24" s="67" t="s">
        <v>156</v>
      </c>
      <c r="J24" s="67"/>
      <c r="K24" s="67"/>
      <c r="L24" s="59"/>
      <c r="M24" s="69"/>
      <c r="N24" s="56"/>
      <c r="O24" s="56" t="s">
        <v>154</v>
      </c>
      <c r="P24" s="56" t="s">
        <v>200</v>
      </c>
      <c r="Q24" s="8" t="b">
        <f>IF(G24="隔週A", MOD(INT(('26414_編集版'!$B$1-DATE(2026,4,14))/7), 2)=1, IF(G24="隔週B", MOD(INT(('26414_編集版'!$B$1-DATE(2026,4,14))/7), 2)=0, FALSE))</f>
        <v>0</v>
      </c>
      <c r="R24" s="8"/>
      <c r="S24" s="8"/>
      <c r="T24" s="8"/>
    </row>
    <row r="25" ht="17.25" customHeight="1">
      <c r="A25" s="54" t="s">
        <v>197</v>
      </c>
      <c r="B25" s="8">
        <v>19.0</v>
      </c>
      <c r="C25" s="56"/>
      <c r="D25" s="56"/>
      <c r="E25" s="56" t="s">
        <v>203</v>
      </c>
      <c r="F25" s="8">
        <v>0.7</v>
      </c>
      <c r="G25" s="34" t="s">
        <v>173</v>
      </c>
      <c r="H25" s="41"/>
      <c r="I25" s="56" t="s">
        <v>156</v>
      </c>
      <c r="J25" s="56"/>
      <c r="K25" s="56"/>
      <c r="L25" s="59"/>
      <c r="M25" s="56"/>
      <c r="N25" s="8"/>
      <c r="O25" s="8" t="s">
        <v>154</v>
      </c>
      <c r="P25" s="8" t="s">
        <v>200</v>
      </c>
      <c r="Q25" s="8" t="b">
        <f>IF(G25="隔週A", MOD(INT(('26414_編集版'!$B$1-DATE(2026,4,14))/7), 2)=1, IF(G25="隔週B", MOD(INT(('26414_編集版'!$B$1-DATE(2026,4,14))/7), 2)=0, FALSE))</f>
        <v>0</v>
      </c>
      <c r="R25" s="8"/>
      <c r="S25" s="8"/>
      <c r="T25" s="8"/>
    </row>
    <row r="26" ht="17.25" customHeight="1">
      <c r="A26" s="54" t="s">
        <v>197</v>
      </c>
      <c r="B26" s="8">
        <v>19.0</v>
      </c>
      <c r="C26" s="69"/>
      <c r="D26" s="69"/>
      <c r="E26" s="69" t="s">
        <v>204</v>
      </c>
      <c r="F26" s="56">
        <v>1.0</v>
      </c>
      <c r="G26" s="34" t="s">
        <v>173</v>
      </c>
      <c r="H26" s="61"/>
      <c r="I26" s="67" t="s">
        <v>156</v>
      </c>
      <c r="J26" s="67"/>
      <c r="K26" s="67"/>
      <c r="L26" s="59"/>
      <c r="M26" s="69"/>
      <c r="N26" s="56"/>
      <c r="O26" s="56" t="s">
        <v>154</v>
      </c>
      <c r="P26" s="56" t="s">
        <v>200</v>
      </c>
      <c r="Q26" s="8" t="b">
        <f>IF(G26="隔週A", MOD(INT(('26414_編集版'!$B$1-DATE(2026,4,14))/7), 2)=1, IF(G26="隔週B", MOD(INT(('26414_編集版'!$B$1-DATE(2026,4,14))/7), 2)=0, FALSE))</f>
        <v>0</v>
      </c>
      <c r="R26" s="8"/>
      <c r="S26" s="8"/>
      <c r="T26" s="8"/>
    </row>
    <row r="27" ht="17.25" customHeight="1">
      <c r="A27" s="54" t="s">
        <v>171</v>
      </c>
      <c r="B27" s="8">
        <v>17.0</v>
      </c>
      <c r="C27" s="35"/>
      <c r="D27" s="35"/>
      <c r="E27" s="35" t="s">
        <v>205</v>
      </c>
      <c r="F27" s="8">
        <v>0.2</v>
      </c>
      <c r="G27" s="8" t="s">
        <v>206</v>
      </c>
      <c r="H27" s="41"/>
      <c r="I27" s="67" t="s">
        <v>156</v>
      </c>
      <c r="J27" s="67"/>
      <c r="K27" s="67"/>
      <c r="L27" s="59"/>
      <c r="M27" s="35"/>
      <c r="N27" s="8"/>
      <c r="O27" s="8" t="s">
        <v>154</v>
      </c>
      <c r="P27" s="8" t="s">
        <v>153</v>
      </c>
      <c r="Q27" s="8" t="b">
        <f>IF(G27="隔週A", MOD(INT(('26414_編集版'!$B$1-DATE(2026,4,14))/7), 2)=1, IF(G27="隔週B", MOD(INT(('26414_編集版'!$B$1-DATE(2026,4,14))/7), 2)=0, FALSE))</f>
        <v>1</v>
      </c>
      <c r="R27" s="8"/>
      <c r="S27" s="8"/>
      <c r="T27" s="8"/>
    </row>
    <row r="28" ht="17.25" customHeight="1">
      <c r="A28" s="54" t="s">
        <v>171</v>
      </c>
      <c r="B28" s="8">
        <v>18.0</v>
      </c>
      <c r="C28" s="42"/>
      <c r="D28" s="42"/>
      <c r="E28" s="42" t="s">
        <v>207</v>
      </c>
      <c r="F28" s="8">
        <v>0.1</v>
      </c>
      <c r="G28" s="8" t="s">
        <v>206</v>
      </c>
      <c r="H28" s="70"/>
      <c r="I28" s="8" t="s">
        <v>156</v>
      </c>
      <c r="J28" s="8"/>
      <c r="K28" s="8"/>
      <c r="L28" s="59"/>
      <c r="M28" s="42"/>
      <c r="N28" s="71"/>
      <c r="O28" s="8" t="s">
        <v>154</v>
      </c>
      <c r="P28" s="8" t="s">
        <v>200</v>
      </c>
      <c r="Q28" s="8" t="b">
        <f>IF(G28="隔週A", MOD(INT(('26414_編集版'!$B$1-DATE(2026,4,14))/7), 2)=1, IF(G28="隔週B", MOD(INT(('26414_編集版'!$B$1-DATE(2026,4,14))/7), 2)=0, FALSE))</f>
        <v>1</v>
      </c>
      <c r="R28" s="8"/>
      <c r="S28" s="8"/>
      <c r="T28" s="8"/>
    </row>
    <row r="29" ht="17.25" customHeight="1">
      <c r="A29" s="54" t="s">
        <v>171</v>
      </c>
      <c r="B29" s="8">
        <v>18.0</v>
      </c>
      <c r="C29" s="42"/>
      <c r="D29" s="42"/>
      <c r="E29" s="42" t="s">
        <v>208</v>
      </c>
      <c r="F29" s="8">
        <v>0.2</v>
      </c>
      <c r="G29" s="8" t="s">
        <v>206</v>
      </c>
      <c r="H29" s="70"/>
      <c r="I29" s="8" t="s">
        <v>156</v>
      </c>
      <c r="J29" s="8"/>
      <c r="K29" s="8"/>
      <c r="L29" s="59"/>
      <c r="M29" s="42"/>
      <c r="N29" s="71"/>
      <c r="O29" s="8" t="s">
        <v>154</v>
      </c>
      <c r="P29" s="8" t="s">
        <v>200</v>
      </c>
      <c r="Q29" s="8" t="b">
        <f>IF(G29="隔週A", MOD(INT(('26414_編集版'!$B$1-DATE(2026,4,14))/7), 2)=1, IF(G29="隔週B", MOD(INT(('26414_編集版'!$B$1-DATE(2026,4,14))/7), 2)=0, FALSE))</f>
        <v>1</v>
      </c>
      <c r="R29" s="8"/>
      <c r="S29" s="8"/>
      <c r="T29" s="8"/>
    </row>
    <row r="30" ht="17.25" customHeight="1">
      <c r="A30" s="54" t="s">
        <v>177</v>
      </c>
      <c r="B30" s="8">
        <v>10.0</v>
      </c>
      <c r="C30" s="60"/>
      <c r="D30" s="60"/>
      <c r="E30" s="60" t="s">
        <v>209</v>
      </c>
      <c r="F30" s="55">
        <v>1.3</v>
      </c>
      <c r="G30" s="8" t="s">
        <v>206</v>
      </c>
      <c r="H30" s="61"/>
      <c r="I30" s="8" t="s">
        <v>156</v>
      </c>
      <c r="J30" s="8"/>
      <c r="K30" s="8"/>
      <c r="L30" s="59"/>
      <c r="M30" s="60"/>
      <c r="N30" s="56"/>
      <c r="O30" s="56" t="s">
        <v>154</v>
      </c>
      <c r="P30" s="8" t="s">
        <v>153</v>
      </c>
      <c r="Q30" s="8" t="b">
        <f>IF(G30="隔週A", MOD(INT(('26414_編集版'!$B$1-DATE(2026,4,14))/7), 2)=1, IF(G30="隔週B", MOD(INT(('26414_編集版'!$B$1-DATE(2026,4,14))/7), 2)=0, FALSE))</f>
        <v>1</v>
      </c>
      <c r="R30" s="8"/>
      <c r="S30" s="8"/>
      <c r="T30" s="8"/>
    </row>
    <row r="31" ht="17.25" customHeight="1">
      <c r="A31" s="54" t="s">
        <v>177</v>
      </c>
      <c r="B31" s="8">
        <v>18.0</v>
      </c>
      <c r="C31" s="56"/>
      <c r="D31" s="56"/>
      <c r="E31" s="56" t="s">
        <v>210</v>
      </c>
      <c r="F31" s="56">
        <v>3.0</v>
      </c>
      <c r="G31" s="8" t="s">
        <v>206</v>
      </c>
      <c r="H31" s="41"/>
      <c r="I31" s="56" t="s">
        <v>156</v>
      </c>
      <c r="J31" s="56"/>
      <c r="K31" s="56"/>
      <c r="L31" s="59"/>
      <c r="M31" s="56"/>
      <c r="N31" s="8"/>
      <c r="O31" s="8" t="s">
        <v>158</v>
      </c>
      <c r="P31" s="8" t="s">
        <v>154</v>
      </c>
      <c r="Q31" s="8" t="b">
        <f>IF(G31="隔週A", MOD(INT(('26414_編集版'!$B$1-DATE(2026,4,14))/7), 2)=1, IF(G31="隔週B", MOD(INT(('26414_編集版'!$B$1-DATE(2026,4,14))/7), 2)=0, FALSE))</f>
        <v>1</v>
      </c>
      <c r="R31" s="8"/>
      <c r="S31" s="8"/>
      <c r="T31" s="8"/>
    </row>
    <row r="32" ht="17.25" customHeight="1">
      <c r="A32" s="54" t="s">
        <v>177</v>
      </c>
      <c r="B32" s="8">
        <v>19.0</v>
      </c>
      <c r="C32" s="62"/>
      <c r="D32" s="62"/>
      <c r="E32" s="63" t="s">
        <v>211</v>
      </c>
      <c r="F32" s="8">
        <v>1.3</v>
      </c>
      <c r="G32" s="8" t="s">
        <v>206</v>
      </c>
      <c r="H32" s="41"/>
      <c r="I32" s="40" t="s">
        <v>156</v>
      </c>
      <c r="J32" s="40" t="s">
        <v>142</v>
      </c>
      <c r="K32" s="40" t="s">
        <v>143</v>
      </c>
      <c r="L32" s="59"/>
      <c r="M32" s="62"/>
      <c r="N32" s="8"/>
      <c r="O32" s="34" t="s">
        <v>154</v>
      </c>
      <c r="P32" s="8" t="s">
        <v>153</v>
      </c>
      <c r="Q32" s="8" t="b">
        <f>IF(G32="隔週A", MOD(INT(('26414_編集版'!$B$1-DATE(2026,4,14))/7), 2)=1, IF(G32="隔週B", MOD(INT(('26414_編集版'!$B$1-DATE(2026,4,14))/7), 2)=0, FALSE))</f>
        <v>1</v>
      </c>
      <c r="R32" s="8"/>
      <c r="S32" s="8"/>
      <c r="T32" s="8"/>
    </row>
    <row r="33" ht="17.25" customHeight="1">
      <c r="A33" s="54" t="s">
        <v>181</v>
      </c>
      <c r="B33" s="8">
        <v>18.0</v>
      </c>
      <c r="C33" s="66"/>
      <c r="D33" s="66"/>
      <c r="E33" s="66" t="s">
        <v>212</v>
      </c>
      <c r="F33" s="58">
        <v>0.1</v>
      </c>
      <c r="G33" s="8" t="s">
        <v>206</v>
      </c>
      <c r="H33" s="61"/>
      <c r="I33" s="58" t="s">
        <v>156</v>
      </c>
      <c r="J33" s="58"/>
      <c r="K33" s="58"/>
      <c r="L33" s="59"/>
      <c r="M33" s="66"/>
      <c r="N33" s="56"/>
      <c r="O33" s="56" t="s">
        <v>154</v>
      </c>
      <c r="P33" s="56" t="s">
        <v>158</v>
      </c>
      <c r="Q33" s="8" t="b">
        <f>IF(G33="隔週A", MOD(INT(('26414_編集版'!$B$1-DATE(2026,4,14))/7), 2)=1, IF(G33="隔週B", MOD(INT(('26414_編集版'!$B$1-DATE(2026,4,14))/7), 2)=0, FALSE))</f>
        <v>1</v>
      </c>
      <c r="R33" s="8"/>
      <c r="S33" s="8"/>
      <c r="T33" s="8"/>
    </row>
    <row r="34" ht="17.25" customHeight="1">
      <c r="A34" s="54" t="s">
        <v>181</v>
      </c>
      <c r="B34" s="8">
        <v>18.0</v>
      </c>
      <c r="C34" s="66"/>
      <c r="D34" s="66"/>
      <c r="E34" s="66" t="s">
        <v>213</v>
      </c>
      <c r="F34" s="56">
        <v>1.2</v>
      </c>
      <c r="G34" s="8" t="s">
        <v>206</v>
      </c>
      <c r="H34" s="61"/>
      <c r="I34" s="58" t="s">
        <v>156</v>
      </c>
      <c r="J34" s="58"/>
      <c r="K34" s="58"/>
      <c r="L34" s="59"/>
      <c r="M34" s="66"/>
      <c r="N34" s="56"/>
      <c r="O34" s="56" t="s">
        <v>154</v>
      </c>
      <c r="P34" s="56" t="s">
        <v>158</v>
      </c>
      <c r="Q34" s="8" t="b">
        <f>IF(G34="隔週A", MOD(INT(('26414_編集版'!$B$1-DATE(2026,4,14))/7), 2)=1, IF(G34="隔週B", MOD(INT(('26414_編集版'!$B$1-DATE(2026,4,14))/7), 2)=0, FALSE))</f>
        <v>1</v>
      </c>
      <c r="R34" s="8"/>
      <c r="S34" s="8"/>
      <c r="T34" s="8"/>
    </row>
    <row r="35" ht="17.25" customHeight="1">
      <c r="A35" s="54" t="s">
        <v>181</v>
      </c>
      <c r="B35" s="8">
        <v>18.0</v>
      </c>
      <c r="C35" s="66"/>
      <c r="D35" s="66"/>
      <c r="E35" s="66" t="s">
        <v>214</v>
      </c>
      <c r="F35" s="56">
        <v>0.4</v>
      </c>
      <c r="G35" s="8" t="s">
        <v>206</v>
      </c>
      <c r="H35" s="61"/>
      <c r="I35" s="58" t="s">
        <v>156</v>
      </c>
      <c r="J35" s="58"/>
      <c r="K35" s="58"/>
      <c r="L35" s="59"/>
      <c r="M35" s="66"/>
      <c r="N35" s="56"/>
      <c r="O35" s="56" t="s">
        <v>154</v>
      </c>
      <c r="P35" s="56" t="s">
        <v>158</v>
      </c>
      <c r="Q35" s="8" t="b">
        <f>IF(G35="隔週A", MOD(INT(('26414_編集版'!$B$1-DATE(2026,4,14))/7), 2)=1, IF(G35="隔週B", MOD(INT(('26414_編集版'!$B$1-DATE(2026,4,14))/7), 2)=0, FALSE))</f>
        <v>1</v>
      </c>
      <c r="R35" s="8"/>
      <c r="S35" s="8"/>
      <c r="T35" s="8"/>
    </row>
    <row r="36" ht="17.25" customHeight="1">
      <c r="A36" s="54" t="s">
        <v>181</v>
      </c>
      <c r="B36" s="8">
        <v>18.0</v>
      </c>
      <c r="C36" s="60"/>
      <c r="D36" s="60"/>
      <c r="E36" s="60" t="s">
        <v>215</v>
      </c>
      <c r="F36" s="60">
        <v>0.2</v>
      </c>
      <c r="G36" s="8" t="s">
        <v>206</v>
      </c>
      <c r="H36" s="61"/>
      <c r="I36" s="58" t="s">
        <v>156</v>
      </c>
      <c r="J36" s="58"/>
      <c r="K36" s="58"/>
      <c r="L36" s="59"/>
      <c r="M36" s="60"/>
      <c r="N36" s="56"/>
      <c r="O36" s="56" t="s">
        <v>154</v>
      </c>
      <c r="P36" s="56" t="s">
        <v>158</v>
      </c>
      <c r="Q36" s="8" t="b">
        <f>IF(G36="隔週A", MOD(INT(('26414_編集版'!$B$1-DATE(2026,4,14))/7), 2)=1, IF(G36="隔週B", MOD(INT(('26414_編集版'!$B$1-DATE(2026,4,14))/7), 2)=0, FALSE))</f>
        <v>1</v>
      </c>
      <c r="R36" s="8"/>
      <c r="S36" s="8"/>
      <c r="T36" s="8"/>
    </row>
    <row r="37" ht="17.25" customHeight="1">
      <c r="A37" s="54" t="s">
        <v>181</v>
      </c>
      <c r="B37" s="8">
        <v>19.0</v>
      </c>
      <c r="C37" s="67"/>
      <c r="D37" s="67"/>
      <c r="E37" s="67" t="s">
        <v>216</v>
      </c>
      <c r="F37" s="56">
        <v>0.7</v>
      </c>
      <c r="G37" s="8" t="s">
        <v>206</v>
      </c>
      <c r="H37" s="61"/>
      <c r="I37" s="58" t="s">
        <v>156</v>
      </c>
      <c r="J37" s="58"/>
      <c r="K37" s="58"/>
      <c r="L37" s="59"/>
      <c r="M37" s="67"/>
      <c r="N37" s="56"/>
      <c r="O37" s="56" t="s">
        <v>154</v>
      </c>
      <c r="P37" s="58" t="s">
        <v>200</v>
      </c>
      <c r="Q37" s="8" t="b">
        <f>IF(G37="隔週A", MOD(INT(('26414_編集版'!$B$1-DATE(2026,4,14))/7), 2)=1, IF(G37="隔週B", MOD(INT(('26414_編集版'!$B$1-DATE(2026,4,14))/7), 2)=0, FALSE))</f>
        <v>1</v>
      </c>
      <c r="R37" s="8"/>
      <c r="S37" s="8"/>
      <c r="T37" s="8"/>
    </row>
    <row r="38" ht="17.25" customHeight="1">
      <c r="A38" s="54" t="s">
        <v>181</v>
      </c>
      <c r="B38" s="8">
        <v>19.0</v>
      </c>
      <c r="C38" s="67"/>
      <c r="D38" s="67"/>
      <c r="E38" s="67" t="s">
        <v>217</v>
      </c>
      <c r="F38" s="58">
        <v>0.9</v>
      </c>
      <c r="G38" s="8" t="s">
        <v>206</v>
      </c>
      <c r="H38" s="61"/>
      <c r="I38" s="58" t="s">
        <v>156</v>
      </c>
      <c r="J38" s="58"/>
      <c r="K38" s="58"/>
      <c r="L38" s="59"/>
      <c r="M38" s="67"/>
      <c r="N38" s="56"/>
      <c r="O38" s="56" t="s">
        <v>154</v>
      </c>
      <c r="P38" s="58" t="s">
        <v>200</v>
      </c>
      <c r="Q38" s="8" t="b">
        <f>IF(G38="隔週A", MOD(INT(('26414_編集版'!$B$1-DATE(2026,4,14))/7), 2)=1, IF(G38="隔週B", MOD(INT(('26414_編集版'!$B$1-DATE(2026,4,14))/7), 2)=0, FALSE))</f>
        <v>1</v>
      </c>
      <c r="R38" s="8"/>
      <c r="S38" s="8"/>
      <c r="T38" s="8"/>
    </row>
    <row r="39" ht="17.25" customHeight="1">
      <c r="A39" s="54" t="s">
        <v>181</v>
      </c>
      <c r="B39" s="8">
        <v>19.0</v>
      </c>
      <c r="C39" s="67"/>
      <c r="D39" s="67"/>
      <c r="E39" s="67" t="s">
        <v>218</v>
      </c>
      <c r="F39" s="58">
        <v>0.6</v>
      </c>
      <c r="G39" s="8" t="s">
        <v>206</v>
      </c>
      <c r="H39" s="61"/>
      <c r="I39" s="58" t="s">
        <v>156</v>
      </c>
      <c r="J39" s="58"/>
      <c r="K39" s="58"/>
      <c r="L39" s="59"/>
      <c r="M39" s="67"/>
      <c r="N39" s="56"/>
      <c r="O39" s="56" t="s">
        <v>154</v>
      </c>
      <c r="P39" s="58" t="s">
        <v>200</v>
      </c>
      <c r="Q39" s="8" t="b">
        <f>IF(G39="隔週A", MOD(INT(('26414_編集版'!$B$1-DATE(2026,4,14))/7), 2)=1, IF(G39="隔週B", MOD(INT(('26414_編集版'!$B$1-DATE(2026,4,14))/7), 2)=0, FALSE))</f>
        <v>1</v>
      </c>
      <c r="R39" s="8"/>
      <c r="S39" s="8"/>
      <c r="T39" s="8"/>
    </row>
    <row r="40" ht="17.25" customHeight="1">
      <c r="A40" s="54" t="s">
        <v>181</v>
      </c>
      <c r="B40" s="8">
        <v>19.0</v>
      </c>
      <c r="C40" s="67"/>
      <c r="D40" s="67"/>
      <c r="E40" s="67" t="s">
        <v>219</v>
      </c>
      <c r="F40" s="58">
        <v>1.0</v>
      </c>
      <c r="G40" s="8" t="s">
        <v>206</v>
      </c>
      <c r="H40" s="61"/>
      <c r="I40" s="58" t="s">
        <v>156</v>
      </c>
      <c r="J40" s="58"/>
      <c r="K40" s="58"/>
      <c r="L40" s="59"/>
      <c r="M40" s="67"/>
      <c r="N40" s="56"/>
      <c r="O40" s="56" t="s">
        <v>154</v>
      </c>
      <c r="P40" s="58" t="s">
        <v>200</v>
      </c>
      <c r="Q40" s="8" t="b">
        <f>IF(G40="隔週A", MOD(INT(('26414_編集版'!$B$1-DATE(2026,4,14))/7), 2)=1, IF(G40="隔週B", MOD(INT(('26414_編集版'!$B$1-DATE(2026,4,14))/7), 2)=0, FALSE))</f>
        <v>1</v>
      </c>
      <c r="R40" s="8"/>
      <c r="S40" s="8"/>
      <c r="T40" s="8"/>
    </row>
    <row r="41" ht="17.25" customHeight="1">
      <c r="A41" s="54" t="s">
        <v>184</v>
      </c>
      <c r="B41" s="8">
        <v>11.0</v>
      </c>
      <c r="C41" s="42"/>
      <c r="D41" s="42"/>
      <c r="E41" s="42" t="s">
        <v>220</v>
      </c>
      <c r="F41" s="8">
        <v>2.5</v>
      </c>
      <c r="G41" s="8" t="s">
        <v>206</v>
      </c>
      <c r="H41" s="61"/>
      <c r="I41" s="8" t="s">
        <v>156</v>
      </c>
      <c r="J41" s="8"/>
      <c r="K41" s="8"/>
      <c r="L41" s="59"/>
      <c r="M41" s="42"/>
      <c r="N41" s="56"/>
      <c r="O41" s="56" t="s">
        <v>175</v>
      </c>
      <c r="P41" s="56" t="s">
        <v>154</v>
      </c>
      <c r="Q41" s="8" t="b">
        <f>IF(G41="隔週A", MOD(INT(('26414_編集版'!$B$1-DATE(2026,4,14))/7), 2)=1, IF(G41="隔週B", MOD(INT(('26414_編集版'!$B$1-DATE(2026,4,14))/7), 2)=0, FALSE))</f>
        <v>1</v>
      </c>
      <c r="R41" s="8"/>
      <c r="S41" s="8"/>
      <c r="T41" s="8"/>
    </row>
    <row r="42" ht="17.25" customHeight="1">
      <c r="A42" s="54" t="s">
        <v>184</v>
      </c>
      <c r="B42" s="8">
        <v>12.0</v>
      </c>
      <c r="C42" s="35"/>
      <c r="D42" s="35"/>
      <c r="E42" s="35" t="s">
        <v>221</v>
      </c>
      <c r="F42" s="8">
        <v>0.3</v>
      </c>
      <c r="G42" s="8" t="s">
        <v>206</v>
      </c>
      <c r="H42" s="61"/>
      <c r="I42" s="8" t="s">
        <v>156</v>
      </c>
      <c r="J42" s="8"/>
      <c r="K42" s="8"/>
      <c r="L42" s="59"/>
      <c r="M42" s="35"/>
      <c r="N42" s="56"/>
      <c r="O42" s="56" t="s">
        <v>154</v>
      </c>
      <c r="P42" s="56" t="s">
        <v>153</v>
      </c>
      <c r="Q42" s="8" t="b">
        <f>IF(G42="隔週A", MOD(INT(('26414_編集版'!$B$1-DATE(2026,4,14))/7), 2)=1, IF(G42="隔週B", MOD(INT(('26414_編集版'!$B$1-DATE(2026,4,14))/7), 2)=0, FALSE))</f>
        <v>1</v>
      </c>
      <c r="R42" s="8"/>
      <c r="S42" s="8"/>
      <c r="T42" s="8"/>
    </row>
    <row r="43" ht="17.25" customHeight="1">
      <c r="A43" s="54" t="s">
        <v>184</v>
      </c>
      <c r="B43" s="8">
        <v>18.0</v>
      </c>
      <c r="C43" s="42"/>
      <c r="D43" s="42"/>
      <c r="E43" s="42" t="s">
        <v>222</v>
      </c>
      <c r="F43" s="8">
        <v>0.1</v>
      </c>
      <c r="G43" s="8" t="s">
        <v>206</v>
      </c>
      <c r="H43" s="41"/>
      <c r="I43" s="8" t="s">
        <v>156</v>
      </c>
      <c r="J43" s="8"/>
      <c r="K43" s="8"/>
      <c r="L43" s="59"/>
      <c r="M43" s="42"/>
      <c r="N43" s="8"/>
      <c r="O43" s="8" t="s">
        <v>154</v>
      </c>
      <c r="P43" s="8" t="s">
        <v>223</v>
      </c>
      <c r="Q43" s="8" t="b">
        <f>IF(G43="隔週A", MOD(INT(('26414_編集版'!$B$1-DATE(2026,4,14))/7), 2)=1, IF(G43="隔週B", MOD(INT(('26414_編集版'!$B$1-DATE(2026,4,14))/7), 2)=0, FALSE))</f>
        <v>1</v>
      </c>
      <c r="R43" s="8"/>
      <c r="S43" s="8"/>
      <c r="T43" s="8"/>
    </row>
    <row r="44" ht="17.25" customHeight="1">
      <c r="A44" s="54" t="s">
        <v>184</v>
      </c>
      <c r="B44" s="8">
        <v>18.0</v>
      </c>
      <c r="C44" s="42"/>
      <c r="D44" s="42"/>
      <c r="E44" s="42" t="s">
        <v>224</v>
      </c>
      <c r="F44" s="8">
        <v>0.2</v>
      </c>
      <c r="G44" s="8" t="s">
        <v>206</v>
      </c>
      <c r="H44" s="41"/>
      <c r="I44" s="8" t="s">
        <v>156</v>
      </c>
      <c r="J44" s="8"/>
      <c r="K44" s="8"/>
      <c r="L44" s="59"/>
      <c r="M44" s="42"/>
      <c r="N44" s="8"/>
      <c r="O44" s="8" t="s">
        <v>154</v>
      </c>
      <c r="P44" s="8" t="s">
        <v>223</v>
      </c>
      <c r="Q44" s="8" t="b">
        <f>IF(G44="隔週A", MOD(INT(('26414_編集版'!$B$1-DATE(2026,4,14))/7), 2)=1, IF(G44="隔週B", MOD(INT(('26414_編集版'!$B$1-DATE(2026,4,14))/7), 2)=0, FALSE))</f>
        <v>1</v>
      </c>
      <c r="R44" s="8"/>
      <c r="S44" s="8"/>
      <c r="T44" s="8"/>
    </row>
    <row r="45" ht="17.25" customHeight="1">
      <c r="A45" s="54" t="s">
        <v>184</v>
      </c>
      <c r="B45" s="8">
        <v>18.0</v>
      </c>
      <c r="C45" s="35"/>
      <c r="D45" s="35"/>
      <c r="E45" s="35" t="s">
        <v>225</v>
      </c>
      <c r="F45" s="8">
        <v>1.1</v>
      </c>
      <c r="G45" s="8" t="s">
        <v>206</v>
      </c>
      <c r="H45" s="61"/>
      <c r="I45" s="8" t="s">
        <v>156</v>
      </c>
      <c r="J45" s="8"/>
      <c r="K45" s="8"/>
      <c r="L45" s="59"/>
      <c r="M45" s="35"/>
      <c r="N45" s="56"/>
      <c r="O45" s="56" t="s">
        <v>154</v>
      </c>
      <c r="P45" s="56" t="s">
        <v>153</v>
      </c>
      <c r="Q45" s="8" t="b">
        <f>IF(G45="隔週A", MOD(INT(('26414_編集版'!$B$1-DATE(2026,4,14))/7), 2)=1, IF(G45="隔週B", MOD(INT(('26414_編集版'!$B$1-DATE(2026,4,14))/7), 2)=0, FALSE))</f>
        <v>1</v>
      </c>
      <c r="R45" s="8"/>
      <c r="S45" s="8"/>
      <c r="T45" s="8"/>
    </row>
    <row r="46" ht="17.25" customHeight="1">
      <c r="A46" s="54" t="s">
        <v>184</v>
      </c>
      <c r="B46" s="8">
        <v>20.0</v>
      </c>
      <c r="C46" s="60"/>
      <c r="D46" s="60"/>
      <c r="E46" s="60" t="s">
        <v>226</v>
      </c>
      <c r="F46" s="60">
        <v>2.6</v>
      </c>
      <c r="G46" s="8" t="s">
        <v>206</v>
      </c>
      <c r="H46" s="57"/>
      <c r="I46" s="60" t="s">
        <v>156</v>
      </c>
      <c r="J46" s="60"/>
      <c r="K46" s="60"/>
      <c r="L46" s="59"/>
      <c r="M46" s="60"/>
      <c r="N46" s="60"/>
      <c r="O46" s="60" t="s">
        <v>158</v>
      </c>
      <c r="P46" s="8" t="s">
        <v>154</v>
      </c>
      <c r="Q46" s="8" t="b">
        <f>IF(G46="隔週A", MOD(INT(('26414_編集版'!$B$1-DATE(2026,4,14))/7), 2)=1, IF(G46="隔週B", MOD(INT(('26414_編集版'!$B$1-DATE(2026,4,14))/7), 2)=0, FALSE))</f>
        <v>1</v>
      </c>
      <c r="R46" s="8"/>
      <c r="S46" s="8"/>
      <c r="T46" s="8"/>
    </row>
    <row r="47" ht="17.25" customHeight="1">
      <c r="A47" s="54" t="s">
        <v>184</v>
      </c>
      <c r="B47" s="8">
        <v>21.0</v>
      </c>
      <c r="C47" s="66"/>
      <c r="D47" s="66"/>
      <c r="E47" s="66" t="s">
        <v>227</v>
      </c>
      <c r="F47" s="55">
        <v>1.4</v>
      </c>
      <c r="G47" s="8" t="s">
        <v>206</v>
      </c>
      <c r="H47" s="61"/>
      <c r="I47" s="58" t="s">
        <v>156</v>
      </c>
      <c r="J47" s="58"/>
      <c r="K47" s="58"/>
      <c r="L47" s="59"/>
      <c r="M47" s="66"/>
      <c r="N47" s="56"/>
      <c r="O47" s="56" t="s">
        <v>154</v>
      </c>
      <c r="P47" s="55" t="s">
        <v>153</v>
      </c>
      <c r="Q47" s="8" t="b">
        <f>IF(G47="隔週A", MOD(INT(('26414_編集版'!$B$1-DATE(2026,4,14))/7), 2)=1, IF(G47="隔週B", MOD(INT(('26414_編集版'!$B$1-DATE(2026,4,14))/7), 2)=0, FALSE))</f>
        <v>1</v>
      </c>
      <c r="R47" s="8"/>
      <c r="S47" s="8"/>
      <c r="T47" s="8"/>
    </row>
    <row r="48" ht="17.25" customHeight="1">
      <c r="A48" s="54" t="s">
        <v>186</v>
      </c>
      <c r="B48" s="8">
        <v>17.0</v>
      </c>
      <c r="C48" s="35"/>
      <c r="D48" s="35"/>
      <c r="E48" s="35" t="s">
        <v>228</v>
      </c>
      <c r="F48" s="8">
        <v>0.7</v>
      </c>
      <c r="G48" s="8" t="s">
        <v>206</v>
      </c>
      <c r="H48" s="61"/>
      <c r="I48" s="56" t="s">
        <v>156</v>
      </c>
      <c r="J48" s="56"/>
      <c r="K48" s="56"/>
      <c r="L48" s="59"/>
      <c r="M48" s="35"/>
      <c r="N48" s="56"/>
      <c r="O48" s="56" t="s">
        <v>154</v>
      </c>
      <c r="P48" s="56" t="s">
        <v>153</v>
      </c>
      <c r="Q48" s="8" t="b">
        <f>IF(G48="隔週A", MOD(INT(('26414_編集版'!$B$1-DATE(2026,4,14))/7), 2)=1, IF(G48="隔週B", MOD(INT(('26414_編集版'!$B$1-DATE(2026,4,14))/7), 2)=0, FALSE))</f>
        <v>1</v>
      </c>
      <c r="R48" s="8"/>
      <c r="S48" s="8"/>
      <c r="T48" s="8"/>
    </row>
    <row r="49" ht="17.25" customHeight="1">
      <c r="A49" s="54" t="s">
        <v>186</v>
      </c>
      <c r="B49" s="8">
        <v>18.0</v>
      </c>
      <c r="C49" s="35"/>
      <c r="D49" s="35"/>
      <c r="E49" s="35" t="s">
        <v>229</v>
      </c>
      <c r="F49" s="8">
        <v>0.1</v>
      </c>
      <c r="G49" s="8" t="s">
        <v>206</v>
      </c>
      <c r="H49" s="61"/>
      <c r="I49" s="56" t="s">
        <v>156</v>
      </c>
      <c r="J49" s="56"/>
      <c r="K49" s="56"/>
      <c r="L49" s="59"/>
      <c r="M49" s="35"/>
      <c r="N49" s="56"/>
      <c r="O49" s="56" t="s">
        <v>154</v>
      </c>
      <c r="P49" s="56" t="s">
        <v>153</v>
      </c>
      <c r="Q49" s="8" t="b">
        <f>IF(G49="隔週A", MOD(INT(('26414_編集版'!$B$1-DATE(2026,4,14))/7), 2)=1, IF(G49="隔週B", MOD(INT(('26414_編集版'!$B$1-DATE(2026,4,14))/7), 2)=0, FALSE))</f>
        <v>1</v>
      </c>
      <c r="R49" s="8"/>
      <c r="S49" s="8"/>
      <c r="T49" s="8"/>
    </row>
    <row r="50" ht="17.25" customHeight="1">
      <c r="A50" s="54" t="s">
        <v>186</v>
      </c>
      <c r="B50" s="8">
        <v>20.0</v>
      </c>
      <c r="C50" s="42"/>
      <c r="D50" s="42"/>
      <c r="E50" s="42" t="s">
        <v>230</v>
      </c>
      <c r="F50" s="8">
        <v>2.2</v>
      </c>
      <c r="G50" s="8" t="s">
        <v>206</v>
      </c>
      <c r="H50" s="41"/>
      <c r="I50" s="8" t="s">
        <v>156</v>
      </c>
      <c r="J50" s="8"/>
      <c r="K50" s="8"/>
      <c r="L50" s="59"/>
      <c r="M50" s="42"/>
      <c r="N50" s="8"/>
      <c r="O50" s="8" t="s">
        <v>154</v>
      </c>
      <c r="P50" s="8" t="s">
        <v>153</v>
      </c>
      <c r="Q50" s="8" t="b">
        <f>IF(G50="隔週A", MOD(INT(('26414_編集版'!$B$1-DATE(2026,4,14))/7), 2)=1, IF(G50="隔週B", MOD(INT(('26414_編集版'!$B$1-DATE(2026,4,14))/7), 2)=0, FALSE))</f>
        <v>1</v>
      </c>
      <c r="R50" s="8"/>
      <c r="S50" s="8"/>
      <c r="T50" s="8"/>
    </row>
    <row r="51" ht="17.25" customHeight="1">
      <c r="A51" s="54" t="s">
        <v>194</v>
      </c>
      <c r="B51" s="8">
        <v>8.0</v>
      </c>
      <c r="C51" s="72"/>
      <c r="D51" s="72"/>
      <c r="E51" s="72" t="s">
        <v>231</v>
      </c>
      <c r="F51" s="8">
        <v>0.8</v>
      </c>
      <c r="G51" s="8" t="s">
        <v>206</v>
      </c>
      <c r="H51" s="41"/>
      <c r="I51" s="8" t="s">
        <v>156</v>
      </c>
      <c r="J51" s="8"/>
      <c r="K51" s="8"/>
      <c r="L51" s="59"/>
      <c r="M51" s="72"/>
      <c r="N51" s="8"/>
      <c r="O51" s="8" t="s">
        <v>154</v>
      </c>
      <c r="P51" s="8" t="s">
        <v>153</v>
      </c>
      <c r="Q51" s="8" t="b">
        <f>IF(G51="隔週A", MOD(INT(('26414_編集版'!$B$1-DATE(2026,4,14))/7), 2)=1, IF(G51="隔週B", MOD(INT(('26414_編集版'!$B$1-DATE(2026,4,14))/7), 2)=0, FALSE))</f>
        <v>1</v>
      </c>
      <c r="R51" s="8"/>
      <c r="S51" s="8"/>
      <c r="T51" s="8"/>
    </row>
    <row r="52" ht="17.25" customHeight="1">
      <c r="A52" s="54" t="s">
        <v>194</v>
      </c>
      <c r="B52" s="8">
        <v>10.0</v>
      </c>
      <c r="C52" s="42"/>
      <c r="D52" s="42"/>
      <c r="E52" s="42" t="s">
        <v>232</v>
      </c>
      <c r="F52" s="55">
        <v>0.7</v>
      </c>
      <c r="G52" s="8" t="s">
        <v>206</v>
      </c>
      <c r="H52" s="41"/>
      <c r="I52" s="8" t="s">
        <v>156</v>
      </c>
      <c r="J52" s="8"/>
      <c r="K52" s="8"/>
      <c r="L52" s="59"/>
      <c r="M52" s="42"/>
      <c r="N52" s="8"/>
      <c r="O52" s="8" t="s">
        <v>154</v>
      </c>
      <c r="P52" s="8" t="s">
        <v>153</v>
      </c>
      <c r="Q52" s="8" t="b">
        <f>IF(G52="隔週A", MOD(INT(('26414_編集版'!$B$1-DATE(2026,4,14))/7), 2)=1, IF(G52="隔週B", MOD(INT(('26414_編集版'!$B$1-DATE(2026,4,14))/7), 2)=0, FALSE))</f>
        <v>1</v>
      </c>
      <c r="R52" s="8"/>
      <c r="S52" s="8"/>
      <c r="T52" s="8"/>
    </row>
    <row r="53" ht="17.25" customHeight="1">
      <c r="A53" s="54" t="s">
        <v>194</v>
      </c>
      <c r="B53" s="8">
        <v>17.0</v>
      </c>
      <c r="C53" s="64"/>
      <c r="D53" s="64"/>
      <c r="E53" s="64" t="s">
        <v>233</v>
      </c>
      <c r="F53" s="64">
        <v>0.2</v>
      </c>
      <c r="G53" s="8" t="s">
        <v>206</v>
      </c>
      <c r="H53" s="65"/>
      <c r="I53" s="64" t="s">
        <v>156</v>
      </c>
      <c r="J53" s="64"/>
      <c r="K53" s="64"/>
      <c r="L53" s="59"/>
      <c r="M53" s="64"/>
      <c r="N53" s="64"/>
      <c r="O53" s="64" t="s">
        <v>154</v>
      </c>
      <c r="P53" s="64" t="s">
        <v>153</v>
      </c>
      <c r="Q53" s="8" t="b">
        <f>IF(G53="隔週A", MOD(INT(('26414_編集版'!$B$1-DATE(2026,4,14))/7), 2)=1, IF(G53="隔週B", MOD(INT(('26414_編集版'!$B$1-DATE(2026,4,14))/7), 2)=0, FALSE))</f>
        <v>1</v>
      </c>
      <c r="R53" s="8"/>
      <c r="S53" s="8"/>
      <c r="T53" s="8"/>
    </row>
    <row r="54" ht="17.25" customHeight="1">
      <c r="A54" s="54" t="s">
        <v>194</v>
      </c>
      <c r="B54" s="8">
        <v>17.0</v>
      </c>
      <c r="C54" s="64"/>
      <c r="D54" s="64"/>
      <c r="E54" s="64" t="s">
        <v>234</v>
      </c>
      <c r="F54" s="64">
        <v>1.4</v>
      </c>
      <c r="G54" s="8" t="s">
        <v>206</v>
      </c>
      <c r="H54" s="65"/>
      <c r="I54" s="8" t="s">
        <v>156</v>
      </c>
      <c r="J54" s="8"/>
      <c r="K54" s="8"/>
      <c r="L54" s="59"/>
      <c r="M54" s="64"/>
      <c r="N54" s="64"/>
      <c r="O54" s="64" t="s">
        <v>153</v>
      </c>
      <c r="P54" s="64" t="s">
        <v>154</v>
      </c>
      <c r="Q54" s="8" t="b">
        <f>IF(G54="隔週A", MOD(INT(('26414_編集版'!$B$1-DATE(2026,4,14))/7), 2)=1, IF(G54="隔週B", MOD(INT(('26414_編集版'!$B$1-DATE(2026,4,14))/7), 2)=0, FALSE))</f>
        <v>1</v>
      </c>
      <c r="R54" s="8"/>
      <c r="S54" s="8"/>
      <c r="T54" s="8"/>
    </row>
    <row r="55" ht="17.25" customHeight="1">
      <c r="A55" s="54" t="s">
        <v>194</v>
      </c>
      <c r="B55" s="8">
        <v>19.0</v>
      </c>
      <c r="C55" s="58"/>
      <c r="D55" s="58"/>
      <c r="E55" s="58" t="s">
        <v>235</v>
      </c>
      <c r="F55" s="58">
        <v>0.2</v>
      </c>
      <c r="G55" s="8" t="s">
        <v>206</v>
      </c>
      <c r="H55" s="70"/>
      <c r="I55" s="58" t="s">
        <v>156</v>
      </c>
      <c r="J55" s="58"/>
      <c r="K55" s="58"/>
      <c r="L55" s="59"/>
      <c r="M55" s="58"/>
      <c r="N55" s="71"/>
      <c r="O55" s="56" t="s">
        <v>154</v>
      </c>
      <c r="P55" s="56" t="s">
        <v>153</v>
      </c>
      <c r="Q55" s="8" t="b">
        <f>IF(G55="隔週A", MOD(INT(('26414_編集版'!$B$1-DATE(2026,4,14))/7), 2)=1, IF(G55="隔週B", MOD(INT(('26414_編集版'!$B$1-DATE(2026,4,14))/7), 2)=0, FALSE))</f>
        <v>1</v>
      </c>
      <c r="R55" s="8"/>
      <c r="S55" s="8"/>
      <c r="T55" s="8"/>
    </row>
    <row r="56" ht="17.25" customHeight="1">
      <c r="A56" s="54" t="s">
        <v>197</v>
      </c>
      <c r="B56" s="8">
        <v>12.0</v>
      </c>
      <c r="C56" s="56"/>
      <c r="D56" s="56"/>
      <c r="E56" s="56" t="s">
        <v>236</v>
      </c>
      <c r="F56" s="67">
        <v>0.5</v>
      </c>
      <c r="G56" s="8" t="s">
        <v>206</v>
      </c>
      <c r="H56" s="61"/>
      <c r="I56" s="67" t="s">
        <v>156</v>
      </c>
      <c r="J56" s="67"/>
      <c r="K56" s="67"/>
      <c r="L56" s="59"/>
      <c r="M56" s="56"/>
      <c r="N56" s="56"/>
      <c r="O56" s="56" t="s">
        <v>154</v>
      </c>
      <c r="P56" s="56" t="s">
        <v>153</v>
      </c>
      <c r="Q56" s="8" t="b">
        <f>IF(G56="隔週A", MOD(INT(('26414_編集版'!$B$1-DATE(2026,4,14))/7), 2)=1, IF(G56="隔週B", MOD(INT(('26414_編集版'!$B$1-DATE(2026,4,14))/7), 2)=0, FALSE))</f>
        <v>1</v>
      </c>
      <c r="R56" s="8"/>
      <c r="S56" s="8"/>
      <c r="T56" s="8"/>
    </row>
    <row r="57" ht="17.25" customHeight="1">
      <c r="A57" s="54" t="s">
        <v>197</v>
      </c>
      <c r="B57" s="8">
        <v>18.0</v>
      </c>
      <c r="C57" s="35"/>
      <c r="D57" s="35"/>
      <c r="E57" s="35" t="s">
        <v>237</v>
      </c>
      <c r="F57" s="8">
        <v>0.7</v>
      </c>
      <c r="G57" s="8" t="s">
        <v>206</v>
      </c>
      <c r="H57" s="61"/>
      <c r="I57" s="40" t="s">
        <v>156</v>
      </c>
      <c r="J57" s="40"/>
      <c r="K57" s="40"/>
      <c r="L57" s="59"/>
      <c r="M57" s="35"/>
      <c r="N57" s="56"/>
      <c r="O57" s="56" t="s">
        <v>154</v>
      </c>
      <c r="P57" s="56" t="s">
        <v>153</v>
      </c>
      <c r="Q57" s="8" t="b">
        <f>IF(G57="隔週A", MOD(INT(('26414_編集版'!$B$1-DATE(2026,4,14))/7), 2)=1, IF(G57="隔週B", MOD(INT(('26414_編集版'!$B$1-DATE(2026,4,14))/7), 2)=0, FALSE))</f>
        <v>1</v>
      </c>
      <c r="R57" s="8"/>
      <c r="S57" s="8"/>
      <c r="T57" s="8"/>
    </row>
    <row r="58" ht="17.25" customHeight="1">
      <c r="A58" s="54" t="s">
        <v>197</v>
      </c>
      <c r="B58" s="8">
        <v>19.0</v>
      </c>
      <c r="C58" s="73"/>
      <c r="D58" s="73"/>
      <c r="E58" s="73" t="s">
        <v>238</v>
      </c>
      <c r="F58" s="56">
        <v>0.9</v>
      </c>
      <c r="G58" s="8" t="s">
        <v>206</v>
      </c>
      <c r="H58" s="50"/>
      <c r="I58" s="58" t="s">
        <v>156</v>
      </c>
      <c r="J58" s="58"/>
      <c r="K58" s="58"/>
      <c r="L58" s="59"/>
      <c r="M58" s="73"/>
      <c r="N58" s="36"/>
      <c r="O58" s="36" t="s">
        <v>154</v>
      </c>
      <c r="P58" s="36" t="s">
        <v>158</v>
      </c>
      <c r="Q58" s="8" t="b">
        <f>IF(G58="隔週A", MOD(INT(('26414_編集版'!$B$1-DATE(2026,4,14))/7), 2)=1, IF(G58="隔週B", MOD(INT(('26414_編集版'!$B$1-DATE(2026,4,14))/7), 2)=0, FALSE))</f>
        <v>1</v>
      </c>
      <c r="R58" s="8"/>
      <c r="S58" s="8"/>
      <c r="T58" s="8"/>
    </row>
    <row r="59" ht="17.25" customHeight="1">
      <c r="A59" s="54" t="s">
        <v>197</v>
      </c>
      <c r="B59" s="8">
        <v>19.0</v>
      </c>
      <c r="C59" s="66"/>
      <c r="D59" s="66"/>
      <c r="E59" s="66" t="s">
        <v>239</v>
      </c>
      <c r="F59" s="56">
        <v>2.0</v>
      </c>
      <c r="G59" s="8" t="s">
        <v>206</v>
      </c>
      <c r="H59" s="74"/>
      <c r="I59" s="67" t="s">
        <v>156</v>
      </c>
      <c r="J59" s="67"/>
      <c r="K59" s="67"/>
      <c r="L59" s="59"/>
      <c r="M59" s="66"/>
      <c r="N59" s="58"/>
      <c r="O59" s="58" t="s">
        <v>154</v>
      </c>
      <c r="P59" s="58" t="s">
        <v>158</v>
      </c>
      <c r="Q59" s="8" t="b">
        <f>IF(G59="隔週A", MOD(INT(('26414_編集版'!$B$1-DATE(2026,4,14))/7), 2)=1, IF(G59="隔週B", MOD(INT(('26414_編集版'!$B$1-DATE(2026,4,14))/7), 2)=0, FALSE))</f>
        <v>1</v>
      </c>
      <c r="R59" s="8"/>
      <c r="S59" s="8"/>
      <c r="T59" s="8"/>
    </row>
    <row r="60" ht="17.25" customHeight="1">
      <c r="A60" s="54" t="s">
        <v>171</v>
      </c>
      <c r="B60" s="8">
        <v>8.0</v>
      </c>
      <c r="C60" s="66"/>
      <c r="D60" s="66"/>
      <c r="E60" s="66" t="s">
        <v>240</v>
      </c>
      <c r="F60" s="56">
        <v>0.2</v>
      </c>
      <c r="G60" s="8" t="s">
        <v>241</v>
      </c>
      <c r="H60" s="41"/>
      <c r="I60" s="56" t="s">
        <v>242</v>
      </c>
      <c r="J60" s="58"/>
      <c r="K60" s="58"/>
      <c r="L60" s="75">
        <v>24376.0</v>
      </c>
      <c r="M60" s="76" t="s">
        <v>243</v>
      </c>
      <c r="N60" s="8"/>
      <c r="O60" s="8" t="s">
        <v>244</v>
      </c>
      <c r="P60" s="8"/>
      <c r="Q60" s="8" t="b">
        <f>IF(G60="隔週A", MOD(INT(('26414_編集版'!$B$1-DATE(2026,4,14))/7), 2)=1, IF(G60="隔週B", MOD(INT(('26414_編集版'!$B$1-DATE(2026,4,14))/7), 2)=0, FALSE))</f>
        <v>0</v>
      </c>
      <c r="R60" s="8"/>
      <c r="S60" s="8"/>
      <c r="T60" s="8"/>
    </row>
    <row r="61" ht="17.25" customHeight="1">
      <c r="A61" s="54" t="s">
        <v>171</v>
      </c>
      <c r="B61" s="8">
        <v>8.0</v>
      </c>
      <c r="C61" s="56"/>
      <c r="D61" s="56"/>
      <c r="E61" s="56" t="s">
        <v>245</v>
      </c>
      <c r="F61" s="56">
        <v>0.1</v>
      </c>
      <c r="G61" s="8" t="s">
        <v>241</v>
      </c>
      <c r="H61" s="41"/>
      <c r="I61" s="8" t="s">
        <v>156</v>
      </c>
      <c r="J61" s="8"/>
      <c r="K61" s="8"/>
      <c r="L61" s="59"/>
      <c r="M61" s="56"/>
      <c r="N61" s="8"/>
      <c r="O61" s="8" t="s">
        <v>244</v>
      </c>
      <c r="P61" s="77"/>
      <c r="Q61" s="8" t="b">
        <f>IF(G61="隔週A", MOD(INT(('26414_編集版'!$B$1-DATE(2026,4,14))/7), 2)=1, IF(G61="隔週B", MOD(INT(('26414_編集版'!$B$1-DATE(2026,4,14))/7), 2)=0, FALSE))</f>
        <v>0</v>
      </c>
      <c r="R61" s="8"/>
      <c r="S61" s="8"/>
      <c r="T61" s="8"/>
    </row>
    <row r="62" ht="17.25" customHeight="1">
      <c r="A62" s="54" t="s">
        <v>171</v>
      </c>
      <c r="B62" s="8">
        <v>8.0</v>
      </c>
      <c r="C62" s="56"/>
      <c r="D62" s="56"/>
      <c r="E62" s="56" t="s">
        <v>246</v>
      </c>
      <c r="F62" s="56">
        <v>4.3</v>
      </c>
      <c r="G62" s="8" t="s">
        <v>241</v>
      </c>
      <c r="H62" s="61"/>
      <c r="I62" s="8" t="s">
        <v>156</v>
      </c>
      <c r="J62" s="8"/>
      <c r="K62" s="8"/>
      <c r="L62" s="59"/>
      <c r="M62" s="56"/>
      <c r="N62" s="56"/>
      <c r="O62" s="56" t="s">
        <v>153</v>
      </c>
      <c r="P62" s="56" t="s">
        <v>154</v>
      </c>
      <c r="Q62" s="8" t="b">
        <f>IF(G62="隔週A", MOD(INT(('26414_編集版'!$B$1-DATE(2026,4,14))/7), 2)=1, IF(G62="隔週B", MOD(INT(('26414_編集版'!$B$1-DATE(2026,4,14))/7), 2)=0, FALSE))</f>
        <v>0</v>
      </c>
      <c r="R62" s="8"/>
      <c r="S62" s="8"/>
      <c r="T62" s="8"/>
    </row>
    <row r="63" ht="17.25" customHeight="1">
      <c r="A63" s="54" t="s">
        <v>171</v>
      </c>
      <c r="B63" s="8">
        <v>8.0</v>
      </c>
      <c r="C63" s="56"/>
      <c r="D63" s="56"/>
      <c r="E63" s="56" t="s">
        <v>247</v>
      </c>
      <c r="F63" s="56">
        <v>1.2</v>
      </c>
      <c r="G63" s="8" t="s">
        <v>241</v>
      </c>
      <c r="H63" s="41"/>
      <c r="I63" s="8" t="s">
        <v>156</v>
      </c>
      <c r="J63" s="8"/>
      <c r="K63" s="8"/>
      <c r="L63" s="59"/>
      <c r="M63" s="56"/>
      <c r="N63" s="8"/>
      <c r="O63" s="8" t="s">
        <v>244</v>
      </c>
      <c r="P63" s="56"/>
      <c r="Q63" s="8" t="b">
        <f>IF(G63="隔週A", MOD(INT(('26414_編集版'!$B$1-DATE(2026,4,14))/7), 2)=1, IF(G63="隔週B", MOD(INT(('26414_編集版'!$B$1-DATE(2026,4,14))/7), 2)=0, FALSE))</f>
        <v>0</v>
      </c>
      <c r="R63" s="8"/>
      <c r="S63" s="8"/>
      <c r="T63" s="8"/>
    </row>
    <row r="64" ht="17.25" customHeight="1">
      <c r="A64" s="54" t="s">
        <v>171</v>
      </c>
      <c r="B64" s="8">
        <v>9.0</v>
      </c>
      <c r="C64" s="35"/>
      <c r="D64" s="35"/>
      <c r="E64" s="35" t="s">
        <v>248</v>
      </c>
      <c r="F64" s="8">
        <v>0.5</v>
      </c>
      <c r="G64" s="8" t="s">
        <v>241</v>
      </c>
      <c r="H64" s="41"/>
      <c r="I64" s="8" t="s">
        <v>156</v>
      </c>
      <c r="J64" s="8"/>
      <c r="K64" s="8"/>
      <c r="L64" s="59"/>
      <c r="M64" s="35"/>
      <c r="N64" s="8"/>
      <c r="O64" s="8" t="s">
        <v>244</v>
      </c>
      <c r="P64" s="64"/>
      <c r="Q64" s="8" t="b">
        <f>IF(G64="隔週A", MOD(INT(('26414_編集版'!$B$1-DATE(2026,4,14))/7), 2)=1, IF(G64="隔週B", MOD(INT(('26414_編集版'!$B$1-DATE(2026,4,14))/7), 2)=0, FALSE))</f>
        <v>0</v>
      </c>
      <c r="R64" s="8"/>
      <c r="S64" s="8"/>
      <c r="T64" s="8"/>
    </row>
    <row r="65" ht="17.25" customHeight="1">
      <c r="A65" s="54" t="s">
        <v>171</v>
      </c>
      <c r="B65" s="8">
        <v>9.0</v>
      </c>
      <c r="C65" s="78"/>
      <c r="D65" s="78"/>
      <c r="E65" s="78" t="s">
        <v>249</v>
      </c>
      <c r="F65" s="8">
        <v>0.5</v>
      </c>
      <c r="G65" s="8" t="s">
        <v>241</v>
      </c>
      <c r="H65" s="41"/>
      <c r="I65" s="8" t="s">
        <v>156</v>
      </c>
      <c r="J65" s="8"/>
      <c r="K65" s="8"/>
      <c r="L65" s="59"/>
      <c r="M65" s="78"/>
      <c r="N65" s="8"/>
      <c r="O65" s="8" t="s">
        <v>244</v>
      </c>
      <c r="P65" s="8"/>
      <c r="Q65" s="8" t="b">
        <f>IF(G65="隔週A", MOD(INT(('26414_編集版'!$B$1-DATE(2026,4,14))/7), 2)=1, IF(G65="隔週B", MOD(INT(('26414_編集版'!$B$1-DATE(2026,4,14))/7), 2)=0, FALSE))</f>
        <v>0</v>
      </c>
      <c r="R65" s="8"/>
      <c r="S65" s="8"/>
      <c r="T65" s="8"/>
    </row>
    <row r="66" ht="17.25" customHeight="1">
      <c r="A66" s="54" t="s">
        <v>171</v>
      </c>
      <c r="B66" s="8">
        <v>9.0</v>
      </c>
      <c r="C66" s="35"/>
      <c r="D66" s="35"/>
      <c r="E66" s="35" t="s">
        <v>250</v>
      </c>
      <c r="F66" s="8">
        <v>1.5</v>
      </c>
      <c r="G66" s="8" t="s">
        <v>241</v>
      </c>
      <c r="H66" s="41"/>
      <c r="I66" s="8" t="s">
        <v>156</v>
      </c>
      <c r="J66" s="8"/>
      <c r="K66" s="8"/>
      <c r="L66" s="59"/>
      <c r="M66" s="35"/>
      <c r="N66" s="8"/>
      <c r="O66" s="8" t="s">
        <v>244</v>
      </c>
      <c r="P66" s="8"/>
      <c r="Q66" s="8" t="b">
        <f>IF(G66="隔週A", MOD(INT(('26414_編集版'!$B$1-DATE(2026,4,14))/7), 2)=1, IF(G66="隔週B", MOD(INT(('26414_編集版'!$B$1-DATE(2026,4,14))/7), 2)=0, FALSE))</f>
        <v>0</v>
      </c>
      <c r="R66" s="8"/>
      <c r="S66" s="8"/>
      <c r="T66" s="8"/>
    </row>
    <row r="67" ht="17.25" customHeight="1">
      <c r="A67" s="54" t="s">
        <v>171</v>
      </c>
      <c r="B67" s="8">
        <v>10.0</v>
      </c>
      <c r="C67" s="35"/>
      <c r="D67" s="35"/>
      <c r="E67" s="35" t="s">
        <v>251</v>
      </c>
      <c r="F67" s="8">
        <v>0.4</v>
      </c>
      <c r="G67" s="8" t="s">
        <v>241</v>
      </c>
      <c r="H67" s="41"/>
      <c r="I67" s="8" t="s">
        <v>156</v>
      </c>
      <c r="J67" s="8"/>
      <c r="K67" s="8"/>
      <c r="L67" s="59"/>
      <c r="M67" s="35"/>
      <c r="N67" s="8"/>
      <c r="O67" s="8" t="s">
        <v>244</v>
      </c>
      <c r="P67" s="34"/>
      <c r="Q67" s="8" t="b">
        <f>IF(G67="隔週A", MOD(INT(('26414_編集版'!$B$1-DATE(2026,4,14))/7), 2)=1, IF(G67="隔週B", MOD(INT(('26414_編集版'!$B$1-DATE(2026,4,14))/7), 2)=0, FALSE))</f>
        <v>0</v>
      </c>
      <c r="R67" s="8"/>
      <c r="S67" s="8"/>
      <c r="T67" s="8"/>
    </row>
    <row r="68" ht="17.25" customHeight="1">
      <c r="A68" s="54" t="s">
        <v>171</v>
      </c>
      <c r="B68" s="8">
        <v>10.0</v>
      </c>
      <c r="C68" s="42"/>
      <c r="D68" s="42"/>
      <c r="E68" s="42" t="s">
        <v>252</v>
      </c>
      <c r="F68" s="8">
        <v>1.5</v>
      </c>
      <c r="G68" s="8" t="s">
        <v>241</v>
      </c>
      <c r="H68" s="41"/>
      <c r="I68" s="8" t="s">
        <v>156</v>
      </c>
      <c r="J68" s="8"/>
      <c r="K68" s="8"/>
      <c r="L68" s="59"/>
      <c r="M68" s="42"/>
      <c r="N68" s="8"/>
      <c r="O68" s="8" t="s">
        <v>244</v>
      </c>
      <c r="P68" s="8"/>
      <c r="Q68" s="8" t="b">
        <f>IF(G68="隔週A", MOD(INT(('26414_編集版'!$B$1-DATE(2026,4,14))/7), 2)=1, IF(G68="隔週B", MOD(INT(('26414_編集版'!$B$1-DATE(2026,4,14))/7), 2)=0, FALSE))</f>
        <v>0</v>
      </c>
      <c r="R68" s="8"/>
      <c r="S68" s="8"/>
      <c r="T68" s="8"/>
    </row>
    <row r="69" ht="17.25" customHeight="1">
      <c r="A69" s="54" t="s">
        <v>171</v>
      </c>
      <c r="B69" s="8">
        <v>10.0</v>
      </c>
      <c r="C69" s="60"/>
      <c r="D69" s="60"/>
      <c r="E69" s="60" t="s">
        <v>253</v>
      </c>
      <c r="F69" s="8">
        <v>1.0</v>
      </c>
      <c r="G69" s="8" t="s">
        <v>241</v>
      </c>
      <c r="H69" s="41"/>
      <c r="I69" s="8" t="s">
        <v>156</v>
      </c>
      <c r="J69" s="8"/>
      <c r="K69" s="8"/>
      <c r="L69" s="59"/>
      <c r="M69" s="60"/>
      <c r="N69" s="8"/>
      <c r="O69" s="8" t="s">
        <v>244</v>
      </c>
      <c r="P69" s="34"/>
      <c r="Q69" s="8" t="b">
        <f>IF(G69="隔週A", MOD(INT(('26414_編集版'!$B$1-DATE(2026,4,14))/7), 2)=1, IF(G69="隔週B", MOD(INT(('26414_編集版'!$B$1-DATE(2026,4,14))/7), 2)=0, FALSE))</f>
        <v>0</v>
      </c>
      <c r="R69" s="8"/>
      <c r="S69" s="8"/>
      <c r="T69" s="8"/>
    </row>
    <row r="70" ht="17.25" customHeight="1">
      <c r="A70" s="54" t="s">
        <v>171</v>
      </c>
      <c r="B70" s="8">
        <v>11.0</v>
      </c>
      <c r="C70" s="62"/>
      <c r="D70" s="62"/>
      <c r="E70" s="62" t="s">
        <v>254</v>
      </c>
      <c r="F70" s="55">
        <v>0.5</v>
      </c>
      <c r="G70" s="8" t="s">
        <v>241</v>
      </c>
      <c r="H70" s="70"/>
      <c r="I70" s="8" t="s">
        <v>156</v>
      </c>
      <c r="J70" s="8"/>
      <c r="K70" s="8"/>
      <c r="L70" s="59"/>
      <c r="M70" s="62"/>
      <c r="N70" s="71"/>
      <c r="O70" s="8" t="s">
        <v>244</v>
      </c>
      <c r="P70" s="8"/>
      <c r="Q70" s="8" t="b">
        <f>IF(G70="隔週A", MOD(INT(('26414_編集版'!$B$1-DATE(2026,4,14))/7), 2)=1, IF(G70="隔週B", MOD(INT(('26414_編集版'!$B$1-DATE(2026,4,14))/7), 2)=0, FALSE))</f>
        <v>0</v>
      </c>
      <c r="R70" s="8"/>
      <c r="S70" s="8"/>
      <c r="T70" s="8"/>
    </row>
    <row r="71" ht="17.25" customHeight="1">
      <c r="A71" s="54" t="s">
        <v>171</v>
      </c>
      <c r="B71" s="8">
        <v>12.0</v>
      </c>
      <c r="C71" s="42"/>
      <c r="D71" s="42"/>
      <c r="E71" s="42" t="s">
        <v>255</v>
      </c>
      <c r="F71" s="34">
        <v>5.0</v>
      </c>
      <c r="G71" s="8" t="s">
        <v>241</v>
      </c>
      <c r="H71" s="79"/>
      <c r="I71" s="56" t="s">
        <v>156</v>
      </c>
      <c r="J71" s="56"/>
      <c r="K71" s="56"/>
      <c r="L71" s="59"/>
      <c r="M71" s="42"/>
      <c r="N71" s="42"/>
      <c r="O71" s="8" t="s">
        <v>223</v>
      </c>
      <c r="P71" s="8" t="s">
        <v>256</v>
      </c>
      <c r="Q71" s="8" t="b">
        <f>IF(G71="隔週A", MOD(INT(('26414_編集版'!$B$1-DATE(2026,4,14))/7), 2)=1, IF(G71="隔週B", MOD(INT(('26414_編集版'!$B$1-DATE(2026,4,14))/7), 2)=0, FALSE))</f>
        <v>0</v>
      </c>
      <c r="R71" s="8"/>
      <c r="S71" s="8"/>
      <c r="T71" s="8"/>
    </row>
    <row r="72" ht="17.25" customHeight="1">
      <c r="A72" s="54" t="s">
        <v>171</v>
      </c>
      <c r="B72" s="8">
        <v>12.0</v>
      </c>
      <c r="C72" s="42"/>
      <c r="D72" s="42"/>
      <c r="E72" s="42" t="s">
        <v>257</v>
      </c>
      <c r="F72" s="8">
        <v>2.9</v>
      </c>
      <c r="G72" s="8" t="s">
        <v>241</v>
      </c>
      <c r="H72" s="41"/>
      <c r="I72" s="56" t="s">
        <v>156</v>
      </c>
      <c r="J72" s="56"/>
      <c r="K72" s="56"/>
      <c r="L72" s="59"/>
      <c r="M72" s="42"/>
      <c r="N72" s="8"/>
      <c r="O72" s="8" t="s">
        <v>223</v>
      </c>
      <c r="P72" s="8" t="s">
        <v>256</v>
      </c>
      <c r="Q72" s="8" t="b">
        <f>IF(G72="隔週A", MOD(INT(('26414_編集版'!$B$1-DATE(2026,4,14))/7), 2)=1, IF(G72="隔週B", MOD(INT(('26414_編集版'!$B$1-DATE(2026,4,14))/7), 2)=0, FALSE))</f>
        <v>0</v>
      </c>
      <c r="R72" s="8"/>
      <c r="S72" s="8"/>
      <c r="T72" s="8"/>
    </row>
    <row r="73" ht="17.25" customHeight="1">
      <c r="A73" s="54" t="s">
        <v>171</v>
      </c>
      <c r="B73" s="8">
        <v>12.0</v>
      </c>
      <c r="C73" s="42"/>
      <c r="D73" s="42"/>
      <c r="E73" s="42" t="s">
        <v>258</v>
      </c>
      <c r="F73" s="8">
        <v>1.0</v>
      </c>
      <c r="G73" s="8" t="s">
        <v>241</v>
      </c>
      <c r="H73" s="41"/>
      <c r="I73" s="56" t="s">
        <v>156</v>
      </c>
      <c r="J73" s="56"/>
      <c r="K73" s="56"/>
      <c r="L73" s="59"/>
      <c r="M73" s="42"/>
      <c r="N73" s="8"/>
      <c r="O73" s="8" t="s">
        <v>223</v>
      </c>
      <c r="P73" s="8" t="s">
        <v>256</v>
      </c>
      <c r="Q73" s="8" t="b">
        <f>IF(G73="隔週A", MOD(INT(('26414_編集版'!$B$1-DATE(2026,4,14))/7), 2)=1, IF(G73="隔週B", MOD(INT(('26414_編集版'!$B$1-DATE(2026,4,14))/7), 2)=0, FALSE))</f>
        <v>0</v>
      </c>
      <c r="R73" s="8"/>
      <c r="S73" s="8"/>
      <c r="T73" s="8"/>
    </row>
    <row r="74" ht="17.25" customHeight="1">
      <c r="A74" s="54" t="s">
        <v>171</v>
      </c>
      <c r="B74" s="8">
        <v>12.0</v>
      </c>
      <c r="C74" s="42"/>
      <c r="D74" s="42"/>
      <c r="E74" s="42" t="s">
        <v>259</v>
      </c>
      <c r="F74" s="34">
        <v>0.8</v>
      </c>
      <c r="G74" s="8" t="s">
        <v>241</v>
      </c>
      <c r="H74" s="41"/>
      <c r="I74" s="56" t="s">
        <v>156</v>
      </c>
      <c r="J74" s="56"/>
      <c r="K74" s="56"/>
      <c r="L74" s="59"/>
      <c r="M74" s="42"/>
      <c r="N74" s="8"/>
      <c r="O74" s="8" t="s">
        <v>223</v>
      </c>
      <c r="P74" s="8" t="s">
        <v>256</v>
      </c>
      <c r="Q74" s="8" t="b">
        <f>IF(G74="隔週A", MOD(INT(('26414_編集版'!$B$1-DATE(2026,4,14))/7), 2)=1, IF(G74="隔週B", MOD(INT(('26414_編集版'!$B$1-DATE(2026,4,14))/7), 2)=0, FALSE))</f>
        <v>0</v>
      </c>
      <c r="R74" s="8"/>
      <c r="S74" s="8"/>
      <c r="T74" s="8"/>
    </row>
    <row r="75" ht="17.25" customHeight="1">
      <c r="A75" s="54" t="s">
        <v>171</v>
      </c>
      <c r="B75" s="8">
        <v>12.0</v>
      </c>
      <c r="C75" s="42"/>
      <c r="D75" s="42"/>
      <c r="E75" s="42" t="s">
        <v>260</v>
      </c>
      <c r="F75" s="8">
        <v>0.7</v>
      </c>
      <c r="G75" s="8" t="s">
        <v>241</v>
      </c>
      <c r="H75" s="41"/>
      <c r="I75" s="56" t="s">
        <v>156</v>
      </c>
      <c r="J75" s="56"/>
      <c r="K75" s="56"/>
      <c r="L75" s="59"/>
      <c r="M75" s="42"/>
      <c r="N75" s="8"/>
      <c r="O75" s="8" t="s">
        <v>223</v>
      </c>
      <c r="P75" s="8" t="s">
        <v>256</v>
      </c>
      <c r="Q75" s="8" t="b">
        <f>IF(G75="隔週A", MOD(INT(('26414_編集版'!$B$1-DATE(2026,4,14))/7), 2)=1, IF(G75="隔週B", MOD(INT(('26414_編集版'!$B$1-DATE(2026,4,14))/7), 2)=0, FALSE))</f>
        <v>0</v>
      </c>
      <c r="R75" s="8"/>
      <c r="S75" s="8"/>
      <c r="T75" s="8"/>
    </row>
    <row r="76" ht="17.25" customHeight="1">
      <c r="A76" s="54" t="s">
        <v>171</v>
      </c>
      <c r="B76" s="34">
        <v>14.0</v>
      </c>
      <c r="C76" s="35"/>
      <c r="D76" s="35"/>
      <c r="E76" s="35" t="s">
        <v>261</v>
      </c>
      <c r="F76" s="8">
        <v>1.2</v>
      </c>
      <c r="G76" s="8" t="s">
        <v>241</v>
      </c>
      <c r="H76" s="41"/>
      <c r="I76" s="8" t="s">
        <v>156</v>
      </c>
      <c r="J76" s="8"/>
      <c r="K76" s="8"/>
      <c r="L76" s="59"/>
      <c r="M76" s="35"/>
      <c r="N76" s="8"/>
      <c r="O76" s="8" t="s">
        <v>244</v>
      </c>
      <c r="P76" s="8"/>
      <c r="Q76" s="8" t="b">
        <f>IF(G76="隔週A", MOD(INT(('26414_編集版'!$B$1-DATE(2026,4,14))/7), 2)=1, IF(G76="隔週B", MOD(INT(('26414_編集版'!$B$1-DATE(2026,4,14))/7), 2)=0, FALSE))</f>
        <v>0</v>
      </c>
      <c r="R76" s="8"/>
      <c r="S76" s="8"/>
      <c r="T76" s="8"/>
    </row>
    <row r="77" ht="17.25" customHeight="1">
      <c r="A77" s="54" t="s">
        <v>171</v>
      </c>
      <c r="B77" s="34">
        <v>14.0</v>
      </c>
      <c r="C77" s="56"/>
      <c r="D77" s="56"/>
      <c r="E77" s="56" t="s">
        <v>262</v>
      </c>
      <c r="F77" s="8">
        <v>1.0</v>
      </c>
      <c r="G77" s="8" t="s">
        <v>241</v>
      </c>
      <c r="H77" s="41"/>
      <c r="I77" s="8" t="s">
        <v>156</v>
      </c>
      <c r="J77" s="8"/>
      <c r="K77" s="8"/>
      <c r="L77" s="59"/>
      <c r="M77" s="56"/>
      <c r="N77" s="8"/>
      <c r="O77" s="8" t="s">
        <v>244</v>
      </c>
      <c r="P77" s="34"/>
      <c r="Q77" s="8" t="b">
        <f>IF(G77="隔週A", MOD(INT(('26414_編集版'!$B$1-DATE(2026,4,14))/7), 2)=1, IF(G77="隔週B", MOD(INT(('26414_編集版'!$B$1-DATE(2026,4,14))/7), 2)=0, FALSE))</f>
        <v>0</v>
      </c>
      <c r="R77" s="8"/>
      <c r="S77" s="8"/>
      <c r="T77" s="8"/>
    </row>
    <row r="78" ht="17.25" customHeight="1">
      <c r="A78" s="54" t="s">
        <v>171</v>
      </c>
      <c r="B78" s="34">
        <v>14.0</v>
      </c>
      <c r="C78" s="56"/>
      <c r="D78" s="56"/>
      <c r="E78" s="56" t="s">
        <v>263</v>
      </c>
      <c r="F78" s="8">
        <v>0.5</v>
      </c>
      <c r="G78" s="8" t="s">
        <v>241</v>
      </c>
      <c r="H78" s="41"/>
      <c r="I78" s="8" t="s">
        <v>156</v>
      </c>
      <c r="J78" s="8"/>
      <c r="K78" s="8"/>
      <c r="L78" s="59"/>
      <c r="M78" s="56"/>
      <c r="N78" s="8"/>
      <c r="O78" s="8" t="s">
        <v>244</v>
      </c>
      <c r="P78" s="8"/>
      <c r="Q78" s="8" t="b">
        <f>IF(G78="隔週A", MOD(INT(('26414_編集版'!$B$1-DATE(2026,4,14))/7), 2)=1, IF(G78="隔週B", MOD(INT(('26414_編集版'!$B$1-DATE(2026,4,14))/7), 2)=0, FALSE))</f>
        <v>0</v>
      </c>
      <c r="R78" s="8"/>
      <c r="S78" s="8"/>
      <c r="T78" s="8"/>
    </row>
    <row r="79" ht="17.25" customHeight="1">
      <c r="A79" s="54" t="s">
        <v>171</v>
      </c>
      <c r="B79" s="34">
        <v>14.0</v>
      </c>
      <c r="C79" s="62"/>
      <c r="D79" s="62"/>
      <c r="E79" s="62" t="s">
        <v>264</v>
      </c>
      <c r="F79" s="8">
        <v>0.5</v>
      </c>
      <c r="G79" s="8" t="s">
        <v>241</v>
      </c>
      <c r="H79" s="41"/>
      <c r="I79" s="8" t="s">
        <v>156</v>
      </c>
      <c r="J79" s="8"/>
      <c r="K79" s="8"/>
      <c r="L79" s="59"/>
      <c r="M79" s="62"/>
      <c r="N79" s="8"/>
      <c r="O79" s="8" t="s">
        <v>244</v>
      </c>
      <c r="P79" s="8"/>
      <c r="Q79" s="8" t="b">
        <f>IF(G79="隔週A", MOD(INT(('26414_編集版'!$B$1-DATE(2026,4,14))/7), 2)=1, IF(G79="隔週B", MOD(INT(('26414_編集版'!$B$1-DATE(2026,4,14))/7), 2)=0, FALSE))</f>
        <v>0</v>
      </c>
      <c r="R79" s="8"/>
      <c r="S79" s="8"/>
      <c r="T79" s="8"/>
    </row>
    <row r="80" ht="17.25" customHeight="1">
      <c r="A80" s="54" t="s">
        <v>171</v>
      </c>
      <c r="B80" s="34">
        <v>14.0</v>
      </c>
      <c r="C80" s="56"/>
      <c r="D80" s="56"/>
      <c r="E80" s="56" t="s">
        <v>265</v>
      </c>
      <c r="F80" s="8">
        <v>1.0</v>
      </c>
      <c r="G80" s="8" t="s">
        <v>241</v>
      </c>
      <c r="H80" s="41"/>
      <c r="I80" s="8" t="s">
        <v>156</v>
      </c>
      <c r="J80" s="8"/>
      <c r="K80" s="8"/>
      <c r="L80" s="59"/>
      <c r="M80" s="56"/>
      <c r="N80" s="8"/>
      <c r="O80" s="8" t="s">
        <v>244</v>
      </c>
      <c r="P80" s="8"/>
      <c r="Q80" s="8" t="b">
        <f>IF(G80="隔週A", MOD(INT(('26414_編集版'!$B$1-DATE(2026,4,14))/7), 2)=1, IF(G80="隔週B", MOD(INT(('26414_編集版'!$B$1-DATE(2026,4,14))/7), 2)=0, FALSE))</f>
        <v>0</v>
      </c>
      <c r="R80" s="8"/>
      <c r="S80" s="8"/>
      <c r="T80" s="8"/>
    </row>
    <row r="81" ht="17.25" customHeight="1">
      <c r="A81" s="54" t="s">
        <v>171</v>
      </c>
      <c r="B81" s="34">
        <v>15.0</v>
      </c>
      <c r="C81" s="56"/>
      <c r="D81" s="56"/>
      <c r="E81" s="56" t="s">
        <v>266</v>
      </c>
      <c r="F81" s="8">
        <v>0.4</v>
      </c>
      <c r="G81" s="8" t="s">
        <v>241</v>
      </c>
      <c r="H81" s="41"/>
      <c r="I81" s="8" t="s">
        <v>156</v>
      </c>
      <c r="J81" s="8"/>
      <c r="K81" s="8"/>
      <c r="L81" s="59"/>
      <c r="M81" s="56"/>
      <c r="N81" s="8"/>
      <c r="O81" s="8" t="s">
        <v>154</v>
      </c>
      <c r="P81" s="56" t="s">
        <v>158</v>
      </c>
      <c r="Q81" s="8" t="b">
        <f>IF(G81="隔週A", MOD(INT(('26414_編集版'!$B$1-DATE(2026,4,14))/7), 2)=1, IF(G81="隔週B", MOD(INT(('26414_編集版'!$B$1-DATE(2026,4,14))/7), 2)=0, FALSE))</f>
        <v>0</v>
      </c>
      <c r="R81" s="8"/>
      <c r="S81" s="8"/>
      <c r="T81" s="8"/>
    </row>
    <row r="82" ht="17.25" customHeight="1">
      <c r="A82" s="54" t="s">
        <v>171</v>
      </c>
      <c r="B82" s="34">
        <v>15.0</v>
      </c>
      <c r="C82" s="42"/>
      <c r="D82" s="42"/>
      <c r="E82" s="42" t="s">
        <v>267</v>
      </c>
      <c r="F82" s="8">
        <v>1.2</v>
      </c>
      <c r="G82" s="8" t="s">
        <v>241</v>
      </c>
      <c r="H82" s="41"/>
      <c r="I82" s="8" t="s">
        <v>156</v>
      </c>
      <c r="J82" s="8"/>
      <c r="K82" s="8"/>
      <c r="L82" s="59"/>
      <c r="M82" s="42"/>
      <c r="N82" s="8"/>
      <c r="O82" s="8" t="s">
        <v>244</v>
      </c>
      <c r="P82" s="8"/>
      <c r="Q82" s="8" t="b">
        <f>IF(G82="隔週A", MOD(INT(('26414_編集版'!$B$1-DATE(2026,4,14))/7), 2)=1, IF(G82="隔週B", MOD(INT(('26414_編集版'!$B$1-DATE(2026,4,14))/7), 2)=0, FALSE))</f>
        <v>0</v>
      </c>
      <c r="R82" s="8"/>
      <c r="S82" s="8"/>
      <c r="T82" s="8"/>
    </row>
    <row r="83" ht="17.25" customHeight="1">
      <c r="A83" s="54" t="s">
        <v>171</v>
      </c>
      <c r="B83" s="8">
        <v>16.0</v>
      </c>
      <c r="C83" s="58"/>
      <c r="D83" s="58"/>
      <c r="E83" s="58" t="s">
        <v>268</v>
      </c>
      <c r="F83" s="67">
        <v>1.0</v>
      </c>
      <c r="G83" s="8" t="s">
        <v>241</v>
      </c>
      <c r="H83" s="41"/>
      <c r="I83" s="58" t="s">
        <v>156</v>
      </c>
      <c r="J83" s="58"/>
      <c r="K83" s="58"/>
      <c r="L83" s="59"/>
      <c r="M83" s="58"/>
      <c r="N83" s="8"/>
      <c r="O83" s="8" t="s">
        <v>244</v>
      </c>
      <c r="P83" s="8"/>
      <c r="Q83" s="8" t="b">
        <f>IF(G83="隔週A", MOD(INT(('26414_編集版'!$B$1-DATE(2026,4,14))/7), 2)=1, IF(G83="隔週B", MOD(INT(('26414_編集版'!$B$1-DATE(2026,4,14))/7), 2)=0, FALSE))</f>
        <v>0</v>
      </c>
      <c r="R83" s="8"/>
      <c r="S83" s="8"/>
      <c r="T83" s="8"/>
    </row>
    <row r="84" ht="17.25" customHeight="1">
      <c r="A84" s="54" t="s">
        <v>171</v>
      </c>
      <c r="B84" s="8">
        <v>16.0</v>
      </c>
      <c r="C84" s="42"/>
      <c r="D84" s="42"/>
      <c r="E84" s="42" t="s">
        <v>269</v>
      </c>
      <c r="F84" s="8">
        <v>0.6</v>
      </c>
      <c r="G84" s="8" t="s">
        <v>241</v>
      </c>
      <c r="H84" s="41"/>
      <c r="I84" s="8" t="s">
        <v>156</v>
      </c>
      <c r="J84" s="8" t="s">
        <v>142</v>
      </c>
      <c r="K84" s="8" t="s">
        <v>143</v>
      </c>
      <c r="L84" s="59"/>
      <c r="M84" s="42"/>
      <c r="N84" s="8"/>
      <c r="O84" s="8" t="s">
        <v>244</v>
      </c>
      <c r="P84" s="56"/>
      <c r="Q84" s="8" t="b">
        <f>IF(G84="隔週A", MOD(INT(('26414_編集版'!$B$1-DATE(2026,4,14))/7), 2)=1, IF(G84="隔週B", MOD(INT(('26414_編集版'!$B$1-DATE(2026,4,14))/7), 2)=0, FALSE))</f>
        <v>0</v>
      </c>
      <c r="R84" s="8"/>
      <c r="S84" s="8"/>
      <c r="T84" s="8"/>
    </row>
    <row r="85" ht="17.25" customHeight="1">
      <c r="A85" s="54" t="s">
        <v>171</v>
      </c>
      <c r="B85" s="8">
        <v>17.0</v>
      </c>
      <c r="C85" s="42"/>
      <c r="D85" s="42"/>
      <c r="E85" s="42" t="s">
        <v>270</v>
      </c>
      <c r="F85" s="8">
        <v>0.7</v>
      </c>
      <c r="G85" s="8" t="s">
        <v>241</v>
      </c>
      <c r="H85" s="41"/>
      <c r="I85" s="8" t="s">
        <v>156</v>
      </c>
      <c r="J85" s="8"/>
      <c r="K85" s="8"/>
      <c r="L85" s="59"/>
      <c r="M85" s="42"/>
      <c r="N85" s="8"/>
      <c r="O85" s="8" t="s">
        <v>223</v>
      </c>
      <c r="P85" s="8" t="s">
        <v>256</v>
      </c>
      <c r="Q85" s="8" t="b">
        <f>IF(G85="隔週A", MOD(INT(('26414_編集版'!$B$1-DATE(2026,4,14))/7), 2)=1, IF(G85="隔週B", MOD(INT(('26414_編集版'!$B$1-DATE(2026,4,14))/7), 2)=0, FALSE))</f>
        <v>0</v>
      </c>
      <c r="R85" s="8"/>
      <c r="S85" s="8"/>
      <c r="T85" s="8"/>
    </row>
    <row r="86" ht="17.25" customHeight="1">
      <c r="A86" s="54" t="s">
        <v>171</v>
      </c>
      <c r="B86" s="8">
        <v>17.0</v>
      </c>
      <c r="C86" s="56"/>
      <c r="D86" s="56"/>
      <c r="E86" s="56" t="s">
        <v>271</v>
      </c>
      <c r="F86" s="8">
        <v>0.2</v>
      </c>
      <c r="G86" s="8" t="s">
        <v>241</v>
      </c>
      <c r="H86" s="41"/>
      <c r="I86" s="67" t="s">
        <v>156</v>
      </c>
      <c r="J86" s="67"/>
      <c r="K86" s="67"/>
      <c r="L86" s="59"/>
      <c r="M86" s="56"/>
      <c r="N86" s="8"/>
      <c r="O86" s="8" t="s">
        <v>244</v>
      </c>
      <c r="P86" s="56"/>
      <c r="Q86" s="8" t="b">
        <f>IF(G86="隔週A", MOD(INT(('26414_編集版'!$B$1-DATE(2026,4,14))/7), 2)=1, IF(G86="隔週B", MOD(INT(('26414_編集版'!$B$1-DATE(2026,4,14))/7), 2)=0, FALSE))</f>
        <v>0</v>
      </c>
      <c r="R86" s="8"/>
      <c r="S86" s="8"/>
      <c r="T86" s="8"/>
    </row>
    <row r="87" ht="17.25" customHeight="1">
      <c r="A87" s="54" t="s">
        <v>171</v>
      </c>
      <c r="B87" s="8">
        <v>17.0</v>
      </c>
      <c r="C87" s="56"/>
      <c r="D87" s="56"/>
      <c r="E87" s="56" t="s">
        <v>272</v>
      </c>
      <c r="F87" s="56">
        <v>0.7</v>
      </c>
      <c r="G87" s="8" t="s">
        <v>241</v>
      </c>
      <c r="H87" s="41"/>
      <c r="I87" s="69" t="s">
        <v>156</v>
      </c>
      <c r="J87" s="69"/>
      <c r="K87" s="69"/>
      <c r="L87" s="59"/>
      <c r="M87" s="56"/>
      <c r="N87" s="8"/>
      <c r="O87" s="8" t="s">
        <v>244</v>
      </c>
      <c r="P87" s="56"/>
      <c r="Q87" s="8" t="b">
        <f>IF(G87="隔週A", MOD(INT(('26414_編集版'!$B$1-DATE(2026,4,14))/7), 2)=1, IF(G87="隔週B", MOD(INT(('26414_編集版'!$B$1-DATE(2026,4,14))/7), 2)=0, FALSE))</f>
        <v>0</v>
      </c>
      <c r="R87" s="8"/>
      <c r="S87" s="8"/>
      <c r="T87" s="8"/>
    </row>
    <row r="88" ht="17.25" customHeight="1">
      <c r="A88" s="54" t="s">
        <v>171</v>
      </c>
      <c r="B88" s="8">
        <v>17.0</v>
      </c>
      <c r="C88" s="35"/>
      <c r="D88" s="35"/>
      <c r="E88" s="35" t="s">
        <v>273</v>
      </c>
      <c r="F88" s="8">
        <v>2.9</v>
      </c>
      <c r="G88" s="8" t="s">
        <v>241</v>
      </c>
      <c r="H88" s="41"/>
      <c r="I88" s="8" t="s">
        <v>151</v>
      </c>
      <c r="J88" s="8"/>
      <c r="K88" s="8"/>
      <c r="L88" s="59"/>
      <c r="M88" s="35"/>
      <c r="N88" s="8"/>
      <c r="O88" s="8" t="s">
        <v>158</v>
      </c>
      <c r="P88" s="8" t="s">
        <v>154</v>
      </c>
      <c r="Q88" s="8" t="b">
        <f>IF(G88="隔週A", MOD(INT(('26414_編集版'!$B$1-DATE(2026,4,14))/7), 2)=1, IF(G88="隔週B", MOD(INT(('26414_編集版'!$B$1-DATE(2026,4,14))/7), 2)=0, FALSE))</f>
        <v>0</v>
      </c>
      <c r="R88" s="8"/>
      <c r="S88" s="8"/>
      <c r="T88" s="8"/>
    </row>
    <row r="89" ht="17.25" customHeight="1">
      <c r="A89" s="54" t="s">
        <v>171</v>
      </c>
      <c r="B89" s="8">
        <v>17.0</v>
      </c>
      <c r="C89" s="56"/>
      <c r="D89" s="56"/>
      <c r="E89" s="56" t="s">
        <v>274</v>
      </c>
      <c r="F89" s="8">
        <v>0.4</v>
      </c>
      <c r="G89" s="8" t="s">
        <v>241</v>
      </c>
      <c r="H89" s="41"/>
      <c r="I89" s="67" t="s">
        <v>156</v>
      </c>
      <c r="J89" s="67"/>
      <c r="K89" s="67"/>
      <c r="L89" s="59"/>
      <c r="M89" s="56"/>
      <c r="N89" s="8"/>
      <c r="O89" s="8" t="s">
        <v>244</v>
      </c>
      <c r="P89" s="56"/>
      <c r="Q89" s="8" t="b">
        <f>IF(G89="隔週A", MOD(INT(('26414_編集版'!$B$1-DATE(2026,4,14))/7), 2)=1, IF(G89="隔週B", MOD(INT(('26414_編集版'!$B$1-DATE(2026,4,14))/7), 2)=0, FALSE))</f>
        <v>0</v>
      </c>
      <c r="R89" s="8"/>
      <c r="S89" s="8"/>
      <c r="T89" s="8"/>
    </row>
    <row r="90" ht="17.25" customHeight="1">
      <c r="A90" s="54" t="s">
        <v>171</v>
      </c>
      <c r="B90" s="8">
        <v>18.0</v>
      </c>
      <c r="C90" s="80"/>
      <c r="D90" s="80"/>
      <c r="E90" s="81" t="s">
        <v>275</v>
      </c>
      <c r="F90" s="8">
        <v>0.1</v>
      </c>
      <c r="G90" s="8" t="s">
        <v>241</v>
      </c>
      <c r="H90" s="70"/>
      <c r="I90" s="8" t="s">
        <v>156</v>
      </c>
      <c r="J90" s="8"/>
      <c r="K90" s="8"/>
      <c r="L90" s="59"/>
      <c r="M90" s="80"/>
      <c r="N90" s="71"/>
      <c r="O90" s="8" t="s">
        <v>154</v>
      </c>
      <c r="P90" s="8" t="s">
        <v>200</v>
      </c>
      <c r="Q90" s="8" t="b">
        <f>IF(G90="隔週A", MOD(INT(('26414_編集版'!$B$1-DATE(2026,4,14))/7), 2)=1, IF(G90="隔週B", MOD(INT(('26414_編集版'!$B$1-DATE(2026,4,14))/7), 2)=0, FALSE))</f>
        <v>0</v>
      </c>
      <c r="R90" s="8"/>
      <c r="S90" s="8"/>
      <c r="T90" s="8"/>
    </row>
    <row r="91" ht="17.25" customHeight="1">
      <c r="A91" s="54" t="s">
        <v>171</v>
      </c>
      <c r="B91" s="8">
        <v>18.0</v>
      </c>
      <c r="C91" s="42"/>
      <c r="D91" s="42"/>
      <c r="E91" s="42" t="s">
        <v>276</v>
      </c>
      <c r="F91" s="8">
        <v>0.4</v>
      </c>
      <c r="G91" s="8" t="s">
        <v>241</v>
      </c>
      <c r="H91" s="70"/>
      <c r="I91" s="8" t="s">
        <v>156</v>
      </c>
      <c r="J91" s="8"/>
      <c r="K91" s="8"/>
      <c r="L91" s="59"/>
      <c r="M91" s="42"/>
      <c r="N91" s="71"/>
      <c r="O91" s="8" t="s">
        <v>154</v>
      </c>
      <c r="P91" s="8" t="s">
        <v>200</v>
      </c>
      <c r="Q91" s="8" t="b">
        <f>IF(G91="隔週A", MOD(INT(('26414_編集版'!$B$1-DATE(2026,4,14))/7), 2)=1, IF(G91="隔週B", MOD(INT(('26414_編集版'!$B$1-DATE(2026,4,14))/7), 2)=0, FALSE))</f>
        <v>0</v>
      </c>
      <c r="R91" s="8"/>
      <c r="S91" s="8"/>
      <c r="T91" s="8"/>
    </row>
    <row r="92" ht="17.25" customHeight="1">
      <c r="A92" s="54" t="s">
        <v>171</v>
      </c>
      <c r="B92" s="8">
        <v>19.0</v>
      </c>
      <c r="C92" s="66"/>
      <c r="D92" s="66"/>
      <c r="E92" s="66" t="s">
        <v>277</v>
      </c>
      <c r="F92" s="45">
        <v>0.3</v>
      </c>
      <c r="G92" s="8" t="s">
        <v>241</v>
      </c>
      <c r="H92" s="41"/>
      <c r="I92" s="36" t="s">
        <v>156</v>
      </c>
      <c r="J92" s="36"/>
      <c r="K92" s="36"/>
      <c r="L92" s="59"/>
      <c r="M92" s="66"/>
      <c r="N92" s="8"/>
      <c r="O92" s="8" t="s">
        <v>244</v>
      </c>
      <c r="P92" s="8"/>
      <c r="Q92" s="8" t="b">
        <f>IF(G92="隔週A", MOD(INT(('26414_編集版'!$B$1-DATE(2026,4,14))/7), 2)=1, IF(G92="隔週B", MOD(INT(('26414_編集版'!$B$1-DATE(2026,4,14))/7), 2)=0, FALSE))</f>
        <v>0</v>
      </c>
      <c r="R92" s="8"/>
      <c r="S92" s="8"/>
      <c r="T92" s="8"/>
    </row>
    <row r="93" ht="17.25" customHeight="1">
      <c r="A93" s="54" t="s">
        <v>171</v>
      </c>
      <c r="B93" s="8">
        <v>19.0</v>
      </c>
      <c r="C93" s="82"/>
      <c r="D93" s="82"/>
      <c r="E93" s="82" t="s">
        <v>278</v>
      </c>
      <c r="F93" s="60">
        <v>0.9</v>
      </c>
      <c r="G93" s="8" t="s">
        <v>241</v>
      </c>
      <c r="H93" s="41"/>
      <c r="I93" s="60" t="s">
        <v>156</v>
      </c>
      <c r="J93" s="60"/>
      <c r="K93" s="60"/>
      <c r="L93" s="59"/>
      <c r="M93" s="82"/>
      <c r="N93" s="8"/>
      <c r="O93" s="8" t="s">
        <v>244</v>
      </c>
      <c r="P93" s="60"/>
      <c r="Q93" s="8" t="b">
        <f>IF(G93="隔週A", MOD(INT(('26414_編集版'!$B$1-DATE(2026,4,14))/7), 2)=1, IF(G93="隔週B", MOD(INT(('26414_編集版'!$B$1-DATE(2026,4,14))/7), 2)=0, FALSE))</f>
        <v>0</v>
      </c>
      <c r="R93" s="8"/>
      <c r="S93" s="8"/>
      <c r="T93" s="8"/>
    </row>
    <row r="94" ht="17.25" customHeight="1">
      <c r="A94" s="54" t="s">
        <v>171</v>
      </c>
      <c r="B94" s="8">
        <v>19.0</v>
      </c>
      <c r="C94" s="71"/>
      <c r="D94" s="71"/>
      <c r="E94" s="71" t="s">
        <v>279</v>
      </c>
      <c r="F94" s="8">
        <v>2.0</v>
      </c>
      <c r="G94" s="8" t="s">
        <v>241</v>
      </c>
      <c r="H94" s="41"/>
      <c r="I94" s="56" t="s">
        <v>156</v>
      </c>
      <c r="J94" s="56"/>
      <c r="K94" s="56"/>
      <c r="L94" s="59"/>
      <c r="M94" s="71"/>
      <c r="N94" s="8"/>
      <c r="O94" s="8" t="s">
        <v>244</v>
      </c>
      <c r="P94" s="8"/>
      <c r="Q94" s="8" t="b">
        <f>IF(G94="隔週A", MOD(INT(('26414_編集版'!$B$1-DATE(2026,4,14))/7), 2)=1, IF(G94="隔週B", MOD(INT(('26414_編集版'!$B$1-DATE(2026,4,14))/7), 2)=0, FALSE))</f>
        <v>0</v>
      </c>
      <c r="R94" s="8"/>
      <c r="S94" s="8"/>
      <c r="T94" s="8"/>
    </row>
    <row r="95" ht="17.25" customHeight="1">
      <c r="A95" s="54" t="s">
        <v>171</v>
      </c>
      <c r="B95" s="8">
        <v>19.0</v>
      </c>
      <c r="C95" s="55"/>
      <c r="D95" s="55"/>
      <c r="E95" s="55" t="s">
        <v>280</v>
      </c>
      <c r="F95" s="56">
        <v>1.3</v>
      </c>
      <c r="G95" s="8" t="s">
        <v>241</v>
      </c>
      <c r="H95" s="70"/>
      <c r="I95" s="56" t="s">
        <v>156</v>
      </c>
      <c r="J95" s="56"/>
      <c r="K95" s="56"/>
      <c r="L95" s="59"/>
      <c r="M95" s="55"/>
      <c r="N95" s="71"/>
      <c r="O95" s="8" t="s">
        <v>244</v>
      </c>
      <c r="P95" s="56"/>
      <c r="Q95" s="8" t="b">
        <f>IF(G95="隔週A", MOD(INT(('26414_編集版'!$B$1-DATE(2026,4,14))/7), 2)=1, IF(G95="隔週B", MOD(INT(('26414_編集版'!$B$1-DATE(2026,4,14))/7), 2)=0, FALSE))</f>
        <v>0</v>
      </c>
      <c r="R95" s="8"/>
      <c r="S95" s="8"/>
      <c r="T95" s="8"/>
    </row>
    <row r="96" ht="17.25" customHeight="1">
      <c r="A96" s="54" t="s">
        <v>171</v>
      </c>
      <c r="B96" s="8">
        <v>19.0</v>
      </c>
      <c r="C96" s="55"/>
      <c r="D96" s="55"/>
      <c r="E96" s="55" t="s">
        <v>281</v>
      </c>
      <c r="F96" s="56">
        <v>1.8</v>
      </c>
      <c r="G96" s="8" t="s">
        <v>241</v>
      </c>
      <c r="H96" s="41"/>
      <c r="I96" s="56" t="s">
        <v>156</v>
      </c>
      <c r="J96" s="56"/>
      <c r="K96" s="56"/>
      <c r="L96" s="59"/>
      <c r="M96" s="55"/>
      <c r="N96" s="8"/>
      <c r="O96" s="8" t="s">
        <v>244</v>
      </c>
      <c r="P96" s="56"/>
      <c r="Q96" s="8" t="b">
        <f>IF(G96="隔週A", MOD(INT(('26414_編集版'!$B$1-DATE(2026,4,14))/7), 2)=1, IF(G96="隔週B", MOD(INT(('26414_編集版'!$B$1-DATE(2026,4,14))/7), 2)=0, FALSE))</f>
        <v>0</v>
      </c>
      <c r="R96" s="8"/>
      <c r="S96" s="8"/>
      <c r="T96" s="8"/>
    </row>
    <row r="97" ht="17.25" customHeight="1">
      <c r="A97" s="54" t="s">
        <v>171</v>
      </c>
      <c r="B97" s="8">
        <v>19.0</v>
      </c>
      <c r="C97" s="55"/>
      <c r="D97" s="55"/>
      <c r="E97" s="55" t="s">
        <v>282</v>
      </c>
      <c r="F97" s="56">
        <v>5.5</v>
      </c>
      <c r="G97" s="8" t="s">
        <v>241</v>
      </c>
      <c r="H97" s="41"/>
      <c r="I97" s="56" t="s">
        <v>156</v>
      </c>
      <c r="J97" s="56"/>
      <c r="K97" s="56"/>
      <c r="L97" s="59"/>
      <c r="M97" s="55"/>
      <c r="N97" s="8"/>
      <c r="O97" s="8" t="s">
        <v>244</v>
      </c>
      <c r="P97" s="56"/>
      <c r="Q97" s="8" t="b">
        <f>IF(G97="隔週A", MOD(INT(('26414_編集版'!$B$1-DATE(2026,4,14))/7), 2)=1, IF(G97="隔週B", MOD(INT(('26414_編集版'!$B$1-DATE(2026,4,14))/7), 2)=0, FALSE))</f>
        <v>0</v>
      </c>
      <c r="R97" s="8"/>
      <c r="S97" s="8"/>
      <c r="T97" s="8"/>
    </row>
    <row r="98" ht="17.25" customHeight="1">
      <c r="A98" s="54" t="s">
        <v>171</v>
      </c>
      <c r="B98" s="8">
        <v>19.0</v>
      </c>
      <c r="C98" s="56"/>
      <c r="D98" s="56"/>
      <c r="E98" s="56" t="s">
        <v>283</v>
      </c>
      <c r="F98" s="56">
        <v>0.3</v>
      </c>
      <c r="G98" s="8" t="s">
        <v>241</v>
      </c>
      <c r="H98" s="41"/>
      <c r="I98" s="56" t="s">
        <v>156</v>
      </c>
      <c r="J98" s="56"/>
      <c r="K98" s="56"/>
      <c r="L98" s="59"/>
      <c r="M98" s="56"/>
      <c r="N98" s="8"/>
      <c r="O98" s="8" t="s">
        <v>244</v>
      </c>
      <c r="P98" s="56"/>
      <c r="Q98" s="8" t="b">
        <f>IF(G98="隔週A", MOD(INT(('26414_編集版'!$B$1-DATE(2026,4,14))/7), 2)=1, IF(G98="隔週B", MOD(INT(('26414_編集版'!$B$1-DATE(2026,4,14))/7), 2)=0, FALSE))</f>
        <v>0</v>
      </c>
      <c r="R98" s="8"/>
      <c r="S98" s="8"/>
      <c r="T98" s="8"/>
    </row>
    <row r="99" ht="17.25" customHeight="1">
      <c r="A99" s="54" t="s">
        <v>171</v>
      </c>
      <c r="B99" s="8">
        <v>19.0</v>
      </c>
      <c r="C99" s="56"/>
      <c r="D99" s="56"/>
      <c r="E99" s="56" t="s">
        <v>284</v>
      </c>
      <c r="F99" s="56">
        <v>1.3</v>
      </c>
      <c r="G99" s="8" t="s">
        <v>241</v>
      </c>
      <c r="H99" s="41"/>
      <c r="I99" s="56" t="s">
        <v>156</v>
      </c>
      <c r="J99" s="56"/>
      <c r="K99" s="56"/>
      <c r="L99" s="59"/>
      <c r="M99" s="56"/>
      <c r="N99" s="8"/>
      <c r="O99" s="8" t="s">
        <v>244</v>
      </c>
      <c r="P99" s="56"/>
      <c r="Q99" s="8" t="b">
        <f>IF(G99="隔週A", MOD(INT(('26414_編集版'!$B$1-DATE(2026,4,14))/7), 2)=1, IF(G99="隔週B", MOD(INT(('26414_編集版'!$B$1-DATE(2026,4,14))/7), 2)=0, FALSE))</f>
        <v>0</v>
      </c>
      <c r="R99" s="8"/>
      <c r="S99" s="8"/>
      <c r="T99" s="8"/>
    </row>
    <row r="100" ht="17.25" customHeight="1">
      <c r="A100" s="54" t="s">
        <v>171</v>
      </c>
      <c r="B100" s="8">
        <v>20.0</v>
      </c>
      <c r="C100" s="58"/>
      <c r="D100" s="58"/>
      <c r="E100" s="58" t="s">
        <v>285</v>
      </c>
      <c r="F100" s="67">
        <v>0.1</v>
      </c>
      <c r="G100" s="8" t="s">
        <v>241</v>
      </c>
      <c r="H100" s="83"/>
      <c r="I100" s="58" t="s">
        <v>156</v>
      </c>
      <c r="J100" s="58"/>
      <c r="K100" s="58"/>
      <c r="L100" s="59"/>
      <c r="M100" s="58"/>
      <c r="N100" s="67"/>
      <c r="O100" s="67" t="s">
        <v>223</v>
      </c>
      <c r="P100" s="67" t="s">
        <v>200</v>
      </c>
      <c r="Q100" s="8" t="b">
        <f>IF(G100="隔週A", MOD(INT(('26414_編集版'!$B$1-DATE(2026,4,14))/7), 2)=1, IF(G100="隔週B", MOD(INT(('26414_編集版'!$B$1-DATE(2026,4,14))/7), 2)=0, FALSE))</f>
        <v>0</v>
      </c>
      <c r="R100" s="8"/>
      <c r="S100" s="8"/>
      <c r="T100" s="8"/>
    </row>
    <row r="101" ht="17.25" customHeight="1">
      <c r="A101" s="54" t="s">
        <v>171</v>
      </c>
      <c r="B101" s="8">
        <v>21.0</v>
      </c>
      <c r="C101" s="42"/>
      <c r="D101" s="42"/>
      <c r="E101" s="42" t="s">
        <v>286</v>
      </c>
      <c r="F101" s="8">
        <v>9.3</v>
      </c>
      <c r="G101" s="8" t="s">
        <v>241</v>
      </c>
      <c r="H101" s="41"/>
      <c r="I101" s="40" t="s">
        <v>156</v>
      </c>
      <c r="J101" s="40"/>
      <c r="K101" s="40"/>
      <c r="L101" s="59"/>
      <c r="M101" s="42"/>
      <c r="N101" s="8"/>
      <c r="O101" s="8" t="s">
        <v>244</v>
      </c>
      <c r="P101" s="56"/>
      <c r="Q101" s="8" t="b">
        <f>IF(G101="隔週A", MOD(INT(('26414_編集版'!$B$1-DATE(2026,4,14))/7), 2)=1, IF(G101="隔週B", MOD(INT(('26414_編集版'!$B$1-DATE(2026,4,14))/7), 2)=0, FALSE))</f>
        <v>0</v>
      </c>
      <c r="R101" s="8"/>
      <c r="S101" s="8"/>
      <c r="T101" s="8"/>
    </row>
    <row r="102" ht="17.25" customHeight="1">
      <c r="A102" s="54" t="s">
        <v>171</v>
      </c>
      <c r="B102" s="8">
        <v>21.0</v>
      </c>
      <c r="C102" s="35"/>
      <c r="D102" s="35"/>
      <c r="E102" s="35" t="s">
        <v>287</v>
      </c>
      <c r="F102" s="8">
        <v>0.4</v>
      </c>
      <c r="G102" s="8" t="s">
        <v>241</v>
      </c>
      <c r="H102" s="41"/>
      <c r="I102" s="40" t="s">
        <v>156</v>
      </c>
      <c r="J102" s="40"/>
      <c r="K102" s="40"/>
      <c r="L102" s="59"/>
      <c r="M102" s="35"/>
      <c r="N102" s="8"/>
      <c r="O102" s="8" t="s">
        <v>244</v>
      </c>
      <c r="P102" s="56"/>
      <c r="Q102" s="8" t="b">
        <f>IF(G102="隔週A", MOD(INT(('26414_編集版'!$B$1-DATE(2026,4,14))/7), 2)=1, IF(G102="隔週B", MOD(INT(('26414_編集版'!$B$1-DATE(2026,4,14))/7), 2)=0, FALSE))</f>
        <v>0</v>
      </c>
      <c r="R102" s="8"/>
      <c r="S102" s="8"/>
      <c r="T102" s="8"/>
    </row>
    <row r="103" ht="17.25" customHeight="1">
      <c r="A103" s="54" t="s">
        <v>171</v>
      </c>
      <c r="B103" s="8">
        <v>21.0</v>
      </c>
      <c r="C103" s="56"/>
      <c r="D103" s="56"/>
      <c r="E103" s="56" t="s">
        <v>288</v>
      </c>
      <c r="F103" s="36">
        <v>0.1</v>
      </c>
      <c r="G103" s="8" t="s">
        <v>241</v>
      </c>
      <c r="H103" s="41"/>
      <c r="I103" s="56" t="s">
        <v>156</v>
      </c>
      <c r="J103" s="56"/>
      <c r="K103" s="56"/>
      <c r="L103" s="59"/>
      <c r="M103" s="56"/>
      <c r="N103" s="8"/>
      <c r="O103" s="8" t="s">
        <v>244</v>
      </c>
      <c r="P103" s="36"/>
      <c r="Q103" s="8" t="b">
        <f>IF(G103="隔週A", MOD(INT(('26414_編集版'!$B$1-DATE(2026,4,14))/7), 2)=1, IF(G103="隔週B", MOD(INT(('26414_編集版'!$B$1-DATE(2026,4,14))/7), 2)=0, FALSE))</f>
        <v>0</v>
      </c>
      <c r="R103" s="8"/>
      <c r="S103" s="8"/>
      <c r="T103" s="8"/>
    </row>
    <row r="104" ht="17.25" customHeight="1">
      <c r="A104" s="54" t="s">
        <v>171</v>
      </c>
      <c r="B104" s="8">
        <v>21.0</v>
      </c>
      <c r="C104" s="58"/>
      <c r="D104" s="58"/>
      <c r="E104" s="58" t="s">
        <v>289</v>
      </c>
      <c r="F104" s="36">
        <v>0.1</v>
      </c>
      <c r="G104" s="8" t="s">
        <v>241</v>
      </c>
      <c r="H104" s="41"/>
      <c r="I104" s="58" t="s">
        <v>151</v>
      </c>
      <c r="J104" s="58"/>
      <c r="K104" s="58"/>
      <c r="L104" s="59"/>
      <c r="M104" s="58"/>
      <c r="N104" s="8"/>
      <c r="O104" s="8" t="s">
        <v>244</v>
      </c>
      <c r="P104" s="58"/>
      <c r="Q104" s="8" t="b">
        <f>IF(G104="隔週A", MOD(INT(('26414_編集版'!$B$1-DATE(2026,4,14))/7), 2)=1, IF(G104="隔週B", MOD(INT(('26414_編集版'!$B$1-DATE(2026,4,14))/7), 2)=0, FALSE))</f>
        <v>0</v>
      </c>
      <c r="R104" s="8"/>
      <c r="S104" s="8"/>
      <c r="T104" s="8"/>
    </row>
    <row r="105" ht="17.25" customHeight="1">
      <c r="A105" s="54" t="s">
        <v>177</v>
      </c>
      <c r="B105" s="8">
        <v>8.0</v>
      </c>
      <c r="C105" s="56"/>
      <c r="D105" s="56"/>
      <c r="E105" s="56" t="s">
        <v>290</v>
      </c>
      <c r="F105" s="56">
        <v>1.8</v>
      </c>
      <c r="G105" s="8" t="s">
        <v>241</v>
      </c>
      <c r="H105" s="41"/>
      <c r="I105" s="58" t="s">
        <v>156</v>
      </c>
      <c r="J105" s="58"/>
      <c r="K105" s="58"/>
      <c r="L105" s="59"/>
      <c r="M105" s="56"/>
      <c r="N105" s="8"/>
      <c r="O105" s="8" t="s">
        <v>244</v>
      </c>
      <c r="P105" s="56"/>
      <c r="Q105" s="8" t="b">
        <f>IF(G105="隔週A", MOD(INT(('26414_編集版'!$B$1-DATE(2026,4,14))/7), 2)=1, IF(G105="隔週B", MOD(INT(('26414_編集版'!$B$1-DATE(2026,4,14))/7), 2)=0, FALSE))</f>
        <v>0</v>
      </c>
      <c r="R105" s="8"/>
      <c r="S105" s="8"/>
      <c r="T105" s="8"/>
    </row>
    <row r="106" ht="17.25" customHeight="1">
      <c r="A106" s="54" t="s">
        <v>177</v>
      </c>
      <c r="B106" s="8">
        <v>8.0</v>
      </c>
      <c r="C106" s="56"/>
      <c r="D106" s="56"/>
      <c r="E106" s="56" t="s">
        <v>291</v>
      </c>
      <c r="F106" s="56">
        <v>5.7</v>
      </c>
      <c r="G106" s="8" t="s">
        <v>241</v>
      </c>
      <c r="H106" s="84"/>
      <c r="I106" s="58" t="s">
        <v>156</v>
      </c>
      <c r="J106" s="58"/>
      <c r="K106" s="58"/>
      <c r="L106" s="59"/>
      <c r="M106" s="56"/>
      <c r="N106" s="77"/>
      <c r="O106" s="77" t="s">
        <v>154</v>
      </c>
      <c r="P106" s="77" t="s">
        <v>153</v>
      </c>
      <c r="Q106" s="8" t="b">
        <f>IF(G106="隔週A", MOD(INT(('26414_編集版'!$B$1-DATE(2026,4,14))/7), 2)=1, IF(G106="隔週B", MOD(INT(('26414_編集版'!$B$1-DATE(2026,4,14))/7), 2)=0, FALSE))</f>
        <v>0</v>
      </c>
      <c r="R106" s="8"/>
      <c r="S106" s="8"/>
      <c r="T106" s="8"/>
    </row>
    <row r="107" ht="17.25" customHeight="1">
      <c r="A107" s="54" t="s">
        <v>177</v>
      </c>
      <c r="B107" s="8">
        <v>8.0</v>
      </c>
      <c r="C107" s="56"/>
      <c r="D107" s="56"/>
      <c r="E107" s="56" t="s">
        <v>245</v>
      </c>
      <c r="F107" s="56">
        <v>0.1</v>
      </c>
      <c r="G107" s="8" t="s">
        <v>241</v>
      </c>
      <c r="H107" s="41"/>
      <c r="I107" s="8" t="s">
        <v>156</v>
      </c>
      <c r="J107" s="8"/>
      <c r="K107" s="8"/>
      <c r="L107" s="59"/>
      <c r="M107" s="56"/>
      <c r="N107" s="8"/>
      <c r="O107" s="8" t="s">
        <v>244</v>
      </c>
      <c r="P107" s="77"/>
      <c r="Q107" s="8" t="b">
        <f>IF(G107="隔週A", MOD(INT(('26414_編集版'!$B$1-DATE(2026,4,14))/7), 2)=1, IF(G107="隔週B", MOD(INT(('26414_編集版'!$B$1-DATE(2026,4,14))/7), 2)=0, FALSE))</f>
        <v>0</v>
      </c>
      <c r="R107" s="8"/>
      <c r="S107" s="8"/>
      <c r="T107" s="8"/>
    </row>
    <row r="108" ht="17.25" customHeight="1">
      <c r="A108" s="54" t="s">
        <v>177</v>
      </c>
      <c r="B108" s="8">
        <v>8.0</v>
      </c>
      <c r="C108" s="42"/>
      <c r="D108" s="42"/>
      <c r="E108" s="42" t="s">
        <v>292</v>
      </c>
      <c r="F108" s="8">
        <v>0.4</v>
      </c>
      <c r="G108" s="8" t="s">
        <v>241</v>
      </c>
      <c r="H108" s="41"/>
      <c r="I108" s="8" t="s">
        <v>156</v>
      </c>
      <c r="J108" s="8"/>
      <c r="K108" s="8"/>
      <c r="L108" s="59"/>
      <c r="M108" s="42"/>
      <c r="N108" s="8"/>
      <c r="O108" s="8" t="s">
        <v>244</v>
      </c>
      <c r="P108" s="8"/>
      <c r="Q108" s="8" t="b">
        <f>IF(G108="隔週A", MOD(INT(('26414_編集版'!$B$1-DATE(2026,4,14))/7), 2)=1, IF(G108="隔週B", MOD(INT(('26414_編集版'!$B$1-DATE(2026,4,14))/7), 2)=0, FALSE))</f>
        <v>0</v>
      </c>
      <c r="R108" s="8"/>
      <c r="S108" s="8"/>
      <c r="T108" s="8"/>
    </row>
    <row r="109" ht="17.25" customHeight="1">
      <c r="A109" s="54" t="s">
        <v>177</v>
      </c>
      <c r="B109" s="8">
        <v>8.0</v>
      </c>
      <c r="C109" s="72"/>
      <c r="D109" s="72"/>
      <c r="E109" s="72" t="s">
        <v>293</v>
      </c>
      <c r="F109" s="8">
        <v>0.8</v>
      </c>
      <c r="G109" s="8" t="s">
        <v>241</v>
      </c>
      <c r="H109" s="41"/>
      <c r="I109" s="8" t="s">
        <v>156</v>
      </c>
      <c r="J109" s="8"/>
      <c r="K109" s="8"/>
      <c r="L109" s="59"/>
      <c r="M109" s="72"/>
      <c r="N109" s="8"/>
      <c r="O109" s="8" t="s">
        <v>244</v>
      </c>
      <c r="P109" s="36"/>
      <c r="Q109" s="8" t="b">
        <f>IF(G109="隔週A", MOD(INT(('26414_編集版'!$B$1-DATE(2026,4,14))/7), 2)=1, IF(G109="隔週B", MOD(INT(('26414_編集版'!$B$1-DATE(2026,4,14))/7), 2)=0, FALSE))</f>
        <v>0</v>
      </c>
      <c r="R109" s="8"/>
      <c r="S109" s="8"/>
      <c r="T109" s="8"/>
    </row>
    <row r="110" ht="17.25" customHeight="1">
      <c r="A110" s="54" t="s">
        <v>177</v>
      </c>
      <c r="B110" s="8">
        <v>8.0</v>
      </c>
      <c r="C110" s="71"/>
      <c r="D110" s="71"/>
      <c r="E110" s="71" t="s">
        <v>294</v>
      </c>
      <c r="F110" s="8">
        <v>0.4</v>
      </c>
      <c r="G110" s="8" t="s">
        <v>241</v>
      </c>
      <c r="H110" s="41"/>
      <c r="I110" s="8" t="s">
        <v>156</v>
      </c>
      <c r="J110" s="8"/>
      <c r="K110" s="8"/>
      <c r="L110" s="59"/>
      <c r="M110" s="71"/>
      <c r="N110" s="8"/>
      <c r="O110" s="8" t="s">
        <v>244</v>
      </c>
      <c r="P110" s="36"/>
      <c r="Q110" s="8" t="b">
        <f>IF(G110="隔週A", MOD(INT(('26414_編集版'!$B$1-DATE(2026,4,14))/7), 2)=1, IF(G110="隔週B", MOD(INT(('26414_編集版'!$B$1-DATE(2026,4,14))/7), 2)=0, FALSE))</f>
        <v>0</v>
      </c>
      <c r="R110" s="8"/>
      <c r="S110" s="8"/>
      <c r="T110" s="8"/>
    </row>
    <row r="111" ht="17.25" customHeight="1">
      <c r="A111" s="54" t="s">
        <v>177</v>
      </c>
      <c r="B111" s="8">
        <v>9.0</v>
      </c>
      <c r="C111" s="60"/>
      <c r="D111" s="60"/>
      <c r="E111" s="60" t="s">
        <v>295</v>
      </c>
      <c r="F111" s="64">
        <v>1.5</v>
      </c>
      <c r="G111" s="8" t="s">
        <v>241</v>
      </c>
      <c r="H111" s="65"/>
      <c r="I111" s="64" t="s">
        <v>156</v>
      </c>
      <c r="J111" s="64"/>
      <c r="K111" s="64"/>
      <c r="L111" s="59"/>
      <c r="M111" s="60"/>
      <c r="N111" s="64"/>
      <c r="O111" s="64" t="s">
        <v>153</v>
      </c>
      <c r="P111" s="64" t="s">
        <v>158</v>
      </c>
      <c r="Q111" s="8" t="b">
        <f>IF(G111="隔週A", MOD(INT(('26414_編集版'!$B$1-DATE(2026,4,14))/7), 2)=1, IF(G111="隔週B", MOD(INT(('26414_編集版'!$B$1-DATE(2026,4,14))/7), 2)=0, FALSE))</f>
        <v>0</v>
      </c>
      <c r="R111" s="8"/>
      <c r="S111" s="8"/>
      <c r="T111" s="8"/>
    </row>
    <row r="112" ht="17.25" customHeight="1">
      <c r="A112" s="54" t="s">
        <v>177</v>
      </c>
      <c r="B112" s="8">
        <v>9.0</v>
      </c>
      <c r="C112" s="56"/>
      <c r="D112" s="56"/>
      <c r="E112" s="56" t="s">
        <v>296</v>
      </c>
      <c r="F112" s="8">
        <v>0.4</v>
      </c>
      <c r="G112" s="8" t="s">
        <v>241</v>
      </c>
      <c r="H112" s="41"/>
      <c r="I112" s="8" t="s">
        <v>156</v>
      </c>
      <c r="J112" s="8"/>
      <c r="K112" s="8"/>
      <c r="L112" s="59"/>
      <c r="M112" s="56"/>
      <c r="N112" s="8"/>
      <c r="O112" s="8" t="s">
        <v>244</v>
      </c>
      <c r="P112" s="8"/>
      <c r="Q112" s="8" t="b">
        <f>IF(G112="隔週A", MOD(INT(('26414_編集版'!$B$1-DATE(2026,4,14))/7), 2)=1, IF(G112="隔週B", MOD(INT(('26414_編集版'!$B$1-DATE(2026,4,14))/7), 2)=0, FALSE))</f>
        <v>0</v>
      </c>
      <c r="R112" s="8"/>
      <c r="S112" s="8"/>
      <c r="T112" s="8"/>
    </row>
    <row r="113" ht="17.25" customHeight="1">
      <c r="A113" s="54" t="s">
        <v>177</v>
      </c>
      <c r="B113" s="8">
        <v>10.0</v>
      </c>
      <c r="C113" s="60"/>
      <c r="D113" s="60"/>
      <c r="E113" s="60" t="s">
        <v>297</v>
      </c>
      <c r="F113" s="55">
        <v>0.6</v>
      </c>
      <c r="G113" s="8" t="s">
        <v>241</v>
      </c>
      <c r="H113" s="41"/>
      <c r="I113" s="8" t="s">
        <v>156</v>
      </c>
      <c r="J113" s="8"/>
      <c r="K113" s="8"/>
      <c r="L113" s="59"/>
      <c r="M113" s="60"/>
      <c r="N113" s="8"/>
      <c r="O113" s="8" t="s">
        <v>244</v>
      </c>
      <c r="P113" s="8"/>
      <c r="Q113" s="8" t="b">
        <f>IF(G113="隔週A", MOD(INT(('26414_編集版'!$B$1-DATE(2026,4,14))/7), 2)=1, IF(G113="隔週B", MOD(INT(('26414_編集版'!$B$1-DATE(2026,4,14))/7), 2)=0, FALSE))</f>
        <v>0</v>
      </c>
      <c r="R113" s="8"/>
      <c r="S113" s="8"/>
      <c r="T113" s="8"/>
    </row>
    <row r="114" ht="17.25" customHeight="1">
      <c r="A114" s="54" t="s">
        <v>177</v>
      </c>
      <c r="B114" s="8">
        <v>11.0</v>
      </c>
      <c r="C114" s="42"/>
      <c r="D114" s="42"/>
      <c r="E114" s="42" t="s">
        <v>298</v>
      </c>
      <c r="F114" s="8">
        <v>0.3</v>
      </c>
      <c r="G114" s="8" t="s">
        <v>241</v>
      </c>
      <c r="H114" s="41"/>
      <c r="I114" s="56" t="s">
        <v>156</v>
      </c>
      <c r="J114" s="56"/>
      <c r="K114" s="56"/>
      <c r="L114" s="59"/>
      <c r="M114" s="42"/>
      <c r="N114" s="8"/>
      <c r="O114" s="8" t="s">
        <v>244</v>
      </c>
      <c r="P114" s="8"/>
      <c r="Q114" s="8" t="b">
        <f>IF(G114="隔週A", MOD(INT(('26414_編集版'!$B$1-DATE(2026,4,14))/7), 2)=1, IF(G114="隔週B", MOD(INT(('26414_編集版'!$B$1-DATE(2026,4,14))/7), 2)=0, FALSE))</f>
        <v>0</v>
      </c>
      <c r="R114" s="8"/>
      <c r="S114" s="8"/>
      <c r="T114" s="8"/>
    </row>
    <row r="115" ht="17.25" customHeight="1">
      <c r="A115" s="54" t="s">
        <v>177</v>
      </c>
      <c r="B115" s="8">
        <v>11.0</v>
      </c>
      <c r="C115" s="42"/>
      <c r="D115" s="42"/>
      <c r="E115" s="42" t="s">
        <v>299</v>
      </c>
      <c r="F115" s="8">
        <v>5.7</v>
      </c>
      <c r="G115" s="8" t="s">
        <v>241</v>
      </c>
      <c r="H115" s="41"/>
      <c r="I115" s="56" t="s">
        <v>156</v>
      </c>
      <c r="J115" s="56"/>
      <c r="K115" s="56"/>
      <c r="L115" s="59"/>
      <c r="M115" s="42"/>
      <c r="N115" s="8"/>
      <c r="O115" s="8" t="s">
        <v>244</v>
      </c>
      <c r="P115" s="8"/>
      <c r="Q115" s="8" t="b">
        <f>IF(G115="隔週A", MOD(INT(('26414_編集版'!$B$1-DATE(2026,4,14))/7), 2)=1, IF(G115="隔週B", MOD(INT(('26414_編集版'!$B$1-DATE(2026,4,14))/7), 2)=0, FALSE))</f>
        <v>0</v>
      </c>
      <c r="R115" s="8"/>
      <c r="S115" s="8"/>
      <c r="T115" s="8"/>
    </row>
    <row r="116" ht="17.25" customHeight="1">
      <c r="A116" s="54" t="s">
        <v>177</v>
      </c>
      <c r="B116" s="8">
        <v>11.0</v>
      </c>
      <c r="C116" s="42"/>
      <c r="D116" s="42"/>
      <c r="E116" s="42" t="s">
        <v>300</v>
      </c>
      <c r="F116" s="8">
        <v>0.5</v>
      </c>
      <c r="G116" s="8" t="s">
        <v>241</v>
      </c>
      <c r="H116" s="41"/>
      <c r="I116" s="56" t="s">
        <v>156</v>
      </c>
      <c r="J116" s="56"/>
      <c r="K116" s="56"/>
      <c r="L116" s="59"/>
      <c r="M116" s="42"/>
      <c r="N116" s="8"/>
      <c r="O116" s="8" t="s">
        <v>244</v>
      </c>
      <c r="P116" s="8"/>
      <c r="Q116" s="8" t="b">
        <f>IF(G116="隔週A", MOD(INT(('26414_編集版'!$B$1-DATE(2026,4,14))/7), 2)=1, IF(G116="隔週B", MOD(INT(('26414_編集版'!$B$1-DATE(2026,4,14))/7), 2)=0, FALSE))</f>
        <v>0</v>
      </c>
      <c r="R116" s="8"/>
      <c r="S116" s="8"/>
      <c r="T116" s="8"/>
    </row>
    <row r="117" ht="17.25" customHeight="1">
      <c r="A117" s="54" t="s">
        <v>177</v>
      </c>
      <c r="B117" s="8">
        <v>12.0</v>
      </c>
      <c r="C117" s="42"/>
      <c r="D117" s="42"/>
      <c r="E117" s="42" t="s">
        <v>301</v>
      </c>
      <c r="F117" s="34">
        <v>5.0</v>
      </c>
      <c r="G117" s="8" t="s">
        <v>241</v>
      </c>
      <c r="H117" s="79"/>
      <c r="I117" s="56" t="s">
        <v>156</v>
      </c>
      <c r="J117" s="56"/>
      <c r="K117" s="56"/>
      <c r="L117" s="59"/>
      <c r="M117" s="42"/>
      <c r="N117" s="42"/>
      <c r="O117" s="8" t="s">
        <v>223</v>
      </c>
      <c r="P117" s="8" t="s">
        <v>256</v>
      </c>
      <c r="Q117" s="8" t="b">
        <f>IF(G117="隔週A", MOD(INT(('26414_編集版'!$B$1-DATE(2026,4,14))/7), 2)=1, IF(G117="隔週B", MOD(INT(('26414_編集版'!$B$1-DATE(2026,4,14))/7), 2)=0, FALSE))</f>
        <v>0</v>
      </c>
      <c r="R117" s="8"/>
      <c r="S117" s="8"/>
      <c r="T117" s="8"/>
    </row>
    <row r="118" ht="17.25" customHeight="1">
      <c r="A118" s="54" t="s">
        <v>177</v>
      </c>
      <c r="B118" s="8">
        <v>12.0</v>
      </c>
      <c r="C118" s="42"/>
      <c r="D118" s="42"/>
      <c r="E118" s="42" t="s">
        <v>302</v>
      </c>
      <c r="F118" s="8">
        <v>2.9</v>
      </c>
      <c r="G118" s="8" t="s">
        <v>241</v>
      </c>
      <c r="H118" s="41"/>
      <c r="I118" s="56" t="s">
        <v>156</v>
      </c>
      <c r="J118" s="56"/>
      <c r="K118" s="56"/>
      <c r="L118" s="59"/>
      <c r="M118" s="42"/>
      <c r="N118" s="8"/>
      <c r="O118" s="8" t="s">
        <v>223</v>
      </c>
      <c r="P118" s="8" t="s">
        <v>256</v>
      </c>
      <c r="Q118" s="8" t="b">
        <f>IF(G118="隔週A", MOD(INT(('26414_編集版'!$B$1-DATE(2026,4,14))/7), 2)=1, IF(G118="隔週B", MOD(INT(('26414_編集版'!$B$1-DATE(2026,4,14))/7), 2)=0, FALSE))</f>
        <v>0</v>
      </c>
      <c r="R118" s="8"/>
      <c r="S118" s="8"/>
      <c r="T118" s="8"/>
    </row>
    <row r="119" ht="17.25" customHeight="1">
      <c r="A119" s="54" t="s">
        <v>177</v>
      </c>
      <c r="B119" s="8">
        <v>12.0</v>
      </c>
      <c r="C119" s="42"/>
      <c r="D119" s="42"/>
      <c r="E119" s="42" t="s">
        <v>303</v>
      </c>
      <c r="F119" s="8">
        <v>1.0</v>
      </c>
      <c r="G119" s="8" t="s">
        <v>241</v>
      </c>
      <c r="H119" s="41"/>
      <c r="I119" s="56" t="s">
        <v>156</v>
      </c>
      <c r="J119" s="56"/>
      <c r="K119" s="56"/>
      <c r="L119" s="59"/>
      <c r="M119" s="42"/>
      <c r="N119" s="8"/>
      <c r="O119" s="8" t="s">
        <v>223</v>
      </c>
      <c r="P119" s="8" t="s">
        <v>256</v>
      </c>
      <c r="Q119" s="8" t="b">
        <f>IF(G119="隔週A", MOD(INT(('26414_編集版'!$B$1-DATE(2026,4,14))/7), 2)=1, IF(G119="隔週B", MOD(INT(('26414_編集版'!$B$1-DATE(2026,4,14))/7), 2)=0, FALSE))</f>
        <v>0</v>
      </c>
      <c r="R119" s="8"/>
      <c r="S119" s="8"/>
      <c r="T119" s="8"/>
    </row>
    <row r="120" ht="17.25" customHeight="1">
      <c r="A120" s="54" t="s">
        <v>177</v>
      </c>
      <c r="B120" s="8">
        <v>12.0</v>
      </c>
      <c r="C120" s="42"/>
      <c r="D120" s="42"/>
      <c r="E120" s="42" t="s">
        <v>304</v>
      </c>
      <c r="F120" s="34">
        <v>0.8</v>
      </c>
      <c r="G120" s="8" t="s">
        <v>241</v>
      </c>
      <c r="H120" s="41"/>
      <c r="I120" s="56" t="s">
        <v>156</v>
      </c>
      <c r="J120" s="56"/>
      <c r="K120" s="56"/>
      <c r="L120" s="59"/>
      <c r="M120" s="42"/>
      <c r="N120" s="8"/>
      <c r="O120" s="8" t="s">
        <v>223</v>
      </c>
      <c r="P120" s="8" t="s">
        <v>256</v>
      </c>
      <c r="Q120" s="8" t="b">
        <f>IF(G120="隔週A", MOD(INT(('26414_編集版'!$B$1-DATE(2026,4,14))/7), 2)=1, IF(G120="隔週B", MOD(INT(('26414_編集版'!$B$1-DATE(2026,4,14))/7), 2)=0, FALSE))</f>
        <v>0</v>
      </c>
      <c r="R120" s="8"/>
      <c r="S120" s="8"/>
      <c r="T120" s="8"/>
    </row>
    <row r="121" ht="17.25" customHeight="1">
      <c r="A121" s="54" t="s">
        <v>177</v>
      </c>
      <c r="B121" s="8">
        <v>12.0</v>
      </c>
      <c r="C121" s="42"/>
      <c r="D121" s="42"/>
      <c r="E121" s="42" t="s">
        <v>305</v>
      </c>
      <c r="F121" s="8">
        <v>0.7</v>
      </c>
      <c r="G121" s="8" t="s">
        <v>241</v>
      </c>
      <c r="H121" s="41"/>
      <c r="I121" s="56" t="s">
        <v>156</v>
      </c>
      <c r="J121" s="56"/>
      <c r="K121" s="56"/>
      <c r="L121" s="59"/>
      <c r="M121" s="42"/>
      <c r="N121" s="8"/>
      <c r="O121" s="8" t="s">
        <v>223</v>
      </c>
      <c r="P121" s="8" t="s">
        <v>256</v>
      </c>
      <c r="Q121" s="8" t="b">
        <f>IF(G121="隔週A", MOD(INT(('26414_編集版'!$B$1-DATE(2026,4,14))/7), 2)=1, IF(G121="隔週B", MOD(INT(('26414_編集版'!$B$1-DATE(2026,4,14))/7), 2)=0, FALSE))</f>
        <v>0</v>
      </c>
      <c r="R121" s="8"/>
      <c r="S121" s="8"/>
      <c r="T121" s="8"/>
    </row>
    <row r="122" ht="17.25" customHeight="1">
      <c r="A122" s="54" t="s">
        <v>177</v>
      </c>
      <c r="B122" s="34">
        <v>14.0</v>
      </c>
      <c r="C122" s="56"/>
      <c r="D122" s="56"/>
      <c r="E122" s="56" t="s">
        <v>306</v>
      </c>
      <c r="F122" s="56">
        <v>3.7</v>
      </c>
      <c r="G122" s="8" t="s">
        <v>241</v>
      </c>
      <c r="H122" s="41"/>
      <c r="I122" s="56" t="s">
        <v>156</v>
      </c>
      <c r="J122" s="56"/>
      <c r="K122" s="56"/>
      <c r="L122" s="59"/>
      <c r="M122" s="56"/>
      <c r="N122" s="8"/>
      <c r="O122" s="8" t="s">
        <v>244</v>
      </c>
      <c r="P122" s="8"/>
      <c r="Q122" s="8" t="b">
        <f>IF(G122="隔週A", MOD(INT(('26414_編集版'!$B$1-DATE(2026,4,14))/7), 2)=1, IF(G122="隔週B", MOD(INT(('26414_編集版'!$B$1-DATE(2026,4,14))/7), 2)=0, FALSE))</f>
        <v>0</v>
      </c>
      <c r="R122" s="8"/>
      <c r="S122" s="8"/>
      <c r="T122" s="8"/>
    </row>
    <row r="123" ht="17.25" customHeight="1">
      <c r="A123" s="54" t="s">
        <v>177</v>
      </c>
      <c r="B123" s="34">
        <v>15.0</v>
      </c>
      <c r="C123" s="42"/>
      <c r="D123" s="42"/>
      <c r="E123" s="42" t="s">
        <v>307</v>
      </c>
      <c r="F123" s="8">
        <v>4.7</v>
      </c>
      <c r="G123" s="8" t="s">
        <v>241</v>
      </c>
      <c r="H123" s="41"/>
      <c r="I123" s="56" t="s">
        <v>156</v>
      </c>
      <c r="J123" s="56"/>
      <c r="K123" s="56"/>
      <c r="L123" s="59"/>
      <c r="M123" s="42"/>
      <c r="N123" s="8"/>
      <c r="O123" s="8" t="s">
        <v>244</v>
      </c>
      <c r="P123" s="56"/>
      <c r="Q123" s="8" t="b">
        <f>IF(G123="隔週A", MOD(INT(('26414_編集版'!$B$1-DATE(2026,4,14))/7), 2)=1, IF(G123="隔週B", MOD(INT(('26414_編集版'!$B$1-DATE(2026,4,14))/7), 2)=0, FALSE))</f>
        <v>0</v>
      </c>
      <c r="R123" s="8"/>
      <c r="S123" s="8"/>
      <c r="T123" s="8"/>
    </row>
    <row r="124" ht="17.25" customHeight="1">
      <c r="A124" s="54" t="s">
        <v>177</v>
      </c>
      <c r="B124" s="34">
        <v>15.0</v>
      </c>
      <c r="C124" s="42"/>
      <c r="D124" s="42"/>
      <c r="E124" s="42" t="s">
        <v>308</v>
      </c>
      <c r="F124" s="8">
        <v>0.3</v>
      </c>
      <c r="G124" s="8" t="s">
        <v>241</v>
      </c>
      <c r="H124" s="41"/>
      <c r="I124" s="56" t="s">
        <v>156</v>
      </c>
      <c r="J124" s="56"/>
      <c r="K124" s="56"/>
      <c r="L124" s="59"/>
      <c r="M124" s="42"/>
      <c r="N124" s="8"/>
      <c r="O124" s="8" t="s">
        <v>244</v>
      </c>
      <c r="P124" s="8"/>
      <c r="Q124" s="8" t="b">
        <f>IF(G124="隔週A", MOD(INT(('26414_編集版'!$B$1-DATE(2026,4,14))/7), 2)=1, IF(G124="隔週B", MOD(INT(('26414_編集版'!$B$1-DATE(2026,4,14))/7), 2)=0, FALSE))</f>
        <v>0</v>
      </c>
      <c r="R124" s="8"/>
      <c r="S124" s="8"/>
      <c r="T124" s="8"/>
    </row>
    <row r="125" ht="17.25" customHeight="1">
      <c r="A125" s="54" t="s">
        <v>177</v>
      </c>
      <c r="B125" s="34">
        <v>15.0</v>
      </c>
      <c r="C125" s="42"/>
      <c r="D125" s="42"/>
      <c r="E125" s="42" t="s">
        <v>309</v>
      </c>
      <c r="F125" s="8">
        <v>0.5</v>
      </c>
      <c r="G125" s="8" t="s">
        <v>241</v>
      </c>
      <c r="H125" s="41"/>
      <c r="I125" s="56" t="s">
        <v>156</v>
      </c>
      <c r="J125" s="56"/>
      <c r="K125" s="56"/>
      <c r="L125" s="59"/>
      <c r="M125" s="42"/>
      <c r="N125" s="8"/>
      <c r="O125" s="8" t="s">
        <v>244</v>
      </c>
      <c r="P125" s="56"/>
      <c r="Q125" s="8" t="b">
        <f>IF(G125="隔週A", MOD(INT(('26414_編集版'!$B$1-DATE(2026,4,14))/7), 2)=1, IF(G125="隔週B", MOD(INT(('26414_編集版'!$B$1-DATE(2026,4,14))/7), 2)=0, FALSE))</f>
        <v>0</v>
      </c>
      <c r="R125" s="8"/>
      <c r="S125" s="8"/>
      <c r="T125" s="8"/>
    </row>
    <row r="126" ht="17.25" customHeight="1">
      <c r="A126" s="54" t="s">
        <v>177</v>
      </c>
      <c r="B126" s="8">
        <v>17.0</v>
      </c>
      <c r="C126" s="42"/>
      <c r="D126" s="42"/>
      <c r="E126" s="42" t="s">
        <v>310</v>
      </c>
      <c r="F126" s="8">
        <v>5.0</v>
      </c>
      <c r="G126" s="8" t="s">
        <v>241</v>
      </c>
      <c r="H126" s="41"/>
      <c r="I126" s="8" t="s">
        <v>151</v>
      </c>
      <c r="J126" s="8"/>
      <c r="K126" s="8"/>
      <c r="L126" s="59"/>
      <c r="M126" s="42"/>
      <c r="N126" s="8"/>
      <c r="O126" s="8" t="s">
        <v>200</v>
      </c>
      <c r="P126" s="8" t="s">
        <v>256</v>
      </c>
      <c r="Q126" s="8" t="b">
        <f>IF(G126="隔週A", MOD(INT(('26414_編集版'!$B$1-DATE(2026,4,14))/7), 2)=1, IF(G126="隔週B", MOD(INT(('26414_編集版'!$B$1-DATE(2026,4,14))/7), 2)=0, FALSE))</f>
        <v>0</v>
      </c>
      <c r="R126" s="8"/>
      <c r="S126" s="8"/>
      <c r="T126" s="8"/>
    </row>
    <row r="127" ht="17.25" customHeight="1">
      <c r="A127" s="54" t="s">
        <v>177</v>
      </c>
      <c r="B127" s="8">
        <v>19.0</v>
      </c>
      <c r="C127" s="35"/>
      <c r="D127" s="35"/>
      <c r="E127" s="35" t="s">
        <v>311</v>
      </c>
      <c r="F127" s="8">
        <v>0.2</v>
      </c>
      <c r="G127" s="8" t="s">
        <v>241</v>
      </c>
      <c r="H127" s="41"/>
      <c r="I127" s="8" t="s">
        <v>156</v>
      </c>
      <c r="J127" s="8"/>
      <c r="K127" s="8"/>
      <c r="L127" s="59"/>
      <c r="M127" s="35"/>
      <c r="N127" s="8"/>
      <c r="O127" s="8" t="s">
        <v>244</v>
      </c>
      <c r="P127" s="8"/>
      <c r="Q127" s="8" t="b">
        <f>IF(G127="隔週A", MOD(INT(('26414_編集版'!$B$1-DATE(2026,4,14))/7), 2)=1, IF(G127="隔週B", MOD(INT(('26414_編集版'!$B$1-DATE(2026,4,14))/7), 2)=0, FALSE))</f>
        <v>0</v>
      </c>
      <c r="R127" s="8"/>
      <c r="S127" s="8"/>
      <c r="T127" s="8"/>
    </row>
    <row r="128" ht="17.25" customHeight="1">
      <c r="A128" s="54" t="s">
        <v>177</v>
      </c>
      <c r="B128" s="8">
        <v>19.0</v>
      </c>
      <c r="C128" s="56"/>
      <c r="D128" s="56"/>
      <c r="E128" s="56" t="s">
        <v>312</v>
      </c>
      <c r="F128" s="8">
        <v>0.7</v>
      </c>
      <c r="G128" s="8" t="s">
        <v>241</v>
      </c>
      <c r="H128" s="41"/>
      <c r="I128" s="56" t="s">
        <v>156</v>
      </c>
      <c r="J128" s="56"/>
      <c r="K128" s="56"/>
      <c r="L128" s="59"/>
      <c r="M128" s="56"/>
      <c r="N128" s="8"/>
      <c r="O128" s="8" t="s">
        <v>244</v>
      </c>
      <c r="P128" s="8"/>
      <c r="Q128" s="8" t="b">
        <f>IF(G128="隔週A", MOD(INT(('26414_編集版'!$B$1-DATE(2026,4,14))/7), 2)=1, IF(G128="隔週B", MOD(INT(('26414_編集版'!$B$1-DATE(2026,4,14))/7), 2)=0, FALSE))</f>
        <v>0</v>
      </c>
      <c r="R128" s="8"/>
      <c r="S128" s="8"/>
      <c r="T128" s="8"/>
    </row>
    <row r="129" ht="17.25" customHeight="1">
      <c r="A129" s="54" t="s">
        <v>177</v>
      </c>
      <c r="B129" s="8">
        <v>19.0</v>
      </c>
      <c r="C129" s="56"/>
      <c r="D129" s="56"/>
      <c r="E129" s="56" t="s">
        <v>313</v>
      </c>
      <c r="F129" s="8">
        <v>0.6</v>
      </c>
      <c r="G129" s="8" t="s">
        <v>241</v>
      </c>
      <c r="H129" s="41"/>
      <c r="I129" s="56" t="s">
        <v>156</v>
      </c>
      <c r="J129" s="56"/>
      <c r="K129" s="56"/>
      <c r="L129" s="59"/>
      <c r="M129" s="56"/>
      <c r="N129" s="8"/>
      <c r="O129" s="8" t="s">
        <v>244</v>
      </c>
      <c r="P129" s="8"/>
      <c r="Q129" s="8" t="b">
        <f>IF(G129="隔週A", MOD(INT(('26414_編集版'!$B$1-DATE(2026,4,14))/7), 2)=1, IF(G129="隔週B", MOD(INT(('26414_編集版'!$B$1-DATE(2026,4,14))/7), 2)=0, FALSE))</f>
        <v>0</v>
      </c>
      <c r="R129" s="8"/>
      <c r="S129" s="8"/>
      <c r="T129" s="8"/>
    </row>
    <row r="130" ht="17.25" customHeight="1">
      <c r="A130" s="54" t="s">
        <v>177</v>
      </c>
      <c r="B130" s="8">
        <v>20.0</v>
      </c>
      <c r="C130" s="55"/>
      <c r="D130" s="55"/>
      <c r="E130" s="55" t="s">
        <v>314</v>
      </c>
      <c r="F130" s="8">
        <v>2.1</v>
      </c>
      <c r="G130" s="8" t="s">
        <v>241</v>
      </c>
      <c r="H130" s="41"/>
      <c r="I130" s="8" t="s">
        <v>156</v>
      </c>
      <c r="J130" s="8"/>
      <c r="K130" s="8"/>
      <c r="L130" s="59"/>
      <c r="M130" s="55"/>
      <c r="N130" s="8"/>
      <c r="O130" s="8" t="s">
        <v>244</v>
      </c>
      <c r="P130" s="64"/>
      <c r="Q130" s="8" t="b">
        <f>IF(G130="隔週A", MOD(INT(('26414_編集版'!$B$1-DATE(2026,4,14))/7), 2)=1, IF(G130="隔週B", MOD(INT(('26414_編集版'!$B$1-DATE(2026,4,14))/7), 2)=0, FALSE))</f>
        <v>0</v>
      </c>
      <c r="R130" s="8"/>
      <c r="S130" s="8"/>
      <c r="T130" s="8"/>
    </row>
    <row r="131" ht="17.25" customHeight="1">
      <c r="A131" s="54" t="s">
        <v>177</v>
      </c>
      <c r="B131" s="8">
        <v>20.0</v>
      </c>
      <c r="C131" s="55"/>
      <c r="D131" s="55"/>
      <c r="E131" s="55" t="s">
        <v>315</v>
      </c>
      <c r="F131" s="8">
        <v>0.7</v>
      </c>
      <c r="G131" s="8" t="s">
        <v>241</v>
      </c>
      <c r="H131" s="41"/>
      <c r="I131" s="8" t="s">
        <v>156</v>
      </c>
      <c r="J131" s="8"/>
      <c r="K131" s="8"/>
      <c r="L131" s="59"/>
      <c r="M131" s="55"/>
      <c r="N131" s="8"/>
      <c r="O131" s="8" t="s">
        <v>244</v>
      </c>
      <c r="P131" s="8"/>
      <c r="Q131" s="8" t="b">
        <f>IF(G131="隔週A", MOD(INT(('26414_編集版'!$B$1-DATE(2026,4,14))/7), 2)=1, IF(G131="隔週B", MOD(INT(('26414_編集版'!$B$1-DATE(2026,4,14))/7), 2)=0, FALSE))</f>
        <v>0</v>
      </c>
      <c r="R131" s="8"/>
      <c r="S131" s="8"/>
      <c r="T131" s="8"/>
    </row>
    <row r="132" ht="17.25" customHeight="1">
      <c r="A132" s="54" t="s">
        <v>177</v>
      </c>
      <c r="B132" s="8">
        <v>20.0</v>
      </c>
      <c r="C132" s="55"/>
      <c r="D132" s="55"/>
      <c r="E132" s="55" t="s">
        <v>316</v>
      </c>
      <c r="F132" s="8">
        <v>1.8</v>
      </c>
      <c r="G132" s="8" t="s">
        <v>241</v>
      </c>
      <c r="H132" s="41"/>
      <c r="I132" s="8" t="s">
        <v>156</v>
      </c>
      <c r="J132" s="8" t="s">
        <v>142</v>
      </c>
      <c r="K132" s="8" t="s">
        <v>143</v>
      </c>
      <c r="L132" s="59"/>
      <c r="M132" s="55"/>
      <c r="N132" s="8"/>
      <c r="O132" s="8" t="s">
        <v>244</v>
      </c>
      <c r="P132" s="8"/>
      <c r="Q132" s="8" t="b">
        <f>IF(G132="隔週A", MOD(INT(('26414_編集版'!$B$1-DATE(2026,4,14))/7), 2)=1, IF(G132="隔週B", MOD(INT(('26414_編集版'!$B$1-DATE(2026,4,14))/7), 2)=0, FALSE))</f>
        <v>0</v>
      </c>
      <c r="R132" s="8"/>
      <c r="S132" s="8"/>
      <c r="T132" s="8"/>
    </row>
    <row r="133" ht="17.25" customHeight="1">
      <c r="A133" s="54" t="s">
        <v>177</v>
      </c>
      <c r="B133" s="8">
        <v>20.0</v>
      </c>
      <c r="C133" s="85"/>
      <c r="D133" s="85"/>
      <c r="E133" s="85" t="s">
        <v>317</v>
      </c>
      <c r="F133" s="60">
        <v>1.4</v>
      </c>
      <c r="G133" s="8" t="s">
        <v>241</v>
      </c>
      <c r="H133" s="41"/>
      <c r="I133" s="85" t="s">
        <v>156</v>
      </c>
      <c r="J133" s="85"/>
      <c r="K133" s="85"/>
      <c r="L133" s="59"/>
      <c r="M133" s="85"/>
      <c r="N133" s="8"/>
      <c r="O133" s="8" t="s">
        <v>244</v>
      </c>
      <c r="P133" s="8"/>
      <c r="Q133" s="8" t="b">
        <f>IF(G133="隔週A", MOD(INT(('26414_編集版'!$B$1-DATE(2026,4,14))/7), 2)=1, IF(G133="隔週B", MOD(INT(('26414_編集版'!$B$1-DATE(2026,4,14))/7), 2)=0, FALSE))</f>
        <v>0</v>
      </c>
      <c r="R133" s="8"/>
      <c r="S133" s="8"/>
      <c r="T133" s="8"/>
    </row>
    <row r="134" ht="17.25" customHeight="1">
      <c r="A134" s="54" t="s">
        <v>177</v>
      </c>
      <c r="B134" s="8">
        <v>20.0</v>
      </c>
      <c r="C134" s="55"/>
      <c r="D134" s="55"/>
      <c r="E134" s="55" t="s">
        <v>285</v>
      </c>
      <c r="F134" s="8">
        <v>0.1</v>
      </c>
      <c r="G134" s="8" t="s">
        <v>241</v>
      </c>
      <c r="H134" s="41"/>
      <c r="I134" s="8" t="s">
        <v>156</v>
      </c>
      <c r="J134" s="8"/>
      <c r="K134" s="8"/>
      <c r="L134" s="59"/>
      <c r="M134" s="55"/>
      <c r="N134" s="8"/>
      <c r="O134" s="8" t="s">
        <v>223</v>
      </c>
      <c r="P134" s="8" t="s">
        <v>200</v>
      </c>
      <c r="Q134" s="8" t="b">
        <f>IF(G134="隔週A", MOD(INT(('26414_編集版'!$B$1-DATE(2026,4,14))/7), 2)=1, IF(G134="隔週B", MOD(INT(('26414_編集版'!$B$1-DATE(2026,4,14))/7), 2)=0, FALSE))</f>
        <v>0</v>
      </c>
      <c r="R134" s="8"/>
      <c r="S134" s="8"/>
      <c r="T134" s="8"/>
    </row>
    <row r="135" ht="17.25" customHeight="1">
      <c r="A135" s="54" t="s">
        <v>177</v>
      </c>
      <c r="B135" s="8">
        <v>21.0</v>
      </c>
      <c r="C135" s="71"/>
      <c r="D135" s="71"/>
      <c r="E135" s="71" t="s">
        <v>318</v>
      </c>
      <c r="F135" s="8">
        <v>6.7</v>
      </c>
      <c r="G135" s="8" t="s">
        <v>241</v>
      </c>
      <c r="H135" s="41"/>
      <c r="I135" s="8" t="s">
        <v>156</v>
      </c>
      <c r="J135" s="8"/>
      <c r="K135" s="8"/>
      <c r="L135" s="59"/>
      <c r="M135" s="71"/>
      <c r="N135" s="8"/>
      <c r="O135" s="8" t="s">
        <v>244</v>
      </c>
      <c r="P135" s="8"/>
      <c r="Q135" s="8" t="b">
        <f>IF(G135="隔週A", MOD(INT(('26414_編集版'!$B$1-DATE(2026,4,14))/7), 2)=1, IF(G135="隔週B", MOD(INT(('26414_編集版'!$B$1-DATE(2026,4,14))/7), 2)=0, FALSE))</f>
        <v>0</v>
      </c>
      <c r="R135" s="8"/>
      <c r="S135" s="8"/>
      <c r="T135" s="8"/>
    </row>
    <row r="136" ht="17.25" customHeight="1">
      <c r="A136" s="54" t="s">
        <v>177</v>
      </c>
      <c r="B136" s="8">
        <v>21.0</v>
      </c>
      <c r="C136" s="56"/>
      <c r="D136" s="56"/>
      <c r="E136" s="56" t="s">
        <v>288</v>
      </c>
      <c r="F136" s="36">
        <v>0.1</v>
      </c>
      <c r="G136" s="8" t="s">
        <v>241</v>
      </c>
      <c r="H136" s="41"/>
      <c r="I136" s="56" t="s">
        <v>156</v>
      </c>
      <c r="J136" s="56"/>
      <c r="K136" s="56"/>
      <c r="L136" s="59"/>
      <c r="M136" s="56"/>
      <c r="N136" s="8"/>
      <c r="O136" s="8" t="s">
        <v>244</v>
      </c>
      <c r="P136" s="36"/>
      <c r="Q136" s="8" t="b">
        <f>IF(G136="隔週A", MOD(INT(('26414_編集版'!$B$1-DATE(2026,4,14))/7), 2)=1, IF(G136="隔週B", MOD(INT(('26414_編集版'!$B$1-DATE(2026,4,14))/7), 2)=0, FALSE))</f>
        <v>0</v>
      </c>
      <c r="R136" s="8"/>
      <c r="S136" s="8"/>
      <c r="T136" s="8"/>
    </row>
    <row r="137" ht="17.25" customHeight="1">
      <c r="A137" s="54" t="s">
        <v>177</v>
      </c>
      <c r="B137" s="8">
        <v>21.0</v>
      </c>
      <c r="C137" s="58"/>
      <c r="D137" s="58"/>
      <c r="E137" s="58" t="s">
        <v>289</v>
      </c>
      <c r="F137" s="36">
        <v>0.1</v>
      </c>
      <c r="G137" s="8" t="s">
        <v>241</v>
      </c>
      <c r="H137" s="41"/>
      <c r="I137" s="58" t="s">
        <v>151</v>
      </c>
      <c r="J137" s="58"/>
      <c r="K137" s="58"/>
      <c r="L137" s="59"/>
      <c r="M137" s="58"/>
      <c r="N137" s="8"/>
      <c r="O137" s="8" t="s">
        <v>244</v>
      </c>
      <c r="P137" s="58"/>
      <c r="Q137" s="8" t="b">
        <f>IF(G137="隔週A", MOD(INT(('26414_編集版'!$B$1-DATE(2026,4,14))/7), 2)=1, IF(G137="隔週B", MOD(INT(('26414_編集版'!$B$1-DATE(2026,4,14))/7), 2)=0, FALSE))</f>
        <v>0</v>
      </c>
      <c r="R137" s="8"/>
      <c r="S137" s="8"/>
      <c r="T137" s="8"/>
    </row>
    <row r="138" ht="17.25" customHeight="1">
      <c r="A138" s="54" t="s">
        <v>177</v>
      </c>
      <c r="B138" s="8">
        <v>21.0</v>
      </c>
      <c r="C138" s="42"/>
      <c r="D138" s="42"/>
      <c r="E138" s="42" t="s">
        <v>319</v>
      </c>
      <c r="F138" s="8">
        <v>0.5</v>
      </c>
      <c r="G138" s="8" t="s">
        <v>241</v>
      </c>
      <c r="H138" s="41"/>
      <c r="I138" s="56" t="s">
        <v>156</v>
      </c>
      <c r="J138" s="56"/>
      <c r="K138" s="56"/>
      <c r="L138" s="59"/>
      <c r="M138" s="42"/>
      <c r="N138" s="8"/>
      <c r="O138" s="8" t="s">
        <v>244</v>
      </c>
      <c r="P138" s="8"/>
      <c r="Q138" s="8" t="b">
        <f>IF(G138="隔週A", MOD(INT(('26414_編集版'!$B$1-DATE(2026,4,14))/7), 2)=1, IF(G138="隔週B", MOD(INT(('26414_編集版'!$B$1-DATE(2026,4,14))/7), 2)=0, FALSE))</f>
        <v>0</v>
      </c>
      <c r="R138" s="8"/>
      <c r="S138" s="8"/>
      <c r="T138" s="8"/>
    </row>
    <row r="139" ht="17.25" customHeight="1">
      <c r="A139" s="54" t="s">
        <v>181</v>
      </c>
      <c r="B139" s="8">
        <v>8.0</v>
      </c>
      <c r="C139" s="58"/>
      <c r="D139" s="58"/>
      <c r="E139" s="58" t="s">
        <v>320</v>
      </c>
      <c r="F139" s="58">
        <v>1.0</v>
      </c>
      <c r="G139" s="8" t="s">
        <v>241</v>
      </c>
      <c r="H139" s="61"/>
      <c r="I139" s="58" t="s">
        <v>156</v>
      </c>
      <c r="J139" s="58"/>
      <c r="K139" s="58"/>
      <c r="L139" s="59"/>
      <c r="M139" s="58"/>
      <c r="N139" s="56"/>
      <c r="O139" s="56" t="s">
        <v>200</v>
      </c>
      <c r="P139" s="56" t="s">
        <v>223</v>
      </c>
      <c r="Q139" s="8" t="b">
        <f>IF(G139="隔週A", MOD(INT(('26414_編集版'!$B$1-DATE(2026,4,14))/7), 2)=1, IF(G139="隔週B", MOD(INT(('26414_編集版'!$B$1-DATE(2026,4,14))/7), 2)=0, FALSE))</f>
        <v>0</v>
      </c>
      <c r="R139" s="8"/>
      <c r="S139" s="8"/>
      <c r="T139" s="8"/>
    </row>
    <row r="140" ht="17.25" customHeight="1">
      <c r="A140" s="54" t="s">
        <v>181</v>
      </c>
      <c r="B140" s="8">
        <v>8.0</v>
      </c>
      <c r="C140" s="58"/>
      <c r="D140" s="58"/>
      <c r="E140" s="58" t="s">
        <v>321</v>
      </c>
      <c r="F140" s="58">
        <v>1.0</v>
      </c>
      <c r="G140" s="8" t="s">
        <v>241</v>
      </c>
      <c r="H140" s="61"/>
      <c r="I140" s="58" t="s">
        <v>156</v>
      </c>
      <c r="J140" s="58"/>
      <c r="K140" s="58"/>
      <c r="L140" s="59"/>
      <c r="M140" s="58"/>
      <c r="N140" s="56"/>
      <c r="O140" s="56" t="s">
        <v>200</v>
      </c>
      <c r="P140" s="56" t="s">
        <v>223</v>
      </c>
      <c r="Q140" s="8" t="b">
        <f>IF(G140="隔週A", MOD(INT(('26414_編集版'!$B$1-DATE(2026,4,14))/7), 2)=1, IF(G140="隔週B", MOD(INT(('26414_編集版'!$B$1-DATE(2026,4,14))/7), 2)=0, FALSE))</f>
        <v>0</v>
      </c>
      <c r="R140" s="8"/>
      <c r="S140" s="8"/>
      <c r="T140" s="8"/>
    </row>
    <row r="141" ht="17.25" customHeight="1">
      <c r="A141" s="54" t="s">
        <v>181</v>
      </c>
      <c r="B141" s="8">
        <v>8.0</v>
      </c>
      <c r="C141" s="86"/>
      <c r="D141" s="86"/>
      <c r="E141" s="86" t="s">
        <v>322</v>
      </c>
      <c r="F141" s="86">
        <v>0.6</v>
      </c>
      <c r="G141" s="8" t="s">
        <v>241</v>
      </c>
      <c r="H141" s="74"/>
      <c r="I141" s="86" t="s">
        <v>156</v>
      </c>
      <c r="J141" s="86"/>
      <c r="K141" s="86"/>
      <c r="L141" s="59"/>
      <c r="M141" s="86"/>
      <c r="N141" s="58"/>
      <c r="O141" s="58" t="s">
        <v>244</v>
      </c>
      <c r="P141" s="77"/>
      <c r="Q141" s="8" t="b">
        <f>IF(G141="隔週A", MOD(INT(('26414_編集版'!$B$1-DATE(2026,4,14))/7), 2)=1, IF(G141="隔週B", MOD(INT(('26414_編集版'!$B$1-DATE(2026,4,14))/7), 2)=0, FALSE))</f>
        <v>0</v>
      </c>
      <c r="R141" s="8"/>
      <c r="S141" s="8"/>
      <c r="T141" s="8"/>
    </row>
    <row r="142" ht="17.25" customHeight="1">
      <c r="A142" s="54" t="s">
        <v>181</v>
      </c>
      <c r="B142" s="8">
        <v>8.0</v>
      </c>
      <c r="C142" s="56"/>
      <c r="D142" s="56"/>
      <c r="E142" s="56" t="s">
        <v>245</v>
      </c>
      <c r="F142" s="56">
        <v>0.1</v>
      </c>
      <c r="G142" s="8" t="s">
        <v>241</v>
      </c>
      <c r="H142" s="41"/>
      <c r="I142" s="8" t="s">
        <v>156</v>
      </c>
      <c r="J142" s="8"/>
      <c r="K142" s="8"/>
      <c r="L142" s="59"/>
      <c r="M142" s="56"/>
      <c r="N142" s="8"/>
      <c r="O142" s="8" t="s">
        <v>244</v>
      </c>
      <c r="P142" s="77"/>
      <c r="Q142" s="8" t="b">
        <f>IF(G142="隔週A", MOD(INT(('26414_編集版'!$B$1-DATE(2026,4,14))/7), 2)=1, IF(G142="隔週B", MOD(INT(('26414_編集版'!$B$1-DATE(2026,4,14))/7), 2)=0, FALSE))</f>
        <v>0</v>
      </c>
      <c r="R142" s="8"/>
      <c r="S142" s="8"/>
      <c r="T142" s="8"/>
    </row>
    <row r="143" ht="17.25" customHeight="1">
      <c r="A143" s="54" t="s">
        <v>181</v>
      </c>
      <c r="B143" s="8">
        <v>8.0</v>
      </c>
      <c r="C143" s="67"/>
      <c r="D143" s="67"/>
      <c r="E143" s="67" t="s">
        <v>323</v>
      </c>
      <c r="F143" s="56">
        <v>1.2</v>
      </c>
      <c r="G143" s="8" t="s">
        <v>241</v>
      </c>
      <c r="H143" s="74"/>
      <c r="I143" s="58" t="s">
        <v>156</v>
      </c>
      <c r="J143" s="58"/>
      <c r="K143" s="58"/>
      <c r="L143" s="59"/>
      <c r="M143" s="67"/>
      <c r="N143" s="58"/>
      <c r="O143" s="58" t="s">
        <v>244</v>
      </c>
      <c r="P143" s="77"/>
      <c r="Q143" s="8" t="b">
        <f>IF(G143="隔週A", MOD(INT(('26414_編集版'!$B$1-DATE(2026,4,14))/7), 2)=1, IF(G143="隔週B", MOD(INT(('26414_編集版'!$B$1-DATE(2026,4,14))/7), 2)=0, FALSE))</f>
        <v>0</v>
      </c>
      <c r="R143" s="8"/>
      <c r="S143" s="8"/>
      <c r="T143" s="8"/>
    </row>
    <row r="144" ht="17.25" customHeight="1">
      <c r="A144" s="54" t="s">
        <v>181</v>
      </c>
      <c r="B144" s="8">
        <v>8.0</v>
      </c>
      <c r="C144" s="67"/>
      <c r="D144" s="67"/>
      <c r="E144" s="67" t="s">
        <v>324</v>
      </c>
      <c r="F144" s="56">
        <v>3.0</v>
      </c>
      <c r="G144" s="8" t="s">
        <v>241</v>
      </c>
      <c r="H144" s="74"/>
      <c r="I144" s="58" t="s">
        <v>156</v>
      </c>
      <c r="J144" s="58"/>
      <c r="K144" s="58"/>
      <c r="L144" s="59"/>
      <c r="M144" s="67"/>
      <c r="N144" s="58"/>
      <c r="O144" s="58" t="s">
        <v>244</v>
      </c>
      <c r="P144" s="56"/>
      <c r="Q144" s="8" t="b">
        <f>IF(G144="隔週A", MOD(INT(('26414_編集版'!$B$1-DATE(2026,4,14))/7), 2)=1, IF(G144="隔週B", MOD(INT(('26414_編集版'!$B$1-DATE(2026,4,14))/7), 2)=0, FALSE))</f>
        <v>0</v>
      </c>
      <c r="R144" s="8"/>
      <c r="S144" s="8"/>
      <c r="T144" s="8"/>
    </row>
    <row r="145" ht="17.25" customHeight="1">
      <c r="A145" s="54" t="s">
        <v>181</v>
      </c>
      <c r="B145" s="8">
        <v>8.0</v>
      </c>
      <c r="C145" s="80"/>
      <c r="D145" s="80"/>
      <c r="E145" s="81" t="s">
        <v>325</v>
      </c>
      <c r="F145" s="58">
        <v>2.0</v>
      </c>
      <c r="G145" s="8" t="s">
        <v>241</v>
      </c>
      <c r="H145" s="61"/>
      <c r="I145" s="58" t="s">
        <v>156</v>
      </c>
      <c r="J145" s="58"/>
      <c r="K145" s="58"/>
      <c r="L145" s="59"/>
      <c r="M145" s="80"/>
      <c r="N145" s="56"/>
      <c r="O145" s="56" t="s">
        <v>200</v>
      </c>
      <c r="P145" s="56" t="s">
        <v>223</v>
      </c>
      <c r="Q145" s="8" t="b">
        <f>IF(G145="隔週A", MOD(INT(('26414_編集版'!$B$1-DATE(2026,4,14))/7), 2)=1, IF(G145="隔週B", MOD(INT(('26414_編集版'!$B$1-DATE(2026,4,14))/7), 2)=0, FALSE))</f>
        <v>0</v>
      </c>
      <c r="R145" s="8"/>
      <c r="S145" s="8"/>
      <c r="T145" s="8"/>
    </row>
    <row r="146" ht="17.25" customHeight="1">
      <c r="A146" s="54" t="s">
        <v>181</v>
      </c>
      <c r="B146" s="8">
        <v>9.0</v>
      </c>
      <c r="C146" s="66"/>
      <c r="D146" s="66"/>
      <c r="E146" s="66" t="s">
        <v>326</v>
      </c>
      <c r="F146" s="58">
        <v>0.3</v>
      </c>
      <c r="G146" s="8" t="s">
        <v>241</v>
      </c>
      <c r="H146" s="61"/>
      <c r="I146" s="56" t="s">
        <v>242</v>
      </c>
      <c r="J146" s="58"/>
      <c r="K146" s="58"/>
      <c r="L146" s="75">
        <v>3317.0</v>
      </c>
      <c r="M146" s="76" t="s">
        <v>327</v>
      </c>
      <c r="N146" s="56"/>
      <c r="O146" s="56" t="s">
        <v>244</v>
      </c>
      <c r="P146" s="77"/>
      <c r="Q146" s="8" t="b">
        <f>IF(G146="隔週A", MOD(INT(('26414_編集版'!$B$1-DATE(2026,4,14))/7), 2)=1, IF(G146="隔週B", MOD(INT(('26414_編集版'!$B$1-DATE(2026,4,14))/7), 2)=0, FALSE))</f>
        <v>0</v>
      </c>
      <c r="R146" s="8"/>
      <c r="S146" s="8"/>
      <c r="T146" s="8"/>
    </row>
    <row r="147" ht="17.25" customHeight="1">
      <c r="A147" s="54" t="s">
        <v>181</v>
      </c>
      <c r="B147" s="8">
        <v>9.0</v>
      </c>
      <c r="C147" s="58"/>
      <c r="D147" s="58"/>
      <c r="E147" s="58" t="s">
        <v>328</v>
      </c>
      <c r="F147" s="56">
        <v>0.3</v>
      </c>
      <c r="G147" s="8" t="s">
        <v>241</v>
      </c>
      <c r="H147" s="74"/>
      <c r="I147" s="58" t="s">
        <v>156</v>
      </c>
      <c r="J147" s="58"/>
      <c r="K147" s="58"/>
      <c r="L147" s="59"/>
      <c r="M147" s="58"/>
      <c r="N147" s="58"/>
      <c r="O147" s="58" t="s">
        <v>244</v>
      </c>
      <c r="P147" s="8"/>
      <c r="Q147" s="8" t="b">
        <f>IF(G147="隔週A", MOD(INT(('26414_編集版'!$B$1-DATE(2026,4,14))/7), 2)=1, IF(G147="隔週B", MOD(INT(('26414_編集版'!$B$1-DATE(2026,4,14))/7), 2)=0, FALSE))</f>
        <v>0</v>
      </c>
      <c r="R147" s="8"/>
      <c r="S147" s="8"/>
      <c r="T147" s="8"/>
    </row>
    <row r="148" ht="17.25" customHeight="1">
      <c r="A148" s="54" t="s">
        <v>181</v>
      </c>
      <c r="B148" s="8">
        <v>9.0</v>
      </c>
      <c r="C148" s="58"/>
      <c r="D148" s="58"/>
      <c r="E148" s="58" t="s">
        <v>329</v>
      </c>
      <c r="F148" s="58">
        <v>1.3</v>
      </c>
      <c r="G148" s="8" t="s">
        <v>241</v>
      </c>
      <c r="H148" s="61"/>
      <c r="I148" s="58" t="s">
        <v>156</v>
      </c>
      <c r="J148" s="58"/>
      <c r="K148" s="58"/>
      <c r="L148" s="59"/>
      <c r="M148" s="58"/>
      <c r="N148" s="56"/>
      <c r="O148" s="56" t="s">
        <v>244</v>
      </c>
      <c r="P148" s="56"/>
      <c r="Q148" s="8" t="b">
        <f>IF(G148="隔週A", MOD(INT(('26414_編集版'!$B$1-DATE(2026,4,14))/7), 2)=1, IF(G148="隔週B", MOD(INT(('26414_編集版'!$B$1-DATE(2026,4,14))/7), 2)=0, FALSE))</f>
        <v>0</v>
      </c>
      <c r="R148" s="8"/>
      <c r="S148" s="8"/>
      <c r="T148" s="8"/>
    </row>
    <row r="149" ht="17.25" customHeight="1">
      <c r="A149" s="54" t="s">
        <v>181</v>
      </c>
      <c r="B149" s="8">
        <v>10.0</v>
      </c>
      <c r="C149" s="80"/>
      <c r="D149" s="80"/>
      <c r="E149" s="81" t="s">
        <v>330</v>
      </c>
      <c r="F149" s="56">
        <v>3.6</v>
      </c>
      <c r="G149" s="8" t="s">
        <v>241</v>
      </c>
      <c r="H149" s="61"/>
      <c r="I149" s="58" t="s">
        <v>156</v>
      </c>
      <c r="J149" s="58"/>
      <c r="K149" s="58"/>
      <c r="L149" s="59"/>
      <c r="M149" s="80"/>
      <c r="N149" s="56"/>
      <c r="O149" s="56" t="s">
        <v>154</v>
      </c>
      <c r="P149" s="77" t="s">
        <v>153</v>
      </c>
      <c r="Q149" s="8" t="b">
        <f>IF(G149="隔週A", MOD(INT(('26414_編集版'!$B$1-DATE(2026,4,14))/7), 2)=1, IF(G149="隔週B", MOD(INT(('26414_編集版'!$B$1-DATE(2026,4,14))/7), 2)=0, FALSE))</f>
        <v>0</v>
      </c>
      <c r="R149" s="8"/>
      <c r="S149" s="8"/>
      <c r="T149" s="8"/>
    </row>
    <row r="150" ht="17.25" customHeight="1">
      <c r="A150" s="54" t="s">
        <v>181</v>
      </c>
      <c r="B150" s="8">
        <v>11.0</v>
      </c>
      <c r="C150" s="58"/>
      <c r="D150" s="58"/>
      <c r="E150" s="58" t="s">
        <v>331</v>
      </c>
      <c r="F150" s="56">
        <v>0.8</v>
      </c>
      <c r="G150" s="8" t="s">
        <v>241</v>
      </c>
      <c r="H150" s="41"/>
      <c r="I150" s="58" t="s">
        <v>156</v>
      </c>
      <c r="J150" s="58"/>
      <c r="K150" s="58"/>
      <c r="L150" s="59"/>
      <c r="M150" s="58"/>
      <c r="N150" s="8"/>
      <c r="O150" s="8" t="s">
        <v>244</v>
      </c>
      <c r="P150" s="8"/>
      <c r="Q150" s="8" t="b">
        <f>IF(G150="隔週A", MOD(INT(('26414_編集版'!$B$1-DATE(2026,4,14))/7), 2)=1, IF(G150="隔週B", MOD(INT(('26414_編集版'!$B$1-DATE(2026,4,14))/7), 2)=0, FALSE))</f>
        <v>0</v>
      </c>
      <c r="R150" s="8"/>
      <c r="S150" s="8"/>
      <c r="T150" s="8"/>
    </row>
    <row r="151" ht="17.25" customHeight="1">
      <c r="A151" s="54" t="s">
        <v>181</v>
      </c>
      <c r="B151" s="8">
        <v>11.0</v>
      </c>
      <c r="C151" s="58"/>
      <c r="D151" s="58"/>
      <c r="E151" s="58" t="s">
        <v>332</v>
      </c>
      <c r="F151" s="58">
        <v>0.7</v>
      </c>
      <c r="G151" s="8" t="s">
        <v>241</v>
      </c>
      <c r="H151" s="74"/>
      <c r="I151" s="58" t="s">
        <v>156</v>
      </c>
      <c r="J151" s="58"/>
      <c r="K151" s="58"/>
      <c r="L151" s="59"/>
      <c r="M151" s="58"/>
      <c r="N151" s="58"/>
      <c r="O151" s="58" t="s">
        <v>244</v>
      </c>
      <c r="P151" s="86"/>
      <c r="Q151" s="8" t="b">
        <f>IF(G151="隔週A", MOD(INT(('26414_編集版'!$B$1-DATE(2026,4,14))/7), 2)=1, IF(G151="隔週B", MOD(INT(('26414_編集版'!$B$1-DATE(2026,4,14))/7), 2)=0, FALSE))</f>
        <v>0</v>
      </c>
      <c r="R151" s="8"/>
      <c r="S151" s="8"/>
      <c r="T151" s="8"/>
    </row>
    <row r="152" ht="17.25" customHeight="1">
      <c r="A152" s="54" t="s">
        <v>181</v>
      </c>
      <c r="B152" s="8">
        <v>12.0</v>
      </c>
      <c r="C152" s="58"/>
      <c r="D152" s="58"/>
      <c r="E152" s="58" t="s">
        <v>333</v>
      </c>
      <c r="F152" s="56">
        <v>7.0</v>
      </c>
      <c r="G152" s="8" t="s">
        <v>241</v>
      </c>
      <c r="H152" s="79"/>
      <c r="I152" s="58" t="s">
        <v>156</v>
      </c>
      <c r="J152" s="58"/>
      <c r="K152" s="58"/>
      <c r="L152" s="59"/>
      <c r="M152" s="58"/>
      <c r="N152" s="42"/>
      <c r="O152" s="58" t="s">
        <v>256</v>
      </c>
      <c r="P152" s="58" t="s">
        <v>223</v>
      </c>
      <c r="Q152" s="8" t="b">
        <f>IF(G152="隔週A", MOD(INT(('26414_編集版'!$B$1-DATE(2026,4,14))/7), 2)=1, IF(G152="隔週B", MOD(INT(('26414_編集版'!$B$1-DATE(2026,4,14))/7), 2)=0, FALSE))</f>
        <v>0</v>
      </c>
      <c r="R152" s="8"/>
      <c r="S152" s="8"/>
      <c r="T152" s="8"/>
    </row>
    <row r="153" ht="17.25" customHeight="1">
      <c r="A153" s="54" t="s">
        <v>181</v>
      </c>
      <c r="B153" s="8">
        <v>13.0</v>
      </c>
      <c r="C153" s="58"/>
      <c r="D153" s="58"/>
      <c r="E153" s="58" t="s">
        <v>334</v>
      </c>
      <c r="F153" s="56">
        <v>2.4</v>
      </c>
      <c r="G153" s="8" t="s">
        <v>241</v>
      </c>
      <c r="H153" s="41"/>
      <c r="I153" s="58" t="s">
        <v>156</v>
      </c>
      <c r="J153" s="58"/>
      <c r="K153" s="58"/>
      <c r="L153" s="59"/>
      <c r="M153" s="58"/>
      <c r="N153" s="8"/>
      <c r="O153" s="8" t="s">
        <v>244</v>
      </c>
      <c r="P153" s="8"/>
      <c r="Q153" s="8" t="b">
        <f>IF(G153="隔週A", MOD(INT(('26414_編集版'!$B$1-DATE(2026,4,14))/7), 2)=1, IF(G153="隔週B", MOD(INT(('26414_編集版'!$B$1-DATE(2026,4,14))/7), 2)=0, FALSE))</f>
        <v>0</v>
      </c>
      <c r="R153" s="8"/>
      <c r="S153" s="8"/>
      <c r="T153" s="8"/>
    </row>
    <row r="154" ht="17.25" customHeight="1">
      <c r="A154" s="54" t="s">
        <v>181</v>
      </c>
      <c r="B154" s="8">
        <v>13.0</v>
      </c>
      <c r="C154" s="66"/>
      <c r="D154" s="66"/>
      <c r="E154" s="66" t="s">
        <v>335</v>
      </c>
      <c r="F154" s="58">
        <v>0.3</v>
      </c>
      <c r="G154" s="8" t="s">
        <v>241</v>
      </c>
      <c r="H154" s="41"/>
      <c r="I154" s="58" t="s">
        <v>156</v>
      </c>
      <c r="J154" s="58"/>
      <c r="K154" s="58"/>
      <c r="L154" s="59"/>
      <c r="M154" s="66"/>
      <c r="N154" s="8"/>
      <c r="O154" s="8" t="s">
        <v>244</v>
      </c>
      <c r="P154" s="56"/>
      <c r="Q154" s="8" t="b">
        <f>IF(G154="隔週A", MOD(INT(('26414_編集版'!$B$1-DATE(2026,4,14))/7), 2)=1, IF(G154="隔週B", MOD(INT(('26414_編集版'!$B$1-DATE(2026,4,14))/7), 2)=0, FALSE))</f>
        <v>0</v>
      </c>
      <c r="R154" s="8"/>
      <c r="S154" s="8"/>
      <c r="T154" s="8"/>
    </row>
    <row r="155" ht="17.25" customHeight="1">
      <c r="A155" s="54" t="s">
        <v>181</v>
      </c>
      <c r="B155" s="34">
        <v>14.0</v>
      </c>
      <c r="C155" s="71"/>
      <c r="D155" s="71"/>
      <c r="E155" s="71" t="s">
        <v>336</v>
      </c>
      <c r="F155" s="8">
        <v>1.4</v>
      </c>
      <c r="G155" s="8" t="s">
        <v>241</v>
      </c>
      <c r="H155" s="41"/>
      <c r="I155" s="8" t="s">
        <v>156</v>
      </c>
      <c r="J155" s="8"/>
      <c r="K155" s="8"/>
      <c r="L155" s="59"/>
      <c r="M155" s="71"/>
      <c r="N155" s="8"/>
      <c r="O155" s="8" t="s">
        <v>256</v>
      </c>
      <c r="P155" s="8" t="s">
        <v>223</v>
      </c>
      <c r="Q155" s="8" t="b">
        <f>IF(G155="隔週A", MOD(INT(('26414_編集版'!$B$1-DATE(2026,4,14))/7), 2)=1, IF(G155="隔週B", MOD(INT(('26414_編集版'!$B$1-DATE(2026,4,14))/7), 2)=0, FALSE))</f>
        <v>0</v>
      </c>
      <c r="R155" s="8"/>
      <c r="S155" s="8"/>
      <c r="T155" s="8"/>
    </row>
    <row r="156" ht="17.25" customHeight="1">
      <c r="A156" s="54" t="s">
        <v>181</v>
      </c>
      <c r="B156" s="34">
        <v>14.0</v>
      </c>
      <c r="C156" s="71"/>
      <c r="D156" s="71"/>
      <c r="E156" s="71" t="s">
        <v>337</v>
      </c>
      <c r="F156" s="55">
        <v>0.5</v>
      </c>
      <c r="G156" s="8" t="s">
        <v>241</v>
      </c>
      <c r="H156" s="41"/>
      <c r="I156" s="8" t="s">
        <v>156</v>
      </c>
      <c r="J156" s="8"/>
      <c r="K156" s="8"/>
      <c r="L156" s="59"/>
      <c r="M156" s="71"/>
      <c r="N156" s="8"/>
      <c r="O156" s="8" t="s">
        <v>256</v>
      </c>
      <c r="P156" s="8" t="s">
        <v>223</v>
      </c>
      <c r="Q156" s="8" t="b">
        <f>IF(G156="隔週A", MOD(INT(('26414_編集版'!$B$1-DATE(2026,4,14))/7), 2)=1, IF(G156="隔週B", MOD(INT(('26414_編集版'!$B$1-DATE(2026,4,14))/7), 2)=0, FALSE))</f>
        <v>0</v>
      </c>
      <c r="R156" s="8"/>
      <c r="S156" s="8"/>
      <c r="T156" s="8"/>
    </row>
    <row r="157" ht="17.25" customHeight="1">
      <c r="A157" s="54" t="s">
        <v>181</v>
      </c>
      <c r="B157" s="34">
        <v>14.0</v>
      </c>
      <c r="C157" s="58"/>
      <c r="D157" s="58"/>
      <c r="E157" s="58" t="s">
        <v>338</v>
      </c>
      <c r="F157" s="66">
        <v>0.7</v>
      </c>
      <c r="G157" s="8" t="s">
        <v>241</v>
      </c>
      <c r="H157" s="41"/>
      <c r="I157" s="58" t="s">
        <v>156</v>
      </c>
      <c r="J157" s="58"/>
      <c r="K157" s="58"/>
      <c r="L157" s="59"/>
      <c r="M157" s="58"/>
      <c r="N157" s="8"/>
      <c r="O157" s="8" t="s">
        <v>244</v>
      </c>
      <c r="P157" s="56"/>
      <c r="Q157" s="8" t="b">
        <f>IF(G157="隔週A", MOD(INT(('26414_編集版'!$B$1-DATE(2026,4,14))/7), 2)=1, IF(G157="隔週B", MOD(INT(('26414_編集版'!$B$1-DATE(2026,4,14))/7), 2)=0, FALSE))</f>
        <v>0</v>
      </c>
      <c r="R157" s="8"/>
      <c r="S157" s="8"/>
      <c r="T157" s="8"/>
    </row>
    <row r="158" ht="17.25" customHeight="1">
      <c r="A158" s="54" t="s">
        <v>181</v>
      </c>
      <c r="B158" s="34">
        <v>14.0</v>
      </c>
      <c r="C158" s="58"/>
      <c r="D158" s="58"/>
      <c r="E158" s="58" t="s">
        <v>339</v>
      </c>
      <c r="F158" s="66">
        <v>0.7</v>
      </c>
      <c r="G158" s="8" t="s">
        <v>241</v>
      </c>
      <c r="H158" s="41"/>
      <c r="I158" s="58" t="s">
        <v>156</v>
      </c>
      <c r="J158" s="58"/>
      <c r="K158" s="58"/>
      <c r="L158" s="59"/>
      <c r="M158" s="58"/>
      <c r="N158" s="8"/>
      <c r="O158" s="8" t="s">
        <v>244</v>
      </c>
      <c r="P158" s="56"/>
      <c r="Q158" s="8" t="b">
        <f>IF(G158="隔週A", MOD(INT(('26414_編集版'!$B$1-DATE(2026,4,14))/7), 2)=1, IF(G158="隔週B", MOD(INT(('26414_編集版'!$B$1-DATE(2026,4,14))/7), 2)=0, FALSE))</f>
        <v>0</v>
      </c>
      <c r="R158" s="8"/>
      <c r="S158" s="8"/>
      <c r="T158" s="8"/>
    </row>
    <row r="159" ht="17.25" customHeight="1">
      <c r="A159" s="54" t="s">
        <v>181</v>
      </c>
      <c r="B159" s="34">
        <v>14.0</v>
      </c>
      <c r="C159" s="58"/>
      <c r="D159" s="58"/>
      <c r="E159" s="58" t="s">
        <v>340</v>
      </c>
      <c r="F159" s="55">
        <v>1.9</v>
      </c>
      <c r="G159" s="8" t="s">
        <v>241</v>
      </c>
      <c r="H159" s="41"/>
      <c r="I159" s="58" t="s">
        <v>156</v>
      </c>
      <c r="J159" s="58"/>
      <c r="K159" s="58"/>
      <c r="L159" s="59"/>
      <c r="M159" s="58"/>
      <c r="N159" s="8"/>
      <c r="O159" s="8" t="s">
        <v>244</v>
      </c>
      <c r="P159" s="56"/>
      <c r="Q159" s="8" t="b">
        <f>IF(G159="隔週A", MOD(INT(('26414_編集版'!$B$1-DATE(2026,4,14))/7), 2)=1, IF(G159="隔週B", MOD(INT(('26414_編集版'!$B$1-DATE(2026,4,14))/7), 2)=0, FALSE))</f>
        <v>0</v>
      </c>
      <c r="R159" s="8"/>
      <c r="S159" s="8"/>
      <c r="T159" s="8"/>
    </row>
    <row r="160" ht="17.25" customHeight="1">
      <c r="A160" s="54" t="s">
        <v>181</v>
      </c>
      <c r="B160" s="34">
        <v>14.0</v>
      </c>
      <c r="C160" s="58"/>
      <c r="D160" s="58"/>
      <c r="E160" s="58" t="s">
        <v>341</v>
      </c>
      <c r="F160" s="66">
        <v>1.0</v>
      </c>
      <c r="G160" s="8" t="s">
        <v>241</v>
      </c>
      <c r="H160" s="41"/>
      <c r="I160" s="58" t="s">
        <v>156</v>
      </c>
      <c r="J160" s="58"/>
      <c r="K160" s="58"/>
      <c r="L160" s="59"/>
      <c r="M160" s="58"/>
      <c r="N160" s="8"/>
      <c r="O160" s="8" t="s">
        <v>244</v>
      </c>
      <c r="P160" s="56"/>
      <c r="Q160" s="8" t="b">
        <f>IF(G160="隔週A", MOD(INT(('26414_編集版'!$B$1-DATE(2026,4,14))/7), 2)=1, IF(G160="隔週B", MOD(INT(('26414_編集版'!$B$1-DATE(2026,4,14))/7), 2)=0, FALSE))</f>
        <v>0</v>
      </c>
      <c r="R160" s="8"/>
      <c r="S160" s="8"/>
      <c r="T160" s="8"/>
    </row>
    <row r="161" ht="17.25" customHeight="1">
      <c r="A161" s="54" t="s">
        <v>181</v>
      </c>
      <c r="B161" s="34">
        <v>15.0</v>
      </c>
      <c r="C161" s="58"/>
      <c r="D161" s="58"/>
      <c r="E161" s="58" t="s">
        <v>342</v>
      </c>
      <c r="F161" s="56">
        <v>0.2</v>
      </c>
      <c r="G161" s="8" t="s">
        <v>241</v>
      </c>
      <c r="H161" s="41"/>
      <c r="I161" s="58" t="s">
        <v>156</v>
      </c>
      <c r="J161" s="58"/>
      <c r="K161" s="58"/>
      <c r="L161" s="59"/>
      <c r="M161" s="58"/>
      <c r="N161" s="8"/>
      <c r="O161" s="8" t="s">
        <v>244</v>
      </c>
      <c r="P161" s="77"/>
      <c r="Q161" s="8" t="b">
        <f>IF(G161="隔週A", MOD(INT(('26414_編集版'!$B$1-DATE(2026,4,14))/7), 2)=1, IF(G161="隔週B", MOD(INT(('26414_編集版'!$B$1-DATE(2026,4,14))/7), 2)=0, FALSE))</f>
        <v>0</v>
      </c>
      <c r="R161" s="8"/>
      <c r="S161" s="8"/>
      <c r="T161" s="8"/>
    </row>
    <row r="162" ht="17.25" customHeight="1">
      <c r="A162" s="54" t="s">
        <v>181</v>
      </c>
      <c r="B162" s="34">
        <v>15.0</v>
      </c>
      <c r="C162" s="58"/>
      <c r="D162" s="58"/>
      <c r="E162" s="58" t="s">
        <v>343</v>
      </c>
      <c r="F162" s="58">
        <v>0.2</v>
      </c>
      <c r="G162" s="8" t="s">
        <v>241</v>
      </c>
      <c r="H162" s="41"/>
      <c r="I162" s="58" t="s">
        <v>156</v>
      </c>
      <c r="J162" s="58"/>
      <c r="K162" s="58"/>
      <c r="L162" s="59"/>
      <c r="M162" s="58"/>
      <c r="N162" s="8"/>
      <c r="O162" s="8" t="s">
        <v>244</v>
      </c>
      <c r="P162" s="8"/>
      <c r="Q162" s="8" t="b">
        <f>IF(G162="隔週A", MOD(INT(('26414_編集版'!$B$1-DATE(2026,4,14))/7), 2)=1, IF(G162="隔週B", MOD(INT(('26414_編集版'!$B$1-DATE(2026,4,14))/7), 2)=0, FALSE))</f>
        <v>0</v>
      </c>
      <c r="R162" s="8"/>
      <c r="S162" s="8"/>
      <c r="T162" s="8"/>
    </row>
    <row r="163" ht="17.25" customHeight="1">
      <c r="A163" s="54" t="s">
        <v>181</v>
      </c>
      <c r="B163" s="8">
        <v>16.0</v>
      </c>
      <c r="C163" s="66"/>
      <c r="D163" s="66"/>
      <c r="E163" s="66" t="s">
        <v>344</v>
      </c>
      <c r="F163" s="56">
        <v>1.7</v>
      </c>
      <c r="G163" s="8" t="s">
        <v>241</v>
      </c>
      <c r="H163" s="74"/>
      <c r="I163" s="58" t="s">
        <v>156</v>
      </c>
      <c r="J163" s="58"/>
      <c r="K163" s="58"/>
      <c r="L163" s="59"/>
      <c r="M163" s="66"/>
      <c r="N163" s="58"/>
      <c r="O163" s="58" t="s">
        <v>244</v>
      </c>
      <c r="P163" s="56"/>
      <c r="Q163" s="8" t="b">
        <f>IF(G163="隔週A", MOD(INT(('26414_編集版'!$B$1-DATE(2026,4,14))/7), 2)=1, IF(G163="隔週B", MOD(INT(('26414_編集版'!$B$1-DATE(2026,4,14))/7), 2)=0, FALSE))</f>
        <v>0</v>
      </c>
      <c r="R163" s="8"/>
      <c r="S163" s="8"/>
      <c r="T163" s="8"/>
    </row>
    <row r="164" ht="17.25" customHeight="1">
      <c r="A164" s="54" t="s">
        <v>181</v>
      </c>
      <c r="B164" s="8">
        <v>16.0</v>
      </c>
      <c r="C164" s="66"/>
      <c r="D164" s="66"/>
      <c r="E164" s="66" t="s">
        <v>345</v>
      </c>
      <c r="F164" s="58">
        <v>3.0</v>
      </c>
      <c r="G164" s="8" t="s">
        <v>241</v>
      </c>
      <c r="H164" s="74"/>
      <c r="I164" s="67" t="s">
        <v>156</v>
      </c>
      <c r="J164" s="67"/>
      <c r="K164" s="67"/>
      <c r="L164" s="59"/>
      <c r="M164" s="66"/>
      <c r="N164" s="58"/>
      <c r="O164" s="58" t="s">
        <v>244</v>
      </c>
      <c r="P164" s="86"/>
      <c r="Q164" s="8" t="b">
        <f>IF(G164="隔週A", MOD(INT(('26414_編集版'!$B$1-DATE(2026,4,14))/7), 2)=1, IF(G164="隔週B", MOD(INT(('26414_編集版'!$B$1-DATE(2026,4,14))/7), 2)=0, FALSE))</f>
        <v>0</v>
      </c>
      <c r="R164" s="8"/>
      <c r="S164" s="8"/>
      <c r="T164" s="8"/>
    </row>
    <row r="165" ht="17.25" customHeight="1">
      <c r="A165" s="54" t="s">
        <v>181</v>
      </c>
      <c r="B165" s="8">
        <v>16.0</v>
      </c>
      <c r="C165" s="66"/>
      <c r="D165" s="66"/>
      <c r="E165" s="66" t="s">
        <v>346</v>
      </c>
      <c r="F165" s="58">
        <v>1.0</v>
      </c>
      <c r="G165" s="8" t="s">
        <v>241</v>
      </c>
      <c r="H165" s="74"/>
      <c r="I165" s="67" t="s">
        <v>156</v>
      </c>
      <c r="J165" s="67"/>
      <c r="K165" s="67"/>
      <c r="L165" s="59"/>
      <c r="M165" s="66"/>
      <c r="N165" s="58"/>
      <c r="O165" s="58" t="s">
        <v>244</v>
      </c>
      <c r="P165" s="86"/>
      <c r="Q165" s="8" t="b">
        <f>IF(G165="隔週A", MOD(INT(('26414_編集版'!$B$1-DATE(2026,4,14))/7), 2)=1, IF(G165="隔週B", MOD(INT(('26414_編集版'!$B$1-DATE(2026,4,14))/7), 2)=0, FALSE))</f>
        <v>0</v>
      </c>
      <c r="R165" s="8"/>
      <c r="S165" s="8"/>
      <c r="T165" s="8"/>
    </row>
    <row r="166" ht="17.25" customHeight="1">
      <c r="A166" s="54" t="s">
        <v>181</v>
      </c>
      <c r="B166" s="8">
        <v>17.0</v>
      </c>
      <c r="C166" s="42"/>
      <c r="D166" s="42"/>
      <c r="E166" s="42" t="s">
        <v>347</v>
      </c>
      <c r="F166" s="8">
        <v>3.0</v>
      </c>
      <c r="G166" s="8" t="s">
        <v>241</v>
      </c>
      <c r="H166" s="41"/>
      <c r="I166" s="8" t="s">
        <v>151</v>
      </c>
      <c r="J166" s="8"/>
      <c r="K166" s="8"/>
      <c r="L166" s="59"/>
      <c r="M166" s="42"/>
      <c r="N166" s="8"/>
      <c r="O166" s="8" t="s">
        <v>153</v>
      </c>
      <c r="P166" s="8" t="s">
        <v>158</v>
      </c>
      <c r="Q166" s="8" t="b">
        <f>IF(G166="隔週A", MOD(INT(('26414_編集版'!$B$1-DATE(2026,4,14))/7), 2)=1, IF(G166="隔週B", MOD(INT(('26414_編集版'!$B$1-DATE(2026,4,14))/7), 2)=0, FALSE))</f>
        <v>0</v>
      </c>
      <c r="R166" s="8"/>
      <c r="S166" s="8"/>
      <c r="T166" s="8"/>
    </row>
    <row r="167" ht="17.25" customHeight="1">
      <c r="A167" s="54" t="s">
        <v>181</v>
      </c>
      <c r="B167" s="8">
        <v>18.0</v>
      </c>
      <c r="C167" s="58"/>
      <c r="D167" s="58"/>
      <c r="E167" s="58" t="s">
        <v>348</v>
      </c>
      <c r="F167" s="56">
        <v>2.2</v>
      </c>
      <c r="G167" s="8" t="s">
        <v>241</v>
      </c>
      <c r="H167" s="74"/>
      <c r="I167" s="56" t="s">
        <v>242</v>
      </c>
      <c r="J167" s="58"/>
      <c r="K167" s="58"/>
      <c r="L167" s="87">
        <v>24436.0</v>
      </c>
      <c r="M167" s="88" t="s">
        <v>349</v>
      </c>
      <c r="N167" s="58"/>
      <c r="O167" s="58" t="s">
        <v>244</v>
      </c>
      <c r="P167" s="34"/>
      <c r="Q167" s="8" t="b">
        <f>IF(G167="隔週A", MOD(INT(('26414_編集版'!$B$1-DATE(2026,4,14))/7), 2)=1, IF(G167="隔週B", MOD(INT(('26414_編集版'!$B$1-DATE(2026,4,14))/7), 2)=0, FALSE))</f>
        <v>0</v>
      </c>
      <c r="R167" s="8"/>
      <c r="S167" s="8"/>
      <c r="T167" s="8"/>
    </row>
    <row r="168" ht="17.25" customHeight="1">
      <c r="A168" s="54" t="s">
        <v>181</v>
      </c>
      <c r="B168" s="8">
        <v>18.0</v>
      </c>
      <c r="C168" s="58"/>
      <c r="D168" s="58"/>
      <c r="E168" s="58" t="s">
        <v>350</v>
      </c>
      <c r="F168" s="58">
        <v>0.1</v>
      </c>
      <c r="G168" s="8" t="s">
        <v>241</v>
      </c>
      <c r="H168" s="41"/>
      <c r="I168" s="58" t="s">
        <v>156</v>
      </c>
      <c r="J168" s="58"/>
      <c r="K168" s="58"/>
      <c r="L168" s="59"/>
      <c r="M168" s="58"/>
      <c r="N168" s="8"/>
      <c r="O168" s="8" t="s">
        <v>244</v>
      </c>
      <c r="P168" s="77"/>
      <c r="Q168" s="8" t="b">
        <f>IF(G168="隔週A", MOD(INT(('26414_編集版'!$B$1-DATE(2026,4,14))/7), 2)=1, IF(G168="隔週B", MOD(INT(('26414_編集版'!$B$1-DATE(2026,4,14))/7), 2)=0, FALSE))</f>
        <v>0</v>
      </c>
      <c r="R168" s="8"/>
      <c r="S168" s="8"/>
      <c r="T168" s="8"/>
    </row>
    <row r="169" ht="17.25" customHeight="1">
      <c r="A169" s="54" t="s">
        <v>181</v>
      </c>
      <c r="B169" s="8">
        <v>18.0</v>
      </c>
      <c r="C169" s="58"/>
      <c r="D169" s="58"/>
      <c r="E169" s="58" t="s">
        <v>351</v>
      </c>
      <c r="F169" s="58">
        <v>0.1</v>
      </c>
      <c r="G169" s="8" t="s">
        <v>241</v>
      </c>
      <c r="H169" s="41"/>
      <c r="I169" s="67" t="s">
        <v>156</v>
      </c>
      <c r="J169" s="67"/>
      <c r="K169" s="67"/>
      <c r="L169" s="59"/>
      <c r="M169" s="58"/>
      <c r="N169" s="8"/>
      <c r="O169" s="8" t="s">
        <v>244</v>
      </c>
      <c r="P169" s="77"/>
      <c r="Q169" s="8" t="b">
        <f>IF(G169="隔週A", MOD(INT(('26414_編集版'!$B$1-DATE(2026,4,14))/7), 2)=1, IF(G169="隔週B", MOD(INT(('26414_編集版'!$B$1-DATE(2026,4,14))/7), 2)=0, FALSE))</f>
        <v>0</v>
      </c>
      <c r="R169" s="8"/>
      <c r="S169" s="8"/>
      <c r="T169" s="8"/>
    </row>
    <row r="170" ht="17.25" customHeight="1">
      <c r="A170" s="54" t="s">
        <v>181</v>
      </c>
      <c r="B170" s="8">
        <v>18.0</v>
      </c>
      <c r="C170" s="66"/>
      <c r="D170" s="66"/>
      <c r="E170" s="66" t="s">
        <v>352</v>
      </c>
      <c r="F170" s="58">
        <v>1.0</v>
      </c>
      <c r="G170" s="8" t="s">
        <v>241</v>
      </c>
      <c r="H170" s="41"/>
      <c r="I170" s="58" t="s">
        <v>156</v>
      </c>
      <c r="J170" s="58"/>
      <c r="K170" s="58"/>
      <c r="L170" s="59"/>
      <c r="M170" s="66"/>
      <c r="N170" s="8"/>
      <c r="O170" s="8" t="s">
        <v>244</v>
      </c>
      <c r="P170" s="77"/>
      <c r="Q170" s="8" t="b">
        <f>IF(G170="隔週A", MOD(INT(('26414_編集版'!$B$1-DATE(2026,4,14))/7), 2)=1, IF(G170="隔週B", MOD(INT(('26414_編集版'!$B$1-DATE(2026,4,14))/7), 2)=0, FALSE))</f>
        <v>0</v>
      </c>
      <c r="R170" s="8"/>
      <c r="S170" s="8"/>
      <c r="T170" s="8"/>
    </row>
    <row r="171" ht="17.25" customHeight="1">
      <c r="A171" s="54" t="s">
        <v>181</v>
      </c>
      <c r="B171" s="8">
        <v>18.0</v>
      </c>
      <c r="C171" s="66"/>
      <c r="D171" s="66"/>
      <c r="E171" s="66" t="s">
        <v>353</v>
      </c>
      <c r="F171" s="58">
        <v>0.2</v>
      </c>
      <c r="G171" s="8" t="s">
        <v>241</v>
      </c>
      <c r="H171" s="74"/>
      <c r="I171" s="58" t="s">
        <v>156</v>
      </c>
      <c r="J171" s="58"/>
      <c r="K171" s="58"/>
      <c r="L171" s="59"/>
      <c r="M171" s="66"/>
      <c r="N171" s="58"/>
      <c r="O171" s="58" t="s">
        <v>244</v>
      </c>
      <c r="P171" s="86"/>
      <c r="Q171" s="8" t="b">
        <f>IF(G171="隔週A", MOD(INT(('26414_編集版'!$B$1-DATE(2026,4,14))/7), 2)=1, IF(G171="隔週B", MOD(INT(('26414_編集版'!$B$1-DATE(2026,4,14))/7), 2)=0, FALSE))</f>
        <v>0</v>
      </c>
      <c r="R171" s="8"/>
      <c r="S171" s="8"/>
      <c r="T171" s="8"/>
    </row>
    <row r="172" ht="17.25" customHeight="1">
      <c r="A172" s="54" t="s">
        <v>181</v>
      </c>
      <c r="B172" s="8">
        <v>19.0</v>
      </c>
      <c r="C172" s="89"/>
      <c r="D172" s="89"/>
      <c r="E172" s="89" t="s">
        <v>354</v>
      </c>
      <c r="F172" s="89">
        <v>0.4</v>
      </c>
      <c r="G172" s="8" t="s">
        <v>241</v>
      </c>
      <c r="H172" s="90"/>
      <c r="I172" s="56" t="s">
        <v>242</v>
      </c>
      <c r="J172" s="89"/>
      <c r="K172" s="89"/>
      <c r="L172" s="91">
        <v>24936.0</v>
      </c>
      <c r="M172" s="92" t="s">
        <v>355</v>
      </c>
      <c r="N172" s="89"/>
      <c r="O172" s="89" t="s">
        <v>244</v>
      </c>
      <c r="P172" s="93"/>
      <c r="Q172" s="8" t="b">
        <f>IF(G172="隔週A", MOD(INT(('26414_編集版'!$B$1-DATE(2026,4,14))/7), 2)=1, IF(G172="隔週B", MOD(INT(('26414_編集版'!$B$1-DATE(2026,4,14))/7), 2)=0, FALSE))</f>
        <v>0</v>
      </c>
      <c r="R172" s="8"/>
      <c r="S172" s="8"/>
      <c r="T172" s="8"/>
    </row>
    <row r="173" ht="17.25" customHeight="1">
      <c r="A173" s="54" t="s">
        <v>181</v>
      </c>
      <c r="B173" s="8">
        <v>19.0</v>
      </c>
      <c r="C173" s="58"/>
      <c r="D173" s="58"/>
      <c r="E173" s="58" t="s">
        <v>356</v>
      </c>
      <c r="F173" s="58">
        <v>0.7</v>
      </c>
      <c r="G173" s="8" t="s">
        <v>241</v>
      </c>
      <c r="H173" s="61"/>
      <c r="I173" s="58" t="s">
        <v>156</v>
      </c>
      <c r="J173" s="58"/>
      <c r="K173" s="58"/>
      <c r="L173" s="59"/>
      <c r="M173" s="58"/>
      <c r="N173" s="56"/>
      <c r="O173" s="56" t="s">
        <v>154</v>
      </c>
      <c r="P173" s="56" t="s">
        <v>158</v>
      </c>
      <c r="Q173" s="8" t="b">
        <f>IF(G173="隔週A", MOD(INT(('26414_編集版'!$B$1-DATE(2026,4,14))/7), 2)=1, IF(G173="隔週B", MOD(INT(('26414_編集版'!$B$1-DATE(2026,4,14))/7), 2)=0, FALSE))</f>
        <v>0</v>
      </c>
      <c r="R173" s="8"/>
      <c r="S173" s="8"/>
      <c r="T173" s="8"/>
    </row>
    <row r="174" ht="17.25" customHeight="1">
      <c r="A174" s="54" t="s">
        <v>181</v>
      </c>
      <c r="B174" s="8">
        <v>19.0</v>
      </c>
      <c r="C174" s="66"/>
      <c r="D174" s="66"/>
      <c r="E174" s="66" t="s">
        <v>357</v>
      </c>
      <c r="F174" s="58">
        <v>1.0</v>
      </c>
      <c r="G174" s="8" t="s">
        <v>241</v>
      </c>
      <c r="H174" s="74"/>
      <c r="I174" s="58" t="s">
        <v>156</v>
      </c>
      <c r="J174" s="58"/>
      <c r="K174" s="58"/>
      <c r="L174" s="59"/>
      <c r="M174" s="66"/>
      <c r="N174" s="58"/>
      <c r="O174" s="58" t="s">
        <v>244</v>
      </c>
      <c r="P174" s="93"/>
      <c r="Q174" s="8" t="b">
        <f>IF(G174="隔週A", MOD(INT(('26414_編集版'!$B$1-DATE(2026,4,14))/7), 2)=1, IF(G174="隔週B", MOD(INT(('26414_編集版'!$B$1-DATE(2026,4,14))/7), 2)=0, FALSE))</f>
        <v>0</v>
      </c>
      <c r="R174" s="8"/>
      <c r="S174" s="8"/>
      <c r="T174" s="8"/>
    </row>
    <row r="175" ht="17.25" customHeight="1">
      <c r="A175" s="54" t="s">
        <v>181</v>
      </c>
      <c r="B175" s="8">
        <v>19.0</v>
      </c>
      <c r="C175" s="58"/>
      <c r="D175" s="58"/>
      <c r="E175" s="58" t="s">
        <v>358</v>
      </c>
      <c r="F175" s="58">
        <v>0.4</v>
      </c>
      <c r="G175" s="8" t="s">
        <v>241</v>
      </c>
      <c r="H175" s="79"/>
      <c r="I175" s="58" t="s">
        <v>156</v>
      </c>
      <c r="J175" s="58"/>
      <c r="K175" s="58"/>
      <c r="L175" s="59"/>
      <c r="M175" s="58"/>
      <c r="N175" s="69"/>
      <c r="O175" s="56" t="s">
        <v>154</v>
      </c>
      <c r="P175" s="58" t="s">
        <v>153</v>
      </c>
      <c r="Q175" s="8" t="b">
        <f>IF(G175="隔週A", MOD(INT(('26414_編集版'!$B$1-DATE(2026,4,14))/7), 2)=1, IF(G175="隔週B", MOD(INT(('26414_編集版'!$B$1-DATE(2026,4,14))/7), 2)=0, FALSE))</f>
        <v>0</v>
      </c>
      <c r="R175" s="8"/>
      <c r="S175" s="8"/>
      <c r="T175" s="8"/>
    </row>
    <row r="176" ht="17.25" customHeight="1">
      <c r="A176" s="54" t="s">
        <v>181</v>
      </c>
      <c r="B176" s="8">
        <v>20.0</v>
      </c>
      <c r="C176" s="58"/>
      <c r="D176" s="58"/>
      <c r="E176" s="58" t="s">
        <v>359</v>
      </c>
      <c r="F176" s="58">
        <v>2.0</v>
      </c>
      <c r="G176" s="8" t="s">
        <v>241</v>
      </c>
      <c r="H176" s="74"/>
      <c r="I176" s="58" t="s">
        <v>156</v>
      </c>
      <c r="J176" s="58"/>
      <c r="K176" s="58"/>
      <c r="L176" s="59"/>
      <c r="M176" s="58"/>
      <c r="N176" s="58"/>
      <c r="O176" s="58" t="s">
        <v>244</v>
      </c>
      <c r="P176" s="86"/>
      <c r="Q176" s="8" t="b">
        <f>IF(G176="隔週A", MOD(INT(('26414_編集版'!$B$1-DATE(2026,4,14))/7), 2)=1, IF(G176="隔週B", MOD(INT(('26414_編集版'!$B$1-DATE(2026,4,14))/7), 2)=0, FALSE))</f>
        <v>0</v>
      </c>
      <c r="R176" s="8"/>
      <c r="S176" s="8"/>
      <c r="T176" s="8"/>
    </row>
    <row r="177" ht="17.25" customHeight="1">
      <c r="A177" s="54" t="s">
        <v>181</v>
      </c>
      <c r="B177" s="8">
        <v>20.0</v>
      </c>
      <c r="C177" s="58"/>
      <c r="D177" s="58"/>
      <c r="E177" s="58" t="s">
        <v>360</v>
      </c>
      <c r="F177" s="58">
        <v>1.0</v>
      </c>
      <c r="G177" s="8" t="s">
        <v>241</v>
      </c>
      <c r="H177" s="74"/>
      <c r="I177" s="58" t="s">
        <v>156</v>
      </c>
      <c r="J177" s="58"/>
      <c r="K177" s="58"/>
      <c r="L177" s="59"/>
      <c r="M177" s="58"/>
      <c r="N177" s="58"/>
      <c r="O177" s="58" t="s">
        <v>244</v>
      </c>
      <c r="P177" s="86"/>
      <c r="Q177" s="8" t="b">
        <f>IF(G177="隔週A", MOD(INT(('26414_編集版'!$B$1-DATE(2026,4,14))/7), 2)=1, IF(G177="隔週B", MOD(INT(('26414_編集版'!$B$1-DATE(2026,4,14))/7), 2)=0, FALSE))</f>
        <v>0</v>
      </c>
      <c r="R177" s="8"/>
      <c r="S177" s="8"/>
      <c r="T177" s="8"/>
    </row>
    <row r="178" ht="17.25" customHeight="1">
      <c r="A178" s="54" t="s">
        <v>181</v>
      </c>
      <c r="B178" s="8">
        <v>20.0</v>
      </c>
      <c r="C178" s="66"/>
      <c r="D178" s="66"/>
      <c r="E178" s="66" t="s">
        <v>361</v>
      </c>
      <c r="F178" s="58">
        <v>1.6</v>
      </c>
      <c r="G178" s="8" t="s">
        <v>241</v>
      </c>
      <c r="H178" s="74"/>
      <c r="I178" s="67" t="s">
        <v>156</v>
      </c>
      <c r="J178" s="67"/>
      <c r="K178" s="67"/>
      <c r="L178" s="59"/>
      <c r="M178" s="66"/>
      <c r="N178" s="58"/>
      <c r="O178" s="58" t="s">
        <v>244</v>
      </c>
      <c r="P178" s="77"/>
      <c r="Q178" s="8" t="b">
        <f>IF(G178="隔週A", MOD(INT(('26414_編集版'!$B$1-DATE(2026,4,14))/7), 2)=1, IF(G178="隔週B", MOD(INT(('26414_編集版'!$B$1-DATE(2026,4,14))/7), 2)=0, FALSE))</f>
        <v>0</v>
      </c>
      <c r="R178" s="8"/>
      <c r="S178" s="8"/>
      <c r="T178" s="8"/>
    </row>
    <row r="179" ht="17.25" customHeight="1">
      <c r="A179" s="54" t="s">
        <v>181</v>
      </c>
      <c r="B179" s="8">
        <v>20.0</v>
      </c>
      <c r="C179" s="58"/>
      <c r="D179" s="58"/>
      <c r="E179" s="58" t="s">
        <v>362</v>
      </c>
      <c r="F179" s="58">
        <v>0.4</v>
      </c>
      <c r="G179" s="8" t="s">
        <v>241</v>
      </c>
      <c r="H179" s="74"/>
      <c r="I179" s="67" t="s">
        <v>156</v>
      </c>
      <c r="J179" s="67"/>
      <c r="K179" s="67"/>
      <c r="L179" s="59"/>
      <c r="M179" s="58"/>
      <c r="N179" s="58"/>
      <c r="O179" s="58" t="s">
        <v>244</v>
      </c>
      <c r="P179" s="8"/>
      <c r="Q179" s="8" t="b">
        <f>IF(G179="隔週A", MOD(INT(('26414_編集版'!$B$1-DATE(2026,4,14))/7), 2)=1, IF(G179="隔週B", MOD(INT(('26414_編集版'!$B$1-DATE(2026,4,14))/7), 2)=0, FALSE))</f>
        <v>0</v>
      </c>
      <c r="R179" s="8"/>
      <c r="S179" s="8"/>
      <c r="T179" s="8"/>
    </row>
    <row r="180" ht="17.25" customHeight="1">
      <c r="A180" s="54" t="s">
        <v>181</v>
      </c>
      <c r="B180" s="8">
        <v>20.0</v>
      </c>
      <c r="C180" s="66"/>
      <c r="D180" s="66"/>
      <c r="E180" s="66" t="s">
        <v>285</v>
      </c>
      <c r="F180" s="58">
        <v>0.1</v>
      </c>
      <c r="G180" s="8" t="s">
        <v>241</v>
      </c>
      <c r="H180" s="74"/>
      <c r="I180" s="58" t="s">
        <v>156</v>
      </c>
      <c r="J180" s="58"/>
      <c r="K180" s="58"/>
      <c r="L180" s="59"/>
      <c r="M180" s="66"/>
      <c r="N180" s="58"/>
      <c r="O180" s="58" t="s">
        <v>223</v>
      </c>
      <c r="P180" s="58" t="s">
        <v>200</v>
      </c>
      <c r="Q180" s="8" t="b">
        <f>IF(G180="隔週A", MOD(INT(('26414_編集版'!$B$1-DATE(2026,4,14))/7), 2)=1, IF(G180="隔週B", MOD(INT(('26414_編集版'!$B$1-DATE(2026,4,14))/7), 2)=0, FALSE))</f>
        <v>0</v>
      </c>
      <c r="R180" s="8"/>
      <c r="S180" s="8"/>
      <c r="T180" s="8"/>
    </row>
    <row r="181" ht="17.25" customHeight="1">
      <c r="A181" s="54" t="s">
        <v>181</v>
      </c>
      <c r="B181" s="8">
        <v>20.0</v>
      </c>
      <c r="C181" s="66"/>
      <c r="D181" s="66"/>
      <c r="E181" s="66" t="s">
        <v>363</v>
      </c>
      <c r="F181" s="58">
        <v>0.2</v>
      </c>
      <c r="G181" s="8" t="s">
        <v>241</v>
      </c>
      <c r="H181" s="74"/>
      <c r="I181" s="67" t="s">
        <v>156</v>
      </c>
      <c r="J181" s="67"/>
      <c r="K181" s="67"/>
      <c r="L181" s="59"/>
      <c r="M181" s="66"/>
      <c r="N181" s="58"/>
      <c r="O181" s="58" t="s">
        <v>244</v>
      </c>
      <c r="P181" s="77"/>
      <c r="Q181" s="8" t="b">
        <f>IF(G181="隔週A", MOD(INT(('26414_編集版'!$B$1-DATE(2026,4,14))/7), 2)=1, IF(G181="隔週B", MOD(INT(('26414_編集版'!$B$1-DATE(2026,4,14))/7), 2)=0, FALSE))</f>
        <v>0</v>
      </c>
      <c r="R181" s="8"/>
      <c r="S181" s="8"/>
      <c r="T181" s="8"/>
    </row>
    <row r="182" ht="17.25" customHeight="1">
      <c r="A182" s="54" t="s">
        <v>181</v>
      </c>
      <c r="B182" s="8">
        <v>21.0</v>
      </c>
      <c r="C182" s="35"/>
      <c r="D182" s="35"/>
      <c r="E182" s="35" t="s">
        <v>364</v>
      </c>
      <c r="F182" s="8">
        <v>3.1</v>
      </c>
      <c r="G182" s="8" t="s">
        <v>241</v>
      </c>
      <c r="H182" s="74"/>
      <c r="I182" s="36" t="s">
        <v>156</v>
      </c>
      <c r="J182" s="36"/>
      <c r="K182" s="36"/>
      <c r="L182" s="59"/>
      <c r="M182" s="35"/>
      <c r="N182" s="58"/>
      <c r="O182" s="58" t="s">
        <v>244</v>
      </c>
      <c r="P182" s="56"/>
      <c r="Q182" s="8" t="b">
        <f>IF(G182="隔週A", MOD(INT(('26414_編集版'!$B$1-DATE(2026,4,14))/7), 2)=1, IF(G182="隔週B", MOD(INT(('26414_編集版'!$B$1-DATE(2026,4,14))/7), 2)=0, FALSE))</f>
        <v>0</v>
      </c>
      <c r="R182" s="8"/>
      <c r="S182" s="8"/>
      <c r="T182" s="8"/>
    </row>
    <row r="183" ht="17.25" customHeight="1">
      <c r="A183" s="54" t="s">
        <v>181</v>
      </c>
      <c r="B183" s="8">
        <v>21.0</v>
      </c>
      <c r="C183" s="35"/>
      <c r="D183" s="35"/>
      <c r="E183" s="35" t="s">
        <v>365</v>
      </c>
      <c r="F183" s="34">
        <v>0.8</v>
      </c>
      <c r="G183" s="8" t="s">
        <v>241</v>
      </c>
      <c r="H183" s="74"/>
      <c r="I183" s="67" t="s">
        <v>156</v>
      </c>
      <c r="J183" s="67"/>
      <c r="K183" s="67"/>
      <c r="L183" s="59"/>
      <c r="M183" s="35"/>
      <c r="N183" s="58"/>
      <c r="O183" s="58" t="s">
        <v>244</v>
      </c>
      <c r="P183" s="56"/>
      <c r="Q183" s="8" t="b">
        <f>IF(G183="隔週A", MOD(INT(('26414_編集版'!$B$1-DATE(2026,4,14))/7), 2)=1, IF(G183="隔週B", MOD(INT(('26414_編集版'!$B$1-DATE(2026,4,14))/7), 2)=0, FALSE))</f>
        <v>0</v>
      </c>
      <c r="R183" s="8"/>
      <c r="S183" s="8"/>
      <c r="T183" s="8"/>
    </row>
    <row r="184" ht="17.25" customHeight="1">
      <c r="A184" s="54" t="s">
        <v>181</v>
      </c>
      <c r="B184" s="8">
        <v>21.0</v>
      </c>
      <c r="C184" s="56"/>
      <c r="D184" s="56"/>
      <c r="E184" s="56" t="s">
        <v>288</v>
      </c>
      <c r="F184" s="36">
        <v>0.1</v>
      </c>
      <c r="G184" s="8" t="s">
        <v>241</v>
      </c>
      <c r="H184" s="41"/>
      <c r="I184" s="56" t="s">
        <v>156</v>
      </c>
      <c r="J184" s="56"/>
      <c r="K184" s="56"/>
      <c r="L184" s="59"/>
      <c r="M184" s="56"/>
      <c r="N184" s="8"/>
      <c r="O184" s="8" t="s">
        <v>244</v>
      </c>
      <c r="P184" s="36"/>
      <c r="Q184" s="8" t="b">
        <f>IF(G184="隔週A", MOD(INT(('26414_編集版'!$B$1-DATE(2026,4,14))/7), 2)=1, IF(G184="隔週B", MOD(INT(('26414_編集版'!$B$1-DATE(2026,4,14))/7), 2)=0, FALSE))</f>
        <v>0</v>
      </c>
      <c r="R184" s="8"/>
      <c r="S184" s="8"/>
      <c r="T184" s="8"/>
    </row>
    <row r="185" ht="17.25" customHeight="1">
      <c r="A185" s="54" t="s">
        <v>181</v>
      </c>
      <c r="B185" s="8">
        <v>21.0</v>
      </c>
      <c r="C185" s="58"/>
      <c r="D185" s="58"/>
      <c r="E185" s="58" t="s">
        <v>289</v>
      </c>
      <c r="F185" s="36">
        <v>0.1</v>
      </c>
      <c r="G185" s="8" t="s">
        <v>241</v>
      </c>
      <c r="H185" s="74"/>
      <c r="I185" s="58" t="s">
        <v>151</v>
      </c>
      <c r="J185" s="58"/>
      <c r="K185" s="58"/>
      <c r="L185" s="59"/>
      <c r="M185" s="58"/>
      <c r="N185" s="58"/>
      <c r="O185" s="58" t="s">
        <v>244</v>
      </c>
      <c r="P185" s="58"/>
      <c r="Q185" s="8" t="b">
        <f>IF(G185="隔週A", MOD(INT(('26414_編集版'!$B$1-DATE(2026,4,14))/7), 2)=1, IF(G185="隔週B", MOD(INT(('26414_編集版'!$B$1-DATE(2026,4,14))/7), 2)=0, FALSE))</f>
        <v>0</v>
      </c>
      <c r="R185" s="8"/>
      <c r="S185" s="8"/>
      <c r="T185" s="8"/>
    </row>
    <row r="186" ht="17.25" customHeight="1">
      <c r="A186" s="54" t="s">
        <v>184</v>
      </c>
      <c r="B186" s="8">
        <v>8.0</v>
      </c>
      <c r="C186" s="94"/>
      <c r="D186" s="94"/>
      <c r="E186" s="94" t="s">
        <v>366</v>
      </c>
      <c r="F186" s="8">
        <v>7.0</v>
      </c>
      <c r="G186" s="8" t="s">
        <v>241</v>
      </c>
      <c r="H186" s="41"/>
      <c r="I186" s="8" t="s">
        <v>156</v>
      </c>
      <c r="J186" s="8"/>
      <c r="K186" s="8"/>
      <c r="L186" s="59"/>
      <c r="M186" s="94"/>
      <c r="N186" s="8"/>
      <c r="O186" s="8" t="s">
        <v>256</v>
      </c>
      <c r="P186" s="8" t="s">
        <v>223</v>
      </c>
      <c r="Q186" s="8" t="b">
        <f>IF(G186="隔週A", MOD(INT(('26414_編集版'!$B$1-DATE(2026,4,14))/7), 2)=1, IF(G186="隔週B", MOD(INT(('26414_編集版'!$B$1-DATE(2026,4,14))/7), 2)=0, FALSE))</f>
        <v>0</v>
      </c>
      <c r="R186" s="8"/>
      <c r="S186" s="8"/>
      <c r="T186" s="8"/>
    </row>
    <row r="187" ht="17.25" customHeight="1">
      <c r="A187" s="54" t="s">
        <v>184</v>
      </c>
      <c r="B187" s="8">
        <v>8.0</v>
      </c>
      <c r="C187" s="82"/>
      <c r="D187" s="82"/>
      <c r="E187" s="82" t="s">
        <v>367</v>
      </c>
      <c r="F187" s="60">
        <v>0.4</v>
      </c>
      <c r="G187" s="8" t="s">
        <v>241</v>
      </c>
      <c r="H187" s="41"/>
      <c r="I187" s="8" t="s">
        <v>156</v>
      </c>
      <c r="J187" s="8"/>
      <c r="K187" s="8"/>
      <c r="L187" s="59"/>
      <c r="M187" s="82"/>
      <c r="N187" s="8"/>
      <c r="O187" s="8" t="s">
        <v>154</v>
      </c>
      <c r="P187" s="8" t="s">
        <v>153</v>
      </c>
      <c r="Q187" s="8" t="b">
        <f>IF(G187="隔週A", MOD(INT(('26414_編集版'!$B$1-DATE(2026,4,14))/7), 2)=1, IF(G187="隔週B", MOD(INT(('26414_編集版'!$B$1-DATE(2026,4,14))/7), 2)=0, FALSE))</f>
        <v>0</v>
      </c>
      <c r="R187" s="8"/>
      <c r="S187" s="8"/>
      <c r="T187" s="8"/>
    </row>
    <row r="188" ht="17.25" customHeight="1">
      <c r="A188" s="54" t="s">
        <v>184</v>
      </c>
      <c r="B188" s="8">
        <v>8.0</v>
      </c>
      <c r="C188" s="56"/>
      <c r="D188" s="56"/>
      <c r="E188" s="56" t="s">
        <v>245</v>
      </c>
      <c r="F188" s="56">
        <v>0.1</v>
      </c>
      <c r="G188" s="8" t="s">
        <v>241</v>
      </c>
      <c r="H188" s="41"/>
      <c r="I188" s="8" t="s">
        <v>156</v>
      </c>
      <c r="J188" s="8"/>
      <c r="K188" s="8"/>
      <c r="L188" s="59"/>
      <c r="M188" s="56"/>
      <c r="N188" s="8"/>
      <c r="O188" s="8" t="s">
        <v>244</v>
      </c>
      <c r="P188" s="77"/>
      <c r="Q188" s="8" t="b">
        <f>IF(G188="隔週A", MOD(INT(('26414_編集版'!$B$1-DATE(2026,4,14))/7), 2)=1, IF(G188="隔週B", MOD(INT(('26414_編集版'!$B$1-DATE(2026,4,14))/7), 2)=0, FALSE))</f>
        <v>0</v>
      </c>
      <c r="R188" s="8"/>
      <c r="S188" s="8"/>
      <c r="T188" s="8"/>
    </row>
    <row r="189" ht="17.25" customHeight="1">
      <c r="A189" s="54" t="s">
        <v>184</v>
      </c>
      <c r="B189" s="8">
        <v>9.0</v>
      </c>
      <c r="C189" s="42"/>
      <c r="D189" s="42"/>
      <c r="E189" s="42" t="s">
        <v>368</v>
      </c>
      <c r="F189" s="8">
        <v>0.3</v>
      </c>
      <c r="G189" s="8" t="s">
        <v>241</v>
      </c>
      <c r="H189" s="79"/>
      <c r="I189" s="8" t="s">
        <v>156</v>
      </c>
      <c r="J189" s="8"/>
      <c r="K189" s="8"/>
      <c r="L189" s="59"/>
      <c r="M189" s="42"/>
      <c r="N189" s="42"/>
      <c r="O189" s="8" t="s">
        <v>244</v>
      </c>
      <c r="P189" s="8"/>
      <c r="Q189" s="8" t="b">
        <f>IF(G189="隔週A", MOD(INT(('26414_編集版'!$B$1-DATE(2026,4,14))/7), 2)=1, IF(G189="隔週B", MOD(INT(('26414_編集版'!$B$1-DATE(2026,4,14))/7), 2)=0, FALSE))</f>
        <v>0</v>
      </c>
      <c r="R189" s="8"/>
      <c r="S189" s="8"/>
      <c r="T189" s="8"/>
    </row>
    <row r="190" ht="17.25" customHeight="1">
      <c r="A190" s="54" t="s">
        <v>184</v>
      </c>
      <c r="B190" s="8">
        <v>9.0</v>
      </c>
      <c r="C190" s="42"/>
      <c r="D190" s="42"/>
      <c r="E190" s="42" t="s">
        <v>369</v>
      </c>
      <c r="F190" s="8">
        <v>0.4</v>
      </c>
      <c r="G190" s="8" t="s">
        <v>241</v>
      </c>
      <c r="H190" s="41"/>
      <c r="I190" s="8" t="s">
        <v>156</v>
      </c>
      <c r="J190" s="8"/>
      <c r="K190" s="8"/>
      <c r="L190" s="59"/>
      <c r="M190" s="42"/>
      <c r="N190" s="8"/>
      <c r="O190" s="8" t="s">
        <v>244</v>
      </c>
      <c r="P190" s="8"/>
      <c r="Q190" s="8" t="b">
        <f>IF(G190="隔週A", MOD(INT(('26414_編集版'!$B$1-DATE(2026,4,14))/7), 2)=1, IF(G190="隔週B", MOD(INT(('26414_編集版'!$B$1-DATE(2026,4,14))/7), 2)=0, FALSE))</f>
        <v>0</v>
      </c>
      <c r="R190" s="8"/>
      <c r="S190" s="8"/>
      <c r="T190" s="8"/>
    </row>
    <row r="191" ht="17.25" customHeight="1">
      <c r="A191" s="54" t="s">
        <v>184</v>
      </c>
      <c r="B191" s="8">
        <v>9.0</v>
      </c>
      <c r="C191" s="42"/>
      <c r="D191" s="42"/>
      <c r="E191" s="42" t="s">
        <v>370</v>
      </c>
      <c r="F191" s="8">
        <v>0.4</v>
      </c>
      <c r="G191" s="8" t="s">
        <v>241</v>
      </c>
      <c r="H191" s="41"/>
      <c r="I191" s="8" t="s">
        <v>156</v>
      </c>
      <c r="J191" s="8"/>
      <c r="K191" s="8"/>
      <c r="L191" s="59"/>
      <c r="M191" s="42"/>
      <c r="N191" s="8"/>
      <c r="O191" s="8" t="s">
        <v>244</v>
      </c>
      <c r="P191" s="8"/>
      <c r="Q191" s="8" t="b">
        <f>IF(G191="隔週A", MOD(INT(('26414_編集版'!$B$1-DATE(2026,4,14))/7), 2)=1, IF(G191="隔週B", MOD(INT(('26414_編集版'!$B$1-DATE(2026,4,14))/7), 2)=0, FALSE))</f>
        <v>0</v>
      </c>
      <c r="R191" s="8"/>
      <c r="S191" s="8"/>
      <c r="T191" s="8"/>
    </row>
    <row r="192" ht="17.25" customHeight="1">
      <c r="A192" s="54" t="s">
        <v>184</v>
      </c>
      <c r="B192" s="8">
        <v>9.0</v>
      </c>
      <c r="C192" s="58"/>
      <c r="D192" s="58"/>
      <c r="E192" s="58" t="s">
        <v>371</v>
      </c>
      <c r="F192" s="56">
        <v>1.0</v>
      </c>
      <c r="G192" s="8" t="s">
        <v>241</v>
      </c>
      <c r="H192" s="41"/>
      <c r="I192" s="58" t="s">
        <v>156</v>
      </c>
      <c r="J192" s="58"/>
      <c r="K192" s="58"/>
      <c r="L192" s="59"/>
      <c r="M192" s="58"/>
      <c r="N192" s="8"/>
      <c r="O192" s="8" t="s">
        <v>244</v>
      </c>
      <c r="P192" s="8"/>
      <c r="Q192" s="8" t="b">
        <f>IF(G192="隔週A", MOD(INT(('26414_編集版'!$B$1-DATE(2026,4,14))/7), 2)=1, IF(G192="隔週B", MOD(INT(('26414_編集版'!$B$1-DATE(2026,4,14))/7), 2)=0, FALSE))</f>
        <v>0</v>
      </c>
      <c r="R192" s="8"/>
      <c r="S192" s="8"/>
      <c r="T192" s="8"/>
    </row>
    <row r="193" ht="17.25" customHeight="1">
      <c r="A193" s="54" t="s">
        <v>184</v>
      </c>
      <c r="B193" s="8">
        <v>9.0</v>
      </c>
      <c r="C193" s="8"/>
      <c r="D193" s="8"/>
      <c r="E193" s="8" t="s">
        <v>372</v>
      </c>
      <c r="F193" s="8">
        <v>1.1</v>
      </c>
      <c r="G193" s="8" t="s">
        <v>241</v>
      </c>
      <c r="H193" s="41"/>
      <c r="I193" s="56" t="s">
        <v>156</v>
      </c>
      <c r="J193" s="56"/>
      <c r="K193" s="56"/>
      <c r="L193" s="59"/>
      <c r="M193" s="8"/>
      <c r="N193" s="8"/>
      <c r="O193" s="8" t="s">
        <v>244</v>
      </c>
      <c r="P193" s="8"/>
      <c r="Q193" s="8" t="b">
        <f>IF(G193="隔週A", MOD(INT(('26414_編集版'!$B$1-DATE(2026,4,14))/7), 2)=1, IF(G193="隔週B", MOD(INT(('26414_編集版'!$B$1-DATE(2026,4,14))/7), 2)=0, FALSE))</f>
        <v>0</v>
      </c>
      <c r="R193" s="8"/>
      <c r="S193" s="8"/>
      <c r="T193" s="8"/>
    </row>
    <row r="194" ht="17.25" customHeight="1">
      <c r="A194" s="54" t="s">
        <v>184</v>
      </c>
      <c r="B194" s="8">
        <v>9.0</v>
      </c>
      <c r="C194" s="95"/>
      <c r="D194" s="95"/>
      <c r="E194" s="95" t="s">
        <v>373</v>
      </c>
      <c r="F194" s="58">
        <v>0.6</v>
      </c>
      <c r="G194" s="8" t="s">
        <v>241</v>
      </c>
      <c r="H194" s="74"/>
      <c r="I194" s="58" t="s">
        <v>156</v>
      </c>
      <c r="J194" s="58"/>
      <c r="K194" s="58"/>
      <c r="L194" s="59"/>
      <c r="M194" s="95"/>
      <c r="N194" s="58"/>
      <c r="O194" s="58" t="s">
        <v>244</v>
      </c>
      <c r="P194" s="58"/>
      <c r="Q194" s="8" t="b">
        <f>IF(G194="隔週A", MOD(INT(('26414_編集版'!$B$1-DATE(2026,4,14))/7), 2)=1, IF(G194="隔週B", MOD(INT(('26414_編集版'!$B$1-DATE(2026,4,14))/7), 2)=0, FALSE))</f>
        <v>0</v>
      </c>
      <c r="R194" s="8"/>
      <c r="S194" s="8"/>
      <c r="T194" s="8"/>
    </row>
    <row r="195" ht="17.25" customHeight="1">
      <c r="A195" s="54" t="s">
        <v>184</v>
      </c>
      <c r="B195" s="8">
        <v>10.0</v>
      </c>
      <c r="C195" s="42"/>
      <c r="D195" s="42"/>
      <c r="E195" s="42" t="s">
        <v>374</v>
      </c>
      <c r="F195" s="8">
        <v>2.3</v>
      </c>
      <c r="G195" s="8" t="s">
        <v>241</v>
      </c>
      <c r="H195" s="41"/>
      <c r="I195" s="56" t="s">
        <v>242</v>
      </c>
      <c r="J195" s="8"/>
      <c r="K195" s="8"/>
      <c r="L195" s="96">
        <v>24298.0</v>
      </c>
      <c r="M195" s="97" t="s">
        <v>375</v>
      </c>
      <c r="N195" s="8"/>
      <c r="O195" s="8" t="s">
        <v>244</v>
      </c>
      <c r="P195" s="56"/>
      <c r="Q195" s="8" t="b">
        <f>IF(G195="隔週A", MOD(INT(('26414_編集版'!$B$1-DATE(2026,4,14))/7), 2)=1, IF(G195="隔週B", MOD(INT(('26414_編集版'!$B$1-DATE(2026,4,14))/7), 2)=0, FALSE))</f>
        <v>0</v>
      </c>
      <c r="R195" s="8"/>
      <c r="S195" s="8"/>
      <c r="T195" s="8"/>
    </row>
    <row r="196" ht="17.25" customHeight="1">
      <c r="A196" s="54" t="s">
        <v>184</v>
      </c>
      <c r="B196" s="8">
        <v>10.0</v>
      </c>
      <c r="C196" s="55"/>
      <c r="D196" s="55"/>
      <c r="E196" s="55" t="s">
        <v>376</v>
      </c>
      <c r="F196" s="55">
        <v>0.6</v>
      </c>
      <c r="G196" s="8" t="s">
        <v>241</v>
      </c>
      <c r="H196" s="41"/>
      <c r="I196" s="56" t="s">
        <v>156</v>
      </c>
      <c r="J196" s="56"/>
      <c r="K196" s="56"/>
      <c r="L196" s="59"/>
      <c r="M196" s="55"/>
      <c r="N196" s="8"/>
      <c r="O196" s="8" t="s">
        <v>244</v>
      </c>
      <c r="P196" s="56"/>
      <c r="Q196" s="8" t="b">
        <f>IF(G196="隔週A", MOD(INT(('26414_編集版'!$B$1-DATE(2026,4,14))/7), 2)=1, IF(G196="隔週B", MOD(INT(('26414_編集版'!$B$1-DATE(2026,4,14))/7), 2)=0, FALSE))</f>
        <v>0</v>
      </c>
      <c r="R196" s="8"/>
      <c r="S196" s="8"/>
      <c r="T196" s="8"/>
    </row>
    <row r="197" ht="17.25" customHeight="1">
      <c r="A197" s="54" t="s">
        <v>184</v>
      </c>
      <c r="B197" s="8">
        <v>10.0</v>
      </c>
      <c r="C197" s="55"/>
      <c r="D197" s="55"/>
      <c r="E197" s="55" t="s">
        <v>377</v>
      </c>
      <c r="F197" s="55">
        <v>1.0</v>
      </c>
      <c r="G197" s="8" t="s">
        <v>241</v>
      </c>
      <c r="H197" s="41"/>
      <c r="I197" s="56" t="s">
        <v>156</v>
      </c>
      <c r="J197" s="56"/>
      <c r="K197" s="56"/>
      <c r="L197" s="59"/>
      <c r="M197" s="55"/>
      <c r="N197" s="8"/>
      <c r="O197" s="8" t="s">
        <v>244</v>
      </c>
      <c r="P197" s="8"/>
      <c r="Q197" s="8" t="b">
        <f>IF(G197="隔週A", MOD(INT(('26414_編集版'!$B$1-DATE(2026,4,14))/7), 2)=1, IF(G197="隔週B", MOD(INT(('26414_編集版'!$B$1-DATE(2026,4,14))/7), 2)=0, FALSE))</f>
        <v>0</v>
      </c>
      <c r="R197" s="8"/>
      <c r="S197" s="8"/>
      <c r="T197" s="8"/>
    </row>
    <row r="198" ht="17.25" customHeight="1">
      <c r="A198" s="54" t="s">
        <v>184</v>
      </c>
      <c r="B198" s="8">
        <v>11.0</v>
      </c>
      <c r="C198" s="42"/>
      <c r="D198" s="42"/>
      <c r="E198" s="42" t="s">
        <v>378</v>
      </c>
      <c r="F198" s="8">
        <v>1.1</v>
      </c>
      <c r="G198" s="8" t="s">
        <v>241</v>
      </c>
      <c r="H198" s="41"/>
      <c r="I198" s="40" t="s">
        <v>156</v>
      </c>
      <c r="J198" s="40"/>
      <c r="K198" s="40"/>
      <c r="L198" s="59"/>
      <c r="M198" s="42"/>
      <c r="N198" s="8"/>
      <c r="O198" s="8" t="s">
        <v>244</v>
      </c>
      <c r="P198" s="8"/>
      <c r="Q198" s="8" t="b">
        <f>IF(G198="隔週A", MOD(INT(('26414_編集版'!$B$1-DATE(2026,4,14))/7), 2)=1, IF(G198="隔週B", MOD(INT(('26414_編集版'!$B$1-DATE(2026,4,14))/7), 2)=0, FALSE))</f>
        <v>0</v>
      </c>
      <c r="R198" s="8"/>
      <c r="S198" s="8"/>
      <c r="T198" s="8"/>
    </row>
    <row r="199" ht="17.25" customHeight="1">
      <c r="A199" s="54" t="s">
        <v>184</v>
      </c>
      <c r="B199" s="8">
        <v>12.0</v>
      </c>
      <c r="C199" s="35"/>
      <c r="D199" s="35"/>
      <c r="E199" s="35" t="s">
        <v>379</v>
      </c>
      <c r="F199" s="8">
        <v>2.5</v>
      </c>
      <c r="G199" s="8" t="s">
        <v>241</v>
      </c>
      <c r="H199" s="41"/>
      <c r="I199" s="56" t="s">
        <v>242</v>
      </c>
      <c r="J199" s="8"/>
      <c r="K199" s="8"/>
      <c r="L199" s="96">
        <v>24336.0</v>
      </c>
      <c r="M199" s="98" t="s">
        <v>380</v>
      </c>
      <c r="N199" s="8"/>
      <c r="O199" s="8" t="s">
        <v>244</v>
      </c>
      <c r="P199" s="8"/>
      <c r="Q199" s="8" t="b">
        <f>IF(G199="隔週A", MOD(INT(('26414_編集版'!$B$1-DATE(2026,4,14))/7), 2)=1, IF(G199="隔週B", MOD(INT(('26414_編集版'!$B$1-DATE(2026,4,14))/7), 2)=0, FALSE))</f>
        <v>0</v>
      </c>
      <c r="R199" s="8"/>
      <c r="S199" s="8"/>
      <c r="T199" s="8"/>
    </row>
    <row r="200" ht="17.25" customHeight="1">
      <c r="A200" s="54" t="s">
        <v>184</v>
      </c>
      <c r="B200" s="8">
        <v>12.0</v>
      </c>
      <c r="C200" s="35"/>
      <c r="D200" s="35"/>
      <c r="E200" s="35" t="s">
        <v>381</v>
      </c>
      <c r="F200" s="8">
        <v>0.3</v>
      </c>
      <c r="G200" s="8" t="s">
        <v>241</v>
      </c>
      <c r="H200" s="41"/>
      <c r="I200" s="56" t="s">
        <v>242</v>
      </c>
      <c r="J200" s="8"/>
      <c r="K200" s="8"/>
      <c r="L200" s="99">
        <v>24356.0</v>
      </c>
      <c r="M200" s="98" t="s">
        <v>382</v>
      </c>
      <c r="N200" s="8"/>
      <c r="O200" s="8" t="s">
        <v>244</v>
      </c>
      <c r="P200" s="8"/>
      <c r="Q200" s="8" t="b">
        <f>IF(G200="隔週A", MOD(INT(('26414_編集版'!$B$1-DATE(2026,4,14))/7), 2)=1, IF(G200="隔週B", MOD(INT(('26414_編集版'!$B$1-DATE(2026,4,14))/7), 2)=0, FALSE))</f>
        <v>0</v>
      </c>
      <c r="R200" s="8"/>
      <c r="S200" s="8"/>
      <c r="T200" s="8"/>
    </row>
    <row r="201" ht="17.25" customHeight="1">
      <c r="A201" s="54" t="s">
        <v>184</v>
      </c>
      <c r="B201" s="8">
        <v>12.0</v>
      </c>
      <c r="C201" s="35"/>
      <c r="D201" s="35"/>
      <c r="E201" s="35" t="s">
        <v>383</v>
      </c>
      <c r="F201" s="8">
        <v>0.3</v>
      </c>
      <c r="G201" s="8" t="s">
        <v>241</v>
      </c>
      <c r="H201" s="41"/>
      <c r="I201" s="56" t="s">
        <v>242</v>
      </c>
      <c r="J201" s="8"/>
      <c r="K201" s="8"/>
      <c r="L201" s="99">
        <v>24358.0</v>
      </c>
      <c r="M201" s="98" t="s">
        <v>384</v>
      </c>
      <c r="N201" s="8"/>
      <c r="O201" s="8" t="s">
        <v>244</v>
      </c>
      <c r="P201" s="8"/>
      <c r="Q201" s="8" t="b">
        <f>IF(G201="隔週A", MOD(INT(('26414_編集版'!$B$1-DATE(2026,4,14))/7), 2)=1, IF(G201="隔週B", MOD(INT(('26414_編集版'!$B$1-DATE(2026,4,14))/7), 2)=0, FALSE))</f>
        <v>0</v>
      </c>
      <c r="R201" s="8"/>
      <c r="S201" s="8"/>
      <c r="T201" s="8"/>
    </row>
    <row r="202" ht="17.25" customHeight="1">
      <c r="A202" s="54" t="s">
        <v>184</v>
      </c>
      <c r="B202" s="8">
        <v>12.0</v>
      </c>
      <c r="C202" s="35"/>
      <c r="D202" s="35"/>
      <c r="E202" s="35" t="s">
        <v>385</v>
      </c>
      <c r="F202" s="8">
        <v>0.2</v>
      </c>
      <c r="G202" s="8" t="s">
        <v>241</v>
      </c>
      <c r="H202" s="70"/>
      <c r="I202" s="56" t="s">
        <v>242</v>
      </c>
      <c r="J202" s="8"/>
      <c r="K202" s="8"/>
      <c r="L202" s="99">
        <v>24876.0</v>
      </c>
      <c r="M202" s="98" t="s">
        <v>386</v>
      </c>
      <c r="N202" s="71"/>
      <c r="O202" s="8" t="s">
        <v>244</v>
      </c>
      <c r="P202" s="8"/>
      <c r="Q202" s="8" t="b">
        <f>IF(G202="隔週A", MOD(INT(('26414_編集版'!$B$1-DATE(2026,4,14))/7), 2)=1, IF(G202="隔週B", MOD(INT(('26414_編集版'!$B$1-DATE(2026,4,14))/7), 2)=0, FALSE))</f>
        <v>0</v>
      </c>
      <c r="R202" s="8"/>
      <c r="S202" s="8"/>
      <c r="T202" s="8"/>
    </row>
    <row r="203" ht="17.25" customHeight="1">
      <c r="A203" s="54" t="s">
        <v>184</v>
      </c>
      <c r="B203" s="8">
        <v>12.0</v>
      </c>
      <c r="C203" s="56"/>
      <c r="D203" s="56"/>
      <c r="E203" s="56" t="s">
        <v>387</v>
      </c>
      <c r="F203" s="8">
        <v>0.7</v>
      </c>
      <c r="G203" s="8" t="s">
        <v>241</v>
      </c>
      <c r="H203" s="41"/>
      <c r="I203" s="8" t="s">
        <v>156</v>
      </c>
      <c r="J203" s="8"/>
      <c r="K203" s="8"/>
      <c r="L203" s="59"/>
      <c r="M203" s="56"/>
      <c r="N203" s="8"/>
      <c r="O203" s="8" t="s">
        <v>244</v>
      </c>
      <c r="P203" s="8"/>
      <c r="Q203" s="8" t="b">
        <f>IF(G203="隔週A", MOD(INT(('26414_編集版'!$B$1-DATE(2026,4,14))/7), 2)=1, IF(G203="隔週B", MOD(INT(('26414_編集版'!$B$1-DATE(2026,4,14))/7), 2)=0, FALSE))</f>
        <v>0</v>
      </c>
      <c r="R203" s="8"/>
      <c r="S203" s="8"/>
      <c r="T203" s="8"/>
    </row>
    <row r="204" ht="17.25" customHeight="1">
      <c r="A204" s="54" t="s">
        <v>184</v>
      </c>
      <c r="B204" s="8">
        <v>12.0</v>
      </c>
      <c r="C204" s="42"/>
      <c r="D204" s="42"/>
      <c r="E204" s="42" t="s">
        <v>388</v>
      </c>
      <c r="F204" s="8">
        <v>0.7</v>
      </c>
      <c r="G204" s="8" t="s">
        <v>241</v>
      </c>
      <c r="H204" s="41"/>
      <c r="I204" s="8" t="s">
        <v>156</v>
      </c>
      <c r="J204" s="8"/>
      <c r="K204" s="8"/>
      <c r="L204" s="59"/>
      <c r="M204" s="42"/>
      <c r="N204" s="8"/>
      <c r="O204" s="8" t="s">
        <v>244</v>
      </c>
      <c r="P204" s="8"/>
      <c r="Q204" s="8" t="b">
        <f>IF(G204="隔週A", MOD(INT(('26414_編集版'!$B$1-DATE(2026,4,14))/7), 2)=1, IF(G204="隔週B", MOD(INT(('26414_編集版'!$B$1-DATE(2026,4,14))/7), 2)=0, FALSE))</f>
        <v>0</v>
      </c>
      <c r="R204" s="8"/>
      <c r="S204" s="8"/>
      <c r="T204" s="8"/>
    </row>
    <row r="205" ht="17.25" customHeight="1">
      <c r="A205" s="54" t="s">
        <v>184</v>
      </c>
      <c r="B205" s="8">
        <v>13.0</v>
      </c>
      <c r="C205" s="62"/>
      <c r="D205" s="62"/>
      <c r="E205" s="63" t="s">
        <v>389</v>
      </c>
      <c r="F205" s="8">
        <v>2.5</v>
      </c>
      <c r="G205" s="8" t="s">
        <v>241</v>
      </c>
      <c r="H205" s="41"/>
      <c r="I205" s="8" t="s">
        <v>156</v>
      </c>
      <c r="J205" s="8"/>
      <c r="K205" s="8"/>
      <c r="L205" s="59"/>
      <c r="M205" s="62"/>
      <c r="N205" s="8"/>
      <c r="O205" s="8" t="s">
        <v>256</v>
      </c>
      <c r="P205" s="8" t="s">
        <v>200</v>
      </c>
      <c r="Q205" s="8" t="b">
        <f>IF(G205="隔週A", MOD(INT(('26414_編集版'!$B$1-DATE(2026,4,14))/7), 2)=1, IF(G205="隔週B", MOD(INT(('26414_編集版'!$B$1-DATE(2026,4,14))/7), 2)=0, FALSE))</f>
        <v>0</v>
      </c>
      <c r="R205" s="8"/>
      <c r="S205" s="8"/>
      <c r="T205" s="8"/>
    </row>
    <row r="206" ht="17.25" customHeight="1">
      <c r="A206" s="54" t="s">
        <v>184</v>
      </c>
      <c r="B206" s="8">
        <v>13.0</v>
      </c>
      <c r="C206" s="42"/>
      <c r="D206" s="42"/>
      <c r="E206" s="42" t="s">
        <v>390</v>
      </c>
      <c r="F206" s="55">
        <v>1.0</v>
      </c>
      <c r="G206" s="8" t="s">
        <v>241</v>
      </c>
      <c r="H206" s="41"/>
      <c r="I206" s="8" t="s">
        <v>156</v>
      </c>
      <c r="J206" s="8"/>
      <c r="K206" s="8"/>
      <c r="L206" s="59"/>
      <c r="M206" s="42"/>
      <c r="N206" s="8"/>
      <c r="O206" s="8" t="s">
        <v>256</v>
      </c>
      <c r="P206" s="8" t="s">
        <v>200</v>
      </c>
      <c r="Q206" s="8" t="b">
        <f>IF(G206="隔週A", MOD(INT(('26414_編集版'!$B$1-DATE(2026,4,14))/7), 2)=1, IF(G206="隔週B", MOD(INT(('26414_編集版'!$B$1-DATE(2026,4,14))/7), 2)=0, FALSE))</f>
        <v>0</v>
      </c>
      <c r="R206" s="8"/>
      <c r="S206" s="8"/>
      <c r="T206" s="8"/>
    </row>
    <row r="207" ht="17.25" customHeight="1">
      <c r="A207" s="54" t="s">
        <v>184</v>
      </c>
      <c r="B207" s="8">
        <v>13.0</v>
      </c>
      <c r="C207" s="42"/>
      <c r="D207" s="42"/>
      <c r="E207" s="42" t="s">
        <v>391</v>
      </c>
      <c r="F207" s="34">
        <v>1.0</v>
      </c>
      <c r="G207" s="8" t="s">
        <v>241</v>
      </c>
      <c r="H207" s="41"/>
      <c r="I207" s="8" t="s">
        <v>156</v>
      </c>
      <c r="J207" s="8"/>
      <c r="K207" s="8"/>
      <c r="L207" s="59"/>
      <c r="M207" s="42"/>
      <c r="N207" s="8"/>
      <c r="O207" s="8" t="s">
        <v>256</v>
      </c>
      <c r="P207" s="8" t="s">
        <v>200</v>
      </c>
      <c r="Q207" s="8" t="b">
        <f>IF(G207="隔週A", MOD(INT(('26414_編集版'!$B$1-DATE(2026,4,14))/7), 2)=1, IF(G207="隔週B", MOD(INT(('26414_編集版'!$B$1-DATE(2026,4,14))/7), 2)=0, FALSE))</f>
        <v>0</v>
      </c>
      <c r="R207" s="8"/>
      <c r="S207" s="8"/>
      <c r="T207" s="8"/>
    </row>
    <row r="208" ht="17.25" customHeight="1">
      <c r="A208" s="54" t="s">
        <v>184</v>
      </c>
      <c r="B208" s="8">
        <v>13.0</v>
      </c>
      <c r="C208" s="35"/>
      <c r="D208" s="35"/>
      <c r="E208" s="35" t="s">
        <v>392</v>
      </c>
      <c r="F208" s="8">
        <v>0.4</v>
      </c>
      <c r="G208" s="8" t="s">
        <v>241</v>
      </c>
      <c r="H208" s="41"/>
      <c r="I208" s="8" t="s">
        <v>151</v>
      </c>
      <c r="J208" s="8"/>
      <c r="K208" s="8"/>
      <c r="L208" s="59"/>
      <c r="M208" s="35"/>
      <c r="N208" s="8"/>
      <c r="O208" s="8" t="s">
        <v>158</v>
      </c>
      <c r="P208" s="8" t="s">
        <v>154</v>
      </c>
      <c r="Q208" s="8" t="b">
        <f>IF(G208="隔週A", MOD(INT(('26414_編集版'!$B$1-DATE(2026,4,14))/7), 2)=1, IF(G208="隔週B", MOD(INT(('26414_編集版'!$B$1-DATE(2026,4,14))/7), 2)=0, FALSE))</f>
        <v>0</v>
      </c>
      <c r="R208" s="8"/>
      <c r="S208" s="8"/>
      <c r="T208" s="8"/>
    </row>
    <row r="209" ht="17.25" customHeight="1">
      <c r="A209" s="54" t="s">
        <v>184</v>
      </c>
      <c r="B209" s="34">
        <v>15.0</v>
      </c>
      <c r="C209" s="42"/>
      <c r="D209" s="42"/>
      <c r="E209" s="42" t="s">
        <v>393</v>
      </c>
      <c r="F209" s="8">
        <v>0.2</v>
      </c>
      <c r="G209" s="8" t="s">
        <v>241</v>
      </c>
      <c r="H209" s="41"/>
      <c r="I209" s="8" t="s">
        <v>156</v>
      </c>
      <c r="J209" s="8"/>
      <c r="K209" s="8"/>
      <c r="L209" s="59"/>
      <c r="M209" s="42"/>
      <c r="N209" s="8"/>
      <c r="O209" s="8" t="s">
        <v>244</v>
      </c>
      <c r="P209" s="8"/>
      <c r="Q209" s="8" t="b">
        <f>IF(G209="隔週A", MOD(INT(('26414_編集版'!$B$1-DATE(2026,4,14))/7), 2)=1, IF(G209="隔週B", MOD(INT(('26414_編集版'!$B$1-DATE(2026,4,14))/7), 2)=0, FALSE))</f>
        <v>0</v>
      </c>
      <c r="R209" s="8"/>
      <c r="S209" s="8"/>
      <c r="T209" s="8"/>
    </row>
    <row r="210" ht="17.25" customHeight="1">
      <c r="A210" s="54" t="s">
        <v>184</v>
      </c>
      <c r="B210" s="34">
        <v>15.0</v>
      </c>
      <c r="C210" s="35"/>
      <c r="D210" s="35"/>
      <c r="E210" s="35" t="s">
        <v>394</v>
      </c>
      <c r="F210" s="8">
        <v>0.3</v>
      </c>
      <c r="G210" s="8" t="s">
        <v>241</v>
      </c>
      <c r="H210" s="41"/>
      <c r="I210" s="8" t="s">
        <v>156</v>
      </c>
      <c r="J210" s="8"/>
      <c r="K210" s="8"/>
      <c r="L210" s="59"/>
      <c r="M210" s="35"/>
      <c r="N210" s="8"/>
      <c r="O210" s="8" t="s">
        <v>244</v>
      </c>
      <c r="P210" s="56"/>
      <c r="Q210" s="8" t="b">
        <f>IF(G210="隔週A", MOD(INT(('26414_編集版'!$B$1-DATE(2026,4,14))/7), 2)=1, IF(G210="隔週B", MOD(INT(('26414_編集版'!$B$1-DATE(2026,4,14))/7), 2)=0, FALSE))</f>
        <v>0</v>
      </c>
      <c r="R210" s="8"/>
      <c r="S210" s="8"/>
      <c r="T210" s="8"/>
    </row>
    <row r="211" ht="17.25" customHeight="1">
      <c r="A211" s="54" t="s">
        <v>184</v>
      </c>
      <c r="B211" s="34">
        <v>15.0</v>
      </c>
      <c r="C211" s="56"/>
      <c r="D211" s="56"/>
      <c r="E211" s="56" t="s">
        <v>395</v>
      </c>
      <c r="F211" s="8">
        <v>1.8</v>
      </c>
      <c r="G211" s="8" t="s">
        <v>241</v>
      </c>
      <c r="H211" s="41"/>
      <c r="I211" s="8" t="s">
        <v>156</v>
      </c>
      <c r="J211" s="8"/>
      <c r="K211" s="8"/>
      <c r="L211" s="59"/>
      <c r="M211" s="56"/>
      <c r="N211" s="8"/>
      <c r="O211" s="8" t="s">
        <v>244</v>
      </c>
      <c r="P211" s="8"/>
      <c r="Q211" s="8" t="b">
        <f>IF(G211="隔週A", MOD(INT(('26414_編集版'!$B$1-DATE(2026,4,14))/7), 2)=1, IF(G211="隔週B", MOD(INT(('26414_編集版'!$B$1-DATE(2026,4,14))/7), 2)=0, FALSE))</f>
        <v>0</v>
      </c>
      <c r="R211" s="8"/>
      <c r="S211" s="8"/>
      <c r="T211" s="8"/>
    </row>
    <row r="212" ht="17.25" customHeight="1">
      <c r="A212" s="54" t="s">
        <v>184</v>
      </c>
      <c r="B212" s="8">
        <v>16.0</v>
      </c>
      <c r="C212" s="8"/>
      <c r="D212" s="8"/>
      <c r="E212" s="8" t="s">
        <v>396</v>
      </c>
      <c r="F212" s="8">
        <v>1.0</v>
      </c>
      <c r="G212" s="8" t="s">
        <v>241</v>
      </c>
      <c r="H212" s="41"/>
      <c r="I212" s="8" t="s">
        <v>156</v>
      </c>
      <c r="J212" s="8"/>
      <c r="K212" s="8"/>
      <c r="L212" s="59"/>
      <c r="M212" s="8"/>
      <c r="N212" s="8"/>
      <c r="O212" s="8" t="s">
        <v>244</v>
      </c>
      <c r="P212" s="8"/>
      <c r="Q212" s="8" t="b">
        <f>IF(G212="隔週A", MOD(INT(('26414_編集版'!$B$1-DATE(2026,4,14))/7), 2)=1, IF(G212="隔週B", MOD(INT(('26414_編集版'!$B$1-DATE(2026,4,14))/7), 2)=0, FALSE))</f>
        <v>0</v>
      </c>
      <c r="R212" s="8"/>
      <c r="S212" s="8"/>
      <c r="T212" s="8"/>
    </row>
    <row r="213" ht="17.25" customHeight="1">
      <c r="A213" s="54" t="s">
        <v>184</v>
      </c>
      <c r="B213" s="8">
        <v>16.0</v>
      </c>
      <c r="C213" s="100"/>
      <c r="D213" s="100"/>
      <c r="E213" s="100" t="s">
        <v>397</v>
      </c>
      <c r="F213" s="56">
        <v>2.8</v>
      </c>
      <c r="G213" s="8" t="s">
        <v>241</v>
      </c>
      <c r="H213" s="41"/>
      <c r="I213" s="56" t="s">
        <v>156</v>
      </c>
      <c r="J213" s="56"/>
      <c r="K213" s="56"/>
      <c r="L213" s="59"/>
      <c r="M213" s="100"/>
      <c r="N213" s="8"/>
      <c r="O213" s="8" t="s">
        <v>244</v>
      </c>
      <c r="P213" s="8"/>
      <c r="Q213" s="8" t="b">
        <f>IF(G213="隔週A", MOD(INT(('26414_編集版'!$B$1-DATE(2026,4,14))/7), 2)=1, IF(G213="隔週B", MOD(INT(('26414_編集版'!$B$1-DATE(2026,4,14))/7), 2)=0, FALSE))</f>
        <v>0</v>
      </c>
      <c r="R213" s="8"/>
      <c r="S213" s="8"/>
      <c r="T213" s="8"/>
    </row>
    <row r="214" ht="17.25" customHeight="1">
      <c r="A214" s="54" t="s">
        <v>184</v>
      </c>
      <c r="B214" s="8">
        <v>17.0</v>
      </c>
      <c r="C214" s="42"/>
      <c r="D214" s="42"/>
      <c r="E214" s="42" t="s">
        <v>398</v>
      </c>
      <c r="F214" s="8">
        <v>3.0</v>
      </c>
      <c r="G214" s="8" t="s">
        <v>241</v>
      </c>
      <c r="H214" s="41"/>
      <c r="I214" s="8" t="s">
        <v>156</v>
      </c>
      <c r="J214" s="8"/>
      <c r="K214" s="8"/>
      <c r="L214" s="59"/>
      <c r="M214" s="42"/>
      <c r="N214" s="8"/>
      <c r="O214" s="8" t="s">
        <v>223</v>
      </c>
      <c r="P214" s="8" t="s">
        <v>256</v>
      </c>
      <c r="Q214" s="8" t="b">
        <f>IF(G214="隔週A", MOD(INT(('26414_編集版'!$B$1-DATE(2026,4,14))/7), 2)=1, IF(G214="隔週B", MOD(INT(('26414_編集版'!$B$1-DATE(2026,4,14))/7), 2)=0, FALSE))</f>
        <v>0</v>
      </c>
      <c r="R214" s="8"/>
      <c r="S214" s="8"/>
      <c r="T214" s="8"/>
    </row>
    <row r="215" ht="17.25" customHeight="1">
      <c r="A215" s="54" t="s">
        <v>184</v>
      </c>
      <c r="B215" s="8">
        <v>17.0</v>
      </c>
      <c r="C215" s="42"/>
      <c r="D215" s="42"/>
      <c r="E215" s="42" t="s">
        <v>399</v>
      </c>
      <c r="F215" s="8">
        <v>1.0</v>
      </c>
      <c r="G215" s="8" t="s">
        <v>241</v>
      </c>
      <c r="H215" s="41"/>
      <c r="I215" s="8" t="s">
        <v>156</v>
      </c>
      <c r="J215" s="8"/>
      <c r="K215" s="8"/>
      <c r="L215" s="59"/>
      <c r="M215" s="42"/>
      <c r="N215" s="8"/>
      <c r="O215" s="8" t="s">
        <v>223</v>
      </c>
      <c r="P215" s="8" t="s">
        <v>256</v>
      </c>
      <c r="Q215" s="8" t="b">
        <f>IF(G215="隔週A", MOD(INT(('26414_編集版'!$B$1-DATE(2026,4,14))/7), 2)=1, IF(G215="隔週B", MOD(INT(('26414_編集版'!$B$1-DATE(2026,4,14))/7), 2)=0, FALSE))</f>
        <v>0</v>
      </c>
      <c r="R215" s="8"/>
      <c r="S215" s="8"/>
      <c r="T215" s="8"/>
    </row>
    <row r="216" ht="17.25" customHeight="1">
      <c r="A216" s="54" t="s">
        <v>184</v>
      </c>
      <c r="B216" s="8">
        <v>17.0</v>
      </c>
      <c r="C216" s="42"/>
      <c r="D216" s="42"/>
      <c r="E216" s="42" t="s">
        <v>400</v>
      </c>
      <c r="F216" s="8">
        <v>1.0</v>
      </c>
      <c r="G216" s="8" t="s">
        <v>241</v>
      </c>
      <c r="H216" s="41"/>
      <c r="I216" s="8" t="s">
        <v>156</v>
      </c>
      <c r="J216" s="8"/>
      <c r="K216" s="8"/>
      <c r="L216" s="59"/>
      <c r="M216" s="42"/>
      <c r="N216" s="8"/>
      <c r="O216" s="8" t="s">
        <v>223</v>
      </c>
      <c r="P216" s="8" t="s">
        <v>256</v>
      </c>
      <c r="Q216" s="8" t="b">
        <f>IF(G216="隔週A", MOD(INT(('26414_編集版'!$B$1-DATE(2026,4,14))/7), 2)=1, IF(G216="隔週B", MOD(INT(('26414_編集版'!$B$1-DATE(2026,4,14))/7), 2)=0, FALSE))</f>
        <v>0</v>
      </c>
      <c r="R216" s="8"/>
      <c r="S216" s="8"/>
      <c r="T216" s="8"/>
    </row>
    <row r="217" ht="17.25" customHeight="1">
      <c r="A217" s="54" t="s">
        <v>184</v>
      </c>
      <c r="B217" s="8">
        <v>17.0</v>
      </c>
      <c r="C217" s="66"/>
      <c r="D217" s="66"/>
      <c r="E217" s="66" t="s">
        <v>401</v>
      </c>
      <c r="F217" s="55">
        <v>3.1</v>
      </c>
      <c r="G217" s="8" t="s">
        <v>241</v>
      </c>
      <c r="H217" s="61"/>
      <c r="I217" s="58" t="s">
        <v>156</v>
      </c>
      <c r="J217" s="58"/>
      <c r="K217" s="58"/>
      <c r="L217" s="59"/>
      <c r="M217" s="66"/>
      <c r="N217" s="56"/>
      <c r="O217" s="56" t="s">
        <v>158</v>
      </c>
      <c r="P217" s="56" t="s">
        <v>154</v>
      </c>
      <c r="Q217" s="8" t="b">
        <f>IF(G217="隔週A", MOD(INT(('26414_編集版'!$B$1-DATE(2026,4,14))/7), 2)=1, IF(G217="隔週B", MOD(INT(('26414_編集版'!$B$1-DATE(2026,4,14))/7), 2)=0, FALSE))</f>
        <v>0</v>
      </c>
      <c r="R217" s="8"/>
      <c r="S217" s="8"/>
      <c r="T217" s="8"/>
    </row>
    <row r="218" ht="17.25" customHeight="1">
      <c r="A218" s="54" t="s">
        <v>184</v>
      </c>
      <c r="B218" s="8">
        <v>18.0</v>
      </c>
      <c r="C218" s="80"/>
      <c r="D218" s="80"/>
      <c r="E218" s="81" t="s">
        <v>402</v>
      </c>
      <c r="F218" s="8">
        <v>0.1</v>
      </c>
      <c r="G218" s="8" t="s">
        <v>241</v>
      </c>
      <c r="H218" s="41"/>
      <c r="I218" s="56" t="s">
        <v>156</v>
      </c>
      <c r="J218" s="56"/>
      <c r="K218" s="56"/>
      <c r="L218" s="59"/>
      <c r="M218" s="80"/>
      <c r="N218" s="8"/>
      <c r="O218" s="8" t="s">
        <v>154</v>
      </c>
      <c r="P218" s="8" t="s">
        <v>223</v>
      </c>
      <c r="Q218" s="8" t="b">
        <f>IF(G218="隔週A", MOD(INT(('26414_編集版'!$B$1-DATE(2026,4,14))/7), 2)=1, IF(G218="隔週B", MOD(INT(('26414_編集版'!$B$1-DATE(2026,4,14))/7), 2)=0, FALSE))</f>
        <v>0</v>
      </c>
      <c r="R218" s="8"/>
      <c r="S218" s="8"/>
      <c r="T218" s="8"/>
    </row>
    <row r="219" ht="17.25" customHeight="1">
      <c r="A219" s="54" t="s">
        <v>184</v>
      </c>
      <c r="B219" s="8">
        <v>18.0</v>
      </c>
      <c r="C219" s="42"/>
      <c r="D219" s="42"/>
      <c r="E219" s="42" t="s">
        <v>403</v>
      </c>
      <c r="F219" s="8">
        <v>0.3</v>
      </c>
      <c r="G219" s="8" t="s">
        <v>241</v>
      </c>
      <c r="H219" s="41"/>
      <c r="I219" s="8" t="s">
        <v>156</v>
      </c>
      <c r="J219" s="8"/>
      <c r="K219" s="8"/>
      <c r="L219" s="59"/>
      <c r="M219" s="42"/>
      <c r="N219" s="8"/>
      <c r="O219" s="8" t="s">
        <v>154</v>
      </c>
      <c r="P219" s="8" t="s">
        <v>223</v>
      </c>
      <c r="Q219" s="8" t="b">
        <f>IF(G219="隔週A", MOD(INT(('26414_編集版'!$B$1-DATE(2026,4,14))/7), 2)=1, IF(G219="隔週B", MOD(INT(('26414_編集版'!$B$1-DATE(2026,4,14))/7), 2)=0, FALSE))</f>
        <v>0</v>
      </c>
      <c r="R219" s="8"/>
      <c r="S219" s="8"/>
      <c r="T219" s="8"/>
    </row>
    <row r="220" ht="17.25" customHeight="1">
      <c r="A220" s="54" t="s">
        <v>184</v>
      </c>
      <c r="B220" s="8">
        <v>18.0</v>
      </c>
      <c r="C220" s="35"/>
      <c r="D220" s="35"/>
      <c r="E220" s="35" t="s">
        <v>404</v>
      </c>
      <c r="F220" s="8">
        <v>1.7</v>
      </c>
      <c r="G220" s="8" t="s">
        <v>241</v>
      </c>
      <c r="H220" s="41"/>
      <c r="I220" s="8" t="s">
        <v>156</v>
      </c>
      <c r="J220" s="8"/>
      <c r="K220" s="8"/>
      <c r="L220" s="59"/>
      <c r="M220" s="35"/>
      <c r="N220" s="8"/>
      <c r="O220" s="8" t="s">
        <v>244</v>
      </c>
      <c r="P220" s="56"/>
      <c r="Q220" s="8" t="b">
        <f>IF(G220="隔週A", MOD(INT(('26414_編集版'!$B$1-DATE(2026,4,14))/7), 2)=1, IF(G220="隔週B", MOD(INT(('26414_編集版'!$B$1-DATE(2026,4,14))/7), 2)=0, FALSE))</f>
        <v>0</v>
      </c>
      <c r="R220" s="8"/>
      <c r="S220" s="8"/>
      <c r="T220" s="8"/>
    </row>
    <row r="221" ht="17.25" customHeight="1">
      <c r="A221" s="54" t="s">
        <v>184</v>
      </c>
      <c r="B221" s="8">
        <v>19.0</v>
      </c>
      <c r="C221" s="58"/>
      <c r="D221" s="58"/>
      <c r="E221" s="58" t="s">
        <v>405</v>
      </c>
      <c r="F221" s="56">
        <v>3.0</v>
      </c>
      <c r="G221" s="8" t="s">
        <v>241</v>
      </c>
      <c r="H221" s="41"/>
      <c r="I221" s="58" t="s">
        <v>156</v>
      </c>
      <c r="J221" s="58"/>
      <c r="K221" s="58"/>
      <c r="L221" s="59"/>
      <c r="M221" s="58"/>
      <c r="N221" s="8"/>
      <c r="O221" s="8" t="s">
        <v>244</v>
      </c>
      <c r="P221" s="56"/>
      <c r="Q221" s="8" t="b">
        <f>IF(G221="隔週A", MOD(INT(('26414_編集版'!$B$1-DATE(2026,4,14))/7), 2)=1, IF(G221="隔週B", MOD(INT(('26414_編集版'!$B$1-DATE(2026,4,14))/7), 2)=0, FALSE))</f>
        <v>0</v>
      </c>
      <c r="R221" s="8"/>
      <c r="S221" s="8"/>
      <c r="T221" s="8"/>
    </row>
    <row r="222" ht="17.25" customHeight="1">
      <c r="A222" s="54" t="s">
        <v>184</v>
      </c>
      <c r="B222" s="8">
        <v>19.0</v>
      </c>
      <c r="C222" s="56"/>
      <c r="D222" s="56"/>
      <c r="E222" s="56" t="s">
        <v>406</v>
      </c>
      <c r="F222" s="8">
        <v>1.2</v>
      </c>
      <c r="G222" s="8" t="s">
        <v>241</v>
      </c>
      <c r="H222" s="41"/>
      <c r="I222" s="56" t="s">
        <v>156</v>
      </c>
      <c r="J222" s="56"/>
      <c r="K222" s="56"/>
      <c r="L222" s="59"/>
      <c r="M222" s="56"/>
      <c r="N222" s="8"/>
      <c r="O222" s="8" t="s">
        <v>244</v>
      </c>
      <c r="P222" s="64"/>
      <c r="Q222" s="8" t="b">
        <f>IF(G222="隔週A", MOD(INT(('26414_編集版'!$B$1-DATE(2026,4,14))/7), 2)=1, IF(G222="隔週B", MOD(INT(('26414_編集版'!$B$1-DATE(2026,4,14))/7), 2)=0, FALSE))</f>
        <v>0</v>
      </c>
      <c r="R222" s="8"/>
      <c r="S222" s="8"/>
      <c r="T222" s="8"/>
    </row>
    <row r="223" ht="17.25" customHeight="1">
      <c r="A223" s="54" t="s">
        <v>184</v>
      </c>
      <c r="B223" s="8">
        <v>19.0</v>
      </c>
      <c r="C223" s="56"/>
      <c r="D223" s="56"/>
      <c r="E223" s="56" t="s">
        <v>407</v>
      </c>
      <c r="F223" s="56">
        <v>0.3</v>
      </c>
      <c r="G223" s="8" t="s">
        <v>241</v>
      </c>
      <c r="H223" s="70"/>
      <c r="I223" s="56" t="s">
        <v>156</v>
      </c>
      <c r="J223" s="56"/>
      <c r="K223" s="56"/>
      <c r="L223" s="59"/>
      <c r="M223" s="56"/>
      <c r="N223" s="71"/>
      <c r="O223" s="8" t="s">
        <v>244</v>
      </c>
      <c r="P223" s="56"/>
      <c r="Q223" s="8" t="b">
        <f>IF(G223="隔週A", MOD(INT(('26414_編集版'!$B$1-DATE(2026,4,14))/7), 2)=1, IF(G223="隔週B", MOD(INT(('26414_編集版'!$B$1-DATE(2026,4,14))/7), 2)=0, FALSE))</f>
        <v>0</v>
      </c>
      <c r="R223" s="8"/>
      <c r="S223" s="8"/>
      <c r="T223" s="8"/>
    </row>
    <row r="224" ht="17.25" customHeight="1">
      <c r="A224" s="54" t="s">
        <v>184</v>
      </c>
      <c r="B224" s="8">
        <v>19.0</v>
      </c>
      <c r="C224" s="56"/>
      <c r="D224" s="56"/>
      <c r="E224" s="56" t="s">
        <v>408</v>
      </c>
      <c r="F224" s="56">
        <v>2.0</v>
      </c>
      <c r="G224" s="8" t="s">
        <v>241</v>
      </c>
      <c r="H224" s="41"/>
      <c r="I224" s="56" t="s">
        <v>156</v>
      </c>
      <c r="J224" s="56"/>
      <c r="K224" s="56"/>
      <c r="L224" s="59"/>
      <c r="M224" s="56"/>
      <c r="N224" s="8"/>
      <c r="O224" s="8" t="s">
        <v>244</v>
      </c>
      <c r="P224" s="8"/>
      <c r="Q224" s="8" t="b">
        <f>IF(G224="隔週A", MOD(INT(('26414_編集版'!$B$1-DATE(2026,4,14))/7), 2)=1, IF(G224="隔週B", MOD(INT(('26414_編集版'!$B$1-DATE(2026,4,14))/7), 2)=0, FALSE))</f>
        <v>0</v>
      </c>
      <c r="R224" s="8"/>
      <c r="S224" s="8"/>
      <c r="T224" s="8"/>
    </row>
    <row r="225" ht="17.25" customHeight="1">
      <c r="A225" s="54" t="s">
        <v>184</v>
      </c>
      <c r="B225" s="8">
        <v>20.0</v>
      </c>
      <c r="C225" s="56"/>
      <c r="D225" s="56"/>
      <c r="E225" s="56" t="s">
        <v>409</v>
      </c>
      <c r="F225" s="56">
        <v>1.0</v>
      </c>
      <c r="G225" s="8" t="s">
        <v>241</v>
      </c>
      <c r="H225" s="41"/>
      <c r="I225" s="56" t="s">
        <v>156</v>
      </c>
      <c r="J225" s="56"/>
      <c r="K225" s="56"/>
      <c r="L225" s="59"/>
      <c r="M225" s="56"/>
      <c r="N225" s="8"/>
      <c r="O225" s="8" t="s">
        <v>244</v>
      </c>
      <c r="P225" s="56"/>
      <c r="Q225" s="8" t="b">
        <f>IF(G225="隔週A", MOD(INT(('26414_編集版'!$B$1-DATE(2026,4,14))/7), 2)=1, IF(G225="隔週B", MOD(INT(('26414_編集版'!$B$1-DATE(2026,4,14))/7), 2)=0, FALSE))</f>
        <v>0</v>
      </c>
      <c r="R225" s="8"/>
      <c r="S225" s="8"/>
      <c r="T225" s="8"/>
    </row>
    <row r="226" ht="17.25" customHeight="1">
      <c r="A226" s="54" t="s">
        <v>184</v>
      </c>
      <c r="B226" s="8">
        <v>20.0</v>
      </c>
      <c r="C226" s="55"/>
      <c r="D226" s="55"/>
      <c r="E226" s="55" t="s">
        <v>410</v>
      </c>
      <c r="F226" s="8">
        <v>1.2</v>
      </c>
      <c r="G226" s="8" t="s">
        <v>241</v>
      </c>
      <c r="H226" s="41"/>
      <c r="I226" s="8" t="s">
        <v>156</v>
      </c>
      <c r="J226" s="8" t="s">
        <v>142</v>
      </c>
      <c r="K226" s="8" t="s">
        <v>143</v>
      </c>
      <c r="L226" s="59"/>
      <c r="M226" s="55"/>
      <c r="N226" s="8"/>
      <c r="O226" s="8" t="s">
        <v>244</v>
      </c>
      <c r="P226" s="56"/>
      <c r="Q226" s="8" t="b">
        <f>IF(G226="隔週A", MOD(INT(('26414_編集版'!$B$1-DATE(2026,4,14))/7), 2)=1, IF(G226="隔週B", MOD(INT(('26414_編集版'!$B$1-DATE(2026,4,14))/7), 2)=0, FALSE))</f>
        <v>0</v>
      </c>
      <c r="R226" s="8"/>
      <c r="S226" s="8"/>
      <c r="T226" s="8"/>
    </row>
    <row r="227" ht="17.25" customHeight="1">
      <c r="A227" s="54" t="s">
        <v>184</v>
      </c>
      <c r="B227" s="8">
        <v>20.0</v>
      </c>
      <c r="C227" s="42"/>
      <c r="D227" s="42"/>
      <c r="E227" s="42" t="s">
        <v>411</v>
      </c>
      <c r="F227" s="8">
        <v>1.0</v>
      </c>
      <c r="G227" s="8" t="s">
        <v>241</v>
      </c>
      <c r="H227" s="41"/>
      <c r="I227" s="8" t="s">
        <v>156</v>
      </c>
      <c r="J227" s="8"/>
      <c r="K227" s="8"/>
      <c r="L227" s="59"/>
      <c r="M227" s="42"/>
      <c r="N227" s="8"/>
      <c r="O227" s="8" t="s">
        <v>244</v>
      </c>
      <c r="P227" s="56"/>
      <c r="Q227" s="8" t="b">
        <f>IF(G227="隔週A", MOD(INT(('26414_編集版'!$B$1-DATE(2026,4,14))/7), 2)=1, IF(G227="隔週B", MOD(INT(('26414_編集版'!$B$1-DATE(2026,4,14))/7), 2)=0, FALSE))</f>
        <v>0</v>
      </c>
      <c r="R227" s="8"/>
      <c r="S227" s="8"/>
      <c r="T227" s="8"/>
    </row>
    <row r="228" ht="17.25" customHeight="1">
      <c r="A228" s="54" t="s">
        <v>184</v>
      </c>
      <c r="B228" s="8">
        <v>20.0</v>
      </c>
      <c r="C228" s="42"/>
      <c r="D228" s="42"/>
      <c r="E228" s="42" t="s">
        <v>412</v>
      </c>
      <c r="F228" s="8">
        <v>1.0</v>
      </c>
      <c r="G228" s="8" t="s">
        <v>241</v>
      </c>
      <c r="H228" s="41"/>
      <c r="I228" s="8" t="s">
        <v>156</v>
      </c>
      <c r="J228" s="8"/>
      <c r="K228" s="8"/>
      <c r="L228" s="59"/>
      <c r="M228" s="42"/>
      <c r="N228" s="8"/>
      <c r="O228" s="8" t="s">
        <v>244</v>
      </c>
      <c r="P228" s="56"/>
      <c r="Q228" s="8" t="b">
        <f>IF(G228="隔週A", MOD(INT(('26414_編集版'!$B$1-DATE(2026,4,14))/7), 2)=1, IF(G228="隔週B", MOD(INT(('26414_編集版'!$B$1-DATE(2026,4,14))/7), 2)=0, FALSE))</f>
        <v>0</v>
      </c>
      <c r="R228" s="8"/>
      <c r="S228" s="8"/>
      <c r="T228" s="8"/>
    </row>
    <row r="229" ht="17.25" customHeight="1">
      <c r="A229" s="54" t="s">
        <v>184</v>
      </c>
      <c r="B229" s="8">
        <v>20.0</v>
      </c>
      <c r="C229" s="42"/>
      <c r="D229" s="42"/>
      <c r="E229" s="42" t="s">
        <v>413</v>
      </c>
      <c r="F229" s="8">
        <v>0.7</v>
      </c>
      <c r="G229" s="8" t="s">
        <v>241</v>
      </c>
      <c r="H229" s="41"/>
      <c r="I229" s="8" t="s">
        <v>156</v>
      </c>
      <c r="J229" s="8"/>
      <c r="K229" s="8"/>
      <c r="L229" s="59"/>
      <c r="M229" s="42"/>
      <c r="N229" s="8"/>
      <c r="O229" s="8" t="s">
        <v>244</v>
      </c>
      <c r="P229" s="56"/>
      <c r="Q229" s="8" t="b">
        <f>IF(G229="隔週A", MOD(INT(('26414_編集版'!$B$1-DATE(2026,4,14))/7), 2)=1, IF(G229="隔週B", MOD(INT(('26414_編集版'!$B$1-DATE(2026,4,14))/7), 2)=0, FALSE))</f>
        <v>0</v>
      </c>
      <c r="R229" s="8"/>
      <c r="S229" s="8"/>
      <c r="T229" s="8"/>
    </row>
    <row r="230" ht="17.25" customHeight="1">
      <c r="A230" s="54" t="s">
        <v>184</v>
      </c>
      <c r="B230" s="8">
        <v>20.0</v>
      </c>
      <c r="C230" s="55"/>
      <c r="D230" s="55"/>
      <c r="E230" s="55" t="s">
        <v>285</v>
      </c>
      <c r="F230" s="8">
        <v>0.1</v>
      </c>
      <c r="G230" s="8" t="s">
        <v>241</v>
      </c>
      <c r="H230" s="41"/>
      <c r="I230" s="8" t="s">
        <v>156</v>
      </c>
      <c r="J230" s="8"/>
      <c r="K230" s="8"/>
      <c r="L230" s="59"/>
      <c r="M230" s="55"/>
      <c r="N230" s="8"/>
      <c r="O230" s="8" t="s">
        <v>223</v>
      </c>
      <c r="P230" s="8" t="s">
        <v>200</v>
      </c>
      <c r="Q230" s="8" t="b">
        <f>IF(G230="隔週A", MOD(INT(('26414_編集版'!$B$1-DATE(2026,4,14))/7), 2)=1, IF(G230="隔週B", MOD(INT(('26414_編集版'!$B$1-DATE(2026,4,14))/7), 2)=0, FALSE))</f>
        <v>0</v>
      </c>
      <c r="R230" s="8"/>
      <c r="S230" s="8"/>
      <c r="T230" s="8"/>
    </row>
    <row r="231" ht="17.25" customHeight="1">
      <c r="A231" s="54" t="s">
        <v>184</v>
      </c>
      <c r="B231" s="8">
        <v>21.0</v>
      </c>
      <c r="C231" s="82"/>
      <c r="D231" s="82"/>
      <c r="E231" s="82" t="s">
        <v>414</v>
      </c>
      <c r="F231" s="60">
        <v>6.9</v>
      </c>
      <c r="G231" s="8" t="s">
        <v>241</v>
      </c>
      <c r="H231" s="57"/>
      <c r="I231" s="60" t="s">
        <v>151</v>
      </c>
      <c r="J231" s="60"/>
      <c r="K231" s="60"/>
      <c r="L231" s="59"/>
      <c r="M231" s="82"/>
      <c r="N231" s="60"/>
      <c r="O231" s="60" t="s">
        <v>154</v>
      </c>
      <c r="P231" s="60" t="s">
        <v>158</v>
      </c>
      <c r="Q231" s="8" t="b">
        <f>IF(G231="隔週A", MOD(INT(('26414_編集版'!$B$1-DATE(2026,4,14))/7), 2)=1, IF(G231="隔週B", MOD(INT(('26414_編集版'!$B$1-DATE(2026,4,14))/7), 2)=0, FALSE))</f>
        <v>0</v>
      </c>
      <c r="R231" s="8"/>
      <c r="S231" s="8"/>
      <c r="T231" s="8"/>
    </row>
    <row r="232" ht="17.25" customHeight="1">
      <c r="A232" s="54" t="s">
        <v>184</v>
      </c>
      <c r="B232" s="8">
        <v>21.0</v>
      </c>
      <c r="C232" s="56"/>
      <c r="D232" s="56"/>
      <c r="E232" s="56" t="s">
        <v>288</v>
      </c>
      <c r="F232" s="36">
        <v>0.1</v>
      </c>
      <c r="G232" s="8" t="s">
        <v>241</v>
      </c>
      <c r="H232" s="41"/>
      <c r="I232" s="56" t="s">
        <v>156</v>
      </c>
      <c r="J232" s="56"/>
      <c r="K232" s="56"/>
      <c r="L232" s="59"/>
      <c r="M232" s="56"/>
      <c r="N232" s="8"/>
      <c r="O232" s="8" t="s">
        <v>244</v>
      </c>
      <c r="P232" s="36"/>
      <c r="Q232" s="8" t="b">
        <f>IF(G232="隔週A", MOD(INT(('26414_編集版'!$B$1-DATE(2026,4,14))/7), 2)=1, IF(G232="隔週B", MOD(INT(('26414_編集版'!$B$1-DATE(2026,4,14))/7), 2)=0, FALSE))</f>
        <v>0</v>
      </c>
      <c r="R232" s="8"/>
      <c r="S232" s="8"/>
      <c r="T232" s="8"/>
    </row>
    <row r="233" ht="17.25" customHeight="1">
      <c r="A233" s="54" t="s">
        <v>184</v>
      </c>
      <c r="B233" s="8">
        <v>21.0</v>
      </c>
      <c r="C233" s="58"/>
      <c r="D233" s="58"/>
      <c r="E233" s="58" t="s">
        <v>289</v>
      </c>
      <c r="F233" s="58">
        <v>0.1</v>
      </c>
      <c r="G233" s="8" t="s">
        <v>241</v>
      </c>
      <c r="H233" s="41"/>
      <c r="I233" s="58" t="s">
        <v>151</v>
      </c>
      <c r="J233" s="58"/>
      <c r="K233" s="58"/>
      <c r="L233" s="59"/>
      <c r="M233" s="58"/>
      <c r="N233" s="8"/>
      <c r="O233" s="8" t="s">
        <v>244</v>
      </c>
      <c r="P233" s="58"/>
      <c r="Q233" s="8" t="b">
        <f>IF(G233="隔週A", MOD(INT(('26414_編集版'!$B$1-DATE(2026,4,14))/7), 2)=1, IF(G233="隔週B", MOD(INT(('26414_編集版'!$B$1-DATE(2026,4,14))/7), 2)=0, FALSE))</f>
        <v>0</v>
      </c>
      <c r="R233" s="8"/>
      <c r="S233" s="8"/>
      <c r="T233" s="8"/>
    </row>
    <row r="234" ht="17.25" customHeight="1">
      <c r="A234" s="54" t="s">
        <v>184</v>
      </c>
      <c r="B234" s="8">
        <v>21.0</v>
      </c>
      <c r="C234" s="42"/>
      <c r="D234" s="42"/>
      <c r="E234" s="42" t="s">
        <v>415</v>
      </c>
      <c r="F234" s="8">
        <v>0.6</v>
      </c>
      <c r="G234" s="8" t="s">
        <v>241</v>
      </c>
      <c r="H234" s="41"/>
      <c r="I234" s="8" t="s">
        <v>156</v>
      </c>
      <c r="J234" s="8"/>
      <c r="K234" s="8"/>
      <c r="L234" s="59"/>
      <c r="M234" s="42"/>
      <c r="N234" s="8"/>
      <c r="O234" s="8" t="s">
        <v>244</v>
      </c>
      <c r="P234" s="8"/>
      <c r="Q234" s="8" t="b">
        <f>IF(G234="隔週A", MOD(INT(('26414_編集版'!$B$1-DATE(2026,4,14))/7), 2)=1, IF(G234="隔週B", MOD(INT(('26414_編集版'!$B$1-DATE(2026,4,14))/7), 2)=0, FALSE))</f>
        <v>0</v>
      </c>
      <c r="R234" s="8"/>
      <c r="S234" s="8"/>
      <c r="T234" s="8"/>
    </row>
    <row r="235" ht="17.25" customHeight="1">
      <c r="A235" s="54" t="s">
        <v>184</v>
      </c>
      <c r="B235" s="8">
        <v>21.0</v>
      </c>
      <c r="C235" s="42"/>
      <c r="D235" s="42"/>
      <c r="E235" s="42" t="s">
        <v>416</v>
      </c>
      <c r="F235" s="8">
        <v>1.5</v>
      </c>
      <c r="G235" s="8" t="s">
        <v>241</v>
      </c>
      <c r="H235" s="41"/>
      <c r="I235" s="8" t="s">
        <v>156</v>
      </c>
      <c r="J235" s="8"/>
      <c r="K235" s="8"/>
      <c r="L235" s="59"/>
      <c r="M235" s="42"/>
      <c r="N235" s="8"/>
      <c r="O235" s="8" t="s">
        <v>244</v>
      </c>
      <c r="P235" s="8"/>
      <c r="Q235" s="8" t="b">
        <f>IF(G235="隔週A", MOD(INT(('26414_編集版'!$B$1-DATE(2026,4,14))/7), 2)=1, IF(G235="隔週B", MOD(INT(('26414_編集版'!$B$1-DATE(2026,4,14))/7), 2)=0, FALSE))</f>
        <v>0</v>
      </c>
      <c r="R235" s="8"/>
      <c r="S235" s="8"/>
      <c r="T235" s="8"/>
    </row>
    <row r="236" ht="17.25" customHeight="1">
      <c r="A236" s="54" t="s">
        <v>184</v>
      </c>
      <c r="B236" s="8">
        <v>21.0</v>
      </c>
      <c r="C236" s="42"/>
      <c r="D236" s="42"/>
      <c r="E236" s="42" t="s">
        <v>417</v>
      </c>
      <c r="F236" s="8">
        <v>0.6</v>
      </c>
      <c r="G236" s="8" t="s">
        <v>241</v>
      </c>
      <c r="H236" s="41"/>
      <c r="I236" s="8" t="s">
        <v>156</v>
      </c>
      <c r="J236" s="8"/>
      <c r="K236" s="8"/>
      <c r="L236" s="59"/>
      <c r="M236" s="42"/>
      <c r="N236" s="8"/>
      <c r="O236" s="8" t="s">
        <v>244</v>
      </c>
      <c r="P236" s="8"/>
      <c r="Q236" s="8" t="b">
        <f>IF(G236="隔週A", MOD(INT(('26414_編集版'!$B$1-DATE(2026,4,14))/7), 2)=1, IF(G236="隔週B", MOD(INT(('26414_編集版'!$B$1-DATE(2026,4,14))/7), 2)=0, FALSE))</f>
        <v>0</v>
      </c>
      <c r="R236" s="8"/>
      <c r="S236" s="8"/>
      <c r="T236" s="8"/>
    </row>
    <row r="237" ht="17.25" customHeight="1">
      <c r="A237" s="54" t="s">
        <v>186</v>
      </c>
      <c r="B237" s="8">
        <v>8.0</v>
      </c>
      <c r="C237" s="69"/>
      <c r="D237" s="69"/>
      <c r="E237" s="69" t="s">
        <v>418</v>
      </c>
      <c r="F237" s="58">
        <v>7.0</v>
      </c>
      <c r="G237" s="8" t="s">
        <v>241</v>
      </c>
      <c r="H237" s="74"/>
      <c r="I237" s="58" t="s">
        <v>156</v>
      </c>
      <c r="J237" s="58"/>
      <c r="K237" s="58"/>
      <c r="L237" s="59"/>
      <c r="M237" s="69"/>
      <c r="N237" s="58"/>
      <c r="O237" s="58" t="s">
        <v>256</v>
      </c>
      <c r="P237" s="58" t="s">
        <v>223</v>
      </c>
      <c r="Q237" s="8" t="b">
        <f>IF(G237="隔週A", MOD(INT(('26414_編集版'!$B$1-DATE(2026,4,14))/7), 2)=1, IF(G237="隔週B", MOD(INT(('26414_編集版'!$B$1-DATE(2026,4,14))/7), 2)=0, FALSE))</f>
        <v>0</v>
      </c>
      <c r="R237" s="8"/>
      <c r="S237" s="8"/>
      <c r="T237" s="8"/>
    </row>
    <row r="238" ht="17.25" customHeight="1">
      <c r="A238" s="54" t="s">
        <v>186</v>
      </c>
      <c r="B238" s="8">
        <v>8.0</v>
      </c>
      <c r="C238" s="56"/>
      <c r="D238" s="56"/>
      <c r="E238" s="56" t="s">
        <v>245</v>
      </c>
      <c r="F238" s="56">
        <v>0.1</v>
      </c>
      <c r="G238" s="8" t="s">
        <v>241</v>
      </c>
      <c r="H238" s="41"/>
      <c r="I238" s="8" t="s">
        <v>156</v>
      </c>
      <c r="J238" s="8"/>
      <c r="K238" s="8"/>
      <c r="L238" s="59"/>
      <c r="M238" s="56"/>
      <c r="N238" s="8"/>
      <c r="O238" s="8" t="s">
        <v>244</v>
      </c>
      <c r="P238" s="77"/>
      <c r="Q238" s="8" t="b">
        <f>IF(G238="隔週A", MOD(INT(('26414_編集版'!$B$1-DATE(2026,4,14))/7), 2)=1, IF(G238="隔週B", MOD(INT(('26414_編集版'!$B$1-DATE(2026,4,14))/7), 2)=0, FALSE))</f>
        <v>0</v>
      </c>
      <c r="R238" s="8"/>
      <c r="S238" s="8"/>
      <c r="T238" s="8"/>
    </row>
    <row r="239" ht="17.25" customHeight="1">
      <c r="A239" s="54" t="s">
        <v>186</v>
      </c>
      <c r="B239" s="8">
        <v>9.0</v>
      </c>
      <c r="C239" s="58"/>
      <c r="D239" s="58"/>
      <c r="E239" s="58" t="s">
        <v>419</v>
      </c>
      <c r="F239" s="58">
        <v>0.3</v>
      </c>
      <c r="G239" s="8" t="s">
        <v>241</v>
      </c>
      <c r="H239" s="74"/>
      <c r="I239" s="58" t="s">
        <v>151</v>
      </c>
      <c r="J239" s="58"/>
      <c r="K239" s="58"/>
      <c r="L239" s="59"/>
      <c r="M239" s="58"/>
      <c r="N239" s="58"/>
      <c r="O239" s="58" t="s">
        <v>244</v>
      </c>
      <c r="P239" s="93"/>
      <c r="Q239" s="8" t="b">
        <f>IF(G239="隔週A", MOD(INT(('26414_編集版'!$B$1-DATE(2026,4,14))/7), 2)=1, IF(G239="隔週B", MOD(INT(('26414_編集版'!$B$1-DATE(2026,4,14))/7), 2)=0, FALSE))</f>
        <v>0</v>
      </c>
      <c r="R239" s="8"/>
      <c r="S239" s="8"/>
      <c r="T239" s="8"/>
    </row>
    <row r="240" ht="17.25" customHeight="1">
      <c r="A240" s="54" t="s">
        <v>186</v>
      </c>
      <c r="B240" s="8">
        <v>9.0</v>
      </c>
      <c r="C240" s="58"/>
      <c r="D240" s="58"/>
      <c r="E240" s="58" t="s">
        <v>420</v>
      </c>
      <c r="F240" s="58">
        <v>2.1</v>
      </c>
      <c r="G240" s="8" t="s">
        <v>241</v>
      </c>
      <c r="H240" s="61"/>
      <c r="I240" s="58" t="s">
        <v>151</v>
      </c>
      <c r="J240" s="58"/>
      <c r="K240" s="58"/>
      <c r="L240" s="59"/>
      <c r="M240" s="58"/>
      <c r="N240" s="56"/>
      <c r="O240" s="56" t="s">
        <v>158</v>
      </c>
      <c r="P240" s="56" t="s">
        <v>154</v>
      </c>
      <c r="Q240" s="8" t="b">
        <f>IF(G240="隔週A", MOD(INT(('26414_編集版'!$B$1-DATE(2026,4,14))/7), 2)=1, IF(G240="隔週B", MOD(INT(('26414_編集版'!$B$1-DATE(2026,4,14))/7), 2)=0, FALSE))</f>
        <v>0</v>
      </c>
      <c r="R240" s="8"/>
      <c r="S240" s="8"/>
      <c r="T240" s="8"/>
    </row>
    <row r="241" ht="17.25" customHeight="1">
      <c r="A241" s="54" t="s">
        <v>186</v>
      </c>
      <c r="B241" s="8">
        <v>10.0</v>
      </c>
      <c r="C241" s="58"/>
      <c r="D241" s="58"/>
      <c r="E241" s="58" t="s">
        <v>421</v>
      </c>
      <c r="F241" s="56">
        <v>0.9</v>
      </c>
      <c r="G241" s="8" t="s">
        <v>241</v>
      </c>
      <c r="H241" s="74"/>
      <c r="I241" s="58" t="s">
        <v>156</v>
      </c>
      <c r="J241" s="58"/>
      <c r="K241" s="58"/>
      <c r="L241" s="59"/>
      <c r="M241" s="58"/>
      <c r="N241" s="58"/>
      <c r="O241" s="58" t="s">
        <v>244</v>
      </c>
      <c r="P241" s="93"/>
      <c r="Q241" s="8" t="b">
        <f>IF(G241="隔週A", MOD(INT(('26414_編集版'!$B$1-DATE(2026,4,14))/7), 2)=1, IF(G241="隔週B", MOD(INT(('26414_編集版'!$B$1-DATE(2026,4,14))/7), 2)=0, FALSE))</f>
        <v>0</v>
      </c>
      <c r="R241" s="8"/>
      <c r="S241" s="8"/>
      <c r="T241" s="8"/>
    </row>
    <row r="242" ht="17.25" customHeight="1">
      <c r="A242" s="54" t="s">
        <v>186</v>
      </c>
      <c r="B242" s="8">
        <v>12.0</v>
      </c>
      <c r="C242" s="68"/>
      <c r="D242" s="68"/>
      <c r="E242" s="68" t="s">
        <v>422</v>
      </c>
      <c r="F242" s="55">
        <v>1.0</v>
      </c>
      <c r="G242" s="8" t="s">
        <v>241</v>
      </c>
      <c r="H242" s="61"/>
      <c r="I242" s="58" t="s">
        <v>156</v>
      </c>
      <c r="J242" s="58"/>
      <c r="K242" s="58"/>
      <c r="L242" s="59"/>
      <c r="M242" s="68"/>
      <c r="N242" s="56"/>
      <c r="O242" s="56" t="s">
        <v>244</v>
      </c>
      <c r="P242" s="58"/>
      <c r="Q242" s="8" t="b">
        <f>IF(G242="隔週A", MOD(INT(('26414_編集版'!$B$1-DATE(2026,4,14))/7), 2)=1, IF(G242="隔週B", MOD(INT(('26414_編集版'!$B$1-DATE(2026,4,14))/7), 2)=0, FALSE))</f>
        <v>0</v>
      </c>
      <c r="R242" s="8"/>
      <c r="S242" s="8"/>
      <c r="T242" s="8"/>
    </row>
    <row r="243" ht="17.25" customHeight="1">
      <c r="A243" s="54" t="s">
        <v>186</v>
      </c>
      <c r="B243" s="8">
        <v>13.0</v>
      </c>
      <c r="C243" s="56"/>
      <c r="D243" s="56"/>
      <c r="E243" s="56" t="s">
        <v>423</v>
      </c>
      <c r="F243" s="8">
        <v>0.3</v>
      </c>
      <c r="G243" s="8" t="s">
        <v>241</v>
      </c>
      <c r="H243" s="41"/>
      <c r="I243" s="56" t="s">
        <v>156</v>
      </c>
      <c r="J243" s="56"/>
      <c r="K243" s="56"/>
      <c r="L243" s="59"/>
      <c r="M243" s="56"/>
      <c r="N243" s="8"/>
      <c r="O243" s="8" t="s">
        <v>244</v>
      </c>
      <c r="P243" s="8"/>
      <c r="Q243" s="8" t="b">
        <f>IF(G243="隔週A", MOD(INT(('26414_編集版'!$B$1-DATE(2026,4,14))/7), 2)=1, IF(G243="隔週B", MOD(INT(('26414_編集版'!$B$1-DATE(2026,4,14))/7), 2)=0, FALSE))</f>
        <v>0</v>
      </c>
      <c r="R243" s="8"/>
      <c r="S243" s="8"/>
      <c r="T243" s="8"/>
    </row>
    <row r="244" ht="17.25" customHeight="1">
      <c r="A244" s="54" t="s">
        <v>186</v>
      </c>
      <c r="B244" s="8">
        <v>13.0</v>
      </c>
      <c r="C244" s="42"/>
      <c r="D244" s="42"/>
      <c r="E244" s="42" t="s">
        <v>424</v>
      </c>
      <c r="F244" s="8">
        <v>0.9</v>
      </c>
      <c r="G244" s="8" t="s">
        <v>241</v>
      </c>
      <c r="H244" s="41"/>
      <c r="I244" s="8" t="s">
        <v>156</v>
      </c>
      <c r="J244" s="8"/>
      <c r="K244" s="8"/>
      <c r="L244" s="59"/>
      <c r="M244" s="42"/>
      <c r="N244" s="8"/>
      <c r="O244" s="8" t="s">
        <v>244</v>
      </c>
      <c r="P244" s="8"/>
      <c r="Q244" s="8" t="b">
        <f>IF(G244="隔週A", MOD(INT(('26414_編集版'!$B$1-DATE(2026,4,14))/7), 2)=1, IF(G244="隔週B", MOD(INT(('26414_編集版'!$B$1-DATE(2026,4,14))/7), 2)=0, FALSE))</f>
        <v>0</v>
      </c>
      <c r="R244" s="8"/>
      <c r="S244" s="8"/>
      <c r="T244" s="8"/>
    </row>
    <row r="245" ht="17.25" customHeight="1">
      <c r="A245" s="54" t="s">
        <v>186</v>
      </c>
      <c r="B245" s="34">
        <v>14.0</v>
      </c>
      <c r="C245" s="42"/>
      <c r="D245" s="42"/>
      <c r="E245" s="42" t="s">
        <v>425</v>
      </c>
      <c r="F245" s="8">
        <v>4.0</v>
      </c>
      <c r="G245" s="8" t="s">
        <v>241</v>
      </c>
      <c r="H245" s="41"/>
      <c r="I245" s="8" t="s">
        <v>156</v>
      </c>
      <c r="J245" s="8"/>
      <c r="K245" s="8"/>
      <c r="L245" s="59"/>
      <c r="M245" s="42"/>
      <c r="N245" s="8"/>
      <c r="O245" s="8" t="s">
        <v>256</v>
      </c>
      <c r="P245" s="8" t="s">
        <v>223</v>
      </c>
      <c r="Q245" s="8" t="b">
        <f>IF(G245="隔週A", MOD(INT(('26414_編集版'!$B$1-DATE(2026,4,14))/7), 2)=1, IF(G245="隔週B", MOD(INT(('26414_編集版'!$B$1-DATE(2026,4,14))/7), 2)=0, FALSE))</f>
        <v>0</v>
      </c>
      <c r="R245" s="8"/>
      <c r="S245" s="8"/>
      <c r="T245" s="8"/>
    </row>
    <row r="246" ht="17.25" customHeight="1">
      <c r="A246" s="54" t="s">
        <v>186</v>
      </c>
      <c r="B246" s="34">
        <v>15.0</v>
      </c>
      <c r="C246" s="56"/>
      <c r="D246" s="56"/>
      <c r="E246" s="56" t="s">
        <v>426</v>
      </c>
      <c r="F246" s="8">
        <v>0.4</v>
      </c>
      <c r="G246" s="8" t="s">
        <v>241</v>
      </c>
      <c r="H246" s="41"/>
      <c r="I246" s="56" t="s">
        <v>156</v>
      </c>
      <c r="J246" s="56"/>
      <c r="K246" s="56"/>
      <c r="L246" s="59"/>
      <c r="M246" s="56"/>
      <c r="N246" s="8"/>
      <c r="O246" s="8" t="s">
        <v>244</v>
      </c>
      <c r="P246" s="8"/>
      <c r="Q246" s="8" t="b">
        <f>IF(G246="隔週A", MOD(INT(('26414_編集版'!$B$1-DATE(2026,4,14))/7), 2)=1, IF(G246="隔週B", MOD(INT(('26414_編集版'!$B$1-DATE(2026,4,14))/7), 2)=0, FALSE))</f>
        <v>0</v>
      </c>
      <c r="R246" s="8"/>
      <c r="S246" s="8"/>
      <c r="T246" s="8"/>
    </row>
    <row r="247" ht="17.25" customHeight="1">
      <c r="A247" s="54" t="s">
        <v>186</v>
      </c>
      <c r="B247" s="34">
        <v>15.0</v>
      </c>
      <c r="C247" s="42"/>
      <c r="D247" s="42"/>
      <c r="E247" s="42" t="s">
        <v>427</v>
      </c>
      <c r="F247" s="8">
        <v>0.3</v>
      </c>
      <c r="G247" s="8" t="s">
        <v>241</v>
      </c>
      <c r="H247" s="41"/>
      <c r="I247" s="8" t="s">
        <v>156</v>
      </c>
      <c r="J247" s="8"/>
      <c r="K247" s="8"/>
      <c r="L247" s="59"/>
      <c r="M247" s="42"/>
      <c r="N247" s="8"/>
      <c r="O247" s="8" t="s">
        <v>244</v>
      </c>
      <c r="P247" s="56"/>
      <c r="Q247" s="8" t="b">
        <f>IF(G247="隔週A", MOD(INT(('26414_編集版'!$B$1-DATE(2026,4,14))/7), 2)=1, IF(G247="隔週B", MOD(INT(('26414_編集版'!$B$1-DATE(2026,4,14))/7), 2)=0, FALSE))</f>
        <v>0</v>
      </c>
      <c r="R247" s="8"/>
      <c r="S247" s="8"/>
      <c r="T247" s="8"/>
    </row>
    <row r="248" ht="17.25" customHeight="1">
      <c r="A248" s="54" t="s">
        <v>186</v>
      </c>
      <c r="B248" s="8">
        <v>16.0</v>
      </c>
      <c r="C248" s="62"/>
      <c r="D248" s="62"/>
      <c r="E248" s="62" t="s">
        <v>428</v>
      </c>
      <c r="F248" s="8">
        <v>4.0</v>
      </c>
      <c r="G248" s="8" t="s">
        <v>241</v>
      </c>
      <c r="H248" s="41"/>
      <c r="I248" s="8" t="s">
        <v>156</v>
      </c>
      <c r="J248" s="8"/>
      <c r="K248" s="8"/>
      <c r="L248" s="59"/>
      <c r="M248" s="62"/>
      <c r="N248" s="8"/>
      <c r="O248" s="8" t="s">
        <v>256</v>
      </c>
      <c r="P248" s="8" t="s">
        <v>223</v>
      </c>
      <c r="Q248" s="8" t="b">
        <f>IF(G248="隔週A", MOD(INT(('26414_編集版'!$B$1-DATE(2026,4,14))/7), 2)=1, IF(G248="隔週B", MOD(INT(('26414_編集版'!$B$1-DATE(2026,4,14))/7), 2)=0, FALSE))</f>
        <v>0</v>
      </c>
      <c r="R248" s="8"/>
      <c r="S248" s="8"/>
      <c r="T248" s="8"/>
    </row>
    <row r="249" ht="17.25" customHeight="1">
      <c r="A249" s="54" t="s">
        <v>186</v>
      </c>
      <c r="B249" s="8">
        <v>17.0</v>
      </c>
      <c r="C249" s="56"/>
      <c r="D249" s="56"/>
      <c r="E249" s="56" t="s">
        <v>429</v>
      </c>
      <c r="F249" s="56">
        <v>1.2</v>
      </c>
      <c r="G249" s="8" t="s">
        <v>241</v>
      </c>
      <c r="H249" s="41"/>
      <c r="I249" s="56" t="s">
        <v>156</v>
      </c>
      <c r="J249" s="56"/>
      <c r="K249" s="56"/>
      <c r="L249" s="59"/>
      <c r="M249" s="56"/>
      <c r="N249" s="8"/>
      <c r="O249" s="8" t="s">
        <v>244</v>
      </c>
      <c r="P249" s="8"/>
      <c r="Q249" s="8" t="b">
        <f>IF(G249="隔週A", MOD(INT(('26414_編集版'!$B$1-DATE(2026,4,14))/7), 2)=1, IF(G249="隔週B", MOD(INT(('26414_編集版'!$B$1-DATE(2026,4,14))/7), 2)=0, FALSE))</f>
        <v>0</v>
      </c>
      <c r="R249" s="8"/>
      <c r="S249" s="8"/>
      <c r="T249" s="8"/>
    </row>
    <row r="250" ht="17.25" customHeight="1">
      <c r="A250" s="54" t="s">
        <v>186</v>
      </c>
      <c r="B250" s="8">
        <v>17.0</v>
      </c>
      <c r="C250" s="56"/>
      <c r="D250" s="56"/>
      <c r="E250" s="56" t="s">
        <v>430</v>
      </c>
      <c r="F250" s="56">
        <v>0.2</v>
      </c>
      <c r="G250" s="8" t="s">
        <v>241</v>
      </c>
      <c r="H250" s="41"/>
      <c r="I250" s="56" t="s">
        <v>156</v>
      </c>
      <c r="J250" s="56"/>
      <c r="K250" s="56"/>
      <c r="L250" s="59"/>
      <c r="M250" s="56"/>
      <c r="N250" s="8"/>
      <c r="O250" s="8" t="s">
        <v>244</v>
      </c>
      <c r="P250" s="56"/>
      <c r="Q250" s="8" t="b">
        <f>IF(G250="隔週A", MOD(INT(('26414_編集版'!$B$1-DATE(2026,4,14))/7), 2)=1, IF(G250="隔週B", MOD(INT(('26414_編集版'!$B$1-DATE(2026,4,14))/7), 2)=0, FALSE))</f>
        <v>0</v>
      </c>
      <c r="R250" s="8"/>
      <c r="S250" s="8"/>
      <c r="T250" s="8"/>
    </row>
    <row r="251" ht="17.25" customHeight="1">
      <c r="A251" s="54" t="s">
        <v>186</v>
      </c>
      <c r="B251" s="8">
        <v>17.0</v>
      </c>
      <c r="C251" s="35"/>
      <c r="D251" s="35"/>
      <c r="E251" s="35" t="s">
        <v>431</v>
      </c>
      <c r="F251" s="8">
        <v>0.9</v>
      </c>
      <c r="G251" s="8" t="s">
        <v>241</v>
      </c>
      <c r="H251" s="41"/>
      <c r="I251" s="8" t="s">
        <v>156</v>
      </c>
      <c r="J251" s="8"/>
      <c r="K251" s="8"/>
      <c r="L251" s="59"/>
      <c r="M251" s="35"/>
      <c r="N251" s="8"/>
      <c r="O251" s="8" t="s">
        <v>244</v>
      </c>
      <c r="P251" s="56"/>
      <c r="Q251" s="8" t="b">
        <f>IF(G251="隔週A", MOD(INT(('26414_編集版'!$B$1-DATE(2026,4,14))/7), 2)=1, IF(G251="隔週B", MOD(INT(('26414_編集版'!$B$1-DATE(2026,4,14))/7), 2)=0, FALSE))</f>
        <v>0</v>
      </c>
      <c r="R251" s="8"/>
      <c r="S251" s="8"/>
      <c r="T251" s="8"/>
    </row>
    <row r="252" ht="17.25" customHeight="1">
      <c r="A252" s="54" t="s">
        <v>186</v>
      </c>
      <c r="B252" s="8">
        <v>17.0</v>
      </c>
      <c r="C252" s="56"/>
      <c r="D252" s="56"/>
      <c r="E252" s="56" t="s">
        <v>432</v>
      </c>
      <c r="F252" s="101">
        <v>0.2</v>
      </c>
      <c r="G252" s="8" t="s">
        <v>241</v>
      </c>
      <c r="H252" s="41"/>
      <c r="I252" s="56" t="s">
        <v>156</v>
      </c>
      <c r="J252" s="56"/>
      <c r="K252" s="56"/>
      <c r="L252" s="59"/>
      <c r="M252" s="56"/>
      <c r="N252" s="8"/>
      <c r="O252" s="8" t="s">
        <v>244</v>
      </c>
      <c r="P252" s="56"/>
      <c r="Q252" s="8" t="b">
        <f>IF(G252="隔週A", MOD(INT(('26414_編集版'!$B$1-DATE(2026,4,14))/7), 2)=1, IF(G252="隔週B", MOD(INT(('26414_編集版'!$B$1-DATE(2026,4,14))/7), 2)=0, FALSE))</f>
        <v>0</v>
      </c>
      <c r="R252" s="8"/>
      <c r="S252" s="8"/>
      <c r="T252" s="8"/>
    </row>
    <row r="253" ht="17.25" customHeight="1">
      <c r="A253" s="54" t="s">
        <v>186</v>
      </c>
      <c r="B253" s="8">
        <v>17.0</v>
      </c>
      <c r="C253" s="56"/>
      <c r="D253" s="56"/>
      <c r="E253" s="56" t="s">
        <v>433</v>
      </c>
      <c r="F253" s="56">
        <v>0.8</v>
      </c>
      <c r="G253" s="8" t="s">
        <v>241</v>
      </c>
      <c r="H253" s="41"/>
      <c r="I253" s="56" t="s">
        <v>156</v>
      </c>
      <c r="J253" s="56"/>
      <c r="K253" s="56"/>
      <c r="L253" s="59"/>
      <c r="M253" s="56"/>
      <c r="N253" s="8"/>
      <c r="O253" s="8" t="s">
        <v>244</v>
      </c>
      <c r="P253" s="56"/>
      <c r="Q253" s="8" t="b">
        <f>IF(G253="隔週A", MOD(INT(('26414_編集版'!$B$1-DATE(2026,4,14))/7), 2)=1, IF(G253="隔週B", MOD(INT(('26414_編集版'!$B$1-DATE(2026,4,14))/7), 2)=0, FALSE))</f>
        <v>0</v>
      </c>
      <c r="R253" s="8"/>
      <c r="S253" s="8"/>
      <c r="T253" s="8"/>
    </row>
    <row r="254" ht="17.25" customHeight="1">
      <c r="A254" s="54" t="s">
        <v>186</v>
      </c>
      <c r="B254" s="8">
        <v>17.0</v>
      </c>
      <c r="C254" s="56"/>
      <c r="D254" s="56"/>
      <c r="E254" s="56" t="s">
        <v>434</v>
      </c>
      <c r="F254" s="56">
        <v>0.4</v>
      </c>
      <c r="G254" s="8" t="s">
        <v>241</v>
      </c>
      <c r="H254" s="41"/>
      <c r="I254" s="56" t="s">
        <v>156</v>
      </c>
      <c r="J254" s="56"/>
      <c r="K254" s="56"/>
      <c r="L254" s="59"/>
      <c r="M254" s="56"/>
      <c r="N254" s="8"/>
      <c r="O254" s="8" t="s">
        <v>244</v>
      </c>
      <c r="P254" s="56"/>
      <c r="Q254" s="8" t="b">
        <f>IF(G254="隔週A", MOD(INT(('26414_編集版'!$B$1-DATE(2026,4,14))/7), 2)=1, IF(G254="隔週B", MOD(INT(('26414_編集版'!$B$1-DATE(2026,4,14))/7), 2)=0, FALSE))</f>
        <v>0</v>
      </c>
      <c r="R254" s="8"/>
      <c r="S254" s="8"/>
      <c r="T254" s="8"/>
    </row>
    <row r="255" ht="17.25" customHeight="1">
      <c r="A255" s="54" t="s">
        <v>186</v>
      </c>
      <c r="B255" s="8">
        <v>18.0</v>
      </c>
      <c r="C255" s="82"/>
      <c r="D255" s="82"/>
      <c r="E255" s="82" t="s">
        <v>435</v>
      </c>
      <c r="F255" s="55">
        <v>0.6</v>
      </c>
      <c r="G255" s="8" t="s">
        <v>241</v>
      </c>
      <c r="H255" s="41"/>
      <c r="I255" s="56" t="s">
        <v>156</v>
      </c>
      <c r="J255" s="56"/>
      <c r="K255" s="56"/>
      <c r="L255" s="59"/>
      <c r="M255" s="82"/>
      <c r="N255" s="8"/>
      <c r="O255" s="8" t="s">
        <v>244</v>
      </c>
      <c r="P255" s="102"/>
      <c r="Q255" s="8" t="b">
        <f>IF(G255="隔週A", MOD(INT(('26414_編集版'!$B$1-DATE(2026,4,14))/7), 2)=1, IF(G255="隔週B", MOD(INT(('26414_編集版'!$B$1-DATE(2026,4,14))/7), 2)=0, FALSE))</f>
        <v>0</v>
      </c>
      <c r="R255" s="8"/>
      <c r="S255" s="8"/>
      <c r="T255" s="8"/>
    </row>
    <row r="256" ht="17.25" customHeight="1">
      <c r="A256" s="54" t="s">
        <v>186</v>
      </c>
      <c r="B256" s="8">
        <v>18.0</v>
      </c>
      <c r="C256" s="42"/>
      <c r="D256" s="42"/>
      <c r="E256" s="42" t="s">
        <v>436</v>
      </c>
      <c r="F256" s="56">
        <v>2.5</v>
      </c>
      <c r="G256" s="8" t="s">
        <v>241</v>
      </c>
      <c r="H256" s="41"/>
      <c r="I256" s="8" t="s">
        <v>156</v>
      </c>
      <c r="J256" s="8"/>
      <c r="K256" s="8"/>
      <c r="L256" s="59"/>
      <c r="M256" s="42"/>
      <c r="N256" s="8"/>
      <c r="O256" s="8" t="s">
        <v>244</v>
      </c>
      <c r="P256" s="34"/>
      <c r="Q256" s="8" t="b">
        <f>IF(G256="隔週A", MOD(INT(('26414_編集版'!$B$1-DATE(2026,4,14))/7), 2)=1, IF(G256="隔週B", MOD(INT(('26414_編集版'!$B$1-DATE(2026,4,14))/7), 2)=0, FALSE))</f>
        <v>0</v>
      </c>
      <c r="R256" s="8"/>
      <c r="S256" s="8"/>
      <c r="T256" s="8"/>
    </row>
    <row r="257" ht="17.25" customHeight="1">
      <c r="A257" s="54" t="s">
        <v>186</v>
      </c>
      <c r="B257" s="8">
        <v>19.0</v>
      </c>
      <c r="C257" s="66"/>
      <c r="D257" s="66"/>
      <c r="E257" s="66" t="s">
        <v>437</v>
      </c>
      <c r="F257" s="56">
        <v>6.7</v>
      </c>
      <c r="G257" s="8" t="s">
        <v>241</v>
      </c>
      <c r="H257" s="41"/>
      <c r="I257" s="58" t="s">
        <v>156</v>
      </c>
      <c r="J257" s="58"/>
      <c r="K257" s="58"/>
      <c r="L257" s="59"/>
      <c r="M257" s="66"/>
      <c r="N257" s="8"/>
      <c r="O257" s="8" t="s">
        <v>244</v>
      </c>
      <c r="P257" s="8"/>
      <c r="Q257" s="8" t="b">
        <f>IF(G257="隔週A", MOD(INT(('26414_編集版'!$B$1-DATE(2026,4,14))/7), 2)=1, IF(G257="隔週B", MOD(INT(('26414_編集版'!$B$1-DATE(2026,4,14))/7), 2)=0, FALSE))</f>
        <v>0</v>
      </c>
      <c r="R257" s="8"/>
      <c r="S257" s="8"/>
      <c r="T257" s="8"/>
    </row>
    <row r="258" ht="17.25" customHeight="1">
      <c r="A258" s="54" t="s">
        <v>186</v>
      </c>
      <c r="B258" s="8">
        <v>20.0</v>
      </c>
      <c r="C258" s="42"/>
      <c r="D258" s="42"/>
      <c r="E258" s="42" t="s">
        <v>438</v>
      </c>
      <c r="F258" s="8">
        <v>1.1</v>
      </c>
      <c r="G258" s="8" t="s">
        <v>241</v>
      </c>
      <c r="H258" s="41"/>
      <c r="I258" s="8" t="s">
        <v>156</v>
      </c>
      <c r="J258" s="8"/>
      <c r="K258" s="8"/>
      <c r="L258" s="59"/>
      <c r="M258" s="42"/>
      <c r="N258" s="8"/>
      <c r="O258" s="8" t="s">
        <v>244</v>
      </c>
      <c r="P258" s="8"/>
      <c r="Q258" s="8" t="b">
        <f>IF(G258="隔週A", MOD(INT(('26414_編集版'!$B$1-DATE(2026,4,14))/7), 2)=1, IF(G258="隔週B", MOD(INT(('26414_編集版'!$B$1-DATE(2026,4,14))/7), 2)=0, FALSE))</f>
        <v>0</v>
      </c>
      <c r="R258" s="8"/>
      <c r="S258" s="8"/>
      <c r="T258" s="8"/>
    </row>
    <row r="259" ht="17.25" customHeight="1">
      <c r="A259" s="54" t="s">
        <v>186</v>
      </c>
      <c r="B259" s="8">
        <v>20.0</v>
      </c>
      <c r="C259" s="42"/>
      <c r="D259" s="42"/>
      <c r="E259" s="42" t="s">
        <v>439</v>
      </c>
      <c r="F259" s="8">
        <v>0.3</v>
      </c>
      <c r="G259" s="8" t="s">
        <v>241</v>
      </c>
      <c r="H259" s="41"/>
      <c r="I259" s="8" t="s">
        <v>156</v>
      </c>
      <c r="J259" s="8"/>
      <c r="K259" s="8"/>
      <c r="L259" s="59"/>
      <c r="M259" s="42"/>
      <c r="N259" s="8"/>
      <c r="O259" s="8" t="s">
        <v>244</v>
      </c>
      <c r="P259" s="8"/>
      <c r="Q259" s="8" t="b">
        <f>IF(G259="隔週A", MOD(INT(('26414_編集版'!$B$1-DATE(2026,4,14))/7), 2)=1, IF(G259="隔週B", MOD(INT(('26414_編集版'!$B$1-DATE(2026,4,14))/7), 2)=0, FALSE))</f>
        <v>0</v>
      </c>
      <c r="R259" s="8"/>
      <c r="S259" s="8"/>
      <c r="T259" s="8"/>
    </row>
    <row r="260" ht="17.25" customHeight="1">
      <c r="A260" s="54" t="s">
        <v>186</v>
      </c>
      <c r="B260" s="8">
        <v>20.0</v>
      </c>
      <c r="C260" s="56"/>
      <c r="D260" s="56"/>
      <c r="E260" s="56" t="s">
        <v>440</v>
      </c>
      <c r="F260" s="8">
        <v>1.0</v>
      </c>
      <c r="G260" s="8" t="s">
        <v>241</v>
      </c>
      <c r="H260" s="41"/>
      <c r="I260" s="8" t="s">
        <v>156</v>
      </c>
      <c r="J260" s="8"/>
      <c r="K260" s="8"/>
      <c r="L260" s="59"/>
      <c r="M260" s="56"/>
      <c r="N260" s="8"/>
      <c r="O260" s="8" t="s">
        <v>244</v>
      </c>
      <c r="P260" s="8"/>
      <c r="Q260" s="8" t="b">
        <f>IF(G260="隔週A", MOD(INT(('26414_編集版'!$B$1-DATE(2026,4,14))/7), 2)=1, IF(G260="隔週B", MOD(INT(('26414_編集版'!$B$1-DATE(2026,4,14))/7), 2)=0, FALSE))</f>
        <v>0</v>
      </c>
      <c r="R260" s="8"/>
      <c r="S260" s="8"/>
      <c r="T260" s="8"/>
    </row>
    <row r="261" ht="17.25" customHeight="1">
      <c r="A261" s="54" t="s">
        <v>186</v>
      </c>
      <c r="B261" s="8">
        <v>20.0</v>
      </c>
      <c r="C261" s="55"/>
      <c r="D261" s="55"/>
      <c r="E261" s="55" t="s">
        <v>285</v>
      </c>
      <c r="F261" s="8">
        <v>0.1</v>
      </c>
      <c r="G261" s="8" t="s">
        <v>241</v>
      </c>
      <c r="H261" s="41"/>
      <c r="I261" s="8" t="s">
        <v>156</v>
      </c>
      <c r="J261" s="8"/>
      <c r="K261" s="8"/>
      <c r="L261" s="59"/>
      <c r="M261" s="55"/>
      <c r="N261" s="8"/>
      <c r="O261" s="8" t="s">
        <v>223</v>
      </c>
      <c r="P261" s="8" t="s">
        <v>200</v>
      </c>
      <c r="Q261" s="8" t="b">
        <f>IF(G261="隔週A", MOD(INT(('26414_編集版'!$B$1-DATE(2026,4,14))/7), 2)=1, IF(G261="隔週B", MOD(INT(('26414_編集版'!$B$1-DATE(2026,4,14))/7), 2)=0, FALSE))</f>
        <v>0</v>
      </c>
      <c r="R261" s="8"/>
      <c r="S261" s="8"/>
      <c r="T261" s="8"/>
    </row>
    <row r="262" ht="17.25" customHeight="1">
      <c r="A262" s="54" t="s">
        <v>186</v>
      </c>
      <c r="B262" s="8">
        <v>21.0</v>
      </c>
      <c r="C262" s="56"/>
      <c r="D262" s="56"/>
      <c r="E262" s="56" t="s">
        <v>288</v>
      </c>
      <c r="F262" s="36">
        <v>0.1</v>
      </c>
      <c r="G262" s="8" t="s">
        <v>241</v>
      </c>
      <c r="H262" s="41"/>
      <c r="I262" s="56" t="s">
        <v>156</v>
      </c>
      <c r="J262" s="56"/>
      <c r="K262" s="56"/>
      <c r="L262" s="59"/>
      <c r="M262" s="56"/>
      <c r="N262" s="8"/>
      <c r="O262" s="8" t="s">
        <v>244</v>
      </c>
      <c r="P262" s="36"/>
      <c r="Q262" s="8" t="b">
        <f>IF(G262="隔週A", MOD(INT(('26414_編集版'!$B$1-DATE(2026,4,14))/7), 2)=1, IF(G262="隔週B", MOD(INT(('26414_編集版'!$B$1-DATE(2026,4,14))/7), 2)=0, FALSE))</f>
        <v>0</v>
      </c>
      <c r="R262" s="8"/>
      <c r="S262" s="8"/>
      <c r="T262" s="8"/>
    </row>
    <row r="263" ht="17.25" customHeight="1">
      <c r="A263" s="54" t="s">
        <v>186</v>
      </c>
      <c r="B263" s="8">
        <v>21.0</v>
      </c>
      <c r="C263" s="58"/>
      <c r="D263" s="58"/>
      <c r="E263" s="58" t="s">
        <v>289</v>
      </c>
      <c r="F263" s="36">
        <v>0.1</v>
      </c>
      <c r="G263" s="8" t="s">
        <v>241</v>
      </c>
      <c r="H263" s="41"/>
      <c r="I263" s="58" t="s">
        <v>151</v>
      </c>
      <c r="J263" s="58"/>
      <c r="K263" s="58"/>
      <c r="L263" s="59"/>
      <c r="M263" s="58"/>
      <c r="N263" s="8"/>
      <c r="O263" s="8" t="s">
        <v>244</v>
      </c>
      <c r="P263" s="58"/>
      <c r="Q263" s="8" t="b">
        <f>IF(G263="隔週A", MOD(INT(('26414_編集版'!$B$1-DATE(2026,4,14))/7), 2)=1, IF(G263="隔週B", MOD(INT(('26414_編集版'!$B$1-DATE(2026,4,14))/7), 2)=0, FALSE))</f>
        <v>0</v>
      </c>
      <c r="R263" s="8"/>
      <c r="S263" s="8"/>
      <c r="T263" s="8"/>
    </row>
    <row r="264" ht="17.25" customHeight="1">
      <c r="A264" s="54" t="s">
        <v>186</v>
      </c>
      <c r="B264" s="8">
        <v>21.0</v>
      </c>
      <c r="C264" s="66"/>
      <c r="D264" s="66"/>
      <c r="E264" s="66" t="s">
        <v>441</v>
      </c>
      <c r="F264" s="56">
        <v>1.7</v>
      </c>
      <c r="G264" s="8" t="s">
        <v>241</v>
      </c>
      <c r="H264" s="41"/>
      <c r="I264" s="56" t="s">
        <v>156</v>
      </c>
      <c r="J264" s="56"/>
      <c r="K264" s="56"/>
      <c r="L264" s="59"/>
      <c r="M264" s="66"/>
      <c r="N264" s="8"/>
      <c r="O264" s="8" t="s">
        <v>244</v>
      </c>
      <c r="P264" s="56"/>
      <c r="Q264" s="8" t="b">
        <f>IF(G264="隔週A", MOD(INT(('26414_編集版'!$B$1-DATE(2026,4,14))/7), 2)=1, IF(G264="隔週B", MOD(INT(('26414_編集版'!$B$1-DATE(2026,4,14))/7), 2)=0, FALSE))</f>
        <v>0</v>
      </c>
      <c r="R264" s="8"/>
      <c r="S264" s="8"/>
      <c r="T264" s="8"/>
    </row>
    <row r="265" ht="17.25" customHeight="1">
      <c r="A265" s="54" t="s">
        <v>186</v>
      </c>
      <c r="B265" s="8">
        <v>21.0</v>
      </c>
      <c r="C265" s="56"/>
      <c r="D265" s="56"/>
      <c r="E265" s="56" t="s">
        <v>442</v>
      </c>
      <c r="F265" s="56">
        <v>0.3</v>
      </c>
      <c r="G265" s="8" t="s">
        <v>241</v>
      </c>
      <c r="H265" s="41"/>
      <c r="I265" s="56" t="s">
        <v>156</v>
      </c>
      <c r="J265" s="56"/>
      <c r="K265" s="56"/>
      <c r="L265" s="59"/>
      <c r="M265" s="56"/>
      <c r="N265" s="8"/>
      <c r="O265" s="8" t="s">
        <v>244</v>
      </c>
      <c r="P265" s="56"/>
      <c r="Q265" s="8" t="b">
        <f>IF(G265="隔週A", MOD(INT(('26414_編集版'!$B$1-DATE(2026,4,14))/7), 2)=1, IF(G265="隔週B", MOD(INT(('26414_編集版'!$B$1-DATE(2026,4,14))/7), 2)=0, FALSE))</f>
        <v>0</v>
      </c>
      <c r="R265" s="8"/>
      <c r="S265" s="8"/>
      <c r="T265" s="8"/>
    </row>
    <row r="266" ht="17.25" customHeight="1">
      <c r="A266" s="54" t="s">
        <v>186</v>
      </c>
      <c r="B266" s="8">
        <v>21.0</v>
      </c>
      <c r="C266" s="42"/>
      <c r="D266" s="42"/>
      <c r="E266" s="42" t="s">
        <v>443</v>
      </c>
      <c r="F266" s="8">
        <v>0.4</v>
      </c>
      <c r="G266" s="8" t="s">
        <v>241</v>
      </c>
      <c r="H266" s="41"/>
      <c r="I266" s="8" t="s">
        <v>156</v>
      </c>
      <c r="J266" s="8"/>
      <c r="K266" s="8"/>
      <c r="L266" s="59"/>
      <c r="M266" s="42"/>
      <c r="N266" s="8"/>
      <c r="O266" s="8" t="s">
        <v>244</v>
      </c>
      <c r="P266" s="56"/>
      <c r="Q266" s="8" t="b">
        <f>IF(G266="隔週A", MOD(INT(('26414_編集版'!$B$1-DATE(2026,4,14))/7), 2)=1, IF(G266="隔週B", MOD(INT(('26414_編集版'!$B$1-DATE(2026,4,14))/7), 2)=0, FALSE))</f>
        <v>0</v>
      </c>
      <c r="R266" s="8"/>
      <c r="S266" s="8"/>
      <c r="T266" s="8"/>
    </row>
    <row r="267" ht="17.25" customHeight="1">
      <c r="A267" s="54" t="s">
        <v>186</v>
      </c>
      <c r="B267" s="8">
        <v>21.0</v>
      </c>
      <c r="C267" s="42"/>
      <c r="D267" s="42"/>
      <c r="E267" s="42" t="s">
        <v>444</v>
      </c>
      <c r="F267" s="8">
        <v>1.3</v>
      </c>
      <c r="G267" s="8" t="s">
        <v>241</v>
      </c>
      <c r="H267" s="41"/>
      <c r="I267" s="56" t="s">
        <v>156</v>
      </c>
      <c r="J267" s="56"/>
      <c r="K267" s="56"/>
      <c r="L267" s="59"/>
      <c r="M267" s="42"/>
      <c r="N267" s="8"/>
      <c r="O267" s="8" t="s">
        <v>244</v>
      </c>
      <c r="P267" s="56"/>
      <c r="Q267" s="8" t="b">
        <f>IF(G267="隔週A", MOD(INT(('26414_編集版'!$B$1-DATE(2026,4,14))/7), 2)=1, IF(G267="隔週B", MOD(INT(('26414_編集版'!$B$1-DATE(2026,4,14))/7), 2)=0, FALSE))</f>
        <v>0</v>
      </c>
      <c r="R267" s="8"/>
      <c r="S267" s="8"/>
      <c r="T267" s="8"/>
    </row>
    <row r="268" ht="17.25" customHeight="1">
      <c r="A268" s="54" t="s">
        <v>194</v>
      </c>
      <c r="B268" s="8">
        <v>8.0</v>
      </c>
      <c r="C268" s="58"/>
      <c r="D268" s="58"/>
      <c r="E268" s="58" t="s">
        <v>445</v>
      </c>
      <c r="F268" s="8">
        <v>0.9</v>
      </c>
      <c r="G268" s="8" t="s">
        <v>241</v>
      </c>
      <c r="H268" s="74"/>
      <c r="I268" s="36" t="s">
        <v>156</v>
      </c>
      <c r="J268" s="36"/>
      <c r="K268" s="36"/>
      <c r="L268" s="59"/>
      <c r="M268" s="58"/>
      <c r="N268" s="58"/>
      <c r="O268" s="58" t="s">
        <v>244</v>
      </c>
      <c r="P268" s="8"/>
      <c r="Q268" s="8" t="b">
        <f>IF(G268="隔週A", MOD(INT(('26414_編集版'!$B$1-DATE(2026,4,14))/7), 2)=1, IF(G268="隔週B", MOD(INT(('26414_編集版'!$B$1-DATE(2026,4,14))/7), 2)=0, FALSE))</f>
        <v>0</v>
      </c>
      <c r="R268" s="8"/>
      <c r="S268" s="8"/>
      <c r="T268" s="8"/>
    </row>
    <row r="269" ht="17.25" customHeight="1">
      <c r="A269" s="54" t="s">
        <v>194</v>
      </c>
      <c r="B269" s="8">
        <v>8.0</v>
      </c>
      <c r="C269" s="56"/>
      <c r="D269" s="56"/>
      <c r="E269" s="56" t="s">
        <v>446</v>
      </c>
      <c r="F269" s="8">
        <v>0.4</v>
      </c>
      <c r="G269" s="8" t="s">
        <v>241</v>
      </c>
      <c r="H269" s="41"/>
      <c r="I269" s="36" t="s">
        <v>156</v>
      </c>
      <c r="J269" s="36"/>
      <c r="K269" s="36"/>
      <c r="L269" s="59"/>
      <c r="M269" s="56"/>
      <c r="N269" s="8"/>
      <c r="O269" s="8" t="s">
        <v>244</v>
      </c>
      <c r="P269" s="45"/>
      <c r="Q269" s="8" t="b">
        <f>IF(G269="隔週A", MOD(INT(('26414_編集版'!$B$1-DATE(2026,4,14))/7), 2)=1, IF(G269="隔週B", MOD(INT(('26414_編集版'!$B$1-DATE(2026,4,14))/7), 2)=0, FALSE))</f>
        <v>0</v>
      </c>
      <c r="R269" s="8"/>
      <c r="S269" s="8"/>
      <c r="T269" s="8"/>
    </row>
    <row r="270" ht="17.25" customHeight="1">
      <c r="A270" s="54" t="s">
        <v>194</v>
      </c>
      <c r="B270" s="8">
        <v>8.0</v>
      </c>
      <c r="C270" s="56"/>
      <c r="D270" s="56"/>
      <c r="E270" s="56" t="s">
        <v>245</v>
      </c>
      <c r="F270" s="56">
        <v>0.1</v>
      </c>
      <c r="G270" s="8" t="s">
        <v>241</v>
      </c>
      <c r="H270" s="41"/>
      <c r="I270" s="8" t="s">
        <v>156</v>
      </c>
      <c r="J270" s="8"/>
      <c r="K270" s="8"/>
      <c r="L270" s="59"/>
      <c r="M270" s="56"/>
      <c r="N270" s="8"/>
      <c r="O270" s="8" t="s">
        <v>244</v>
      </c>
      <c r="P270" s="77"/>
      <c r="Q270" s="8" t="b">
        <f>IF(G270="隔週A", MOD(INT(('26414_編集版'!$B$1-DATE(2026,4,14))/7), 2)=1, IF(G270="隔週B", MOD(INT(('26414_編集版'!$B$1-DATE(2026,4,14))/7), 2)=0, FALSE))</f>
        <v>0</v>
      </c>
      <c r="R270" s="8"/>
      <c r="S270" s="8"/>
      <c r="T270" s="8"/>
    </row>
    <row r="271" ht="17.25" customHeight="1">
      <c r="A271" s="54" t="s">
        <v>194</v>
      </c>
      <c r="B271" s="8">
        <v>8.0</v>
      </c>
      <c r="C271" s="35"/>
      <c r="D271" s="35"/>
      <c r="E271" s="35" t="s">
        <v>447</v>
      </c>
      <c r="F271" s="8">
        <v>0.6</v>
      </c>
      <c r="G271" s="8" t="s">
        <v>241</v>
      </c>
      <c r="H271" s="41"/>
      <c r="I271" s="8" t="s">
        <v>156</v>
      </c>
      <c r="J271" s="8"/>
      <c r="K271" s="8"/>
      <c r="L271" s="59"/>
      <c r="M271" s="35"/>
      <c r="N271" s="8"/>
      <c r="O271" s="8" t="s">
        <v>244</v>
      </c>
      <c r="P271" s="8"/>
      <c r="Q271" s="8" t="b">
        <f>IF(G271="隔週A", MOD(INT(('26414_編集版'!$B$1-DATE(2026,4,14))/7), 2)=1, IF(G271="隔週B", MOD(INT(('26414_編集版'!$B$1-DATE(2026,4,14))/7), 2)=0, FALSE))</f>
        <v>0</v>
      </c>
      <c r="R271" s="8"/>
      <c r="S271" s="8"/>
      <c r="T271" s="8"/>
    </row>
    <row r="272" ht="17.25" customHeight="1">
      <c r="A272" s="54" t="s">
        <v>194</v>
      </c>
      <c r="B272" s="8">
        <v>9.0</v>
      </c>
      <c r="C272" s="64"/>
      <c r="D272" s="64"/>
      <c r="E272" s="64" t="s">
        <v>448</v>
      </c>
      <c r="F272" s="64">
        <v>0.2</v>
      </c>
      <c r="G272" s="8" t="s">
        <v>241</v>
      </c>
      <c r="H272" s="41"/>
      <c r="I272" s="89" t="s">
        <v>156</v>
      </c>
      <c r="J272" s="89"/>
      <c r="K272" s="89"/>
      <c r="L272" s="59"/>
      <c r="M272" s="64"/>
      <c r="N272" s="8"/>
      <c r="O272" s="8" t="s">
        <v>244</v>
      </c>
      <c r="P272" s="56"/>
      <c r="Q272" s="8" t="b">
        <f>IF(G272="隔週A", MOD(INT(('26414_編集版'!$B$1-DATE(2026,4,14))/7), 2)=1, IF(G272="隔週B", MOD(INT(('26414_編集版'!$B$1-DATE(2026,4,14))/7), 2)=0, FALSE))</f>
        <v>0</v>
      </c>
      <c r="R272" s="8"/>
      <c r="S272" s="8"/>
      <c r="T272" s="8"/>
    </row>
    <row r="273" ht="17.25" customHeight="1">
      <c r="A273" s="54" t="s">
        <v>194</v>
      </c>
      <c r="B273" s="8">
        <v>9.0</v>
      </c>
      <c r="C273" s="78"/>
      <c r="D273" s="78"/>
      <c r="E273" s="78" t="s">
        <v>449</v>
      </c>
      <c r="F273" s="55">
        <v>0.6</v>
      </c>
      <c r="G273" s="8" t="s">
        <v>241</v>
      </c>
      <c r="H273" s="41"/>
      <c r="I273" s="36" t="s">
        <v>156</v>
      </c>
      <c r="J273" s="36"/>
      <c r="K273" s="36"/>
      <c r="L273" s="59"/>
      <c r="M273" s="78"/>
      <c r="N273" s="8"/>
      <c r="O273" s="8" t="s">
        <v>244</v>
      </c>
      <c r="P273" s="8"/>
      <c r="Q273" s="8" t="b">
        <f>IF(G273="隔週A", MOD(INT(('26414_編集版'!$B$1-DATE(2026,4,14))/7), 2)=1, IF(G273="隔週B", MOD(INT(('26414_編集版'!$B$1-DATE(2026,4,14))/7), 2)=0, FALSE))</f>
        <v>0</v>
      </c>
      <c r="R273" s="8"/>
      <c r="S273" s="8"/>
      <c r="T273" s="8"/>
    </row>
    <row r="274" ht="17.25" customHeight="1">
      <c r="A274" s="54" t="s">
        <v>194</v>
      </c>
      <c r="B274" s="8">
        <v>9.0</v>
      </c>
      <c r="C274" s="56"/>
      <c r="D274" s="56"/>
      <c r="E274" s="56" t="s">
        <v>450</v>
      </c>
      <c r="F274" s="56">
        <v>0.3</v>
      </c>
      <c r="G274" s="8" t="s">
        <v>241</v>
      </c>
      <c r="H274" s="41"/>
      <c r="I274" s="58" t="s">
        <v>156</v>
      </c>
      <c r="J274" s="58"/>
      <c r="K274" s="58"/>
      <c r="L274" s="59"/>
      <c r="M274" s="56"/>
      <c r="N274" s="8"/>
      <c r="O274" s="8" t="s">
        <v>244</v>
      </c>
      <c r="P274" s="56"/>
      <c r="Q274" s="8" t="b">
        <f>IF(G274="隔週A", MOD(INT(('26414_編集版'!$B$1-DATE(2026,4,14))/7), 2)=1, IF(G274="隔週B", MOD(INT(('26414_編集版'!$B$1-DATE(2026,4,14))/7), 2)=0, FALSE))</f>
        <v>0</v>
      </c>
      <c r="R274" s="8"/>
      <c r="S274" s="8"/>
      <c r="T274" s="8"/>
    </row>
    <row r="275" ht="17.25" customHeight="1">
      <c r="A275" s="54" t="s">
        <v>194</v>
      </c>
      <c r="B275" s="8">
        <v>9.0</v>
      </c>
      <c r="C275" s="56"/>
      <c r="D275" s="56"/>
      <c r="E275" s="56" t="s">
        <v>451</v>
      </c>
      <c r="F275" s="56">
        <v>0.2</v>
      </c>
      <c r="G275" s="8" t="s">
        <v>241</v>
      </c>
      <c r="H275" s="41"/>
      <c r="I275" s="58" t="s">
        <v>156</v>
      </c>
      <c r="J275" s="58"/>
      <c r="K275" s="58"/>
      <c r="L275" s="59"/>
      <c r="M275" s="56"/>
      <c r="N275" s="8"/>
      <c r="O275" s="8" t="s">
        <v>244</v>
      </c>
      <c r="P275" s="56"/>
      <c r="Q275" s="8" t="b">
        <f>IF(G275="隔週A", MOD(INT(('26414_編集版'!$B$1-DATE(2026,4,14))/7), 2)=1, IF(G275="隔週B", MOD(INT(('26414_編集版'!$B$1-DATE(2026,4,14))/7), 2)=0, FALSE))</f>
        <v>0</v>
      </c>
      <c r="R275" s="8"/>
      <c r="S275" s="8"/>
      <c r="T275" s="8"/>
    </row>
    <row r="276" ht="17.25" customHeight="1">
      <c r="A276" s="54" t="s">
        <v>194</v>
      </c>
      <c r="B276" s="8">
        <v>9.0</v>
      </c>
      <c r="C276" s="42"/>
      <c r="D276" s="42"/>
      <c r="E276" s="42" t="s">
        <v>452</v>
      </c>
      <c r="F276" s="8">
        <v>4.5</v>
      </c>
      <c r="G276" s="8" t="s">
        <v>241</v>
      </c>
      <c r="H276" s="74"/>
      <c r="I276" s="8" t="s">
        <v>156</v>
      </c>
      <c r="J276" s="8"/>
      <c r="K276" s="8"/>
      <c r="L276" s="59"/>
      <c r="M276" s="42"/>
      <c r="N276" s="58"/>
      <c r="O276" s="58" t="s">
        <v>244</v>
      </c>
      <c r="P276" s="8"/>
      <c r="Q276" s="8" t="b">
        <f>IF(G276="隔週A", MOD(INT(('26414_編集版'!$B$1-DATE(2026,4,14))/7), 2)=1, IF(G276="隔週B", MOD(INT(('26414_編集版'!$B$1-DATE(2026,4,14))/7), 2)=0, FALSE))</f>
        <v>0</v>
      </c>
      <c r="R276" s="8"/>
      <c r="S276" s="8"/>
      <c r="T276" s="8"/>
    </row>
    <row r="277" ht="17.25" customHeight="1">
      <c r="A277" s="54" t="s">
        <v>194</v>
      </c>
      <c r="B277" s="8">
        <v>10.0</v>
      </c>
      <c r="C277" s="56"/>
      <c r="D277" s="56"/>
      <c r="E277" s="56" t="s">
        <v>453</v>
      </c>
      <c r="F277" s="8">
        <v>0.4</v>
      </c>
      <c r="G277" s="8" t="s">
        <v>241</v>
      </c>
      <c r="H277" s="41"/>
      <c r="I277" s="8" t="s">
        <v>156</v>
      </c>
      <c r="J277" s="8"/>
      <c r="K277" s="8"/>
      <c r="L277" s="59"/>
      <c r="M277" s="56"/>
      <c r="N277" s="8"/>
      <c r="O277" s="8" t="s">
        <v>244</v>
      </c>
      <c r="P277" s="8"/>
      <c r="Q277" s="8" t="b">
        <f>IF(G277="隔週A", MOD(INT(('26414_編集版'!$B$1-DATE(2026,4,14))/7), 2)=1, IF(G277="隔週B", MOD(INT(('26414_編集版'!$B$1-DATE(2026,4,14))/7), 2)=0, FALSE))</f>
        <v>0</v>
      </c>
      <c r="R277" s="8"/>
      <c r="S277" s="8"/>
      <c r="T277" s="8"/>
    </row>
    <row r="278" ht="17.25" customHeight="1">
      <c r="A278" s="54" t="s">
        <v>194</v>
      </c>
      <c r="B278" s="8">
        <v>11.0</v>
      </c>
      <c r="C278" s="42"/>
      <c r="D278" s="42"/>
      <c r="E278" s="42" t="s">
        <v>454</v>
      </c>
      <c r="F278" s="55">
        <v>0.7</v>
      </c>
      <c r="G278" s="8" t="s">
        <v>241</v>
      </c>
      <c r="H278" s="41"/>
      <c r="I278" s="8" t="s">
        <v>151</v>
      </c>
      <c r="J278" s="8"/>
      <c r="K278" s="8"/>
      <c r="L278" s="59"/>
      <c r="M278" s="42"/>
      <c r="N278" s="8"/>
      <c r="O278" s="8" t="s">
        <v>158</v>
      </c>
      <c r="P278" s="8" t="s">
        <v>154</v>
      </c>
      <c r="Q278" s="8" t="b">
        <f>IF(G278="隔週A", MOD(INT(('26414_編集版'!$B$1-DATE(2026,4,14))/7), 2)=1, IF(G278="隔週B", MOD(INT(('26414_編集版'!$B$1-DATE(2026,4,14))/7), 2)=0, FALSE))</f>
        <v>0</v>
      </c>
      <c r="R278" s="8"/>
      <c r="S278" s="8"/>
      <c r="T278" s="8"/>
    </row>
    <row r="279" ht="17.25" customHeight="1">
      <c r="A279" s="54" t="s">
        <v>194</v>
      </c>
      <c r="B279" s="8">
        <v>11.0</v>
      </c>
      <c r="C279" s="62"/>
      <c r="D279" s="62"/>
      <c r="E279" s="62" t="s">
        <v>455</v>
      </c>
      <c r="F279" s="8">
        <v>1.0</v>
      </c>
      <c r="G279" s="8" t="s">
        <v>241</v>
      </c>
      <c r="H279" s="41"/>
      <c r="I279" s="8" t="s">
        <v>156</v>
      </c>
      <c r="J279" s="8"/>
      <c r="K279" s="8"/>
      <c r="L279" s="59"/>
      <c r="M279" s="62"/>
      <c r="N279" s="8"/>
      <c r="O279" s="8" t="s">
        <v>244</v>
      </c>
      <c r="P279" s="8"/>
      <c r="Q279" s="8" t="b">
        <f>IF(G279="隔週A", MOD(INT(('26414_編集版'!$B$1-DATE(2026,4,14))/7), 2)=1, IF(G279="隔週B", MOD(INT(('26414_編集版'!$B$1-DATE(2026,4,14))/7), 2)=0, FALSE))</f>
        <v>0</v>
      </c>
      <c r="R279" s="8"/>
      <c r="S279" s="8"/>
      <c r="T279" s="8"/>
    </row>
    <row r="280" ht="17.25" customHeight="1">
      <c r="A280" s="54" t="s">
        <v>194</v>
      </c>
      <c r="B280" s="8">
        <v>12.0</v>
      </c>
      <c r="C280" s="62"/>
      <c r="D280" s="62"/>
      <c r="E280" s="63" t="s">
        <v>456</v>
      </c>
      <c r="F280" s="8">
        <v>10.0</v>
      </c>
      <c r="G280" s="8" t="s">
        <v>241</v>
      </c>
      <c r="H280" s="41"/>
      <c r="I280" s="8" t="s">
        <v>156</v>
      </c>
      <c r="J280" s="8"/>
      <c r="K280" s="8"/>
      <c r="L280" s="59"/>
      <c r="M280" s="62"/>
      <c r="N280" s="8"/>
      <c r="O280" s="8" t="s">
        <v>256</v>
      </c>
      <c r="P280" s="8" t="s">
        <v>223</v>
      </c>
      <c r="Q280" s="8" t="b">
        <f>IF(G280="隔週A", MOD(INT(('26414_編集版'!$B$1-DATE(2026,4,14))/7), 2)=1, IF(G280="隔週B", MOD(INT(('26414_編集版'!$B$1-DATE(2026,4,14))/7), 2)=0, FALSE))</f>
        <v>0</v>
      </c>
      <c r="R280" s="8"/>
      <c r="S280" s="8"/>
      <c r="T280" s="8"/>
    </row>
    <row r="281" ht="17.25" customHeight="1">
      <c r="A281" s="54" t="s">
        <v>194</v>
      </c>
      <c r="B281" s="8">
        <v>13.0</v>
      </c>
      <c r="C281" s="35"/>
      <c r="D281" s="35"/>
      <c r="E281" s="35" t="s">
        <v>457</v>
      </c>
      <c r="F281" s="8">
        <v>2.1</v>
      </c>
      <c r="G281" s="8" t="s">
        <v>241</v>
      </c>
      <c r="H281" s="41"/>
      <c r="I281" s="8" t="s">
        <v>156</v>
      </c>
      <c r="J281" s="8"/>
      <c r="K281" s="8"/>
      <c r="L281" s="59"/>
      <c r="M281" s="35"/>
      <c r="N281" s="8"/>
      <c r="O281" s="8" t="s">
        <v>244</v>
      </c>
      <c r="P281" s="8"/>
      <c r="Q281" s="8" t="b">
        <f>IF(G281="隔週A", MOD(INT(('26414_編集版'!$B$1-DATE(2026,4,14))/7), 2)=1, IF(G281="隔週B", MOD(INT(('26414_編集版'!$B$1-DATE(2026,4,14))/7), 2)=0, FALSE))</f>
        <v>0</v>
      </c>
      <c r="R281" s="8"/>
      <c r="S281" s="8"/>
      <c r="T281" s="8"/>
    </row>
    <row r="282" ht="17.25" customHeight="1">
      <c r="A282" s="54" t="s">
        <v>194</v>
      </c>
      <c r="B282" s="8">
        <v>17.0</v>
      </c>
      <c r="C282" s="42"/>
      <c r="D282" s="42"/>
      <c r="E282" s="42" t="s">
        <v>39</v>
      </c>
      <c r="F282" s="8">
        <v>2.6</v>
      </c>
      <c r="G282" s="8" t="s">
        <v>241</v>
      </c>
      <c r="H282" s="41"/>
      <c r="I282" s="8" t="s">
        <v>151</v>
      </c>
      <c r="J282" s="8"/>
      <c r="K282" s="8"/>
      <c r="L282" s="59"/>
      <c r="M282" s="42"/>
      <c r="N282" s="8"/>
      <c r="O282" s="8" t="s">
        <v>200</v>
      </c>
      <c r="P282" s="8" t="s">
        <v>256</v>
      </c>
      <c r="Q282" s="8" t="b">
        <f>IF(G282="隔週A", MOD(INT(('26414_編集版'!$B$1-DATE(2026,4,14))/7), 2)=1, IF(G282="隔週B", MOD(INT(('26414_編集版'!$B$1-DATE(2026,4,14))/7), 2)=0, FALSE))</f>
        <v>0</v>
      </c>
      <c r="R282" s="8"/>
      <c r="S282" s="8"/>
      <c r="T282" s="8"/>
    </row>
    <row r="283" ht="17.25" customHeight="1">
      <c r="A283" s="54" t="s">
        <v>194</v>
      </c>
      <c r="B283" s="8">
        <v>17.0</v>
      </c>
      <c r="C283" s="35"/>
      <c r="D283" s="35"/>
      <c r="E283" s="35" t="s">
        <v>458</v>
      </c>
      <c r="F283" s="8">
        <v>0.7</v>
      </c>
      <c r="G283" s="8" t="s">
        <v>241</v>
      </c>
      <c r="H283" s="41"/>
      <c r="I283" s="8" t="s">
        <v>156</v>
      </c>
      <c r="J283" s="8"/>
      <c r="K283" s="8"/>
      <c r="L283" s="59"/>
      <c r="M283" s="35"/>
      <c r="N283" s="8"/>
      <c r="O283" s="8" t="s">
        <v>244</v>
      </c>
      <c r="P283" s="8"/>
      <c r="Q283" s="8" t="b">
        <f>IF(G283="隔週A", MOD(INT(('26414_編集版'!$B$1-DATE(2026,4,14))/7), 2)=1, IF(G283="隔週B", MOD(INT(('26414_編集版'!$B$1-DATE(2026,4,14))/7), 2)=0, FALSE))</f>
        <v>0</v>
      </c>
      <c r="R283" s="8"/>
      <c r="S283" s="8"/>
      <c r="T283" s="8"/>
    </row>
    <row r="284" ht="17.25" customHeight="1">
      <c r="A284" s="54" t="s">
        <v>194</v>
      </c>
      <c r="B284" s="8">
        <v>18.0</v>
      </c>
      <c r="C284" s="35"/>
      <c r="D284" s="35"/>
      <c r="E284" s="35" t="s">
        <v>459</v>
      </c>
      <c r="F284" s="8">
        <v>0.9</v>
      </c>
      <c r="G284" s="8" t="s">
        <v>241</v>
      </c>
      <c r="H284" s="41"/>
      <c r="I284" s="8" t="s">
        <v>156</v>
      </c>
      <c r="J284" s="8"/>
      <c r="K284" s="8"/>
      <c r="L284" s="59"/>
      <c r="M284" s="35"/>
      <c r="N284" s="8"/>
      <c r="O284" s="8" t="s">
        <v>244</v>
      </c>
      <c r="P284" s="8"/>
      <c r="Q284" s="8" t="b">
        <f>IF(G284="隔週A", MOD(INT(('26414_編集版'!$B$1-DATE(2026,4,14))/7), 2)=1, IF(G284="隔週B", MOD(INT(('26414_編集版'!$B$1-DATE(2026,4,14))/7), 2)=0, FALSE))</f>
        <v>0</v>
      </c>
      <c r="R284" s="8"/>
      <c r="S284" s="8"/>
      <c r="T284" s="8"/>
    </row>
    <row r="285" ht="17.25" customHeight="1">
      <c r="A285" s="54" t="s">
        <v>194</v>
      </c>
      <c r="B285" s="8">
        <v>18.0</v>
      </c>
      <c r="C285" s="82"/>
      <c r="D285" s="82"/>
      <c r="E285" s="82" t="s">
        <v>460</v>
      </c>
      <c r="F285" s="60">
        <v>2.3</v>
      </c>
      <c r="G285" s="8" t="s">
        <v>241</v>
      </c>
      <c r="H285" s="41"/>
      <c r="I285" s="8" t="s">
        <v>156</v>
      </c>
      <c r="J285" s="8"/>
      <c r="K285" s="8"/>
      <c r="L285" s="59"/>
      <c r="M285" s="82"/>
      <c r="N285" s="8"/>
      <c r="O285" s="8" t="s">
        <v>244</v>
      </c>
      <c r="P285" s="8"/>
      <c r="Q285" s="8" t="b">
        <f>IF(G285="隔週A", MOD(INT(('26414_編集版'!$B$1-DATE(2026,4,14))/7), 2)=1, IF(G285="隔週B", MOD(INT(('26414_編集版'!$B$1-DATE(2026,4,14))/7), 2)=0, FALSE))</f>
        <v>0</v>
      </c>
      <c r="R285" s="8"/>
      <c r="S285" s="8"/>
      <c r="T285" s="8"/>
    </row>
    <row r="286" ht="17.25" customHeight="1">
      <c r="A286" s="54" t="s">
        <v>194</v>
      </c>
      <c r="B286" s="8">
        <v>19.0</v>
      </c>
      <c r="C286" s="62"/>
      <c r="D286" s="62"/>
      <c r="E286" s="62" t="s">
        <v>461</v>
      </c>
      <c r="F286" s="8">
        <v>1.3</v>
      </c>
      <c r="G286" s="8" t="s">
        <v>241</v>
      </c>
      <c r="H286" s="41"/>
      <c r="I286" s="42" t="s">
        <v>156</v>
      </c>
      <c r="J286" s="42"/>
      <c r="K286" s="42"/>
      <c r="L286" s="59"/>
      <c r="M286" s="62"/>
      <c r="N286" s="8"/>
      <c r="O286" s="8" t="s">
        <v>223</v>
      </c>
      <c r="P286" s="8" t="s">
        <v>256</v>
      </c>
      <c r="Q286" s="8" t="b">
        <f>IF(G286="隔週A", MOD(INT(('26414_編集版'!$B$1-DATE(2026,4,14))/7), 2)=1, IF(G286="隔週B", MOD(INT(('26414_編集版'!$B$1-DATE(2026,4,14))/7), 2)=0, FALSE))</f>
        <v>0</v>
      </c>
      <c r="R286" s="8"/>
      <c r="S286" s="8"/>
      <c r="T286" s="8"/>
    </row>
    <row r="287" ht="17.25" customHeight="1">
      <c r="A287" s="54" t="s">
        <v>194</v>
      </c>
      <c r="B287" s="8">
        <v>19.0</v>
      </c>
      <c r="C287" s="62"/>
      <c r="D287" s="62"/>
      <c r="E287" s="62" t="s">
        <v>462</v>
      </c>
      <c r="F287" s="8">
        <v>0.5</v>
      </c>
      <c r="G287" s="8" t="s">
        <v>241</v>
      </c>
      <c r="H287" s="41"/>
      <c r="I287" s="8" t="s">
        <v>156</v>
      </c>
      <c r="J287" s="8" t="s">
        <v>142</v>
      </c>
      <c r="K287" s="8" t="s">
        <v>143</v>
      </c>
      <c r="L287" s="59"/>
      <c r="M287" s="62"/>
      <c r="N287" s="8"/>
      <c r="O287" s="8" t="s">
        <v>223</v>
      </c>
      <c r="P287" s="8" t="s">
        <v>256</v>
      </c>
      <c r="Q287" s="8" t="b">
        <f>IF(G287="隔週A", MOD(INT(('26414_編集版'!$B$1-DATE(2026,4,14))/7), 2)=1, IF(G287="隔週B", MOD(INT(('26414_編集版'!$B$1-DATE(2026,4,14))/7), 2)=0, FALSE))</f>
        <v>0</v>
      </c>
      <c r="R287" s="8"/>
      <c r="S287" s="8"/>
      <c r="T287" s="8"/>
    </row>
    <row r="288" ht="17.25" customHeight="1">
      <c r="A288" s="54" t="s">
        <v>194</v>
      </c>
      <c r="B288" s="8">
        <v>19.0</v>
      </c>
      <c r="C288" s="58"/>
      <c r="D288" s="58"/>
      <c r="E288" s="58" t="s">
        <v>463</v>
      </c>
      <c r="F288" s="58">
        <v>0.3</v>
      </c>
      <c r="G288" s="8" t="s">
        <v>241</v>
      </c>
      <c r="H288" s="41"/>
      <c r="I288" s="58" t="s">
        <v>156</v>
      </c>
      <c r="J288" s="58"/>
      <c r="K288" s="58"/>
      <c r="L288" s="59"/>
      <c r="M288" s="58"/>
      <c r="N288" s="8"/>
      <c r="O288" s="8" t="s">
        <v>244</v>
      </c>
      <c r="P288" s="8"/>
      <c r="Q288" s="8" t="b">
        <f>IF(G288="隔週A", MOD(INT(('26414_編集版'!$B$1-DATE(2026,4,14))/7), 2)=1, IF(G288="隔週B", MOD(INT(('26414_編集版'!$B$1-DATE(2026,4,14))/7), 2)=0, FALSE))</f>
        <v>0</v>
      </c>
      <c r="R288" s="8"/>
      <c r="S288" s="8"/>
      <c r="T288" s="8"/>
    </row>
    <row r="289" ht="17.25" customHeight="1">
      <c r="A289" s="54" t="s">
        <v>194</v>
      </c>
      <c r="B289" s="8">
        <v>19.0</v>
      </c>
      <c r="C289" s="58"/>
      <c r="D289" s="58"/>
      <c r="E289" s="58" t="s">
        <v>464</v>
      </c>
      <c r="F289" s="58">
        <v>0.7</v>
      </c>
      <c r="G289" s="8" t="s">
        <v>241</v>
      </c>
      <c r="H289" s="41"/>
      <c r="I289" s="58" t="s">
        <v>156</v>
      </c>
      <c r="J289" s="58"/>
      <c r="K289" s="58"/>
      <c r="L289" s="59"/>
      <c r="M289" s="58"/>
      <c r="N289" s="8"/>
      <c r="O289" s="8" t="s">
        <v>244</v>
      </c>
      <c r="P289" s="8"/>
      <c r="Q289" s="8" t="b">
        <f>IF(G289="隔週A", MOD(INT(('26414_編集版'!$B$1-DATE(2026,4,14))/7), 2)=1, IF(G289="隔週B", MOD(INT(('26414_編集版'!$B$1-DATE(2026,4,14))/7), 2)=0, FALSE))</f>
        <v>0</v>
      </c>
      <c r="R289" s="8"/>
      <c r="S289" s="8"/>
      <c r="T289" s="8"/>
    </row>
    <row r="290" ht="17.25" customHeight="1">
      <c r="A290" s="54" t="s">
        <v>194</v>
      </c>
      <c r="B290" s="8">
        <v>19.0</v>
      </c>
      <c r="C290" s="58"/>
      <c r="D290" s="58"/>
      <c r="E290" s="58" t="s">
        <v>465</v>
      </c>
      <c r="F290" s="56">
        <v>1.9</v>
      </c>
      <c r="G290" s="8" t="s">
        <v>241</v>
      </c>
      <c r="H290" s="41"/>
      <c r="I290" s="58" t="s">
        <v>156</v>
      </c>
      <c r="J290" s="58"/>
      <c r="K290" s="58"/>
      <c r="L290" s="59"/>
      <c r="M290" s="58"/>
      <c r="N290" s="8"/>
      <c r="O290" s="8" t="s">
        <v>244</v>
      </c>
      <c r="P290" s="8"/>
      <c r="Q290" s="8" t="b">
        <f>IF(G290="隔週A", MOD(INT(('26414_編集版'!$B$1-DATE(2026,4,14))/7), 2)=1, IF(G290="隔週B", MOD(INT(('26414_編集版'!$B$1-DATE(2026,4,14))/7), 2)=0, FALSE))</f>
        <v>0</v>
      </c>
      <c r="R290" s="8"/>
      <c r="S290" s="8"/>
      <c r="T290" s="8"/>
    </row>
    <row r="291" ht="17.25" customHeight="1">
      <c r="A291" s="54" t="s">
        <v>194</v>
      </c>
      <c r="B291" s="8">
        <v>19.0</v>
      </c>
      <c r="C291" s="58"/>
      <c r="D291" s="58"/>
      <c r="E291" s="58" t="s">
        <v>466</v>
      </c>
      <c r="F291" s="58">
        <v>1.4</v>
      </c>
      <c r="G291" s="8" t="s">
        <v>241</v>
      </c>
      <c r="H291" s="41"/>
      <c r="I291" s="58" t="s">
        <v>156</v>
      </c>
      <c r="J291" s="58"/>
      <c r="K291" s="58"/>
      <c r="L291" s="59"/>
      <c r="M291" s="58"/>
      <c r="N291" s="8"/>
      <c r="O291" s="8" t="s">
        <v>244</v>
      </c>
      <c r="P291" s="8"/>
      <c r="Q291" s="8" t="b">
        <f>IF(G291="隔週A", MOD(INT(('26414_編集版'!$B$1-DATE(2026,4,14))/7), 2)=1, IF(G291="隔週B", MOD(INT(('26414_編集版'!$B$1-DATE(2026,4,14))/7), 2)=0, FALSE))</f>
        <v>0</v>
      </c>
      <c r="R291" s="8"/>
      <c r="S291" s="8"/>
      <c r="T291" s="8"/>
    </row>
    <row r="292" ht="17.25" customHeight="1">
      <c r="A292" s="54" t="s">
        <v>194</v>
      </c>
      <c r="B292" s="8">
        <v>20.0</v>
      </c>
      <c r="C292" s="60"/>
      <c r="D292" s="60"/>
      <c r="E292" s="60" t="s">
        <v>467</v>
      </c>
      <c r="F292" s="60">
        <v>2.1</v>
      </c>
      <c r="G292" s="8" t="s">
        <v>241</v>
      </c>
      <c r="H292" s="41"/>
      <c r="I292" s="8" t="s">
        <v>156</v>
      </c>
      <c r="J292" s="8"/>
      <c r="K292" s="8"/>
      <c r="L292" s="59"/>
      <c r="M292" s="60"/>
      <c r="N292" s="8"/>
      <c r="O292" s="8" t="s">
        <v>244</v>
      </c>
      <c r="P292" s="60"/>
      <c r="Q292" s="8" t="b">
        <f>IF(G292="隔週A", MOD(INT(('26414_編集版'!$B$1-DATE(2026,4,14))/7), 2)=1, IF(G292="隔週B", MOD(INT(('26414_編集版'!$B$1-DATE(2026,4,14))/7), 2)=0, FALSE))</f>
        <v>0</v>
      </c>
      <c r="R292" s="8"/>
      <c r="S292" s="8"/>
      <c r="T292" s="8"/>
    </row>
    <row r="293" ht="17.25" customHeight="1">
      <c r="A293" s="54" t="s">
        <v>194</v>
      </c>
      <c r="B293" s="8">
        <v>20.0</v>
      </c>
      <c r="C293" s="58"/>
      <c r="D293" s="58"/>
      <c r="E293" s="58" t="s">
        <v>468</v>
      </c>
      <c r="F293" s="58">
        <v>1.6</v>
      </c>
      <c r="G293" s="8" t="s">
        <v>241</v>
      </c>
      <c r="H293" s="74"/>
      <c r="I293" s="58" t="s">
        <v>156</v>
      </c>
      <c r="J293" s="58"/>
      <c r="K293" s="58"/>
      <c r="L293" s="59"/>
      <c r="M293" s="58"/>
      <c r="N293" s="58"/>
      <c r="O293" s="58" t="s">
        <v>244</v>
      </c>
      <c r="P293" s="8"/>
      <c r="Q293" s="8" t="b">
        <f>IF(G293="隔週A", MOD(INT(('26414_編集版'!$B$1-DATE(2026,4,14))/7), 2)=1, IF(G293="隔週B", MOD(INT(('26414_編集版'!$B$1-DATE(2026,4,14))/7), 2)=0, FALSE))</f>
        <v>0</v>
      </c>
      <c r="R293" s="8"/>
      <c r="S293" s="8"/>
      <c r="T293" s="8"/>
    </row>
    <row r="294" ht="17.25" customHeight="1">
      <c r="A294" s="54" t="s">
        <v>194</v>
      </c>
      <c r="B294" s="8">
        <v>20.0</v>
      </c>
      <c r="C294" s="66"/>
      <c r="D294" s="66"/>
      <c r="E294" s="66" t="s">
        <v>285</v>
      </c>
      <c r="F294" s="58">
        <v>0.1</v>
      </c>
      <c r="G294" s="8" t="s">
        <v>241</v>
      </c>
      <c r="H294" s="74"/>
      <c r="I294" s="58" t="s">
        <v>156</v>
      </c>
      <c r="J294" s="58"/>
      <c r="K294" s="58"/>
      <c r="L294" s="59"/>
      <c r="M294" s="66"/>
      <c r="N294" s="58"/>
      <c r="O294" s="58" t="s">
        <v>223</v>
      </c>
      <c r="P294" s="58" t="s">
        <v>200</v>
      </c>
      <c r="Q294" s="8" t="b">
        <f>IF(G294="隔週A", MOD(INT(('26414_編集版'!$B$1-DATE(2026,4,14))/7), 2)=1, IF(G294="隔週B", MOD(INT(('26414_編集版'!$B$1-DATE(2026,4,14))/7), 2)=0, FALSE))</f>
        <v>0</v>
      </c>
      <c r="R294" s="8"/>
      <c r="S294" s="8"/>
      <c r="T294" s="8"/>
    </row>
    <row r="295" ht="17.25" customHeight="1">
      <c r="A295" s="54" t="s">
        <v>194</v>
      </c>
      <c r="B295" s="8">
        <v>21.0</v>
      </c>
      <c r="C295" s="58"/>
      <c r="D295" s="58"/>
      <c r="E295" s="58" t="s">
        <v>469</v>
      </c>
      <c r="F295" s="56">
        <v>2.5</v>
      </c>
      <c r="G295" s="8" t="s">
        <v>241</v>
      </c>
      <c r="H295" s="41"/>
      <c r="I295" s="58" t="s">
        <v>156</v>
      </c>
      <c r="J295" s="58"/>
      <c r="K295" s="58"/>
      <c r="L295" s="59"/>
      <c r="M295" s="58"/>
      <c r="N295" s="8"/>
      <c r="O295" s="8" t="s">
        <v>244</v>
      </c>
      <c r="P295" s="86"/>
      <c r="Q295" s="8" t="b">
        <f>IF(G295="隔週A", MOD(INT(('26414_編集版'!$B$1-DATE(2026,4,14))/7), 2)=1, IF(G295="隔週B", MOD(INT(('26414_編集版'!$B$1-DATE(2026,4,14))/7), 2)=0, FALSE))</f>
        <v>0</v>
      </c>
      <c r="R295" s="8"/>
      <c r="S295" s="8"/>
      <c r="T295" s="8"/>
    </row>
    <row r="296" ht="17.25" customHeight="1">
      <c r="A296" s="54" t="s">
        <v>194</v>
      </c>
      <c r="B296" s="8">
        <v>21.0</v>
      </c>
      <c r="C296" s="56"/>
      <c r="D296" s="56"/>
      <c r="E296" s="56" t="s">
        <v>288</v>
      </c>
      <c r="F296" s="36">
        <v>0.1</v>
      </c>
      <c r="G296" s="8" t="s">
        <v>241</v>
      </c>
      <c r="H296" s="41"/>
      <c r="I296" s="56" t="s">
        <v>156</v>
      </c>
      <c r="J296" s="56"/>
      <c r="K296" s="56"/>
      <c r="L296" s="59"/>
      <c r="M296" s="56"/>
      <c r="N296" s="8"/>
      <c r="O296" s="8" t="s">
        <v>244</v>
      </c>
      <c r="P296" s="36"/>
      <c r="Q296" s="8" t="b">
        <f>IF(G296="隔週A", MOD(INT(('26414_編集版'!$B$1-DATE(2026,4,14))/7), 2)=1, IF(G296="隔週B", MOD(INT(('26414_編集版'!$B$1-DATE(2026,4,14))/7), 2)=0, FALSE))</f>
        <v>0</v>
      </c>
      <c r="R296" s="8"/>
      <c r="S296" s="8"/>
      <c r="T296" s="8"/>
    </row>
    <row r="297" ht="17.25" customHeight="1">
      <c r="A297" s="54" t="s">
        <v>194</v>
      </c>
      <c r="B297" s="8">
        <v>21.0</v>
      </c>
      <c r="C297" s="58"/>
      <c r="D297" s="58"/>
      <c r="E297" s="58" t="s">
        <v>289</v>
      </c>
      <c r="F297" s="36">
        <v>0.1</v>
      </c>
      <c r="G297" s="8" t="s">
        <v>241</v>
      </c>
      <c r="H297" s="41"/>
      <c r="I297" s="58" t="s">
        <v>151</v>
      </c>
      <c r="J297" s="58"/>
      <c r="K297" s="58"/>
      <c r="L297" s="59"/>
      <c r="M297" s="58"/>
      <c r="N297" s="8"/>
      <c r="O297" s="8" t="s">
        <v>244</v>
      </c>
      <c r="P297" s="58"/>
      <c r="Q297" s="8" t="b">
        <f>IF(G297="隔週A", MOD(INT(('26414_編集版'!$B$1-DATE(2026,4,14))/7), 2)=1, IF(G297="隔週B", MOD(INT(('26414_編集版'!$B$1-DATE(2026,4,14))/7), 2)=0, FALSE))</f>
        <v>0</v>
      </c>
      <c r="R297" s="8"/>
      <c r="S297" s="8"/>
      <c r="T297" s="8"/>
    </row>
    <row r="298" ht="17.25" customHeight="1">
      <c r="A298" s="54" t="s">
        <v>194</v>
      </c>
      <c r="B298" s="8">
        <v>21.0</v>
      </c>
      <c r="C298" s="58"/>
      <c r="D298" s="58"/>
      <c r="E298" s="58" t="s">
        <v>470</v>
      </c>
      <c r="F298" s="56">
        <v>0.6</v>
      </c>
      <c r="G298" s="8" t="s">
        <v>241</v>
      </c>
      <c r="H298" s="41"/>
      <c r="I298" s="58" t="s">
        <v>156</v>
      </c>
      <c r="J298" s="58"/>
      <c r="K298" s="58"/>
      <c r="L298" s="59"/>
      <c r="M298" s="58"/>
      <c r="N298" s="8"/>
      <c r="O298" s="8" t="s">
        <v>244</v>
      </c>
      <c r="P298" s="56"/>
      <c r="Q298" s="8" t="b">
        <f>IF(G298="隔週A", MOD(INT(('26414_編集版'!$B$1-DATE(2026,4,14))/7), 2)=1, IF(G298="隔週B", MOD(INT(('26414_編集版'!$B$1-DATE(2026,4,14))/7), 2)=0, FALSE))</f>
        <v>0</v>
      </c>
      <c r="R298" s="8"/>
      <c r="S298" s="8"/>
      <c r="T298" s="8"/>
    </row>
    <row r="299" ht="17.25" customHeight="1">
      <c r="A299" s="54" t="s">
        <v>197</v>
      </c>
      <c r="B299" s="8">
        <v>8.0</v>
      </c>
      <c r="C299" s="85"/>
      <c r="D299" s="85"/>
      <c r="E299" s="85" t="s">
        <v>471</v>
      </c>
      <c r="F299" s="8">
        <v>0.6</v>
      </c>
      <c r="G299" s="8" t="s">
        <v>241</v>
      </c>
      <c r="H299" s="41"/>
      <c r="I299" s="56" t="s">
        <v>242</v>
      </c>
      <c r="J299" s="8"/>
      <c r="K299" s="8"/>
      <c r="L299" s="96">
        <v>12077.0</v>
      </c>
      <c r="M299" s="103" t="s">
        <v>472</v>
      </c>
      <c r="N299" s="8"/>
      <c r="O299" s="8" t="s">
        <v>244</v>
      </c>
      <c r="P299" s="8"/>
      <c r="Q299" s="8" t="b">
        <f>IF(G299="隔週A", MOD(INT(('26414_編集版'!$B$1-DATE(2026,4,14))/7), 2)=1, IF(G299="隔週B", MOD(INT(('26414_編集版'!$B$1-DATE(2026,4,14))/7), 2)=0, FALSE))</f>
        <v>0</v>
      </c>
      <c r="R299" s="8"/>
      <c r="S299" s="8"/>
      <c r="T299" s="8"/>
    </row>
    <row r="300" ht="17.25" customHeight="1">
      <c r="A300" s="54" t="s">
        <v>197</v>
      </c>
      <c r="B300" s="8">
        <v>8.0</v>
      </c>
      <c r="C300" s="56"/>
      <c r="D300" s="56"/>
      <c r="E300" s="56" t="s">
        <v>245</v>
      </c>
      <c r="F300" s="56">
        <v>0.1</v>
      </c>
      <c r="G300" s="8" t="s">
        <v>241</v>
      </c>
      <c r="H300" s="41"/>
      <c r="I300" s="8" t="s">
        <v>156</v>
      </c>
      <c r="J300" s="8"/>
      <c r="K300" s="8"/>
      <c r="L300" s="59"/>
      <c r="M300" s="56"/>
      <c r="N300" s="8"/>
      <c r="O300" s="8" t="s">
        <v>244</v>
      </c>
      <c r="P300" s="77"/>
      <c r="Q300" s="8" t="b">
        <f>IF(G300="隔週A", MOD(INT(('26414_編集版'!$B$1-DATE(2026,4,14))/7), 2)=1, IF(G300="隔週B", MOD(INT(('26414_編集版'!$B$1-DATE(2026,4,14))/7), 2)=0, FALSE))</f>
        <v>0</v>
      </c>
      <c r="R300" s="8"/>
      <c r="S300" s="8"/>
      <c r="T300" s="8"/>
    </row>
    <row r="301" ht="17.25" customHeight="1">
      <c r="A301" s="54" t="s">
        <v>197</v>
      </c>
      <c r="B301" s="8">
        <v>8.0</v>
      </c>
      <c r="C301" s="62"/>
      <c r="D301" s="62"/>
      <c r="E301" s="62" t="s">
        <v>473</v>
      </c>
      <c r="F301" s="8">
        <v>0.4</v>
      </c>
      <c r="G301" s="8" t="s">
        <v>241</v>
      </c>
      <c r="H301" s="41"/>
      <c r="I301" s="8" t="s">
        <v>156</v>
      </c>
      <c r="J301" s="8"/>
      <c r="K301" s="8"/>
      <c r="L301" s="59"/>
      <c r="M301" s="62"/>
      <c r="N301" s="8"/>
      <c r="O301" s="8" t="s">
        <v>244</v>
      </c>
      <c r="P301" s="8"/>
      <c r="Q301" s="8" t="b">
        <f>IF(G301="隔週A", MOD(INT(('26414_編集版'!$B$1-DATE(2026,4,14))/7), 2)=1, IF(G301="隔週B", MOD(INT(('26414_編集版'!$B$1-DATE(2026,4,14))/7), 2)=0, FALSE))</f>
        <v>0</v>
      </c>
      <c r="R301" s="8"/>
      <c r="S301" s="8"/>
      <c r="T301" s="8"/>
    </row>
    <row r="302" ht="17.25" customHeight="1">
      <c r="A302" s="54" t="s">
        <v>197</v>
      </c>
      <c r="B302" s="8">
        <v>8.0</v>
      </c>
      <c r="C302" s="42"/>
      <c r="D302" s="42"/>
      <c r="E302" s="42" t="s">
        <v>474</v>
      </c>
      <c r="F302" s="8">
        <v>0.9</v>
      </c>
      <c r="G302" s="8" t="s">
        <v>241</v>
      </c>
      <c r="H302" s="41"/>
      <c r="I302" s="8" t="s">
        <v>156</v>
      </c>
      <c r="J302" s="8"/>
      <c r="K302" s="8"/>
      <c r="L302" s="59"/>
      <c r="M302" s="42"/>
      <c r="N302" s="8"/>
      <c r="O302" s="8" t="s">
        <v>244</v>
      </c>
      <c r="P302" s="8"/>
      <c r="Q302" s="8" t="b">
        <f>IF(G302="隔週A", MOD(INT(('26414_編集版'!$B$1-DATE(2026,4,14))/7), 2)=1, IF(G302="隔週B", MOD(INT(('26414_編集版'!$B$1-DATE(2026,4,14))/7), 2)=0, FALSE))</f>
        <v>0</v>
      </c>
      <c r="R302" s="8"/>
      <c r="S302" s="8"/>
      <c r="T302" s="8"/>
    </row>
    <row r="303" ht="17.25" customHeight="1">
      <c r="A303" s="54" t="s">
        <v>197</v>
      </c>
      <c r="B303" s="8">
        <v>8.0</v>
      </c>
      <c r="C303" s="42"/>
      <c r="D303" s="42"/>
      <c r="E303" s="42" t="s">
        <v>475</v>
      </c>
      <c r="F303" s="8">
        <v>0.5</v>
      </c>
      <c r="G303" s="8" t="s">
        <v>241</v>
      </c>
      <c r="H303" s="41"/>
      <c r="I303" s="8" t="s">
        <v>156</v>
      </c>
      <c r="J303" s="8"/>
      <c r="K303" s="8"/>
      <c r="L303" s="59"/>
      <c r="M303" s="42"/>
      <c r="N303" s="8"/>
      <c r="O303" s="8" t="s">
        <v>244</v>
      </c>
      <c r="P303" s="8"/>
      <c r="Q303" s="8" t="b">
        <f>IF(G303="隔週A", MOD(INT(('26414_編集版'!$B$1-DATE(2026,4,14))/7), 2)=1, IF(G303="隔週B", MOD(INT(('26414_編集版'!$B$1-DATE(2026,4,14))/7), 2)=0, FALSE))</f>
        <v>0</v>
      </c>
      <c r="R303" s="8"/>
      <c r="S303" s="8"/>
      <c r="T303" s="8"/>
    </row>
    <row r="304" ht="17.25" customHeight="1">
      <c r="A304" s="54" t="s">
        <v>197</v>
      </c>
      <c r="B304" s="8">
        <v>8.0</v>
      </c>
      <c r="C304" s="42"/>
      <c r="D304" s="42"/>
      <c r="E304" s="42" t="s">
        <v>476</v>
      </c>
      <c r="F304" s="8">
        <v>2.5</v>
      </c>
      <c r="G304" s="8" t="s">
        <v>241</v>
      </c>
      <c r="H304" s="41"/>
      <c r="I304" s="8" t="s">
        <v>156</v>
      </c>
      <c r="J304" s="8"/>
      <c r="K304" s="8"/>
      <c r="L304" s="59"/>
      <c r="M304" s="42"/>
      <c r="N304" s="8"/>
      <c r="O304" s="8" t="s">
        <v>244</v>
      </c>
      <c r="P304" s="8"/>
      <c r="Q304" s="8" t="b">
        <f>IF(G304="隔週A", MOD(INT(('26414_編集版'!$B$1-DATE(2026,4,14))/7), 2)=1, IF(G304="隔週B", MOD(INT(('26414_編集版'!$B$1-DATE(2026,4,14))/7), 2)=0, FALSE))</f>
        <v>0</v>
      </c>
      <c r="R304" s="8"/>
      <c r="S304" s="8"/>
      <c r="T304" s="8"/>
    </row>
    <row r="305" ht="17.25" customHeight="1">
      <c r="A305" s="54" t="s">
        <v>197</v>
      </c>
      <c r="B305" s="8">
        <v>8.0</v>
      </c>
      <c r="C305" s="71"/>
      <c r="D305" s="71"/>
      <c r="E305" s="71" t="s">
        <v>477</v>
      </c>
      <c r="F305" s="8">
        <v>0.6</v>
      </c>
      <c r="G305" s="8" t="s">
        <v>241</v>
      </c>
      <c r="H305" s="41"/>
      <c r="I305" s="8" t="s">
        <v>156</v>
      </c>
      <c r="J305" s="8"/>
      <c r="K305" s="8"/>
      <c r="L305" s="59"/>
      <c r="M305" s="71"/>
      <c r="N305" s="8"/>
      <c r="O305" s="8" t="s">
        <v>244</v>
      </c>
      <c r="P305" s="8"/>
      <c r="Q305" s="8" t="b">
        <f>IF(G305="隔週A", MOD(INT(('26414_編集版'!$B$1-DATE(2026,4,14))/7), 2)=1, IF(G305="隔週B", MOD(INT(('26414_編集版'!$B$1-DATE(2026,4,14))/7), 2)=0, FALSE))</f>
        <v>0</v>
      </c>
      <c r="R305" s="8"/>
      <c r="S305" s="8"/>
      <c r="T305" s="8"/>
    </row>
    <row r="306" ht="17.25" customHeight="1">
      <c r="A306" s="54" t="s">
        <v>197</v>
      </c>
      <c r="B306" s="8">
        <v>9.0</v>
      </c>
      <c r="C306" s="56"/>
      <c r="D306" s="56"/>
      <c r="E306" s="56" t="s">
        <v>478</v>
      </c>
      <c r="F306" s="8">
        <v>0.3</v>
      </c>
      <c r="G306" s="8" t="s">
        <v>241</v>
      </c>
      <c r="H306" s="41"/>
      <c r="I306" s="56" t="s">
        <v>156</v>
      </c>
      <c r="J306" s="56"/>
      <c r="K306" s="56"/>
      <c r="L306" s="59"/>
      <c r="M306" s="56"/>
      <c r="N306" s="8"/>
      <c r="O306" s="8" t="s">
        <v>244</v>
      </c>
      <c r="P306" s="8"/>
      <c r="Q306" s="8" t="b">
        <f>IF(G306="隔週A", MOD(INT(('26414_編集版'!$B$1-DATE(2026,4,14))/7), 2)=1, IF(G306="隔週B", MOD(INT(('26414_編集版'!$B$1-DATE(2026,4,14))/7), 2)=0, FALSE))</f>
        <v>0</v>
      </c>
      <c r="R306" s="8"/>
      <c r="S306" s="8"/>
      <c r="T306" s="8"/>
    </row>
    <row r="307" ht="17.25" customHeight="1">
      <c r="A307" s="54" t="s">
        <v>197</v>
      </c>
      <c r="B307" s="8">
        <v>9.0</v>
      </c>
      <c r="C307" s="56"/>
      <c r="D307" s="56"/>
      <c r="E307" s="56" t="s">
        <v>479</v>
      </c>
      <c r="F307" s="8">
        <v>0.9</v>
      </c>
      <c r="G307" s="8" t="s">
        <v>241</v>
      </c>
      <c r="H307" s="41"/>
      <c r="I307" s="8" t="s">
        <v>156</v>
      </c>
      <c r="J307" s="8"/>
      <c r="K307" s="8"/>
      <c r="L307" s="59"/>
      <c r="M307" s="56"/>
      <c r="N307" s="8"/>
      <c r="O307" s="8" t="s">
        <v>244</v>
      </c>
      <c r="P307" s="8"/>
      <c r="Q307" s="8" t="b">
        <f>IF(G307="隔週A", MOD(INT(('26414_編集版'!$B$1-DATE(2026,4,14))/7), 2)=1, IF(G307="隔週B", MOD(INT(('26414_編集版'!$B$1-DATE(2026,4,14))/7), 2)=0, FALSE))</f>
        <v>0</v>
      </c>
      <c r="R307" s="8"/>
      <c r="S307" s="8"/>
      <c r="T307" s="8"/>
    </row>
    <row r="308" ht="17.25" customHeight="1">
      <c r="A308" s="54" t="s">
        <v>197</v>
      </c>
      <c r="B308" s="8">
        <v>9.0</v>
      </c>
      <c r="C308" s="35"/>
      <c r="D308" s="35"/>
      <c r="E308" s="35" t="s">
        <v>480</v>
      </c>
      <c r="F308" s="34">
        <v>1.1</v>
      </c>
      <c r="G308" s="8" t="s">
        <v>241</v>
      </c>
      <c r="H308" s="41"/>
      <c r="I308" s="8" t="s">
        <v>156</v>
      </c>
      <c r="J308" s="8"/>
      <c r="K308" s="8"/>
      <c r="L308" s="59"/>
      <c r="M308" s="35"/>
      <c r="N308" s="8"/>
      <c r="O308" s="8" t="s">
        <v>244</v>
      </c>
      <c r="P308" s="8"/>
      <c r="Q308" s="8" t="b">
        <f>IF(G308="隔週A", MOD(INT(('26414_編集版'!$B$1-DATE(2026,4,14))/7), 2)=1, IF(G308="隔週B", MOD(INT(('26414_編集版'!$B$1-DATE(2026,4,14))/7), 2)=0, FALSE))</f>
        <v>0</v>
      </c>
      <c r="R308" s="8"/>
      <c r="S308" s="8"/>
      <c r="T308" s="8"/>
    </row>
    <row r="309" ht="17.25" customHeight="1">
      <c r="A309" s="54" t="s">
        <v>197</v>
      </c>
      <c r="B309" s="8">
        <v>10.0</v>
      </c>
      <c r="C309" s="42"/>
      <c r="D309" s="42"/>
      <c r="E309" s="42" t="s">
        <v>481</v>
      </c>
      <c r="F309" s="55">
        <v>0.5</v>
      </c>
      <c r="G309" s="8" t="s">
        <v>241</v>
      </c>
      <c r="H309" s="41"/>
      <c r="I309" s="8" t="s">
        <v>156</v>
      </c>
      <c r="J309" s="8"/>
      <c r="K309" s="8"/>
      <c r="L309" s="59"/>
      <c r="M309" s="42"/>
      <c r="N309" s="8"/>
      <c r="O309" s="8" t="s">
        <v>244</v>
      </c>
      <c r="P309" s="8"/>
      <c r="Q309" s="8" t="b">
        <f>IF(G309="隔週A", MOD(INT(('26414_編集版'!$B$1-DATE(2026,4,14))/7), 2)=1, IF(G309="隔週B", MOD(INT(('26414_編集版'!$B$1-DATE(2026,4,14))/7), 2)=0, FALSE))</f>
        <v>0</v>
      </c>
      <c r="R309" s="8"/>
      <c r="S309" s="8"/>
      <c r="T309" s="8"/>
    </row>
    <row r="310" ht="17.25" customHeight="1">
      <c r="A310" s="54" t="s">
        <v>197</v>
      </c>
      <c r="B310" s="8">
        <v>10.0</v>
      </c>
      <c r="C310" s="42"/>
      <c r="D310" s="42"/>
      <c r="E310" s="42" t="s">
        <v>482</v>
      </c>
      <c r="F310" s="8">
        <v>0.6</v>
      </c>
      <c r="G310" s="8" t="s">
        <v>241</v>
      </c>
      <c r="H310" s="41"/>
      <c r="I310" s="8" t="s">
        <v>156</v>
      </c>
      <c r="J310" s="8"/>
      <c r="K310" s="8"/>
      <c r="L310" s="59"/>
      <c r="M310" s="42"/>
      <c r="N310" s="8"/>
      <c r="O310" s="8" t="s">
        <v>244</v>
      </c>
      <c r="P310" s="8"/>
      <c r="Q310" s="8" t="b">
        <f>IF(G310="隔週A", MOD(INT(('26414_編集版'!$B$1-DATE(2026,4,14))/7), 2)=1, IF(G310="隔週B", MOD(INT(('26414_編集版'!$B$1-DATE(2026,4,14))/7), 2)=0, FALSE))</f>
        <v>0</v>
      </c>
      <c r="R310" s="8"/>
      <c r="S310" s="8"/>
      <c r="T310" s="8"/>
    </row>
    <row r="311" ht="17.25" customHeight="1">
      <c r="A311" s="54" t="s">
        <v>197</v>
      </c>
      <c r="B311" s="8">
        <v>10.0</v>
      </c>
      <c r="C311" s="42"/>
      <c r="D311" s="42"/>
      <c r="E311" s="42" t="s">
        <v>483</v>
      </c>
      <c r="F311" s="8">
        <v>1.4</v>
      </c>
      <c r="G311" s="8" t="s">
        <v>241</v>
      </c>
      <c r="H311" s="41"/>
      <c r="I311" s="8" t="s">
        <v>156</v>
      </c>
      <c r="J311" s="8"/>
      <c r="K311" s="8"/>
      <c r="L311" s="59"/>
      <c r="M311" s="42"/>
      <c r="N311" s="8"/>
      <c r="O311" s="8" t="s">
        <v>244</v>
      </c>
      <c r="P311" s="8"/>
      <c r="Q311" s="8" t="b">
        <f>IF(G311="隔週A", MOD(INT(('26414_編集版'!$B$1-DATE(2026,4,14))/7), 2)=1, IF(G311="隔週B", MOD(INT(('26414_編集版'!$B$1-DATE(2026,4,14))/7), 2)=0, FALSE))</f>
        <v>0</v>
      </c>
      <c r="R311" s="8"/>
      <c r="S311" s="8"/>
      <c r="T311" s="8"/>
    </row>
    <row r="312" ht="17.25" customHeight="1">
      <c r="A312" s="54" t="s">
        <v>197</v>
      </c>
      <c r="B312" s="8">
        <v>10.0</v>
      </c>
      <c r="C312" s="42"/>
      <c r="D312" s="42"/>
      <c r="E312" s="42" t="s">
        <v>484</v>
      </c>
      <c r="F312" s="8">
        <v>4.4</v>
      </c>
      <c r="G312" s="8" t="s">
        <v>241</v>
      </c>
      <c r="H312" s="41"/>
      <c r="I312" s="8" t="s">
        <v>156</v>
      </c>
      <c r="J312" s="8"/>
      <c r="K312" s="8"/>
      <c r="L312" s="59"/>
      <c r="M312" s="42"/>
      <c r="N312" s="8"/>
      <c r="O312" s="8" t="s">
        <v>244</v>
      </c>
      <c r="P312" s="8"/>
      <c r="Q312" s="8" t="b">
        <f>IF(G312="隔週A", MOD(INT(('26414_編集版'!$B$1-DATE(2026,4,14))/7), 2)=1, IF(G312="隔週B", MOD(INT(('26414_編集版'!$B$1-DATE(2026,4,14))/7), 2)=0, FALSE))</f>
        <v>0</v>
      </c>
      <c r="R312" s="8"/>
      <c r="S312" s="8"/>
      <c r="T312" s="8"/>
    </row>
    <row r="313" ht="17.25" customHeight="1">
      <c r="A313" s="54" t="s">
        <v>197</v>
      </c>
      <c r="B313" s="8">
        <v>11.0</v>
      </c>
      <c r="C313" s="42"/>
      <c r="D313" s="42"/>
      <c r="E313" s="42" t="s">
        <v>485</v>
      </c>
      <c r="F313" s="8">
        <v>0.4</v>
      </c>
      <c r="G313" s="8" t="s">
        <v>241</v>
      </c>
      <c r="H313" s="41"/>
      <c r="I313" s="56" t="s">
        <v>156</v>
      </c>
      <c r="J313" s="56"/>
      <c r="K313" s="56"/>
      <c r="L313" s="59"/>
      <c r="M313" s="42"/>
      <c r="N313" s="8"/>
      <c r="O313" s="8" t="s">
        <v>244</v>
      </c>
      <c r="P313" s="8"/>
      <c r="Q313" s="8" t="b">
        <f>IF(G313="隔週A", MOD(INT(('26414_編集版'!$B$1-DATE(2026,4,14))/7), 2)=1, IF(G313="隔週B", MOD(INT(('26414_編集版'!$B$1-DATE(2026,4,14))/7), 2)=0, FALSE))</f>
        <v>0</v>
      </c>
      <c r="R313" s="8"/>
      <c r="S313" s="8"/>
      <c r="T313" s="8"/>
    </row>
    <row r="314" ht="17.25" customHeight="1">
      <c r="A314" s="54" t="s">
        <v>197</v>
      </c>
      <c r="B314" s="8">
        <v>11.0</v>
      </c>
      <c r="C314" s="62"/>
      <c r="D314" s="62"/>
      <c r="E314" s="62" t="s">
        <v>486</v>
      </c>
      <c r="F314" s="8">
        <v>2.5</v>
      </c>
      <c r="G314" s="8" t="s">
        <v>241</v>
      </c>
      <c r="H314" s="41"/>
      <c r="I314" s="56" t="s">
        <v>156</v>
      </c>
      <c r="J314" s="56"/>
      <c r="K314" s="56"/>
      <c r="L314" s="59"/>
      <c r="M314" s="62"/>
      <c r="N314" s="8"/>
      <c r="O314" s="8" t="s">
        <v>244</v>
      </c>
      <c r="P314" s="8"/>
      <c r="Q314" s="8" t="b">
        <f>IF(G314="隔週A", MOD(INT(('26414_編集版'!$B$1-DATE(2026,4,14))/7), 2)=1, IF(G314="隔週B", MOD(INT(('26414_編集版'!$B$1-DATE(2026,4,14))/7), 2)=0, FALSE))</f>
        <v>0</v>
      </c>
      <c r="R314" s="8"/>
      <c r="S314" s="8"/>
      <c r="T314" s="8"/>
    </row>
    <row r="315" ht="17.25" customHeight="1">
      <c r="A315" s="54" t="s">
        <v>197</v>
      </c>
      <c r="B315" s="8">
        <v>12.0</v>
      </c>
      <c r="C315" s="42"/>
      <c r="D315" s="42"/>
      <c r="E315" s="42" t="s">
        <v>487</v>
      </c>
      <c r="F315" s="8">
        <v>3.5</v>
      </c>
      <c r="G315" s="8" t="s">
        <v>241</v>
      </c>
      <c r="H315" s="41"/>
      <c r="I315" s="8" t="s">
        <v>156</v>
      </c>
      <c r="J315" s="8"/>
      <c r="K315" s="8"/>
      <c r="L315" s="59"/>
      <c r="M315" s="42"/>
      <c r="N315" s="8"/>
      <c r="O315" s="8" t="s">
        <v>244</v>
      </c>
      <c r="P315" s="8"/>
      <c r="Q315" s="8" t="b">
        <f>IF(G315="隔週A", MOD(INT(('26414_編集版'!$B$1-DATE(2026,4,14))/7), 2)=1, IF(G315="隔週B", MOD(INT(('26414_編集版'!$B$1-DATE(2026,4,14))/7), 2)=0, FALSE))</f>
        <v>0</v>
      </c>
      <c r="R315" s="8"/>
      <c r="S315" s="8"/>
      <c r="T315" s="8"/>
    </row>
    <row r="316" ht="17.25" customHeight="1">
      <c r="A316" s="54" t="s">
        <v>197</v>
      </c>
      <c r="B316" s="8">
        <v>12.0</v>
      </c>
      <c r="C316" s="62"/>
      <c r="D316" s="62"/>
      <c r="E316" s="62" t="s">
        <v>488</v>
      </c>
      <c r="F316" s="8">
        <v>3.4</v>
      </c>
      <c r="G316" s="8" t="s">
        <v>241</v>
      </c>
      <c r="H316" s="41"/>
      <c r="I316" s="40" t="s">
        <v>156</v>
      </c>
      <c r="J316" s="40"/>
      <c r="K316" s="40"/>
      <c r="L316" s="59"/>
      <c r="M316" s="62"/>
      <c r="N316" s="8"/>
      <c r="O316" s="8" t="s">
        <v>244</v>
      </c>
      <c r="P316" s="8"/>
      <c r="Q316" s="8" t="b">
        <f>IF(G316="隔週A", MOD(INT(('26414_編集版'!$B$1-DATE(2026,4,14))/7), 2)=1, IF(G316="隔週B", MOD(INT(('26414_編集版'!$B$1-DATE(2026,4,14))/7), 2)=0, FALSE))</f>
        <v>0</v>
      </c>
      <c r="R316" s="8"/>
      <c r="S316" s="8"/>
      <c r="T316" s="8"/>
    </row>
    <row r="317" ht="17.25" customHeight="1">
      <c r="A317" s="54" t="s">
        <v>197</v>
      </c>
      <c r="B317" s="8">
        <v>12.0</v>
      </c>
      <c r="C317" s="104"/>
      <c r="D317" s="104"/>
      <c r="E317" s="104" t="s">
        <v>489</v>
      </c>
      <c r="F317" s="56">
        <v>0.9</v>
      </c>
      <c r="G317" s="8" t="s">
        <v>241</v>
      </c>
      <c r="H317" s="41"/>
      <c r="I317" s="67" t="s">
        <v>156</v>
      </c>
      <c r="J317" s="67"/>
      <c r="K317" s="67"/>
      <c r="L317" s="59"/>
      <c r="M317" s="104"/>
      <c r="N317" s="8"/>
      <c r="O317" s="8" t="s">
        <v>244</v>
      </c>
      <c r="P317" s="56"/>
      <c r="Q317" s="8" t="b">
        <f>IF(G317="隔週A", MOD(INT(('26414_編集版'!$B$1-DATE(2026,4,14))/7), 2)=1, IF(G317="隔週B", MOD(INT(('26414_編集版'!$B$1-DATE(2026,4,14))/7), 2)=0, FALSE))</f>
        <v>0</v>
      </c>
      <c r="R317" s="8"/>
      <c r="S317" s="8"/>
      <c r="T317" s="8"/>
    </row>
    <row r="318" ht="17.25" customHeight="1">
      <c r="A318" s="54" t="s">
        <v>197</v>
      </c>
      <c r="B318" s="8">
        <v>12.0</v>
      </c>
      <c r="C318" s="56"/>
      <c r="D318" s="56"/>
      <c r="E318" s="56" t="s">
        <v>490</v>
      </c>
      <c r="F318" s="40">
        <v>0.3</v>
      </c>
      <c r="G318" s="8" t="s">
        <v>241</v>
      </c>
      <c r="H318" s="41"/>
      <c r="I318" s="40" t="s">
        <v>156</v>
      </c>
      <c r="J318" s="40"/>
      <c r="K318" s="40"/>
      <c r="L318" s="59"/>
      <c r="M318" s="56"/>
      <c r="N318" s="8"/>
      <c r="O318" s="8" t="s">
        <v>244</v>
      </c>
      <c r="P318" s="8"/>
      <c r="Q318" s="8" t="b">
        <f>IF(G318="隔週A", MOD(INT(('26414_編集版'!$B$1-DATE(2026,4,14))/7), 2)=1, IF(G318="隔週B", MOD(INT(('26414_編集版'!$B$1-DATE(2026,4,14))/7), 2)=0, FALSE))</f>
        <v>0</v>
      </c>
      <c r="R318" s="8"/>
      <c r="S318" s="8"/>
      <c r="T318" s="8"/>
    </row>
    <row r="319" ht="17.25" customHeight="1">
      <c r="A319" s="54" t="s">
        <v>197</v>
      </c>
      <c r="B319" s="8">
        <v>12.0</v>
      </c>
      <c r="C319" s="66"/>
      <c r="D319" s="66"/>
      <c r="E319" s="66" t="s">
        <v>491</v>
      </c>
      <c r="F319" s="58">
        <v>0.2</v>
      </c>
      <c r="G319" s="8" t="s">
        <v>241</v>
      </c>
      <c r="H319" s="41"/>
      <c r="I319" s="58" t="s">
        <v>151</v>
      </c>
      <c r="J319" s="58"/>
      <c r="K319" s="58"/>
      <c r="L319" s="59"/>
      <c r="M319" s="66"/>
      <c r="N319" s="8"/>
      <c r="O319" s="8" t="s">
        <v>244</v>
      </c>
      <c r="P319" s="8"/>
      <c r="Q319" s="8" t="b">
        <f>IF(G319="隔週A", MOD(INT(('26414_編集版'!$B$1-DATE(2026,4,14))/7), 2)=1, IF(G319="隔週B", MOD(INT(('26414_編集版'!$B$1-DATE(2026,4,14))/7), 2)=0, FALSE))</f>
        <v>0</v>
      </c>
      <c r="R319" s="8"/>
      <c r="S319" s="8"/>
      <c r="T319" s="8"/>
    </row>
    <row r="320" ht="17.25" customHeight="1">
      <c r="A320" s="54" t="s">
        <v>197</v>
      </c>
      <c r="B320" s="8">
        <v>13.0</v>
      </c>
      <c r="C320" s="62"/>
      <c r="D320" s="62"/>
      <c r="E320" s="63" t="s">
        <v>492</v>
      </c>
      <c r="F320" s="8">
        <v>2.4</v>
      </c>
      <c r="G320" s="8" t="s">
        <v>241</v>
      </c>
      <c r="H320" s="41"/>
      <c r="I320" s="8" t="s">
        <v>156</v>
      </c>
      <c r="J320" s="8"/>
      <c r="K320" s="8"/>
      <c r="L320" s="59"/>
      <c r="M320" s="62"/>
      <c r="N320" s="8"/>
      <c r="O320" s="8" t="s">
        <v>154</v>
      </c>
      <c r="P320" s="8" t="s">
        <v>153</v>
      </c>
      <c r="Q320" s="8" t="b">
        <f>IF(G320="隔週A", MOD(INT(('26414_編集版'!$B$1-DATE(2026,4,14))/7), 2)=1, IF(G320="隔週B", MOD(INT(('26414_編集版'!$B$1-DATE(2026,4,14))/7), 2)=0, FALSE))</f>
        <v>0</v>
      </c>
      <c r="R320" s="8"/>
      <c r="S320" s="8"/>
      <c r="T320" s="8"/>
    </row>
    <row r="321" ht="17.25" customHeight="1">
      <c r="A321" s="54" t="s">
        <v>197</v>
      </c>
      <c r="B321" s="34">
        <v>14.0</v>
      </c>
      <c r="C321" s="69"/>
      <c r="D321" s="69"/>
      <c r="E321" s="69" t="s">
        <v>493</v>
      </c>
      <c r="F321" s="36">
        <v>1.1</v>
      </c>
      <c r="G321" s="8" t="s">
        <v>241</v>
      </c>
      <c r="H321" s="41"/>
      <c r="I321" s="36" t="s">
        <v>156</v>
      </c>
      <c r="J321" s="36"/>
      <c r="K321" s="36"/>
      <c r="L321" s="59"/>
      <c r="M321" s="69"/>
      <c r="N321" s="8"/>
      <c r="O321" s="8" t="s">
        <v>244</v>
      </c>
      <c r="P321" s="8"/>
      <c r="Q321" s="8" t="b">
        <f>IF(G321="隔週A", MOD(INT(('26414_編集版'!$B$1-DATE(2026,4,14))/7), 2)=1, IF(G321="隔週B", MOD(INT(('26414_編集版'!$B$1-DATE(2026,4,14))/7), 2)=0, FALSE))</f>
        <v>0</v>
      </c>
      <c r="R321" s="8"/>
      <c r="S321" s="8"/>
      <c r="T321" s="8"/>
    </row>
    <row r="322" ht="17.25" customHeight="1">
      <c r="A322" s="54" t="s">
        <v>197</v>
      </c>
      <c r="B322" s="34">
        <v>14.0</v>
      </c>
      <c r="C322" s="66"/>
      <c r="D322" s="66"/>
      <c r="E322" s="66" t="s">
        <v>494</v>
      </c>
      <c r="F322" s="56">
        <v>1.2</v>
      </c>
      <c r="G322" s="8" t="s">
        <v>241</v>
      </c>
      <c r="H322" s="61"/>
      <c r="I322" s="58" t="s">
        <v>156</v>
      </c>
      <c r="J322" s="58"/>
      <c r="K322" s="58"/>
      <c r="L322" s="59"/>
      <c r="M322" s="66"/>
      <c r="N322" s="56"/>
      <c r="O322" s="56" t="s">
        <v>154</v>
      </c>
      <c r="P322" s="56" t="s">
        <v>158</v>
      </c>
      <c r="Q322" s="8" t="b">
        <f>IF(G322="隔週A", MOD(INT(('26414_編集版'!$B$1-DATE(2026,4,14))/7), 2)=1, IF(G322="隔週B", MOD(INT(('26414_編集版'!$B$1-DATE(2026,4,14))/7), 2)=0, FALSE))</f>
        <v>0</v>
      </c>
      <c r="R322" s="8"/>
      <c r="S322" s="8"/>
      <c r="T322" s="8"/>
    </row>
    <row r="323" ht="17.25" customHeight="1">
      <c r="A323" s="54" t="s">
        <v>197</v>
      </c>
      <c r="B323" s="34">
        <v>15.0</v>
      </c>
      <c r="C323" s="105"/>
      <c r="D323" s="105"/>
      <c r="E323" s="105" t="s">
        <v>495</v>
      </c>
      <c r="F323" s="34">
        <v>0.4</v>
      </c>
      <c r="G323" s="8" t="s">
        <v>241</v>
      </c>
      <c r="H323" s="41"/>
      <c r="I323" s="8" t="s">
        <v>156</v>
      </c>
      <c r="J323" s="8"/>
      <c r="K323" s="8"/>
      <c r="L323" s="59"/>
      <c r="M323" s="105"/>
      <c r="N323" s="8"/>
      <c r="O323" s="8" t="s">
        <v>244</v>
      </c>
      <c r="P323" s="8"/>
      <c r="Q323" s="8" t="b">
        <f>IF(G323="隔週A", MOD(INT(('26414_編集版'!$B$1-DATE(2026,4,14))/7), 2)=1, IF(G323="隔週B", MOD(INT(('26414_編集版'!$B$1-DATE(2026,4,14))/7), 2)=0, FALSE))</f>
        <v>0</v>
      </c>
      <c r="R323" s="8"/>
      <c r="S323" s="8"/>
      <c r="T323" s="8"/>
    </row>
    <row r="324" ht="17.25" customHeight="1">
      <c r="A324" s="54" t="s">
        <v>197</v>
      </c>
      <c r="B324" s="34">
        <v>15.0</v>
      </c>
      <c r="C324" s="35"/>
      <c r="D324" s="35"/>
      <c r="E324" s="35" t="s">
        <v>496</v>
      </c>
      <c r="F324" s="106">
        <v>0.4</v>
      </c>
      <c r="G324" s="8" t="s">
        <v>241</v>
      </c>
      <c r="H324" s="41"/>
      <c r="I324" s="40" t="s">
        <v>156</v>
      </c>
      <c r="J324" s="40"/>
      <c r="K324" s="40"/>
      <c r="L324" s="59"/>
      <c r="M324" s="35"/>
      <c r="N324" s="8"/>
      <c r="O324" s="8" t="s">
        <v>244</v>
      </c>
      <c r="P324" s="56"/>
      <c r="Q324" s="8" t="b">
        <f>IF(G324="隔週A", MOD(INT(('26414_編集版'!$B$1-DATE(2026,4,14))/7), 2)=1, IF(G324="隔週B", MOD(INT(('26414_編集版'!$B$1-DATE(2026,4,14))/7), 2)=0, FALSE))</f>
        <v>0</v>
      </c>
      <c r="R324" s="8"/>
      <c r="S324" s="8"/>
      <c r="T324" s="8"/>
    </row>
    <row r="325" ht="17.25" customHeight="1">
      <c r="A325" s="54" t="s">
        <v>197</v>
      </c>
      <c r="B325" s="8">
        <v>16.0</v>
      </c>
      <c r="C325" s="55"/>
      <c r="D325" s="55"/>
      <c r="E325" s="55" t="s">
        <v>497</v>
      </c>
      <c r="F325" s="8">
        <v>0.5</v>
      </c>
      <c r="G325" s="8" t="s">
        <v>241</v>
      </c>
      <c r="H325" s="41"/>
      <c r="I325" s="8" t="s">
        <v>151</v>
      </c>
      <c r="J325" s="8"/>
      <c r="K325" s="8"/>
      <c r="L325" s="59"/>
      <c r="M325" s="55"/>
      <c r="N325" s="8"/>
      <c r="O325" s="8" t="s">
        <v>158</v>
      </c>
      <c r="P325" s="8" t="s">
        <v>154</v>
      </c>
      <c r="Q325" s="8" t="b">
        <f>IF(G325="隔週A", MOD(INT(('26414_編集版'!$B$1-DATE(2026,4,14))/7), 2)=1, IF(G325="隔週B", MOD(INT(('26414_編集版'!$B$1-DATE(2026,4,14))/7), 2)=0, FALSE))</f>
        <v>0</v>
      </c>
      <c r="R325" s="8"/>
      <c r="S325" s="8"/>
      <c r="T325" s="8"/>
    </row>
    <row r="326" ht="17.25" customHeight="1">
      <c r="A326" s="54" t="s">
        <v>197</v>
      </c>
      <c r="B326" s="8">
        <v>16.0</v>
      </c>
      <c r="C326" s="69"/>
      <c r="D326" s="69"/>
      <c r="E326" s="69" t="s">
        <v>498</v>
      </c>
      <c r="F326" s="8">
        <v>2.1</v>
      </c>
      <c r="G326" s="8" t="s">
        <v>241</v>
      </c>
      <c r="H326" s="41"/>
      <c r="I326" s="36" t="s">
        <v>156</v>
      </c>
      <c r="J326" s="36"/>
      <c r="K326" s="36"/>
      <c r="L326" s="59"/>
      <c r="M326" s="69"/>
      <c r="N326" s="8"/>
      <c r="O326" s="8" t="s">
        <v>244</v>
      </c>
      <c r="P326" s="8"/>
      <c r="Q326" s="8" t="b">
        <f>IF(G326="隔週A", MOD(INT(('26414_編集版'!$B$1-DATE(2026,4,14))/7), 2)=1, IF(G326="隔週B", MOD(INT(('26414_編集版'!$B$1-DATE(2026,4,14))/7), 2)=0, FALSE))</f>
        <v>0</v>
      </c>
      <c r="R326" s="8"/>
      <c r="S326" s="8"/>
      <c r="T326" s="8"/>
    </row>
    <row r="327" ht="17.25" customHeight="1">
      <c r="A327" s="54" t="s">
        <v>197</v>
      </c>
      <c r="B327" s="8">
        <v>17.0</v>
      </c>
      <c r="C327" s="58"/>
      <c r="D327" s="58"/>
      <c r="E327" s="58" t="s">
        <v>347</v>
      </c>
      <c r="F327" s="58">
        <v>2.3</v>
      </c>
      <c r="G327" s="8" t="s">
        <v>241</v>
      </c>
      <c r="H327" s="61"/>
      <c r="I327" s="58" t="s">
        <v>151</v>
      </c>
      <c r="J327" s="58" t="s">
        <v>142</v>
      </c>
      <c r="K327" s="58" t="s">
        <v>143</v>
      </c>
      <c r="L327" s="59"/>
      <c r="M327" s="58"/>
      <c r="N327" s="56"/>
      <c r="O327" s="56" t="s">
        <v>153</v>
      </c>
      <c r="P327" s="56" t="s">
        <v>158</v>
      </c>
      <c r="Q327" s="8" t="b">
        <f>IF(G327="隔週A", MOD(INT(('26414_編集版'!$B$1-DATE(2026,4,14))/7), 2)=1, IF(G327="隔週B", MOD(INT(('26414_編集版'!$B$1-DATE(2026,4,14))/7), 2)=0, FALSE))</f>
        <v>0</v>
      </c>
      <c r="R327" s="8"/>
      <c r="S327" s="8"/>
      <c r="T327" s="8"/>
    </row>
    <row r="328" ht="17.25" customHeight="1">
      <c r="A328" s="54" t="s">
        <v>197</v>
      </c>
      <c r="B328" s="8">
        <v>17.0</v>
      </c>
      <c r="C328" s="58"/>
      <c r="D328" s="58"/>
      <c r="E328" s="58" t="s">
        <v>499</v>
      </c>
      <c r="F328" s="58">
        <v>0.6</v>
      </c>
      <c r="G328" s="8" t="s">
        <v>241</v>
      </c>
      <c r="H328" s="41"/>
      <c r="I328" s="58" t="s">
        <v>156</v>
      </c>
      <c r="J328" s="58"/>
      <c r="K328" s="58"/>
      <c r="L328" s="59"/>
      <c r="M328" s="58"/>
      <c r="N328" s="8"/>
      <c r="O328" s="8" t="s">
        <v>244</v>
      </c>
      <c r="P328" s="8"/>
      <c r="Q328" s="8" t="b">
        <f>IF(G328="隔週A", MOD(INT(('26414_編集版'!$B$1-DATE(2026,4,14))/7), 2)=1, IF(G328="隔週B", MOD(INT(('26414_編集版'!$B$1-DATE(2026,4,14))/7), 2)=0, FALSE))</f>
        <v>0</v>
      </c>
      <c r="R328" s="8"/>
      <c r="S328" s="8"/>
      <c r="T328" s="8"/>
    </row>
    <row r="329" ht="17.25" customHeight="1">
      <c r="A329" s="54" t="s">
        <v>197</v>
      </c>
      <c r="B329" s="8">
        <v>18.0</v>
      </c>
      <c r="C329" s="42"/>
      <c r="D329" s="42"/>
      <c r="E329" s="42" t="s">
        <v>500</v>
      </c>
      <c r="F329" s="8">
        <v>0.1</v>
      </c>
      <c r="G329" s="8" t="s">
        <v>241</v>
      </c>
      <c r="H329" s="41"/>
      <c r="I329" s="8" t="s">
        <v>156</v>
      </c>
      <c r="J329" s="8"/>
      <c r="K329" s="8"/>
      <c r="L329" s="59"/>
      <c r="M329" s="42"/>
      <c r="N329" s="8"/>
      <c r="O329" s="8" t="s">
        <v>154</v>
      </c>
      <c r="P329" s="8" t="s">
        <v>256</v>
      </c>
      <c r="Q329" s="8" t="b">
        <f>IF(G329="隔週A", MOD(INT(('26414_編集版'!$B$1-DATE(2026,4,14))/7), 2)=1, IF(G329="隔週B", MOD(INT(('26414_編集版'!$B$1-DATE(2026,4,14))/7), 2)=0, FALSE))</f>
        <v>0</v>
      </c>
      <c r="R329" s="8"/>
      <c r="S329" s="8"/>
      <c r="T329" s="8"/>
    </row>
    <row r="330" ht="17.25" customHeight="1">
      <c r="A330" s="54" t="s">
        <v>197</v>
      </c>
      <c r="B330" s="8">
        <v>18.0</v>
      </c>
      <c r="C330" s="42"/>
      <c r="D330" s="42"/>
      <c r="E330" s="42" t="s">
        <v>501</v>
      </c>
      <c r="F330" s="8">
        <v>0.2</v>
      </c>
      <c r="G330" s="8" t="s">
        <v>241</v>
      </c>
      <c r="H330" s="41"/>
      <c r="I330" s="8" t="s">
        <v>156</v>
      </c>
      <c r="J330" s="8" t="s">
        <v>142</v>
      </c>
      <c r="K330" s="8" t="s">
        <v>143</v>
      </c>
      <c r="L330" s="59"/>
      <c r="M330" s="42"/>
      <c r="N330" s="8"/>
      <c r="O330" s="8" t="s">
        <v>154</v>
      </c>
      <c r="P330" s="8" t="s">
        <v>256</v>
      </c>
      <c r="Q330" s="8" t="b">
        <f>IF(G330="隔週A", MOD(INT(('26414_編集版'!$B$1-DATE(2026,4,14))/7), 2)=1, IF(G330="隔週B", MOD(INT(('26414_編集版'!$B$1-DATE(2026,4,14))/7), 2)=0, FALSE))</f>
        <v>0</v>
      </c>
      <c r="R330" s="8"/>
      <c r="S330" s="8"/>
      <c r="T330" s="8"/>
    </row>
    <row r="331" ht="17.25" customHeight="1">
      <c r="A331" s="54" t="s">
        <v>197</v>
      </c>
      <c r="B331" s="8">
        <v>18.0</v>
      </c>
      <c r="C331" s="80"/>
      <c r="D331" s="80"/>
      <c r="E331" s="81" t="s">
        <v>502</v>
      </c>
      <c r="F331" s="8">
        <v>0.2</v>
      </c>
      <c r="G331" s="8" t="s">
        <v>241</v>
      </c>
      <c r="H331" s="41"/>
      <c r="I331" s="56" t="s">
        <v>156</v>
      </c>
      <c r="J331" s="56"/>
      <c r="K331" s="56"/>
      <c r="L331" s="59"/>
      <c r="M331" s="80"/>
      <c r="N331" s="8"/>
      <c r="O331" s="8" t="s">
        <v>154</v>
      </c>
      <c r="P331" s="8" t="s">
        <v>256</v>
      </c>
      <c r="Q331" s="8" t="b">
        <f>IF(G331="隔週A", MOD(INT(('26414_編集版'!$B$1-DATE(2026,4,14))/7), 2)=1, IF(G331="隔週B", MOD(INT(('26414_編集版'!$B$1-DATE(2026,4,14))/7), 2)=0, FALSE))</f>
        <v>0</v>
      </c>
      <c r="R331" s="8"/>
      <c r="S331" s="8"/>
      <c r="T331" s="8"/>
    </row>
    <row r="332" ht="17.25" customHeight="1">
      <c r="A332" s="54" t="s">
        <v>197</v>
      </c>
      <c r="B332" s="8">
        <v>18.0</v>
      </c>
      <c r="C332" s="107"/>
      <c r="D332" s="107"/>
      <c r="E332" s="107" t="s">
        <v>503</v>
      </c>
      <c r="F332" s="8">
        <v>0.3</v>
      </c>
      <c r="G332" s="8" t="s">
        <v>241</v>
      </c>
      <c r="H332" s="41"/>
      <c r="I332" s="56" t="s">
        <v>156</v>
      </c>
      <c r="J332" s="56"/>
      <c r="K332" s="56"/>
      <c r="L332" s="59"/>
      <c r="M332" s="107"/>
      <c r="N332" s="8"/>
      <c r="O332" s="8" t="s">
        <v>154</v>
      </c>
      <c r="P332" s="8" t="s">
        <v>256</v>
      </c>
      <c r="Q332" s="8" t="b">
        <f>IF(G332="隔週A", MOD(INT(('26414_編集版'!$B$1-DATE(2026,4,14))/7), 2)=1, IF(G332="隔週B", MOD(INT(('26414_編集版'!$B$1-DATE(2026,4,14))/7), 2)=0, FALSE))</f>
        <v>0</v>
      </c>
      <c r="R332" s="8"/>
      <c r="S332" s="8"/>
      <c r="T332" s="8"/>
    </row>
    <row r="333" ht="17.25" customHeight="1">
      <c r="A333" s="54" t="s">
        <v>197</v>
      </c>
      <c r="B333" s="8">
        <v>18.0</v>
      </c>
      <c r="C333" s="42"/>
      <c r="D333" s="42"/>
      <c r="E333" s="42" t="s">
        <v>504</v>
      </c>
      <c r="F333" s="8">
        <v>0.2</v>
      </c>
      <c r="G333" s="8" t="s">
        <v>241</v>
      </c>
      <c r="H333" s="41"/>
      <c r="I333" s="40" t="s">
        <v>156</v>
      </c>
      <c r="J333" s="40"/>
      <c r="K333" s="40"/>
      <c r="L333" s="59"/>
      <c r="M333" s="42"/>
      <c r="N333" s="8"/>
      <c r="O333" s="8" t="s">
        <v>154</v>
      </c>
      <c r="P333" s="8" t="s">
        <v>256</v>
      </c>
      <c r="Q333" s="8" t="b">
        <f>IF(G333="隔週A", MOD(INT(('26414_編集版'!$B$1-DATE(2026,4,14))/7), 2)=1, IF(G333="隔週B", MOD(INT(('26414_編集版'!$B$1-DATE(2026,4,14))/7), 2)=0, FALSE))</f>
        <v>0</v>
      </c>
      <c r="R333" s="8"/>
      <c r="S333" s="8"/>
      <c r="T333" s="8"/>
    </row>
    <row r="334" ht="17.25" customHeight="1">
      <c r="A334" s="54" t="s">
        <v>197</v>
      </c>
      <c r="B334" s="8">
        <v>18.0</v>
      </c>
      <c r="C334" s="42"/>
      <c r="D334" s="42"/>
      <c r="E334" s="42" t="s">
        <v>505</v>
      </c>
      <c r="F334" s="34">
        <v>0.3</v>
      </c>
      <c r="G334" s="8" t="s">
        <v>241</v>
      </c>
      <c r="H334" s="41"/>
      <c r="I334" s="40" t="s">
        <v>156</v>
      </c>
      <c r="J334" s="40"/>
      <c r="K334" s="40"/>
      <c r="L334" s="59"/>
      <c r="M334" s="42"/>
      <c r="N334" s="8"/>
      <c r="O334" s="8" t="s">
        <v>154</v>
      </c>
      <c r="P334" s="8" t="s">
        <v>256</v>
      </c>
      <c r="Q334" s="8" t="b">
        <f>IF(G334="隔週A", MOD(INT(('26414_編集版'!$B$1-DATE(2026,4,14))/7), 2)=1, IF(G334="隔週B", MOD(INT(('26414_編集版'!$B$1-DATE(2026,4,14))/7), 2)=0, FALSE))</f>
        <v>0</v>
      </c>
      <c r="R334" s="8"/>
      <c r="S334" s="8"/>
      <c r="T334" s="8"/>
    </row>
    <row r="335" ht="17.25" customHeight="1">
      <c r="A335" s="54" t="s">
        <v>197</v>
      </c>
      <c r="B335" s="8">
        <v>18.0</v>
      </c>
      <c r="C335" s="35"/>
      <c r="D335" s="35"/>
      <c r="E335" s="35" t="s">
        <v>506</v>
      </c>
      <c r="F335" s="8">
        <v>0.4</v>
      </c>
      <c r="G335" s="8" t="s">
        <v>241</v>
      </c>
      <c r="H335" s="41"/>
      <c r="I335" s="8" t="s">
        <v>156</v>
      </c>
      <c r="J335" s="8"/>
      <c r="K335" s="8"/>
      <c r="L335" s="59"/>
      <c r="M335" s="35"/>
      <c r="N335" s="8"/>
      <c r="O335" s="8" t="s">
        <v>153</v>
      </c>
      <c r="P335" s="8" t="s">
        <v>154</v>
      </c>
      <c r="Q335" s="8" t="b">
        <f>IF(G335="隔週A", MOD(INT(('26414_編集版'!$B$1-DATE(2026,4,14))/7), 2)=1, IF(G335="隔週B", MOD(INT(('26414_編集版'!$B$1-DATE(2026,4,14))/7), 2)=0, FALSE))</f>
        <v>0</v>
      </c>
      <c r="R335" s="8"/>
      <c r="S335" s="8"/>
      <c r="T335" s="8"/>
    </row>
    <row r="336" ht="17.25" customHeight="1">
      <c r="A336" s="54" t="s">
        <v>197</v>
      </c>
      <c r="B336" s="8">
        <v>19.0</v>
      </c>
      <c r="C336" s="58"/>
      <c r="D336" s="58"/>
      <c r="E336" s="58" t="s">
        <v>507</v>
      </c>
      <c r="F336" s="56">
        <v>0.4</v>
      </c>
      <c r="G336" s="8" t="s">
        <v>241</v>
      </c>
      <c r="H336" s="70"/>
      <c r="I336" s="58" t="s">
        <v>156</v>
      </c>
      <c r="J336" s="58"/>
      <c r="K336" s="58"/>
      <c r="L336" s="59"/>
      <c r="M336" s="58"/>
      <c r="N336" s="71"/>
      <c r="O336" s="8" t="s">
        <v>244</v>
      </c>
      <c r="P336" s="56"/>
      <c r="Q336" s="8" t="b">
        <f>IF(G336="隔週A", MOD(INT(('26414_編集版'!$B$1-DATE(2026,4,14))/7), 2)=1, IF(G336="隔週B", MOD(INT(('26414_編集版'!$B$1-DATE(2026,4,14))/7), 2)=0, FALSE))</f>
        <v>0</v>
      </c>
      <c r="R336" s="8"/>
      <c r="S336" s="8"/>
      <c r="T336" s="8"/>
    </row>
    <row r="337" ht="17.25" customHeight="1">
      <c r="A337" s="54" t="s">
        <v>197</v>
      </c>
      <c r="B337" s="8">
        <v>20.0</v>
      </c>
      <c r="C337" s="56"/>
      <c r="D337" s="56"/>
      <c r="E337" s="56" t="s">
        <v>508</v>
      </c>
      <c r="F337" s="8">
        <v>1.3</v>
      </c>
      <c r="G337" s="8" t="s">
        <v>241</v>
      </c>
      <c r="H337" s="41"/>
      <c r="I337" s="8" t="s">
        <v>156</v>
      </c>
      <c r="J337" s="8"/>
      <c r="K337" s="8"/>
      <c r="L337" s="59"/>
      <c r="M337" s="56"/>
      <c r="N337" s="8"/>
      <c r="O337" s="8" t="s">
        <v>244</v>
      </c>
      <c r="P337" s="64"/>
      <c r="Q337" s="8" t="b">
        <f>IF(G337="隔週A", MOD(INT(('26414_編集版'!$B$1-DATE(2026,4,14))/7), 2)=1, IF(G337="隔週B", MOD(INT(('26414_編集版'!$B$1-DATE(2026,4,14))/7), 2)=0, FALSE))</f>
        <v>0</v>
      </c>
      <c r="R337" s="8"/>
      <c r="S337" s="8"/>
      <c r="T337" s="8"/>
    </row>
    <row r="338" ht="17.25" customHeight="1">
      <c r="A338" s="54" t="s">
        <v>197</v>
      </c>
      <c r="B338" s="8">
        <v>20.0</v>
      </c>
      <c r="C338" s="55"/>
      <c r="D338" s="55"/>
      <c r="E338" s="55" t="s">
        <v>509</v>
      </c>
      <c r="F338" s="8">
        <v>1.0</v>
      </c>
      <c r="G338" s="8" t="s">
        <v>241</v>
      </c>
      <c r="H338" s="41"/>
      <c r="I338" s="8" t="s">
        <v>156</v>
      </c>
      <c r="J338" s="8"/>
      <c r="K338" s="8"/>
      <c r="L338" s="59"/>
      <c r="M338" s="55"/>
      <c r="N338" s="8"/>
      <c r="O338" s="8" t="s">
        <v>244</v>
      </c>
      <c r="P338" s="8"/>
      <c r="Q338" s="8" t="b">
        <f>IF(G338="隔週A", MOD(INT(('26414_編集版'!$B$1-DATE(2026,4,14))/7), 2)=1, IF(G338="隔週B", MOD(INT(('26414_編集版'!$B$1-DATE(2026,4,14))/7), 2)=0, FALSE))</f>
        <v>0</v>
      </c>
      <c r="R338" s="8"/>
      <c r="S338" s="8"/>
      <c r="T338" s="8"/>
    </row>
    <row r="339" ht="17.25" customHeight="1">
      <c r="A339" s="54" t="s">
        <v>197</v>
      </c>
      <c r="B339" s="8">
        <v>20.0</v>
      </c>
      <c r="C339" s="55"/>
      <c r="D339" s="55"/>
      <c r="E339" s="55" t="s">
        <v>510</v>
      </c>
      <c r="F339" s="8">
        <v>1.0</v>
      </c>
      <c r="G339" s="8" t="s">
        <v>241</v>
      </c>
      <c r="H339" s="41"/>
      <c r="I339" s="8" t="s">
        <v>156</v>
      </c>
      <c r="J339" s="8"/>
      <c r="K339" s="8"/>
      <c r="L339" s="59"/>
      <c r="M339" s="55"/>
      <c r="N339" s="8"/>
      <c r="O339" s="8" t="s">
        <v>244</v>
      </c>
      <c r="P339" s="8"/>
      <c r="Q339" s="8" t="b">
        <f>IF(G339="隔週A", MOD(INT(('26414_編集版'!$B$1-DATE(2026,4,14))/7), 2)=1, IF(G339="隔週B", MOD(INT(('26414_編集版'!$B$1-DATE(2026,4,14))/7), 2)=0, FALSE))</f>
        <v>0</v>
      </c>
      <c r="R339" s="8"/>
      <c r="S339" s="8"/>
      <c r="T339" s="8"/>
    </row>
    <row r="340" ht="17.25" customHeight="1">
      <c r="A340" s="54" t="s">
        <v>197</v>
      </c>
      <c r="B340" s="8">
        <v>20.0</v>
      </c>
      <c r="C340" s="8"/>
      <c r="D340" s="8"/>
      <c r="E340" s="8" t="s">
        <v>511</v>
      </c>
      <c r="F340" s="8">
        <v>3.9</v>
      </c>
      <c r="G340" s="8" t="s">
        <v>241</v>
      </c>
      <c r="H340" s="41"/>
      <c r="I340" s="8" t="s">
        <v>151</v>
      </c>
      <c r="J340" s="8"/>
      <c r="K340" s="8"/>
      <c r="L340" s="59"/>
      <c r="M340" s="8"/>
      <c r="N340" s="8"/>
      <c r="O340" s="8" t="s">
        <v>244</v>
      </c>
      <c r="P340" s="56"/>
      <c r="Q340" s="8" t="b">
        <f>IF(G340="隔週A", MOD(INT(('26414_編集版'!$B$1-DATE(2026,4,14))/7), 2)=1, IF(G340="隔週B", MOD(INT(('26414_編集版'!$B$1-DATE(2026,4,14))/7), 2)=0, FALSE))</f>
        <v>0</v>
      </c>
      <c r="R340" s="8"/>
      <c r="S340" s="8"/>
      <c r="T340" s="8"/>
    </row>
    <row r="341" ht="17.25" customHeight="1">
      <c r="A341" s="54" t="s">
        <v>197</v>
      </c>
      <c r="B341" s="8">
        <v>20.0</v>
      </c>
      <c r="C341" s="55"/>
      <c r="D341" s="55"/>
      <c r="E341" s="55" t="s">
        <v>285</v>
      </c>
      <c r="F341" s="8">
        <v>0.1</v>
      </c>
      <c r="G341" s="8" t="s">
        <v>241</v>
      </c>
      <c r="H341" s="41"/>
      <c r="I341" s="8" t="s">
        <v>156</v>
      </c>
      <c r="J341" s="8"/>
      <c r="K341" s="8"/>
      <c r="L341" s="59"/>
      <c r="M341" s="55"/>
      <c r="N341" s="8"/>
      <c r="O341" s="8" t="s">
        <v>223</v>
      </c>
      <c r="P341" s="8" t="s">
        <v>200</v>
      </c>
      <c r="Q341" s="8" t="b">
        <f>IF(G341="隔週A", MOD(INT(('26414_編集版'!$B$1-DATE(2026,4,14))/7), 2)=1, IF(G341="隔週B", MOD(INT(('26414_編集版'!$B$1-DATE(2026,4,14))/7), 2)=0, FALSE))</f>
        <v>0</v>
      </c>
      <c r="R341" s="8"/>
      <c r="S341" s="8"/>
      <c r="T341" s="8"/>
    </row>
    <row r="342" ht="17.25" customHeight="1">
      <c r="A342" s="54" t="s">
        <v>197</v>
      </c>
      <c r="B342" s="8">
        <v>20.0</v>
      </c>
      <c r="C342" s="8"/>
      <c r="D342" s="8"/>
      <c r="E342" s="8" t="s">
        <v>512</v>
      </c>
      <c r="F342" s="8">
        <v>0.3</v>
      </c>
      <c r="G342" s="8" t="s">
        <v>241</v>
      </c>
      <c r="H342" s="41"/>
      <c r="I342" s="8" t="s">
        <v>156</v>
      </c>
      <c r="J342" s="8"/>
      <c r="K342" s="8"/>
      <c r="L342" s="59"/>
      <c r="M342" s="8"/>
      <c r="N342" s="8"/>
      <c r="O342" s="8" t="s">
        <v>244</v>
      </c>
      <c r="P342" s="8"/>
      <c r="Q342" s="8" t="b">
        <f>IF(G342="隔週A", MOD(INT(('26414_編集版'!$B$1-DATE(2026,4,14))/7), 2)=1, IF(G342="隔週B", MOD(INT(('26414_編集版'!$B$1-DATE(2026,4,14))/7), 2)=0, FALSE))</f>
        <v>0</v>
      </c>
      <c r="R342" s="8"/>
      <c r="S342" s="8"/>
      <c r="T342" s="8"/>
    </row>
    <row r="343" ht="17.25" customHeight="1">
      <c r="A343" s="54" t="s">
        <v>197</v>
      </c>
      <c r="B343" s="8">
        <v>20.0</v>
      </c>
      <c r="C343" s="56"/>
      <c r="D343" s="56"/>
      <c r="E343" s="56" t="s">
        <v>513</v>
      </c>
      <c r="F343" s="56">
        <v>0.3</v>
      </c>
      <c r="G343" s="8" t="s">
        <v>241</v>
      </c>
      <c r="H343" s="41"/>
      <c r="I343" s="56" t="s">
        <v>156</v>
      </c>
      <c r="J343" s="56"/>
      <c r="K343" s="56"/>
      <c r="L343" s="59"/>
      <c r="M343" s="56"/>
      <c r="N343" s="8"/>
      <c r="O343" s="8" t="s">
        <v>244</v>
      </c>
      <c r="P343" s="8"/>
      <c r="Q343" s="8" t="b">
        <f>IF(G343="隔週A", MOD(INT(('26414_編集版'!$B$1-DATE(2026,4,14))/7), 2)=1, IF(G343="隔週B", MOD(INT(('26414_編集版'!$B$1-DATE(2026,4,14))/7), 2)=0, FALSE))</f>
        <v>0</v>
      </c>
      <c r="R343" s="8"/>
      <c r="S343" s="8"/>
      <c r="T343" s="8"/>
    </row>
    <row r="344" ht="17.25" customHeight="1">
      <c r="A344" s="54" t="s">
        <v>197</v>
      </c>
      <c r="B344" s="8">
        <v>21.0</v>
      </c>
      <c r="C344" s="56"/>
      <c r="D344" s="56"/>
      <c r="E344" s="56" t="s">
        <v>288</v>
      </c>
      <c r="F344" s="36">
        <v>0.1</v>
      </c>
      <c r="G344" s="8" t="s">
        <v>241</v>
      </c>
      <c r="H344" s="41"/>
      <c r="I344" s="56" t="s">
        <v>156</v>
      </c>
      <c r="J344" s="56"/>
      <c r="K344" s="56"/>
      <c r="L344" s="59"/>
      <c r="M344" s="56"/>
      <c r="N344" s="8"/>
      <c r="O344" s="8" t="s">
        <v>244</v>
      </c>
      <c r="P344" s="36"/>
      <c r="Q344" s="8" t="b">
        <f>IF(G344="隔週A", MOD(INT(('26414_編集版'!$B$1-DATE(2026,4,14))/7), 2)=1, IF(G344="隔週B", MOD(INT(('26414_編集版'!$B$1-DATE(2026,4,14))/7), 2)=0, FALSE))</f>
        <v>0</v>
      </c>
      <c r="R344" s="8"/>
      <c r="S344" s="8"/>
      <c r="T344" s="8"/>
    </row>
    <row r="345" ht="17.25" customHeight="1">
      <c r="A345" s="54" t="s">
        <v>197</v>
      </c>
      <c r="B345" s="8">
        <v>21.0</v>
      </c>
      <c r="C345" s="58"/>
      <c r="D345" s="58"/>
      <c r="E345" s="58" t="s">
        <v>289</v>
      </c>
      <c r="F345" s="36">
        <v>0.1</v>
      </c>
      <c r="G345" s="8" t="s">
        <v>241</v>
      </c>
      <c r="H345" s="41"/>
      <c r="I345" s="58" t="s">
        <v>151</v>
      </c>
      <c r="J345" s="58"/>
      <c r="K345" s="58"/>
      <c r="L345" s="59"/>
      <c r="M345" s="58"/>
      <c r="N345" s="8"/>
      <c r="O345" s="8" t="s">
        <v>244</v>
      </c>
      <c r="P345" s="36"/>
      <c r="Q345" s="8" t="b">
        <f>IF(G345="隔週A", MOD(INT(('26414_編集版'!$B$1-DATE(2026,4,14))/7), 2)=1, IF(G345="隔週B", MOD(INT(('26414_編集版'!$B$1-DATE(2026,4,14))/7), 2)=0, FALSE))</f>
        <v>0</v>
      </c>
      <c r="R345" s="8"/>
      <c r="S345" s="8"/>
      <c r="T345" s="8"/>
    </row>
    <row r="346" ht="17.25" customHeight="1">
      <c r="A346" s="54" t="s">
        <v>197</v>
      </c>
      <c r="B346" s="8">
        <v>21.0</v>
      </c>
      <c r="C346" s="35"/>
      <c r="D346" s="35"/>
      <c r="E346" s="35" t="s">
        <v>514</v>
      </c>
      <c r="F346" s="8">
        <v>1.3</v>
      </c>
      <c r="G346" s="8" t="s">
        <v>241</v>
      </c>
      <c r="H346" s="41"/>
      <c r="I346" s="8" t="s">
        <v>156</v>
      </c>
      <c r="J346" s="8"/>
      <c r="K346" s="8"/>
      <c r="L346" s="59"/>
      <c r="M346" s="35"/>
      <c r="N346" s="8"/>
      <c r="O346" s="8" t="s">
        <v>244</v>
      </c>
      <c r="P346" s="8"/>
      <c r="Q346" s="8" t="b">
        <f>IF(G346="隔週A", MOD(INT(('26414_編集版'!$B$1-DATE(2026,4,14))/7), 2)=1, IF(G346="隔週B", MOD(INT(('26414_編集版'!$B$1-DATE(2026,4,14))/7), 2)=0, FALSE))</f>
        <v>0</v>
      </c>
      <c r="R346" s="8"/>
      <c r="S346" s="8"/>
      <c r="T346" s="8"/>
    </row>
    <row r="347" ht="17.25" customHeight="1">
      <c r="A347" s="54" t="s">
        <v>197</v>
      </c>
      <c r="B347" s="8">
        <v>21.0</v>
      </c>
      <c r="C347" s="55"/>
      <c r="D347" s="55"/>
      <c r="E347" s="55" t="s">
        <v>515</v>
      </c>
      <c r="F347" s="8">
        <v>2.0</v>
      </c>
      <c r="G347" s="8" t="s">
        <v>241</v>
      </c>
      <c r="H347" s="41"/>
      <c r="I347" s="8" t="s">
        <v>156</v>
      </c>
      <c r="J347" s="8"/>
      <c r="K347" s="8"/>
      <c r="L347" s="59"/>
      <c r="M347" s="55"/>
      <c r="N347" s="8"/>
      <c r="O347" s="8" t="s">
        <v>244</v>
      </c>
      <c r="P347" s="8"/>
      <c r="Q347" s="8" t="b">
        <f>IF(G347="隔週A", MOD(INT(('26414_編集版'!$B$1-DATE(2026,4,14))/7), 2)=1, IF(G347="隔週B", MOD(INT(('26414_編集版'!$B$1-DATE(2026,4,14))/7), 2)=0, FALSE))</f>
        <v>0</v>
      </c>
      <c r="R347" s="8"/>
      <c r="S347" s="8"/>
      <c r="T347" s="8"/>
    </row>
    <row r="348" ht="17.25" customHeight="1">
      <c r="A348" s="54" t="s">
        <v>197</v>
      </c>
      <c r="B348" s="8">
        <v>21.0</v>
      </c>
      <c r="C348" s="55"/>
      <c r="D348" s="55"/>
      <c r="E348" s="55" t="s">
        <v>516</v>
      </c>
      <c r="F348" s="8">
        <v>0.8</v>
      </c>
      <c r="G348" s="8" t="s">
        <v>241</v>
      </c>
      <c r="H348" s="41"/>
      <c r="I348" s="8" t="s">
        <v>156</v>
      </c>
      <c r="J348" s="8"/>
      <c r="K348" s="8"/>
      <c r="L348" s="59"/>
      <c r="M348" s="55"/>
      <c r="N348" s="8"/>
      <c r="O348" s="8" t="s">
        <v>244</v>
      </c>
      <c r="P348" s="8"/>
      <c r="Q348" s="8" t="b">
        <f>IF(G348="隔週A", MOD(INT(('26414_編集版'!$B$1-DATE(2026,4,14))/7), 2)=1, IF(G348="隔週B", MOD(INT(('26414_編集版'!$B$1-DATE(2026,4,14))/7), 2)=0, FALSE))</f>
        <v>0</v>
      </c>
      <c r="R348" s="8"/>
      <c r="S348" s="8"/>
      <c r="T348" s="8"/>
    </row>
    <row r="349" ht="17.25" customHeight="1">
      <c r="A349" s="54" t="s">
        <v>197</v>
      </c>
      <c r="B349" s="8">
        <v>21.0</v>
      </c>
      <c r="C349" s="71"/>
      <c r="D349" s="71"/>
      <c r="E349" s="71" t="s">
        <v>517</v>
      </c>
      <c r="F349" s="8">
        <v>1.8</v>
      </c>
      <c r="G349" s="8" t="s">
        <v>241</v>
      </c>
      <c r="H349" s="41"/>
      <c r="I349" s="8" t="s">
        <v>156</v>
      </c>
      <c r="J349" s="8"/>
      <c r="K349" s="8"/>
      <c r="L349" s="59"/>
      <c r="M349" s="71"/>
      <c r="N349" s="8"/>
      <c r="O349" s="8" t="s">
        <v>244</v>
      </c>
      <c r="P349" s="8"/>
      <c r="Q349" s="8" t="b">
        <f>IF(G349="隔週A", MOD(INT(('26414_編集版'!$B$1-DATE(2026,4,14))/7), 2)=1, IF(G349="隔週B", MOD(INT(('26414_編集版'!$B$1-DATE(2026,4,14))/7), 2)=0, FALSE))</f>
        <v>0</v>
      </c>
      <c r="R349" s="8"/>
      <c r="S349" s="8"/>
      <c r="T349" s="8"/>
    </row>
    <row r="350" ht="17.25" customHeight="1">
      <c r="A350" s="33">
        <v>46126.0</v>
      </c>
      <c r="B350" s="8">
        <v>18.0</v>
      </c>
      <c r="C350" s="50"/>
      <c r="D350" s="50"/>
      <c r="E350" s="50" t="s">
        <v>518</v>
      </c>
      <c r="F350" s="8">
        <v>6.8</v>
      </c>
      <c r="G350" s="35" t="s">
        <v>519</v>
      </c>
      <c r="H350" s="8"/>
      <c r="I350" s="45" t="s">
        <v>151</v>
      </c>
      <c r="J350" s="45"/>
      <c r="K350" s="45"/>
      <c r="L350" s="108"/>
      <c r="M350" s="50"/>
      <c r="N350" s="8"/>
      <c r="O350" s="8" t="s">
        <v>158</v>
      </c>
      <c r="P350" s="8" t="s">
        <v>154</v>
      </c>
      <c r="Q350" s="8" t="b">
        <v>0</v>
      </c>
      <c r="R350" s="8"/>
      <c r="S350" s="8"/>
      <c r="T350" s="8"/>
    </row>
    <row r="351" ht="17.25" customHeight="1">
      <c r="A351" s="33">
        <v>46127.0</v>
      </c>
      <c r="B351" s="8">
        <v>19.0</v>
      </c>
      <c r="C351" s="50"/>
      <c r="D351" s="50"/>
      <c r="E351" s="50" t="s">
        <v>520</v>
      </c>
      <c r="F351" s="8">
        <v>3.5</v>
      </c>
      <c r="G351" s="35" t="s">
        <v>519</v>
      </c>
      <c r="H351" s="8"/>
      <c r="I351" s="45" t="s">
        <v>156</v>
      </c>
      <c r="J351" s="45"/>
      <c r="K351" s="45"/>
      <c r="L351" s="108"/>
      <c r="M351" s="50"/>
      <c r="N351" s="8"/>
      <c r="O351" s="8" t="s">
        <v>158</v>
      </c>
      <c r="P351" s="8" t="s">
        <v>154</v>
      </c>
      <c r="Q351" s="8" t="b">
        <v>0</v>
      </c>
      <c r="R351" s="8"/>
      <c r="S351" s="8"/>
      <c r="T351" s="8"/>
    </row>
    <row r="352" ht="17.25" customHeight="1">
      <c r="A352" s="33">
        <v>46127.0</v>
      </c>
      <c r="B352" s="8">
        <v>9.0</v>
      </c>
      <c r="C352" s="41"/>
      <c r="D352" s="41"/>
      <c r="E352" s="41" t="s">
        <v>521</v>
      </c>
      <c r="F352" s="8">
        <v>0.2</v>
      </c>
      <c r="G352" s="35" t="s">
        <v>519</v>
      </c>
      <c r="H352" s="8"/>
      <c r="I352" s="8" t="s">
        <v>156</v>
      </c>
      <c r="J352" s="8"/>
      <c r="K352" s="8"/>
      <c r="L352" s="108"/>
      <c r="M352" s="41"/>
      <c r="N352" s="8"/>
      <c r="O352" s="8" t="s">
        <v>153</v>
      </c>
      <c r="P352" s="8" t="s">
        <v>154</v>
      </c>
      <c r="Q352" s="8" t="b">
        <v>0</v>
      </c>
      <c r="R352" s="8"/>
      <c r="S352" s="8"/>
      <c r="T352" s="8"/>
    </row>
    <row r="353" ht="17.25" customHeight="1">
      <c r="A353" s="33">
        <v>46127.0</v>
      </c>
      <c r="B353" s="8">
        <v>10.0</v>
      </c>
      <c r="C353" s="50"/>
      <c r="D353" s="50"/>
      <c r="E353" s="50" t="s">
        <v>522</v>
      </c>
      <c r="F353" s="8">
        <v>2.8</v>
      </c>
      <c r="G353" s="35" t="s">
        <v>519</v>
      </c>
      <c r="H353" s="8"/>
      <c r="I353" s="45" t="s">
        <v>156</v>
      </c>
      <c r="J353" s="45"/>
      <c r="K353" s="45"/>
      <c r="L353" s="108"/>
      <c r="M353" s="50"/>
      <c r="N353" s="8"/>
      <c r="O353" s="8" t="s">
        <v>153</v>
      </c>
      <c r="P353" s="8" t="s">
        <v>154</v>
      </c>
      <c r="Q353" s="8" t="b">
        <v>0</v>
      </c>
      <c r="R353" s="8"/>
      <c r="S353" s="8"/>
      <c r="T353" s="8"/>
    </row>
    <row r="354" ht="17.25" customHeight="1">
      <c r="A354" s="33">
        <v>46127.0</v>
      </c>
      <c r="B354" s="8">
        <v>10.0</v>
      </c>
      <c r="C354" s="38"/>
      <c r="D354" s="38"/>
      <c r="E354" s="38" t="s">
        <v>523</v>
      </c>
      <c r="F354" s="34">
        <v>2.8</v>
      </c>
      <c r="G354" s="35" t="s">
        <v>519</v>
      </c>
      <c r="H354" s="8"/>
      <c r="I354" s="8" t="s">
        <v>156</v>
      </c>
      <c r="J354" s="8"/>
      <c r="K354" s="8"/>
      <c r="L354" s="108"/>
      <c r="M354" s="38"/>
      <c r="N354" s="8"/>
      <c r="O354" s="34" t="s">
        <v>153</v>
      </c>
      <c r="P354" s="34" t="s">
        <v>154</v>
      </c>
      <c r="Q354" s="8" t="b">
        <v>0</v>
      </c>
      <c r="R354" s="8"/>
      <c r="S354" s="8"/>
      <c r="T354" s="8"/>
    </row>
    <row r="355" ht="17.25" customHeight="1">
      <c r="A355" s="33">
        <v>46128.0</v>
      </c>
      <c r="B355" s="8">
        <v>19.0</v>
      </c>
      <c r="C355" s="109"/>
      <c r="D355" s="109"/>
      <c r="E355" s="109" t="s">
        <v>524</v>
      </c>
      <c r="F355" s="8">
        <v>4.0</v>
      </c>
      <c r="G355" s="35" t="s">
        <v>519</v>
      </c>
      <c r="H355" s="8"/>
      <c r="I355" s="40" t="s">
        <v>156</v>
      </c>
      <c r="J355" s="40"/>
      <c r="K355" s="40"/>
      <c r="L355" s="108"/>
      <c r="M355" s="109"/>
      <c r="N355" s="8"/>
      <c r="O355" s="34" t="s">
        <v>153</v>
      </c>
      <c r="P355" s="8" t="s">
        <v>154</v>
      </c>
      <c r="Q355" s="8" t="b">
        <v>0</v>
      </c>
      <c r="R355" s="8"/>
      <c r="S355" s="8"/>
      <c r="T355" s="8"/>
    </row>
    <row r="356" ht="17.25" customHeight="1">
      <c r="A356" s="33">
        <v>46128.0</v>
      </c>
      <c r="B356" s="8">
        <v>10.0</v>
      </c>
      <c r="C356" s="41"/>
      <c r="D356" s="41"/>
      <c r="E356" s="41" t="s">
        <v>525</v>
      </c>
      <c r="F356" s="8">
        <v>0.8</v>
      </c>
      <c r="G356" s="35" t="s">
        <v>519</v>
      </c>
      <c r="H356" s="8"/>
      <c r="I356" s="8" t="s">
        <v>156</v>
      </c>
      <c r="J356" s="8"/>
      <c r="K356" s="8"/>
      <c r="L356" s="108"/>
      <c r="M356" s="41"/>
      <c r="N356" s="8"/>
      <c r="O356" s="8" t="s">
        <v>153</v>
      </c>
      <c r="P356" s="8" t="s">
        <v>154</v>
      </c>
      <c r="Q356" s="8" t="b">
        <v>0</v>
      </c>
      <c r="R356" s="8"/>
      <c r="S356" s="8"/>
      <c r="T356" s="8"/>
    </row>
    <row r="357" ht="17.25" customHeight="1">
      <c r="A357" s="33">
        <v>46128.0</v>
      </c>
      <c r="B357" s="8">
        <v>15.0</v>
      </c>
      <c r="C357" s="50"/>
      <c r="D357" s="50"/>
      <c r="E357" s="50" t="s">
        <v>526</v>
      </c>
      <c r="F357" s="8">
        <v>6.8</v>
      </c>
      <c r="G357" s="35" t="s">
        <v>519</v>
      </c>
      <c r="H357" s="8"/>
      <c r="I357" s="8" t="s">
        <v>151</v>
      </c>
      <c r="J357" s="8"/>
      <c r="K357" s="8"/>
      <c r="L357" s="108"/>
      <c r="M357" s="50"/>
      <c r="N357" s="8"/>
      <c r="O357" s="8" t="s">
        <v>158</v>
      </c>
      <c r="P357" s="36" t="s">
        <v>154</v>
      </c>
      <c r="Q357" s="8" t="b">
        <v>0</v>
      </c>
      <c r="R357" s="8"/>
      <c r="S357" s="8"/>
      <c r="T357" s="8"/>
    </row>
    <row r="358" ht="17.25" customHeight="1">
      <c r="A358" s="33">
        <v>46129.0</v>
      </c>
      <c r="B358" s="8">
        <v>8.0</v>
      </c>
      <c r="C358" s="38"/>
      <c r="D358" s="38"/>
      <c r="E358" s="38" t="s">
        <v>527</v>
      </c>
      <c r="F358" s="8">
        <v>2.4</v>
      </c>
      <c r="G358" s="35" t="s">
        <v>519</v>
      </c>
      <c r="H358" s="8"/>
      <c r="I358" s="8" t="s">
        <v>156</v>
      </c>
      <c r="J358" s="8"/>
      <c r="K358" s="8"/>
      <c r="L358" s="108"/>
      <c r="M358" s="38"/>
      <c r="N358" s="8"/>
      <c r="O358" s="34" t="s">
        <v>153</v>
      </c>
      <c r="P358" s="34" t="s">
        <v>154</v>
      </c>
      <c r="Q358" s="8" t="b">
        <v>0</v>
      </c>
      <c r="R358" s="8"/>
      <c r="S358" s="8"/>
      <c r="T358" s="8"/>
    </row>
    <row r="359" ht="17.25" customHeight="1">
      <c r="A359" s="33">
        <v>46129.0</v>
      </c>
      <c r="B359" s="8">
        <v>18.0</v>
      </c>
      <c r="C359" s="38"/>
      <c r="D359" s="38"/>
      <c r="E359" s="38" t="s">
        <v>528</v>
      </c>
      <c r="F359" s="8">
        <v>4.0</v>
      </c>
      <c r="G359" s="35" t="s">
        <v>519</v>
      </c>
      <c r="H359" s="8"/>
      <c r="I359" s="8" t="s">
        <v>151</v>
      </c>
      <c r="J359" s="8"/>
      <c r="K359" s="8"/>
      <c r="L359" s="108"/>
      <c r="M359" s="38"/>
      <c r="N359" s="8"/>
      <c r="O359" s="34" t="s">
        <v>158</v>
      </c>
      <c r="P359" s="34" t="s">
        <v>154</v>
      </c>
      <c r="Q359" s="8" t="b">
        <v>0</v>
      </c>
      <c r="R359" s="8"/>
      <c r="S359" s="8"/>
      <c r="T359" s="8"/>
    </row>
    <row r="360" ht="17.25" customHeight="1">
      <c r="A360" s="33">
        <v>46129.0</v>
      </c>
      <c r="B360" s="8">
        <v>19.0</v>
      </c>
      <c r="C360" s="38"/>
      <c r="D360" s="38"/>
      <c r="E360" s="38" t="s">
        <v>529</v>
      </c>
      <c r="F360" s="8">
        <v>4.0</v>
      </c>
      <c r="G360" s="35" t="s">
        <v>519</v>
      </c>
      <c r="H360" s="8"/>
      <c r="I360" s="8" t="s">
        <v>156</v>
      </c>
      <c r="J360" s="8"/>
      <c r="K360" s="8"/>
      <c r="L360" s="108"/>
      <c r="M360" s="38"/>
      <c r="N360" s="8"/>
      <c r="O360" s="34" t="s">
        <v>158</v>
      </c>
      <c r="P360" s="34" t="s">
        <v>154</v>
      </c>
      <c r="Q360" s="8" t="b">
        <v>0</v>
      </c>
      <c r="R360" s="8"/>
      <c r="S360" s="8"/>
      <c r="T360" s="8"/>
    </row>
    <row r="361" ht="17.25" customHeight="1">
      <c r="A361" s="33">
        <v>46130.0</v>
      </c>
      <c r="B361" s="8">
        <v>15.0</v>
      </c>
      <c r="C361" s="110"/>
      <c r="D361" s="110"/>
      <c r="E361" s="110" t="s">
        <v>530</v>
      </c>
      <c r="F361" s="111">
        <v>5.6</v>
      </c>
      <c r="G361" s="35" t="s">
        <v>519</v>
      </c>
      <c r="H361" s="111"/>
      <c r="I361" s="111" t="s">
        <v>156</v>
      </c>
      <c r="J361" s="111"/>
      <c r="K361" s="111"/>
      <c r="L361" s="108"/>
      <c r="M361" s="110"/>
      <c r="N361" s="111"/>
      <c r="O361" s="111" t="s">
        <v>158</v>
      </c>
      <c r="P361" s="111" t="s">
        <v>154</v>
      </c>
      <c r="Q361" s="8" t="b">
        <v>0</v>
      </c>
      <c r="R361" s="8"/>
      <c r="S361" s="8"/>
      <c r="T361" s="8"/>
    </row>
    <row r="362" ht="17.25" customHeight="1">
      <c r="A362" s="33">
        <v>46130.0</v>
      </c>
      <c r="B362" s="8">
        <v>17.0</v>
      </c>
      <c r="C362" s="110"/>
      <c r="D362" s="110"/>
      <c r="E362" s="110" t="s">
        <v>531</v>
      </c>
      <c r="F362" s="111">
        <v>2.2</v>
      </c>
      <c r="G362" s="35" t="s">
        <v>519</v>
      </c>
      <c r="H362" s="111"/>
      <c r="I362" s="111" t="s">
        <v>156</v>
      </c>
      <c r="J362" s="111"/>
      <c r="K362" s="111"/>
      <c r="L362" s="108"/>
      <c r="M362" s="110"/>
      <c r="N362" s="111"/>
      <c r="O362" s="111" t="s">
        <v>158</v>
      </c>
      <c r="P362" s="111" t="s">
        <v>154</v>
      </c>
      <c r="Q362" s="8" t="b">
        <v>0</v>
      </c>
      <c r="R362" s="8"/>
      <c r="S362" s="8"/>
      <c r="T362" s="8"/>
    </row>
    <row r="363" ht="17.25" customHeight="1">
      <c r="A363" s="33">
        <v>46131.0</v>
      </c>
      <c r="B363" s="8">
        <v>17.0</v>
      </c>
      <c r="C363" s="48"/>
      <c r="D363" s="48"/>
      <c r="E363" s="48" t="s">
        <v>532</v>
      </c>
      <c r="F363" s="8">
        <v>2.8</v>
      </c>
      <c r="G363" s="35" t="s">
        <v>519</v>
      </c>
      <c r="H363" s="8"/>
      <c r="I363" s="45" t="s">
        <v>156</v>
      </c>
      <c r="J363" s="45"/>
      <c r="K363" s="45"/>
      <c r="L363" s="108"/>
      <c r="M363" s="48"/>
      <c r="N363" s="8"/>
      <c r="O363" s="8" t="s">
        <v>158</v>
      </c>
      <c r="P363" s="8" t="s">
        <v>154</v>
      </c>
      <c r="Q363" s="8" t="b">
        <v>0</v>
      </c>
      <c r="R363" s="8"/>
      <c r="S363" s="8"/>
      <c r="T363" s="8"/>
    </row>
    <row r="364" ht="17.25" customHeight="1">
      <c r="A364" s="33">
        <v>46131.0</v>
      </c>
      <c r="B364" s="8">
        <v>18.0</v>
      </c>
      <c r="C364" s="48"/>
      <c r="D364" s="48"/>
      <c r="E364" s="48" t="s">
        <v>533</v>
      </c>
      <c r="F364" s="36">
        <v>5.0</v>
      </c>
      <c r="G364" s="35" t="s">
        <v>519</v>
      </c>
      <c r="H364" s="8"/>
      <c r="I364" s="36" t="s">
        <v>156</v>
      </c>
      <c r="J364" s="36"/>
      <c r="K364" s="36"/>
      <c r="L364" s="108"/>
      <c r="M364" s="48"/>
      <c r="N364" s="8"/>
      <c r="O364" s="8" t="s">
        <v>153</v>
      </c>
      <c r="P364" s="8" t="s">
        <v>154</v>
      </c>
      <c r="Q364" s="8" t="b">
        <v>0</v>
      </c>
      <c r="R364" s="8"/>
      <c r="S364" s="8"/>
      <c r="T364" s="8"/>
    </row>
    <row r="365" ht="17.25" customHeight="1">
      <c r="A365" s="33">
        <v>46132.0</v>
      </c>
      <c r="B365" s="8">
        <v>12.0</v>
      </c>
      <c r="C365" s="48"/>
      <c r="D365" s="48"/>
      <c r="E365" s="48" t="s">
        <v>534</v>
      </c>
      <c r="F365" s="8">
        <v>2.3</v>
      </c>
      <c r="G365" s="35" t="s">
        <v>519</v>
      </c>
      <c r="H365" s="8"/>
      <c r="I365" s="36" t="s">
        <v>156</v>
      </c>
      <c r="J365" s="36"/>
      <c r="K365" s="36"/>
      <c r="L365" s="108"/>
      <c r="M365" s="48"/>
      <c r="N365" s="8"/>
      <c r="O365" s="8" t="s">
        <v>153</v>
      </c>
      <c r="P365" s="8" t="s">
        <v>154</v>
      </c>
      <c r="Q365" s="8" t="b">
        <v>0</v>
      </c>
      <c r="R365" s="8"/>
      <c r="S365" s="8"/>
      <c r="T365" s="8"/>
    </row>
    <row r="366" ht="17.25" customHeight="1">
      <c r="A366" s="33">
        <v>46132.0</v>
      </c>
      <c r="B366" s="8">
        <v>17.0</v>
      </c>
      <c r="C366" s="50"/>
      <c r="D366" s="50"/>
      <c r="E366" s="50" t="s">
        <v>535</v>
      </c>
      <c r="F366" s="36">
        <v>2.6</v>
      </c>
      <c r="G366" s="35" t="s">
        <v>519</v>
      </c>
      <c r="H366" s="8"/>
      <c r="I366" s="36" t="s">
        <v>156</v>
      </c>
      <c r="J366" s="36"/>
      <c r="K366" s="36"/>
      <c r="L366" s="108"/>
      <c r="M366" s="50"/>
      <c r="N366" s="8"/>
      <c r="O366" s="8" t="s">
        <v>154</v>
      </c>
      <c r="P366" s="36" t="s">
        <v>256</v>
      </c>
      <c r="Q366" s="8" t="b">
        <v>0</v>
      </c>
      <c r="R366" s="8"/>
      <c r="S366" s="8"/>
      <c r="T366" s="8"/>
    </row>
    <row r="367" ht="17.25" customHeight="1">
      <c r="A367" s="33">
        <v>46132.0</v>
      </c>
      <c r="B367" s="8">
        <v>17.0</v>
      </c>
      <c r="C367" s="50"/>
      <c r="D367" s="50"/>
      <c r="E367" s="50" t="s">
        <v>536</v>
      </c>
      <c r="F367" s="8">
        <v>2.4</v>
      </c>
      <c r="G367" s="35" t="s">
        <v>519</v>
      </c>
      <c r="H367" s="8"/>
      <c r="I367" s="36" t="s">
        <v>156</v>
      </c>
      <c r="J367" s="36"/>
      <c r="K367" s="36"/>
      <c r="L367" s="108"/>
      <c r="M367" s="50"/>
      <c r="N367" s="8"/>
      <c r="O367" s="8" t="s">
        <v>154</v>
      </c>
      <c r="P367" s="8" t="s">
        <v>256</v>
      </c>
      <c r="Q367" s="8" t="b">
        <v>0</v>
      </c>
      <c r="R367" s="8"/>
      <c r="S367" s="8"/>
      <c r="T367" s="8"/>
    </row>
    <row r="368" ht="17.25" customHeight="1">
      <c r="A368" s="8"/>
      <c r="B368" s="8"/>
      <c r="C368" s="8"/>
      <c r="D368" s="8"/>
      <c r="E368" s="8"/>
      <c r="F368" s="8"/>
      <c r="G368" s="8"/>
      <c r="H368" s="8"/>
      <c r="I368" s="8"/>
      <c r="J368" s="8"/>
      <c r="K368" s="8"/>
      <c r="L368" s="8"/>
      <c r="M368" s="8"/>
      <c r="N368" s="8"/>
      <c r="O368" s="8"/>
      <c r="P368" s="8"/>
      <c r="Q368" s="8"/>
      <c r="R368" s="8"/>
      <c r="S368" s="8"/>
      <c r="T368" s="8"/>
    </row>
    <row r="369" ht="17.25" customHeight="1">
      <c r="A369" s="8"/>
      <c r="B369" s="8"/>
      <c r="C369" s="8"/>
      <c r="D369" s="8"/>
      <c r="E369" s="8"/>
      <c r="F369" s="8"/>
      <c r="G369" s="8"/>
      <c r="H369" s="8"/>
      <c r="I369" s="8"/>
      <c r="J369" s="8"/>
      <c r="K369" s="8"/>
      <c r="L369" s="8"/>
      <c r="M369" s="8"/>
      <c r="N369" s="8"/>
      <c r="O369" s="8"/>
      <c r="P369" s="8"/>
      <c r="Q369" s="8"/>
      <c r="R369" s="8"/>
      <c r="S369" s="8"/>
      <c r="T369" s="8"/>
    </row>
    <row r="370" ht="17.25" customHeight="1">
      <c r="A370" s="112"/>
      <c r="B370" s="45"/>
      <c r="C370" s="8"/>
      <c r="D370" s="8"/>
      <c r="E370" s="8"/>
      <c r="F370" s="8"/>
      <c r="G370" s="8"/>
      <c r="H370" s="8"/>
      <c r="I370" s="36"/>
      <c r="J370" s="8"/>
      <c r="K370" s="36"/>
      <c r="L370" s="36"/>
      <c r="M370" s="36"/>
      <c r="N370" s="108"/>
      <c r="O370" s="8"/>
      <c r="P370" s="8"/>
      <c r="Q370" s="8"/>
      <c r="R370" s="8"/>
      <c r="S370" s="8"/>
      <c r="T370" s="8"/>
    </row>
    <row r="371" ht="17.25" customHeight="1">
      <c r="A371" s="113"/>
      <c r="B371" s="45"/>
      <c r="C371" s="36"/>
      <c r="D371" s="36"/>
      <c r="E371" s="36"/>
      <c r="F371" s="36"/>
      <c r="G371" s="8"/>
      <c r="H371" s="36"/>
      <c r="I371" s="36"/>
      <c r="J371" s="45"/>
      <c r="K371" s="45"/>
      <c r="L371" s="36"/>
      <c r="M371" s="36"/>
      <c r="N371" s="108"/>
      <c r="O371" s="36"/>
      <c r="P371" s="36"/>
      <c r="Q371" s="8"/>
      <c r="R371" s="58"/>
      <c r="S371" s="58"/>
      <c r="T371" s="58"/>
    </row>
    <row r="372" ht="17.25" customHeight="1">
      <c r="A372" s="45"/>
      <c r="B372" s="45"/>
      <c r="C372" s="36"/>
      <c r="D372" s="36"/>
      <c r="E372" s="36"/>
      <c r="F372" s="36"/>
      <c r="G372" s="8"/>
      <c r="H372" s="36"/>
      <c r="I372" s="36"/>
      <c r="J372" s="45"/>
      <c r="K372" s="45"/>
      <c r="L372" s="36"/>
      <c r="M372" s="36"/>
      <c r="N372" s="108"/>
      <c r="O372" s="36"/>
      <c r="P372" s="36"/>
      <c r="Q372" s="36"/>
      <c r="R372" s="58"/>
      <c r="S372" s="58"/>
      <c r="T372" s="58"/>
    </row>
    <row r="373" ht="17.25" customHeight="1">
      <c r="A373" s="45"/>
      <c r="B373" s="45"/>
      <c r="C373" s="36"/>
      <c r="D373" s="36"/>
      <c r="E373" s="36"/>
      <c r="F373" s="36"/>
      <c r="G373" s="8"/>
      <c r="H373" s="36"/>
      <c r="I373" s="36"/>
      <c r="J373" s="8"/>
      <c r="K373" s="8"/>
      <c r="L373" s="36"/>
      <c r="M373" s="36"/>
      <c r="N373" s="108"/>
      <c r="O373" s="36"/>
      <c r="P373" s="36"/>
      <c r="Q373" s="36"/>
      <c r="R373" s="58"/>
      <c r="S373" s="58"/>
      <c r="T373" s="58"/>
    </row>
    <row r="374" ht="17.25" customHeight="1">
      <c r="A374" s="45"/>
      <c r="B374" s="45"/>
      <c r="C374" s="36"/>
      <c r="D374" s="36"/>
      <c r="E374" s="36"/>
      <c r="F374" s="45"/>
      <c r="G374" s="8"/>
      <c r="H374" s="45"/>
      <c r="I374" s="45"/>
      <c r="J374" s="45"/>
      <c r="K374" s="45"/>
      <c r="L374" s="36"/>
      <c r="M374" s="36"/>
      <c r="N374" s="108"/>
      <c r="O374" s="36"/>
      <c r="P374" s="36"/>
      <c r="Q374" s="36"/>
      <c r="R374" s="58"/>
      <c r="S374" s="58"/>
      <c r="T374" s="58"/>
    </row>
    <row r="375" ht="17.25" customHeight="1">
      <c r="A375" s="45"/>
      <c r="B375" s="45"/>
      <c r="C375" s="36"/>
      <c r="D375" s="36"/>
      <c r="E375" s="36"/>
      <c r="F375" s="36"/>
      <c r="G375" s="8"/>
      <c r="H375" s="36"/>
      <c r="I375" s="36"/>
      <c r="J375" s="8"/>
      <c r="K375" s="8"/>
      <c r="L375" s="36"/>
      <c r="M375" s="36"/>
      <c r="N375" s="108"/>
      <c r="O375" s="36"/>
      <c r="P375" s="36"/>
      <c r="Q375" s="36"/>
      <c r="R375" s="58"/>
      <c r="S375" s="58"/>
      <c r="T375" s="58"/>
    </row>
    <row r="376" ht="17.25" customHeight="1">
      <c r="A376" s="45"/>
      <c r="B376" s="45"/>
      <c r="C376" s="36"/>
      <c r="D376" s="36"/>
      <c r="E376" s="36"/>
      <c r="F376" s="45"/>
      <c r="G376" s="8"/>
      <c r="H376" s="45"/>
      <c r="I376" s="45"/>
      <c r="J376" s="40"/>
      <c r="K376" s="40"/>
      <c r="L376" s="36"/>
      <c r="M376" s="36"/>
      <c r="N376" s="108"/>
      <c r="O376" s="36"/>
      <c r="P376" s="36"/>
      <c r="Q376" s="36"/>
      <c r="R376" s="58"/>
      <c r="S376" s="58"/>
      <c r="T376" s="58"/>
    </row>
    <row r="377" ht="17.25" customHeight="1">
      <c r="A377" s="45"/>
      <c r="B377" s="45"/>
      <c r="C377" s="36"/>
      <c r="D377" s="36"/>
      <c r="E377" s="36"/>
      <c r="F377" s="45"/>
      <c r="G377" s="8"/>
      <c r="H377" s="45"/>
      <c r="I377" s="45"/>
      <c r="J377" s="8"/>
      <c r="K377" s="8"/>
      <c r="L377" s="36"/>
      <c r="M377" s="36"/>
      <c r="N377" s="108"/>
      <c r="O377" s="36"/>
      <c r="P377" s="36"/>
      <c r="Q377" s="36"/>
      <c r="R377" s="58"/>
      <c r="S377" s="58"/>
      <c r="T377" s="58"/>
    </row>
    <row r="378" ht="17.25" customHeight="1">
      <c r="A378" s="45"/>
      <c r="B378" s="45"/>
      <c r="C378" s="45"/>
      <c r="D378" s="45"/>
      <c r="E378" s="45"/>
      <c r="F378" s="45"/>
      <c r="G378" s="8"/>
      <c r="H378" s="45"/>
      <c r="I378" s="45"/>
      <c r="J378" s="8"/>
      <c r="K378" s="8"/>
      <c r="L378" s="36"/>
      <c r="M378" s="45"/>
      <c r="N378" s="114"/>
      <c r="O378" s="45"/>
      <c r="P378" s="45"/>
      <c r="Q378" s="45"/>
      <c r="R378" s="67"/>
      <c r="S378" s="67"/>
      <c r="T378" s="67"/>
    </row>
    <row r="379" ht="17.25" customHeight="1">
      <c r="A379" s="45"/>
      <c r="B379" s="45"/>
      <c r="C379" s="45"/>
      <c r="D379" s="45"/>
      <c r="E379" s="45"/>
      <c r="F379" s="45"/>
      <c r="G379" s="8"/>
      <c r="H379" s="45"/>
      <c r="I379" s="45"/>
      <c r="J379" s="8"/>
      <c r="K379" s="8"/>
      <c r="L379" s="36"/>
      <c r="M379" s="45"/>
      <c r="N379" s="114"/>
      <c r="O379" s="45"/>
      <c r="P379" s="45"/>
      <c r="Q379" s="45"/>
      <c r="R379" s="67"/>
      <c r="S379" s="67"/>
      <c r="T379" s="67"/>
    </row>
    <row r="380" ht="17.25" customHeight="1">
      <c r="A380" s="45"/>
      <c r="B380" s="45"/>
      <c r="C380" s="45"/>
      <c r="D380" s="45"/>
      <c r="E380" s="45"/>
      <c r="F380" s="45"/>
      <c r="G380" s="8"/>
      <c r="H380" s="45"/>
      <c r="I380" s="45"/>
      <c r="J380" s="8"/>
      <c r="K380" s="8"/>
      <c r="L380" s="36"/>
      <c r="M380" s="45"/>
      <c r="N380" s="114"/>
      <c r="O380" s="45"/>
      <c r="P380" s="45"/>
      <c r="Q380" s="45"/>
      <c r="R380" s="67"/>
      <c r="S380" s="67"/>
      <c r="T380" s="67"/>
    </row>
    <row r="381" ht="17.25" customHeight="1">
      <c r="A381" s="45"/>
      <c r="B381" s="45"/>
      <c r="C381" s="45"/>
      <c r="D381" s="45"/>
      <c r="E381" s="45"/>
      <c r="F381" s="45"/>
      <c r="G381" s="8"/>
      <c r="H381" s="45"/>
      <c r="I381" s="45"/>
      <c r="J381" s="8"/>
      <c r="K381" s="8"/>
      <c r="L381" s="36"/>
      <c r="M381" s="45"/>
      <c r="N381" s="114"/>
      <c r="O381" s="45"/>
      <c r="P381" s="45"/>
      <c r="Q381" s="45"/>
      <c r="R381" s="67"/>
      <c r="S381" s="67"/>
      <c r="T381" s="67"/>
    </row>
    <row r="382" ht="17.25" customHeight="1">
      <c r="A382" s="45"/>
      <c r="B382" s="45"/>
      <c r="C382" s="45"/>
      <c r="D382" s="45"/>
      <c r="E382" s="45"/>
      <c r="F382" s="45"/>
      <c r="G382" s="8"/>
      <c r="H382" s="45"/>
      <c r="I382" s="45"/>
      <c r="J382" s="8"/>
      <c r="K382" s="8"/>
      <c r="L382" s="36"/>
      <c r="M382" s="45"/>
      <c r="N382" s="114"/>
      <c r="O382" s="45"/>
      <c r="P382" s="45"/>
      <c r="Q382" s="45"/>
      <c r="R382" s="67"/>
      <c r="S382" s="67"/>
      <c r="T382" s="67"/>
    </row>
    <row r="383" ht="17.25" customHeight="1">
      <c r="A383" s="45"/>
      <c r="B383" s="45"/>
      <c r="C383" s="45"/>
      <c r="D383" s="45"/>
      <c r="E383" s="45"/>
      <c r="F383" s="45"/>
      <c r="G383" s="8"/>
      <c r="H383" s="45"/>
      <c r="I383" s="45"/>
      <c r="J383" s="8"/>
      <c r="K383" s="8"/>
      <c r="L383" s="36"/>
      <c r="M383" s="45"/>
      <c r="N383" s="114"/>
      <c r="O383" s="45"/>
      <c r="P383" s="45"/>
      <c r="Q383" s="45"/>
      <c r="R383" s="67"/>
      <c r="S383" s="67"/>
      <c r="T383" s="67"/>
    </row>
    <row r="384" ht="17.25" customHeight="1">
      <c r="A384" s="45"/>
      <c r="B384" s="45"/>
      <c r="C384" s="45"/>
      <c r="D384" s="45"/>
      <c r="E384" s="45"/>
      <c r="F384" s="45"/>
      <c r="G384" s="8"/>
      <c r="H384" s="45"/>
      <c r="I384" s="45"/>
      <c r="J384" s="45"/>
      <c r="K384" s="45"/>
      <c r="L384" s="36"/>
      <c r="M384" s="45"/>
      <c r="N384" s="114"/>
      <c r="O384" s="45"/>
      <c r="P384" s="45"/>
      <c r="Q384" s="45"/>
      <c r="R384" s="67"/>
      <c r="S384" s="67"/>
      <c r="T384" s="67"/>
    </row>
    <row r="385" ht="17.25" customHeight="1">
      <c r="A385" s="45"/>
      <c r="B385" s="45"/>
      <c r="C385" s="45"/>
      <c r="D385" s="45"/>
      <c r="E385" s="45"/>
      <c r="F385" s="45"/>
      <c r="G385" s="8"/>
      <c r="H385" s="45"/>
      <c r="I385" s="45"/>
      <c r="J385" s="45"/>
      <c r="K385" s="45"/>
      <c r="L385" s="36"/>
      <c r="M385" s="45"/>
      <c r="N385" s="114"/>
      <c r="O385" s="45"/>
      <c r="P385" s="45"/>
      <c r="Q385" s="45"/>
      <c r="R385" s="67"/>
      <c r="S385" s="67"/>
      <c r="T385" s="67"/>
    </row>
    <row r="386" ht="17.25" customHeight="1">
      <c r="A386" s="45"/>
      <c r="B386" s="45"/>
      <c r="C386" s="45"/>
      <c r="D386" s="45"/>
      <c r="E386" s="45"/>
      <c r="F386" s="45"/>
      <c r="G386" s="8"/>
      <c r="H386" s="45"/>
      <c r="I386" s="45"/>
      <c r="J386" s="45"/>
      <c r="K386" s="45"/>
      <c r="L386" s="36"/>
      <c r="M386" s="45"/>
      <c r="N386" s="114"/>
      <c r="O386" s="45"/>
      <c r="P386" s="45"/>
      <c r="Q386" s="45"/>
      <c r="R386" s="67"/>
      <c r="S386" s="67"/>
      <c r="T386" s="67"/>
    </row>
    <row r="387" ht="17.25" customHeight="1">
      <c r="A387" s="45"/>
      <c r="B387" s="45"/>
      <c r="C387" s="45"/>
      <c r="D387" s="45"/>
      <c r="E387" s="45"/>
      <c r="F387" s="45"/>
      <c r="G387" s="8"/>
      <c r="H387" s="45"/>
      <c r="I387" s="45"/>
      <c r="J387" s="45"/>
      <c r="K387" s="45"/>
      <c r="L387" s="36"/>
      <c r="M387" s="45"/>
      <c r="N387" s="114"/>
      <c r="O387" s="45"/>
      <c r="P387" s="45"/>
      <c r="Q387" s="45"/>
      <c r="R387" s="67"/>
      <c r="S387" s="67"/>
      <c r="T387" s="67"/>
    </row>
    <row r="388" ht="17.25" customHeight="1">
      <c r="A388" s="45"/>
      <c r="B388" s="45"/>
      <c r="C388" s="45"/>
      <c r="D388" s="45"/>
      <c r="E388" s="45"/>
      <c r="F388" s="45"/>
      <c r="G388" s="8"/>
      <c r="H388" s="45"/>
      <c r="I388" s="45"/>
      <c r="J388" s="45"/>
      <c r="K388" s="45"/>
      <c r="L388" s="36"/>
      <c r="M388" s="45"/>
      <c r="N388" s="114"/>
      <c r="O388" s="45"/>
      <c r="P388" s="45"/>
      <c r="Q388" s="45"/>
      <c r="R388" s="67"/>
      <c r="S388" s="67"/>
      <c r="T388" s="67"/>
    </row>
    <row r="389" ht="17.25" customHeight="1">
      <c r="A389" s="45"/>
      <c r="B389" s="45"/>
      <c r="C389" s="45"/>
      <c r="D389" s="45"/>
      <c r="E389" s="45"/>
      <c r="F389" s="45"/>
      <c r="G389" s="8"/>
      <c r="H389" s="45"/>
      <c r="I389" s="45"/>
      <c r="J389" s="45"/>
      <c r="K389" s="45"/>
      <c r="L389" s="36"/>
      <c r="M389" s="45"/>
      <c r="N389" s="114"/>
      <c r="O389" s="45"/>
      <c r="P389" s="45"/>
      <c r="Q389" s="45"/>
      <c r="R389" s="67"/>
      <c r="S389" s="67"/>
      <c r="T389" s="67"/>
    </row>
    <row r="390" ht="17.25" customHeight="1">
      <c r="A390" s="45"/>
      <c r="B390" s="45"/>
      <c r="C390" s="45"/>
      <c r="D390" s="45"/>
      <c r="E390" s="45"/>
      <c r="F390" s="45"/>
      <c r="G390" s="8"/>
      <c r="H390" s="45"/>
      <c r="I390" s="45"/>
      <c r="J390" s="45"/>
      <c r="K390" s="45"/>
      <c r="L390" s="36"/>
      <c r="M390" s="45"/>
      <c r="N390" s="114"/>
      <c r="O390" s="45"/>
      <c r="P390" s="45"/>
      <c r="Q390" s="45"/>
      <c r="R390" s="67"/>
      <c r="S390" s="67"/>
      <c r="T390" s="67"/>
    </row>
    <row r="391" ht="17.25" customHeight="1">
      <c r="A391" s="45"/>
      <c r="B391" s="45"/>
      <c r="C391" s="45"/>
      <c r="D391" s="45"/>
      <c r="E391" s="45"/>
      <c r="F391" s="45"/>
      <c r="G391" s="8"/>
      <c r="H391" s="45"/>
      <c r="I391" s="45"/>
      <c r="J391" s="45"/>
      <c r="K391" s="45"/>
      <c r="L391" s="36"/>
      <c r="M391" s="45"/>
      <c r="N391" s="114"/>
      <c r="O391" s="45"/>
      <c r="P391" s="45"/>
      <c r="Q391" s="45"/>
      <c r="R391" s="67"/>
      <c r="S391" s="67"/>
      <c r="T391" s="67"/>
    </row>
    <row r="392" ht="17.25" customHeight="1">
      <c r="A392" s="45"/>
      <c r="B392" s="45"/>
      <c r="C392" s="45"/>
      <c r="D392" s="45"/>
      <c r="E392" s="45"/>
      <c r="F392" s="45"/>
      <c r="G392" s="8"/>
      <c r="H392" s="45"/>
      <c r="I392" s="45"/>
      <c r="J392" s="45"/>
      <c r="K392" s="45"/>
      <c r="L392" s="36"/>
      <c r="M392" s="45"/>
      <c r="N392" s="114"/>
      <c r="O392" s="45"/>
      <c r="P392" s="45"/>
      <c r="Q392" s="45"/>
      <c r="R392" s="67"/>
      <c r="S392" s="67"/>
      <c r="T392" s="67"/>
    </row>
    <row r="393" ht="17.25" customHeight="1">
      <c r="A393" s="45"/>
      <c r="B393" s="45"/>
      <c r="C393" s="45"/>
      <c r="D393" s="45"/>
      <c r="E393" s="45"/>
      <c r="F393" s="45"/>
      <c r="G393" s="8"/>
      <c r="H393" s="45"/>
      <c r="I393" s="45"/>
      <c r="J393" s="45"/>
      <c r="K393" s="45"/>
      <c r="L393" s="36"/>
      <c r="M393" s="45"/>
      <c r="N393" s="114"/>
      <c r="O393" s="45"/>
      <c r="P393" s="45"/>
      <c r="Q393" s="45"/>
      <c r="R393" s="67"/>
      <c r="S393" s="67"/>
      <c r="T393" s="67"/>
    </row>
    <row r="394" ht="17.25" customHeight="1">
      <c r="A394" s="45"/>
      <c r="B394" s="45"/>
      <c r="C394" s="45"/>
      <c r="D394" s="45"/>
      <c r="E394" s="45"/>
      <c r="F394" s="45"/>
      <c r="G394" s="8"/>
      <c r="H394" s="45"/>
      <c r="I394" s="45"/>
      <c r="J394" s="45"/>
      <c r="K394" s="45"/>
      <c r="L394" s="36"/>
      <c r="M394" s="45"/>
      <c r="N394" s="114"/>
      <c r="O394" s="45"/>
      <c r="P394" s="45"/>
      <c r="Q394" s="45"/>
      <c r="R394" s="67"/>
      <c r="S394" s="67"/>
      <c r="T394" s="67"/>
    </row>
  </sheetData>
  <autoFilter ref="$A$2:$Q$349">
    <sortState ref="A2:Q349">
      <sortCondition ref="G2:G349"/>
      <sortCondition ref="A2:A349"/>
      <sortCondition ref="B2:B349"/>
      <sortCondition ref="L2:L349"/>
      <sortCondition descending="1" ref="E2:E349"/>
      <sortCondition ref="H2:H349"/>
    </sortState>
  </autoFilter>
  <conditionalFormatting sqref="R375:S377">
    <cfRule type="expression" dxfId="8" priority="1">
      <formula>$G377="隔週B"</formula>
    </cfRule>
  </conditionalFormatting>
  <conditionalFormatting sqref="R375:S377">
    <cfRule type="expression" dxfId="5" priority="2">
      <formula>$G377="隔週A"</formula>
    </cfRule>
  </conditionalFormatting>
  <conditionalFormatting sqref="S375:S377">
    <cfRule type="expression" dxfId="8" priority="3">
      <formula>$H377="隔週B"</formula>
    </cfRule>
  </conditionalFormatting>
  <conditionalFormatting sqref="S375:S377">
    <cfRule type="expression" dxfId="5" priority="4">
      <formula>$H377="隔週A"</formula>
    </cfRule>
  </conditionalFormatting>
  <conditionalFormatting sqref="L368:N394 S372:S374">
    <cfRule type="expression" dxfId="3" priority="5">
      <formula>$H368="検"</formula>
    </cfRule>
  </conditionalFormatting>
  <conditionalFormatting sqref="Q3:Q394">
    <cfRule type="expression" dxfId="1" priority="6">
      <formula>$Q3=TRUE</formula>
    </cfRule>
  </conditionalFormatting>
  <conditionalFormatting sqref="O368:O394 Q368:Q394">
    <cfRule type="cellIs" dxfId="6" priority="7" operator="equal">
      <formula>"R"</formula>
    </cfRule>
  </conditionalFormatting>
  <conditionalFormatting sqref="J350:L367">
    <cfRule type="expression" dxfId="3" priority="8">
      <formula>$F350="検"</formula>
    </cfRule>
  </conditionalFormatting>
  <conditionalFormatting sqref="J350:L367">
    <cfRule type="expression" dxfId="5" priority="9">
      <formula>$F354="隔週A"</formula>
    </cfRule>
  </conditionalFormatting>
  <conditionalFormatting sqref="J350:L367">
    <cfRule type="expression" dxfId="8" priority="10">
      <formula>$F354="隔週B"</formula>
    </cfRule>
  </conditionalFormatting>
  <conditionalFormatting sqref="A3:T394">
    <cfRule type="expression" dxfId="3" priority="11">
      <formula>$G3="検"</formula>
    </cfRule>
  </conditionalFormatting>
  <conditionalFormatting sqref="O1:O367">
    <cfRule type="cellIs" dxfId="6" priority="12" operator="equal">
      <formula>"R"</formula>
    </cfRule>
  </conditionalFormatting>
  <conditionalFormatting sqref="A3:T394">
    <cfRule type="expression" dxfId="8" priority="13">
      <formula>$G3="隔週B"</formula>
    </cfRule>
  </conditionalFormatting>
  <conditionalFormatting sqref="A3:T394">
    <cfRule type="expression" dxfId="5" priority="14">
      <formula>$G3="隔週A"</formula>
    </cfRule>
  </conditionalFormatting>
  <conditionalFormatting sqref="A3:T394">
    <cfRule type="expression" dxfId="0" priority="15">
      <formula>$G3="特殊配信"</formula>
    </cfRule>
  </conditionalFormatting>
  <dataValidations>
    <dataValidation type="list" allowBlank="1" sqref="B3 B5:B367">
      <formula1>"8,9,10,11,12,13,14,15,16,17,18,19,20,21"</formula1>
    </dataValidation>
    <dataValidation type="list" allowBlank="1" sqref="A3 A5:A367">
      <formula1>"火,水,木,金,土,日,月"</formula1>
    </dataValidation>
  </dataValidations>
  <hyperlinks>
    <hyperlink r:id="rId2" location="gid=264080287" ref="E7"/>
    <hyperlink r:id="rId3" location="gid=1365984243" ref="E32"/>
    <hyperlink r:id="rId4" ref="L60"/>
    <hyperlink r:id="rId5" ref="M60"/>
    <hyperlink r:id="rId6" location="gid=706137097" ref="E90"/>
    <hyperlink r:id="rId7" location="gid=978158948" ref="E145"/>
    <hyperlink r:id="rId8" ref="L146"/>
    <hyperlink r:id="rId9" ref="M146"/>
    <hyperlink r:id="rId10" location="gid=0" ref="E149"/>
    <hyperlink r:id="rId11" ref="L167"/>
    <hyperlink r:id="rId12" ref="M167"/>
    <hyperlink r:id="rId13" ref="L172"/>
    <hyperlink r:id="rId14" ref="M172"/>
    <hyperlink r:id="rId15" ref="L195"/>
    <hyperlink r:id="rId16" ref="M195"/>
    <hyperlink r:id="rId17" ref="L199"/>
    <hyperlink r:id="rId18" ref="M199"/>
    <hyperlink r:id="rId19" ref="L200"/>
    <hyperlink r:id="rId20" ref="M200"/>
    <hyperlink r:id="rId21" ref="L201"/>
    <hyperlink r:id="rId22" ref="M201"/>
    <hyperlink r:id="rId23" ref="L202"/>
    <hyperlink r:id="rId24" ref="M202"/>
    <hyperlink r:id="rId25" location="gid=978158948" ref="E205"/>
    <hyperlink r:id="rId26" location="gid=137635336" ref="E218"/>
    <hyperlink r:id="rId27" location="gid=1770793079" ref="E280"/>
    <hyperlink r:id="rId28" ref="L299"/>
    <hyperlink r:id="rId29" ref="M299"/>
    <hyperlink r:id="rId30" location="gid=0" ref="E320"/>
    <hyperlink r:id="rId31" location="gid=706137097" ref="E331"/>
  </hyperlinks>
  <printOptions gridLines="1" horizontalCentered="1"/>
  <pageMargins bottom="0.75" footer="0.0" header="0.0" left="0.25" right="0.25" top="0.75"/>
  <pageSetup fitToWidth="0" paperSize="8" cellComments="atEnd" orientation="landscape" pageOrder="overThenDown"/>
  <drawing r:id="rId32"/>
  <legacyDrawing r:id="rId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9.38"/>
    <col customWidth="1" min="2" max="2" width="7.63"/>
    <col customWidth="1" min="3" max="4" width="9.75"/>
    <col customWidth="1" min="5" max="5" width="21.25"/>
    <col customWidth="1" min="6" max="9" width="12.63"/>
    <col customWidth="1" min="10" max="14" width="7.63"/>
    <col customWidth="1" min="15" max="20" width="7.38"/>
  </cols>
  <sheetData>
    <row r="1">
      <c r="A1" s="115">
        <v>46126.0</v>
      </c>
      <c r="B1" s="116">
        <f>'26414_編集版'!B1</f>
        <v>46126</v>
      </c>
      <c r="C1" s="117"/>
      <c r="D1" s="117"/>
      <c r="E1" s="117"/>
      <c r="F1" s="117"/>
      <c r="G1" s="117"/>
      <c r="H1" s="117"/>
      <c r="I1" s="117"/>
      <c r="J1" s="118"/>
      <c r="K1" s="118"/>
      <c r="L1" s="118"/>
      <c r="M1" s="117"/>
      <c r="N1" s="117"/>
      <c r="O1" s="117"/>
      <c r="P1" s="117"/>
      <c r="Q1" s="117"/>
      <c r="R1" s="119"/>
      <c r="S1" s="117"/>
      <c r="T1" s="119"/>
    </row>
    <row r="2">
      <c r="A2" s="120" t="s">
        <v>135</v>
      </c>
      <c r="B2" s="121" t="s">
        <v>136</v>
      </c>
      <c r="C2" s="29" t="s">
        <v>137</v>
      </c>
      <c r="D2" s="30" t="s">
        <v>138</v>
      </c>
      <c r="E2" s="121" t="s">
        <v>0</v>
      </c>
      <c r="F2" s="121" t="s">
        <v>1</v>
      </c>
      <c r="G2" s="122" t="s">
        <v>139</v>
      </c>
      <c r="H2" s="121" t="s">
        <v>140</v>
      </c>
      <c r="I2" s="121" t="s">
        <v>141</v>
      </c>
      <c r="J2" s="123" t="s">
        <v>142</v>
      </c>
      <c r="K2" s="123" t="s">
        <v>143</v>
      </c>
      <c r="L2" s="124" t="s">
        <v>144</v>
      </c>
      <c r="M2" s="121" t="s">
        <v>145</v>
      </c>
      <c r="N2" s="121" t="s">
        <v>78</v>
      </c>
      <c r="O2" s="121" t="s">
        <v>2</v>
      </c>
      <c r="P2" s="121" t="s">
        <v>3</v>
      </c>
      <c r="Q2" s="121" t="s">
        <v>149</v>
      </c>
      <c r="R2" s="121" t="s">
        <v>147</v>
      </c>
      <c r="S2" s="121" t="s">
        <v>148</v>
      </c>
      <c r="T2" s="121" t="s">
        <v>146</v>
      </c>
    </row>
    <row r="3">
      <c r="A3" s="125" t="s">
        <v>171</v>
      </c>
      <c r="B3" s="126">
        <v>8.0</v>
      </c>
      <c r="C3" s="127"/>
      <c r="D3" s="127"/>
      <c r="E3" s="127" t="s">
        <v>537</v>
      </c>
      <c r="F3" s="128">
        <v>2.5</v>
      </c>
      <c r="G3" s="129" t="s">
        <v>538</v>
      </c>
      <c r="H3" s="119"/>
      <c r="I3" s="128" t="s">
        <v>151</v>
      </c>
      <c r="J3" s="45"/>
      <c r="K3" s="45"/>
      <c r="L3" s="37"/>
      <c r="M3" s="119"/>
      <c r="N3" s="119"/>
      <c r="O3" s="128" t="s">
        <v>200</v>
      </c>
      <c r="P3" s="128" t="s">
        <v>256</v>
      </c>
      <c r="Q3" s="128" t="b">
        <f t="array" ref="Q3:Q16">IF($A$3:$A16="","",N($R$3:$R16)&lt;&gt;N($S$3:$S16))</f>
        <v>0</v>
      </c>
      <c r="R3" s="128">
        <v>1.0</v>
      </c>
      <c r="S3" s="128">
        <f t="array" ref="S3:S16">IF($A$3:$A16="","",MOD(INT(($B$1-$A$1)/7),3)+1)</f>
        <v>1</v>
      </c>
      <c r="T3" s="130" t="b">
        <v>0</v>
      </c>
    </row>
    <row r="4">
      <c r="A4" s="125" t="s">
        <v>177</v>
      </c>
      <c r="B4" s="126">
        <v>16.0</v>
      </c>
      <c r="C4" s="127"/>
      <c r="D4" s="127"/>
      <c r="E4" s="127" t="s">
        <v>539</v>
      </c>
      <c r="F4" s="128">
        <v>2.5</v>
      </c>
      <c r="G4" s="129" t="s">
        <v>538</v>
      </c>
      <c r="H4" s="119"/>
      <c r="I4" s="128" t="s">
        <v>151</v>
      </c>
      <c r="J4" s="45"/>
      <c r="K4" s="45"/>
      <c r="L4" s="37"/>
      <c r="M4" s="119"/>
      <c r="N4" s="119"/>
      <c r="O4" s="128" t="s">
        <v>223</v>
      </c>
      <c r="P4" s="128" t="s">
        <v>256</v>
      </c>
      <c r="Q4" s="128" t="b">
        <v>0</v>
      </c>
      <c r="R4" s="128">
        <v>1.0</v>
      </c>
      <c r="S4" s="128">
        <v>1.0</v>
      </c>
      <c r="T4" s="128" t="b">
        <v>0</v>
      </c>
    </row>
    <row r="5">
      <c r="A5" s="125" t="s">
        <v>171</v>
      </c>
      <c r="B5" s="126">
        <v>8.0</v>
      </c>
      <c r="C5" s="131"/>
      <c r="D5" s="131"/>
      <c r="E5" s="131" t="s">
        <v>540</v>
      </c>
      <c r="F5" s="128">
        <v>2.5</v>
      </c>
      <c r="G5" s="129" t="s">
        <v>538</v>
      </c>
      <c r="H5" s="119"/>
      <c r="I5" s="128" t="s">
        <v>151</v>
      </c>
      <c r="J5" s="8"/>
      <c r="K5" s="8"/>
      <c r="L5" s="37"/>
      <c r="M5" s="119"/>
      <c r="N5" s="119"/>
      <c r="O5" s="128" t="s">
        <v>200</v>
      </c>
      <c r="P5" s="128" t="s">
        <v>256</v>
      </c>
      <c r="Q5" s="128" t="b">
        <v>0</v>
      </c>
      <c r="R5" s="128">
        <v>1.0</v>
      </c>
      <c r="S5" s="128">
        <v>1.0</v>
      </c>
      <c r="T5" s="128" t="b">
        <v>0</v>
      </c>
    </row>
    <row r="6">
      <c r="A6" s="125" t="s">
        <v>177</v>
      </c>
      <c r="B6" s="126">
        <v>16.0</v>
      </c>
      <c r="C6" s="131"/>
      <c r="D6" s="131"/>
      <c r="E6" s="131" t="s">
        <v>541</v>
      </c>
      <c r="F6" s="132">
        <v>2.5</v>
      </c>
      <c r="G6" s="129" t="s">
        <v>538</v>
      </c>
      <c r="H6" s="117"/>
      <c r="I6" s="132" t="s">
        <v>151</v>
      </c>
      <c r="J6" s="45"/>
      <c r="K6" s="45"/>
      <c r="L6" s="37"/>
      <c r="M6" s="119"/>
      <c r="N6" s="119"/>
      <c r="O6" s="128" t="s">
        <v>223</v>
      </c>
      <c r="P6" s="128" t="s">
        <v>256</v>
      </c>
      <c r="Q6" s="128" t="b">
        <v>0</v>
      </c>
      <c r="R6" s="128">
        <v>1.0</v>
      </c>
      <c r="S6" s="128">
        <v>1.0</v>
      </c>
      <c r="T6" s="128" t="b">
        <v>0</v>
      </c>
    </row>
    <row r="7">
      <c r="A7" s="125" t="s">
        <v>171</v>
      </c>
      <c r="B7" s="126">
        <v>8.0</v>
      </c>
      <c r="C7" s="127"/>
      <c r="D7" s="127"/>
      <c r="E7" s="127" t="s">
        <v>542</v>
      </c>
      <c r="F7" s="128">
        <v>2.5</v>
      </c>
      <c r="G7" s="129" t="s">
        <v>538</v>
      </c>
      <c r="H7" s="119"/>
      <c r="I7" s="128" t="s">
        <v>151</v>
      </c>
      <c r="J7" s="8"/>
      <c r="K7" s="8"/>
      <c r="L7" s="37"/>
      <c r="M7" s="119"/>
      <c r="N7" s="119"/>
      <c r="O7" s="128" t="s">
        <v>200</v>
      </c>
      <c r="P7" s="128" t="s">
        <v>256</v>
      </c>
      <c r="Q7" s="128" t="b">
        <v>1</v>
      </c>
      <c r="R7" s="128">
        <v>2.0</v>
      </c>
      <c r="S7" s="128">
        <v>1.0</v>
      </c>
      <c r="T7" s="128" t="b">
        <v>0</v>
      </c>
    </row>
    <row r="8">
      <c r="A8" s="125" t="s">
        <v>177</v>
      </c>
      <c r="B8" s="126">
        <v>16.0</v>
      </c>
      <c r="C8" s="127"/>
      <c r="D8" s="127"/>
      <c r="E8" s="127" t="s">
        <v>543</v>
      </c>
      <c r="F8" s="132">
        <v>2.5</v>
      </c>
      <c r="G8" s="129" t="s">
        <v>538</v>
      </c>
      <c r="H8" s="117"/>
      <c r="I8" s="132" t="s">
        <v>151</v>
      </c>
      <c r="J8" s="40"/>
      <c r="K8" s="40"/>
      <c r="L8" s="37"/>
      <c r="M8" s="119"/>
      <c r="N8" s="119"/>
      <c r="O8" s="128" t="s">
        <v>223</v>
      </c>
      <c r="P8" s="128" t="s">
        <v>256</v>
      </c>
      <c r="Q8" s="128" t="b">
        <v>1</v>
      </c>
      <c r="R8" s="128">
        <v>2.0</v>
      </c>
      <c r="S8" s="128">
        <v>1.0</v>
      </c>
      <c r="T8" s="128" t="b">
        <v>0</v>
      </c>
    </row>
    <row r="9">
      <c r="A9" s="125" t="s">
        <v>171</v>
      </c>
      <c r="B9" s="126">
        <v>8.0</v>
      </c>
      <c r="C9" s="131"/>
      <c r="D9" s="131"/>
      <c r="E9" s="131" t="s">
        <v>544</v>
      </c>
      <c r="F9" s="132">
        <v>2.5</v>
      </c>
      <c r="G9" s="129" t="s">
        <v>538</v>
      </c>
      <c r="H9" s="117"/>
      <c r="I9" s="132" t="s">
        <v>151</v>
      </c>
      <c r="J9" s="8"/>
      <c r="K9" s="8"/>
      <c r="L9" s="37"/>
      <c r="M9" s="119"/>
      <c r="N9" s="119"/>
      <c r="O9" s="128" t="s">
        <v>200</v>
      </c>
      <c r="P9" s="128" t="s">
        <v>256</v>
      </c>
      <c r="Q9" s="128" t="b">
        <v>1</v>
      </c>
      <c r="R9" s="128">
        <v>2.0</v>
      </c>
      <c r="S9" s="128">
        <v>1.0</v>
      </c>
      <c r="T9" s="128" t="b">
        <v>0</v>
      </c>
    </row>
    <row r="10">
      <c r="A10" s="125" t="s">
        <v>177</v>
      </c>
      <c r="B10" s="126">
        <v>16.0</v>
      </c>
      <c r="C10" s="133"/>
      <c r="D10" s="133"/>
      <c r="E10" s="133" t="s">
        <v>545</v>
      </c>
      <c r="F10" s="132">
        <v>2.5</v>
      </c>
      <c r="G10" s="129" t="s">
        <v>538</v>
      </c>
      <c r="H10" s="117"/>
      <c r="I10" s="132" t="s">
        <v>151</v>
      </c>
      <c r="J10" s="8"/>
      <c r="K10" s="8"/>
      <c r="L10" s="37"/>
      <c r="M10" s="117"/>
      <c r="N10" s="117"/>
      <c r="O10" s="132" t="s">
        <v>223</v>
      </c>
      <c r="P10" s="132" t="s">
        <v>256</v>
      </c>
      <c r="Q10" s="132" t="b">
        <v>1</v>
      </c>
      <c r="R10" s="132">
        <v>2.0</v>
      </c>
      <c r="S10" s="132">
        <v>1.0</v>
      </c>
      <c r="T10" s="132" t="b">
        <v>0</v>
      </c>
    </row>
    <row r="11">
      <c r="A11" s="125" t="s">
        <v>171</v>
      </c>
      <c r="B11" s="126">
        <v>8.0</v>
      </c>
      <c r="C11" s="134"/>
      <c r="D11" s="134"/>
      <c r="E11" s="134" t="s">
        <v>546</v>
      </c>
      <c r="F11" s="132">
        <v>2.5</v>
      </c>
      <c r="G11" s="129" t="s">
        <v>538</v>
      </c>
      <c r="H11" s="117"/>
      <c r="I11" s="132" t="s">
        <v>151</v>
      </c>
      <c r="J11" s="8"/>
      <c r="K11" s="8"/>
      <c r="L11" s="37"/>
      <c r="M11" s="117"/>
      <c r="N11" s="117"/>
      <c r="O11" s="132" t="s">
        <v>200</v>
      </c>
      <c r="P11" s="132" t="s">
        <v>256</v>
      </c>
      <c r="Q11" s="132" t="b">
        <v>1</v>
      </c>
      <c r="R11" s="132">
        <v>3.0</v>
      </c>
      <c r="S11" s="132">
        <v>1.0</v>
      </c>
      <c r="T11" s="132" t="b">
        <v>0</v>
      </c>
    </row>
    <row r="12">
      <c r="A12" s="125" t="s">
        <v>177</v>
      </c>
      <c r="B12" s="126">
        <v>16.0</v>
      </c>
      <c r="C12" s="134"/>
      <c r="D12" s="134"/>
      <c r="E12" s="134" t="s">
        <v>547</v>
      </c>
      <c r="F12" s="132">
        <v>2.5</v>
      </c>
      <c r="G12" s="129" t="s">
        <v>538</v>
      </c>
      <c r="H12" s="117"/>
      <c r="I12" s="132" t="s">
        <v>151</v>
      </c>
      <c r="J12" s="8"/>
      <c r="K12" s="8"/>
      <c r="L12" s="37"/>
      <c r="M12" s="117"/>
      <c r="N12" s="117"/>
      <c r="O12" s="132" t="s">
        <v>223</v>
      </c>
      <c r="P12" s="132" t="s">
        <v>256</v>
      </c>
      <c r="Q12" s="132" t="b">
        <v>1</v>
      </c>
      <c r="R12" s="132">
        <v>3.0</v>
      </c>
      <c r="S12" s="132">
        <v>1.0</v>
      </c>
      <c r="T12" s="130" t="b">
        <v>0</v>
      </c>
    </row>
    <row r="13">
      <c r="A13" s="125" t="s">
        <v>171</v>
      </c>
      <c r="B13" s="126">
        <v>8.0</v>
      </c>
      <c r="C13" s="133"/>
      <c r="D13" s="133"/>
      <c r="E13" s="133" t="s">
        <v>548</v>
      </c>
      <c r="F13" s="132">
        <v>2.5</v>
      </c>
      <c r="G13" s="129" t="s">
        <v>538</v>
      </c>
      <c r="H13" s="117"/>
      <c r="I13" s="132" t="s">
        <v>151</v>
      </c>
      <c r="J13" s="8"/>
      <c r="K13" s="8"/>
      <c r="L13" s="37"/>
      <c r="M13" s="117"/>
      <c r="N13" s="117"/>
      <c r="O13" s="132" t="s">
        <v>200</v>
      </c>
      <c r="P13" s="132" t="s">
        <v>256</v>
      </c>
      <c r="Q13" s="132" t="b">
        <v>1</v>
      </c>
      <c r="R13" s="132">
        <v>3.0</v>
      </c>
      <c r="S13" s="132">
        <v>1.0</v>
      </c>
      <c r="T13" s="132" t="b">
        <v>0</v>
      </c>
    </row>
    <row r="14">
      <c r="A14" s="125" t="s">
        <v>177</v>
      </c>
      <c r="B14" s="126">
        <v>16.0</v>
      </c>
      <c r="C14" s="133"/>
      <c r="D14" s="133"/>
      <c r="E14" s="133" t="s">
        <v>549</v>
      </c>
      <c r="F14" s="132">
        <v>2.5</v>
      </c>
      <c r="G14" s="129" t="s">
        <v>538</v>
      </c>
      <c r="H14" s="117"/>
      <c r="I14" s="132" t="s">
        <v>151</v>
      </c>
      <c r="J14" s="111"/>
      <c r="K14" s="111"/>
      <c r="L14" s="37"/>
      <c r="M14" s="117"/>
      <c r="N14" s="117"/>
      <c r="O14" s="132" t="s">
        <v>223</v>
      </c>
      <c r="P14" s="132" t="s">
        <v>256</v>
      </c>
      <c r="Q14" s="132" t="b">
        <v>1</v>
      </c>
      <c r="R14" s="132">
        <v>3.0</v>
      </c>
      <c r="S14" s="132">
        <v>1.0</v>
      </c>
      <c r="T14" s="132" t="b">
        <v>0</v>
      </c>
    </row>
    <row r="15">
      <c r="A15" s="125" t="s">
        <v>171</v>
      </c>
      <c r="B15" s="126">
        <v>8.0</v>
      </c>
      <c r="C15" s="135"/>
      <c r="D15" s="135"/>
      <c r="E15" s="135" t="s">
        <v>550</v>
      </c>
      <c r="F15" s="132">
        <v>2.5</v>
      </c>
      <c r="G15" s="129" t="s">
        <v>538</v>
      </c>
      <c r="H15" s="117"/>
      <c r="I15" s="132" t="s">
        <v>151</v>
      </c>
      <c r="J15" s="111"/>
      <c r="K15" s="111"/>
      <c r="L15" s="37"/>
      <c r="M15" s="117"/>
      <c r="N15" s="117"/>
      <c r="O15" s="132" t="s">
        <v>200</v>
      </c>
      <c r="P15" s="132" t="s">
        <v>256</v>
      </c>
      <c r="Q15" s="132" t="b">
        <v>1</v>
      </c>
      <c r="R15" s="132">
        <v>3.0</v>
      </c>
      <c r="S15" s="132">
        <v>1.0</v>
      </c>
      <c r="T15" s="132" t="b">
        <v>0</v>
      </c>
    </row>
    <row r="16">
      <c r="A16" s="125" t="s">
        <v>177</v>
      </c>
      <c r="B16" s="126">
        <v>16.0</v>
      </c>
      <c r="C16" s="135"/>
      <c r="D16" s="135"/>
      <c r="E16" s="135" t="s">
        <v>550</v>
      </c>
      <c r="F16" s="132">
        <v>2.5</v>
      </c>
      <c r="G16" s="129" t="s">
        <v>538</v>
      </c>
      <c r="H16" s="117"/>
      <c r="I16" s="132" t="s">
        <v>151</v>
      </c>
      <c r="J16" s="45"/>
      <c r="K16" s="45"/>
      <c r="L16" s="37"/>
      <c r="M16" s="117"/>
      <c r="N16" s="117"/>
      <c r="O16" s="132" t="s">
        <v>223</v>
      </c>
      <c r="P16" s="132" t="s">
        <v>256</v>
      </c>
      <c r="Q16" s="132" t="b">
        <v>1</v>
      </c>
      <c r="R16" s="132">
        <v>3.0</v>
      </c>
      <c r="S16" s="132">
        <v>1.0</v>
      </c>
      <c r="T16" s="132" t="b">
        <v>0</v>
      </c>
    </row>
    <row r="17">
      <c r="A17" s="125"/>
      <c r="B17" s="126"/>
      <c r="C17" s="135"/>
      <c r="D17" s="135"/>
      <c r="E17" s="135"/>
      <c r="F17" s="132"/>
      <c r="G17" s="129"/>
      <c r="H17" s="117"/>
      <c r="I17" s="132"/>
      <c r="J17" s="45"/>
      <c r="K17" s="45"/>
      <c r="L17" s="37"/>
      <c r="M17" s="117"/>
      <c r="N17" s="117"/>
      <c r="O17" s="132"/>
      <c r="P17" s="132"/>
      <c r="Q17" s="132"/>
      <c r="R17" s="132"/>
      <c r="S17" s="132"/>
      <c r="T17" s="132" t="b">
        <v>0</v>
      </c>
    </row>
    <row r="18">
      <c r="A18" s="125"/>
      <c r="B18" s="126"/>
      <c r="C18" s="135"/>
      <c r="D18" s="135"/>
      <c r="E18" s="135"/>
      <c r="F18" s="132"/>
      <c r="G18" s="129"/>
      <c r="H18" s="117"/>
      <c r="I18" s="132"/>
      <c r="J18" s="45"/>
      <c r="K18" s="45"/>
      <c r="L18" s="37"/>
      <c r="M18" s="117"/>
      <c r="N18" s="117"/>
      <c r="O18" s="132"/>
      <c r="P18" s="132"/>
      <c r="Q18" s="132"/>
      <c r="R18" s="132"/>
      <c r="S18" s="132"/>
      <c r="T18" s="132" t="b">
        <v>0</v>
      </c>
    </row>
    <row r="19">
      <c r="A19" s="125"/>
      <c r="B19" s="126"/>
      <c r="C19" s="135"/>
      <c r="D19" s="135"/>
      <c r="E19" s="135"/>
      <c r="F19" s="132"/>
      <c r="G19" s="129"/>
      <c r="H19" s="117"/>
      <c r="I19" s="132"/>
      <c r="J19" s="45"/>
      <c r="K19" s="45"/>
      <c r="L19" s="37"/>
      <c r="M19" s="117"/>
      <c r="N19" s="117"/>
      <c r="O19" s="132"/>
      <c r="P19" s="132"/>
      <c r="Q19" s="132"/>
      <c r="R19" s="132"/>
      <c r="S19" s="132"/>
      <c r="T19" s="132" t="b">
        <v>0</v>
      </c>
    </row>
    <row r="20">
      <c r="A20" s="125"/>
      <c r="B20" s="126"/>
      <c r="C20" s="135"/>
      <c r="D20" s="135"/>
      <c r="E20" s="135"/>
      <c r="F20" s="132"/>
      <c r="G20" s="129"/>
      <c r="H20" s="117"/>
      <c r="I20" s="132"/>
      <c r="J20" s="45"/>
      <c r="K20" s="45"/>
      <c r="L20" s="37"/>
      <c r="M20" s="117"/>
      <c r="N20" s="117"/>
      <c r="O20" s="132"/>
      <c r="P20" s="132"/>
      <c r="Q20" s="132"/>
      <c r="R20" s="132"/>
      <c r="S20" s="132"/>
      <c r="T20" s="132" t="b">
        <v>0</v>
      </c>
    </row>
    <row r="21">
      <c r="A21" s="125"/>
      <c r="B21" s="126"/>
      <c r="C21" s="135"/>
      <c r="D21" s="135"/>
      <c r="E21" s="135"/>
      <c r="F21" s="132"/>
      <c r="G21" s="129"/>
      <c r="H21" s="117"/>
      <c r="I21" s="132"/>
      <c r="J21" s="45"/>
      <c r="K21" s="45"/>
      <c r="L21" s="37"/>
      <c r="M21" s="117"/>
      <c r="N21" s="117"/>
      <c r="O21" s="132"/>
      <c r="P21" s="132"/>
      <c r="Q21" s="132"/>
      <c r="R21" s="132"/>
      <c r="S21" s="132"/>
      <c r="T21" s="132" t="b">
        <v>0</v>
      </c>
    </row>
    <row r="22">
      <c r="A22" s="125"/>
      <c r="B22" s="126"/>
      <c r="C22" s="135"/>
      <c r="D22" s="135"/>
      <c r="E22" s="135"/>
      <c r="F22" s="132"/>
      <c r="G22" s="129"/>
      <c r="H22" s="117"/>
      <c r="I22" s="132"/>
      <c r="J22" s="45"/>
      <c r="K22" s="45"/>
      <c r="L22" s="37"/>
      <c r="M22" s="117"/>
      <c r="N22" s="117"/>
      <c r="O22" s="132"/>
      <c r="P22" s="132"/>
      <c r="Q22" s="132"/>
      <c r="R22" s="132"/>
      <c r="S22" s="132"/>
      <c r="T22" s="132" t="b">
        <v>0</v>
      </c>
    </row>
    <row r="23">
      <c r="A23" s="125"/>
      <c r="B23" s="126"/>
      <c r="C23" s="135"/>
      <c r="D23" s="135"/>
      <c r="E23" s="135"/>
      <c r="F23" s="132"/>
      <c r="G23" s="129"/>
      <c r="H23" s="117"/>
      <c r="I23" s="132"/>
      <c r="J23" s="45"/>
      <c r="K23" s="45"/>
      <c r="L23" s="37"/>
      <c r="M23" s="117"/>
      <c r="N23" s="117"/>
      <c r="O23" s="132"/>
      <c r="P23" s="132"/>
      <c r="Q23" s="132"/>
      <c r="R23" s="132"/>
      <c r="S23" s="132"/>
      <c r="T23" s="132" t="b">
        <v>0</v>
      </c>
    </row>
    <row r="24">
      <c r="A24" s="125"/>
      <c r="B24" s="126"/>
      <c r="C24" s="135"/>
      <c r="D24" s="135"/>
      <c r="E24" s="135"/>
      <c r="F24" s="132"/>
      <c r="G24" s="129"/>
      <c r="H24" s="117"/>
      <c r="I24" s="132"/>
      <c r="J24" s="45"/>
      <c r="K24" s="45"/>
      <c r="L24" s="37"/>
      <c r="M24" s="117"/>
      <c r="N24" s="117"/>
      <c r="O24" s="132"/>
      <c r="P24" s="132"/>
      <c r="Q24" s="132"/>
      <c r="R24" s="132"/>
      <c r="S24" s="132"/>
      <c r="T24" s="132" t="b">
        <v>0</v>
      </c>
    </row>
    <row r="25">
      <c r="A25" s="125"/>
      <c r="B25" s="126"/>
      <c r="C25" s="135"/>
      <c r="D25" s="135"/>
      <c r="E25" s="135"/>
      <c r="F25" s="132"/>
      <c r="G25" s="129"/>
      <c r="H25" s="117"/>
      <c r="I25" s="132"/>
      <c r="J25" s="45"/>
      <c r="K25" s="45"/>
      <c r="L25" s="37"/>
      <c r="M25" s="117"/>
      <c r="N25" s="117"/>
      <c r="O25" s="132"/>
      <c r="P25" s="132"/>
      <c r="Q25" s="132"/>
      <c r="R25" s="132"/>
      <c r="S25" s="132"/>
      <c r="T25" s="132" t="b">
        <v>0</v>
      </c>
    </row>
    <row r="26">
      <c r="A26" s="125"/>
      <c r="B26" s="126"/>
      <c r="C26" s="135"/>
      <c r="D26" s="135"/>
      <c r="E26" s="135"/>
      <c r="F26" s="132"/>
      <c r="G26" s="129"/>
      <c r="H26" s="117"/>
      <c r="I26" s="132"/>
      <c r="J26" s="45"/>
      <c r="K26" s="45"/>
      <c r="L26" s="37"/>
      <c r="M26" s="117"/>
      <c r="N26" s="117"/>
      <c r="O26" s="132"/>
      <c r="P26" s="132"/>
      <c r="Q26" s="132"/>
      <c r="R26" s="132"/>
      <c r="S26" s="132"/>
      <c r="T26" s="132" t="b">
        <v>0</v>
      </c>
    </row>
  </sheetData>
  <conditionalFormatting sqref="O1:O9">
    <cfRule type="cellIs" dxfId="6" priority="1" operator="equal">
      <formula>"R"</formula>
    </cfRule>
  </conditionalFormatting>
  <conditionalFormatting sqref="Q3:Q26">
    <cfRule type="expression" dxfId="1" priority="2">
      <formula>Q3=TRUE</formula>
    </cfRule>
  </conditionalFormatting>
  <conditionalFormatting sqref="G4:P6 R4:T6">
    <cfRule type="expression" dxfId="3" priority="3">
      <formula>$H4="検"</formula>
    </cfRule>
  </conditionalFormatting>
  <conditionalFormatting sqref="G4:P6 R4:T6">
    <cfRule type="expression" dxfId="8" priority="4">
      <formula>#REF!="隔週B"</formula>
    </cfRule>
  </conditionalFormatting>
  <conditionalFormatting sqref="G4:P6 R4:T6">
    <cfRule type="expression" dxfId="5" priority="5">
      <formula>#REF!="隔週A"</formula>
    </cfRule>
  </conditionalFormatting>
  <dataValidations>
    <dataValidation type="list" allowBlank="1" sqref="B3:B26">
      <formula1>"8,9,10,11,12,13,14,15,16,17,18,19,20,21"</formula1>
    </dataValidation>
    <dataValidation type="list" allowBlank="1" sqref="A3:A26">
      <formula1>"火,水,木,金,土,日,月"</formula1>
    </dataValidation>
  </dataValidations>
  <hyperlinks>
    <hyperlink r:id="rId2" location="gid=689531587" ref="E3"/>
    <hyperlink r:id="rId3" location="gid=689531587" ref="E4"/>
    <hyperlink r:id="rId4" location="gid=689531587" ref="E7"/>
    <hyperlink r:id="rId5" location="gid=689531587" ref="E8"/>
    <hyperlink r:id="rId6" location="gid=689531587" ref="E11"/>
    <hyperlink r:id="rId7" location="gid=689531587" ref="E12"/>
  </hyperlinks>
  <drawing r:id="rId8"/>
  <legacy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9.38"/>
    <col customWidth="1" min="2" max="2" width="7.63"/>
    <col customWidth="1" min="3" max="3" width="21.25"/>
    <col customWidth="1" min="4" max="4" width="12.63"/>
    <col customWidth="1" min="5" max="5" width="7.38"/>
    <col customWidth="1" min="6" max="7" width="12.63"/>
    <col customWidth="1" min="8" max="12" width="7.63"/>
    <col customWidth="1" min="13" max="15" width="7.38"/>
    <col customWidth="1" min="16" max="16" width="14.88"/>
  </cols>
  <sheetData>
    <row r="1">
      <c r="A1" s="136" t="s">
        <v>551</v>
      </c>
      <c r="B1" s="137"/>
      <c r="C1" s="137"/>
      <c r="D1" s="42"/>
      <c r="E1" s="35"/>
      <c r="F1" s="42"/>
      <c r="G1" s="69"/>
      <c r="H1" s="69"/>
      <c r="I1" s="69"/>
      <c r="J1" s="138"/>
      <c r="K1" s="137"/>
      <c r="L1" s="42"/>
      <c r="M1" s="42"/>
      <c r="N1" s="42"/>
      <c r="O1" s="42"/>
      <c r="P1" s="139" t="s">
        <v>552</v>
      </c>
    </row>
    <row r="2">
      <c r="A2" s="140" t="s">
        <v>135</v>
      </c>
      <c r="B2" s="141" t="s">
        <v>136</v>
      </c>
      <c r="C2" s="141" t="s">
        <v>0</v>
      </c>
      <c r="D2" s="142" t="s">
        <v>1</v>
      </c>
      <c r="E2" s="142" t="s">
        <v>139</v>
      </c>
      <c r="F2" s="142" t="s">
        <v>140</v>
      </c>
      <c r="G2" s="141" t="s">
        <v>141</v>
      </c>
      <c r="H2" s="141" t="s">
        <v>142</v>
      </c>
      <c r="I2" s="141" t="s">
        <v>143</v>
      </c>
      <c r="J2" s="143" t="s">
        <v>144</v>
      </c>
      <c r="K2" s="141" t="s">
        <v>145</v>
      </c>
      <c r="L2" s="141" t="s">
        <v>78</v>
      </c>
      <c r="M2" s="141" t="s">
        <v>2</v>
      </c>
      <c r="N2" s="141" t="s">
        <v>3</v>
      </c>
      <c r="O2" s="144" t="s">
        <v>146</v>
      </c>
      <c r="P2" s="144" t="s">
        <v>553</v>
      </c>
    </row>
    <row r="3">
      <c r="A3" s="145" t="str">
        <f>IFERROR(__xludf.DUMMYFUNCTION("FILTER({'リスト'!A3:B22, 'リスト'!E3:Q22}, 'リスト'!I3:I22=""自動求人"")"),"火")</f>
        <v>火</v>
      </c>
      <c r="B3" s="138">
        <f>IFERROR(__xludf.DUMMYFUNCTION("""COMPUTED_VALUE"""),8.0)</f>
        <v>8</v>
      </c>
      <c r="C3" s="146" t="str">
        <f>IFERROR(__xludf.DUMMYFUNCTION("""COMPUTED_VALUE"""),"関西_自己PR不要_リモート未経験_事務")</f>
        <v>関西_自己PR不要_リモート未経験_事務</v>
      </c>
      <c r="D3" s="138">
        <f>IFERROR(__xludf.DUMMYFUNCTION("""COMPUTED_VALUE"""),0.2)</f>
        <v>0.2</v>
      </c>
      <c r="E3" s="138" t="str">
        <f>IFERROR(__xludf.DUMMYFUNCTION("""COMPUTED_VALUE"""),"毎週配信")</f>
        <v>毎週配信</v>
      </c>
      <c r="F3" s="138"/>
      <c r="G3" s="138" t="str">
        <f>IFERROR(__xludf.DUMMYFUNCTION("""COMPUTED_VALUE"""),"自動求人")</f>
        <v>自動求人</v>
      </c>
      <c r="H3" s="138"/>
      <c r="I3" s="138"/>
      <c r="J3" s="147">
        <f>IFERROR(__xludf.DUMMYFUNCTION("""COMPUTED_VALUE"""),24376.0)</f>
        <v>24376</v>
      </c>
      <c r="K3" s="148" t="str">
        <f>IFERROR(__xludf.DUMMYFUNCTION("""COMPUTED_VALUE"""),"https://woman-type.jp/job-office/24376/f/")</f>
        <v>https://woman-type.jp/job-office/24376/f/</v>
      </c>
      <c r="L3" s="138"/>
      <c r="M3" s="138" t="str">
        <f>IFERROR(__xludf.DUMMYFUNCTION("""COMPUTED_VALUE"""),"R")</f>
        <v>R</v>
      </c>
      <c r="N3" s="138"/>
      <c r="O3" s="138" t="b">
        <f>IFERROR(__xludf.DUMMYFUNCTION("""COMPUTED_VALUE"""),FALSE)</f>
        <v>0</v>
      </c>
      <c r="P3" s="42">
        <f>IFERROR(__xludf.DUMMYFUNCTION("IFERROR(IMPORTXML(K3, ""/html/body/form/div[1]/div[3]/main/div/div/div[2]/div/span[1]""))"),75.0)</f>
        <v>75</v>
      </c>
    </row>
    <row r="4">
      <c r="A4" s="149" t="str">
        <f>IFERROR(__xludf.DUMMYFUNCTION("""COMPUTED_VALUE"""),"月")</f>
        <v>月</v>
      </c>
      <c r="B4" s="42">
        <f>IFERROR(__xludf.DUMMYFUNCTION("""COMPUTED_VALUE"""),9.0)</f>
        <v>9</v>
      </c>
      <c r="C4" s="150" t="str">
        <f>IFERROR(__xludf.DUMMYFUNCTION("""COMPUTED_VALUE"""),"年収600万円以上")</f>
        <v>年収600万円以上</v>
      </c>
      <c r="D4" s="42">
        <f>IFERROR(__xludf.DUMMYFUNCTION("""COMPUTED_VALUE"""),0.3)</f>
        <v>0.3</v>
      </c>
      <c r="E4" s="42" t="str">
        <f>IFERROR(__xludf.DUMMYFUNCTION("""COMPUTED_VALUE"""),"毎週配信")</f>
        <v>毎週配信</v>
      </c>
      <c r="F4" s="79"/>
      <c r="G4" s="42" t="str">
        <f>IFERROR(__xludf.DUMMYFUNCTION("""COMPUTED_VALUE"""),"自動求人")</f>
        <v>自動求人</v>
      </c>
      <c r="H4" s="42"/>
      <c r="I4" s="42"/>
      <c r="J4" s="151">
        <f>IFERROR(__xludf.DUMMYFUNCTION("""COMPUTED_VALUE"""),3317.0)</f>
        <v>3317</v>
      </c>
      <c r="K4" s="152" t="str">
        <f>IFERROR(__xludf.DUMMYFUNCTION("""COMPUTED_VALUE"""),"https://woman-type.jp/job-condition/46/3317/f/")</f>
        <v>https://woman-type.jp/job-condition/46/3317/f/</v>
      </c>
      <c r="L4" s="42"/>
      <c r="M4" s="42" t="str">
        <f>IFERROR(__xludf.DUMMYFUNCTION("""COMPUTED_VALUE"""),"R")</f>
        <v>R</v>
      </c>
      <c r="N4" s="42"/>
      <c r="O4" s="42" t="b">
        <f>IFERROR(__xludf.DUMMYFUNCTION("""COMPUTED_VALUE"""),FALSE)</f>
        <v>0</v>
      </c>
      <c r="P4" s="42">
        <f>IFERROR(__xludf.DUMMYFUNCTION("IFERROR(IMPORTXML(K4, ""/html/body/form/div[1]/div[3]/main/div/div/div[2]/div/span[1]""))"),48.0)</f>
        <v>48</v>
      </c>
    </row>
    <row r="5">
      <c r="A5" s="153" t="str">
        <f>IFERROR(__xludf.DUMMYFUNCTION("""COMPUTED_VALUE"""),"月")</f>
        <v>月</v>
      </c>
      <c r="B5" s="42">
        <f>IFERROR(__xludf.DUMMYFUNCTION("""COMPUTED_VALUE"""),18.0)</f>
        <v>18</v>
      </c>
      <c r="C5" s="79" t="str">
        <f>IFERROR(__xludf.DUMMYFUNCTION("""COMPUTED_VALUE"""),"自己PR不要_フルリモート")</f>
        <v>自己PR不要_フルリモート</v>
      </c>
      <c r="D5" s="42">
        <f>IFERROR(__xludf.DUMMYFUNCTION("""COMPUTED_VALUE"""),2.2)</f>
        <v>2.2</v>
      </c>
      <c r="E5" s="42" t="str">
        <f>IFERROR(__xludf.DUMMYFUNCTION("""COMPUTED_VALUE"""),"毎週配信")</f>
        <v>毎週配信</v>
      </c>
      <c r="F5" s="79"/>
      <c r="G5" s="42" t="str">
        <f>IFERROR(__xludf.DUMMYFUNCTION("""COMPUTED_VALUE"""),"自動求人")</f>
        <v>自動求人</v>
      </c>
      <c r="H5" s="42"/>
      <c r="I5" s="42"/>
      <c r="J5" s="151">
        <f>IFERROR(__xludf.DUMMYFUNCTION("""COMPUTED_VALUE"""),24436.0)</f>
        <v>24436</v>
      </c>
      <c r="K5" s="152" t="str">
        <f>IFERROR(__xludf.DUMMYFUNCTION("""COMPUTED_VALUE"""),"https://woman-type.jp/job-area/district3/24436/f/")</f>
        <v>https://woman-type.jp/job-area/district3/24436/f/</v>
      </c>
      <c r="L5" s="42"/>
      <c r="M5" s="42" t="str">
        <f>IFERROR(__xludf.DUMMYFUNCTION("""COMPUTED_VALUE"""),"R")</f>
        <v>R</v>
      </c>
      <c r="N5" s="42"/>
      <c r="O5" s="42" t="b">
        <f>IFERROR(__xludf.DUMMYFUNCTION("""COMPUTED_VALUE"""),FALSE)</f>
        <v>0</v>
      </c>
      <c r="P5" s="42">
        <f>IFERROR(__xludf.DUMMYFUNCTION("IFERROR(IMPORTXML(K5, ""/html/body/form/div[1]/div[3]/main/div/div/div[2]/div/span[1]""))"),140.0)</f>
        <v>140</v>
      </c>
    </row>
    <row r="6">
      <c r="A6" s="153" t="str">
        <f>IFERROR(__xludf.DUMMYFUNCTION("""COMPUTED_VALUE"""),"月")</f>
        <v>月</v>
      </c>
      <c r="B6" s="42">
        <f>IFERROR(__xludf.DUMMYFUNCTION("""COMPUTED_VALUE"""),19.0)</f>
        <v>19</v>
      </c>
      <c r="C6" s="154" t="str">
        <f>IFERROR(__xludf.DUMMYFUNCTION("""COMPUTED_VALUE"""),"自己PR不要_35歳以上")</f>
        <v>自己PR不要_35歳以上</v>
      </c>
      <c r="D6" s="42">
        <f>IFERROR(__xludf.DUMMYFUNCTION("""COMPUTED_VALUE"""),0.4)</f>
        <v>0.4</v>
      </c>
      <c r="E6" s="42" t="str">
        <f>IFERROR(__xludf.DUMMYFUNCTION("""COMPUTED_VALUE"""),"毎週配信")</f>
        <v>毎週配信</v>
      </c>
      <c r="F6" s="79"/>
      <c r="G6" s="42" t="str">
        <f>IFERROR(__xludf.DUMMYFUNCTION("""COMPUTED_VALUE"""),"自動求人")</f>
        <v>自動求人</v>
      </c>
      <c r="H6" s="42"/>
      <c r="I6" s="42"/>
      <c r="J6" s="151">
        <f>IFERROR(__xludf.DUMMYFUNCTION("""COMPUTED_VALUE"""),24936.0)</f>
        <v>24936</v>
      </c>
      <c r="K6" s="152" t="str">
        <f>IFERROR(__xludf.DUMMYFUNCTION("""COMPUTED_VALUE"""),"https://woman-type.jp/job-area/24936/f/")</f>
        <v>https://woman-type.jp/job-area/24936/f/</v>
      </c>
      <c r="L6" s="42"/>
      <c r="M6" s="42" t="str">
        <f>IFERROR(__xludf.DUMMYFUNCTION("""COMPUTED_VALUE"""),"R")</f>
        <v>R</v>
      </c>
      <c r="N6" s="42"/>
      <c r="O6" s="42" t="b">
        <f>IFERROR(__xludf.DUMMYFUNCTION("""COMPUTED_VALUE"""),FALSE)</f>
        <v>0</v>
      </c>
      <c r="P6" s="42">
        <f>IFERROR(__xludf.DUMMYFUNCTION("IFERROR(IMPORTXML(K6, ""/html/body/form/div[1]/div[3]/main/div/div/div[2]/div/span[1]""))"),218.0)</f>
        <v>218</v>
      </c>
    </row>
    <row r="7">
      <c r="A7" s="153" t="str">
        <f>IFERROR(__xludf.DUMMYFUNCTION("""COMPUTED_VALUE"""),"水")</f>
        <v>水</v>
      </c>
      <c r="B7" s="42">
        <f>IFERROR(__xludf.DUMMYFUNCTION("""COMPUTED_VALUE"""),10.0)</f>
        <v>10</v>
      </c>
      <c r="C7" s="154" t="str">
        <f>IFERROR(__xludf.DUMMYFUNCTION("""COMPUTED_VALUE"""),"40代未経験_正社員")</f>
        <v>40代未経験_正社員</v>
      </c>
      <c r="D7" s="42">
        <f>IFERROR(__xludf.DUMMYFUNCTION("""COMPUTED_VALUE"""),2.3)</f>
        <v>2.3</v>
      </c>
      <c r="E7" s="42" t="str">
        <f>IFERROR(__xludf.DUMMYFUNCTION("""COMPUTED_VALUE"""),"毎週配信")</f>
        <v>毎週配信</v>
      </c>
      <c r="F7" s="79"/>
      <c r="G7" s="42" t="str">
        <f>IFERROR(__xludf.DUMMYFUNCTION("""COMPUTED_VALUE"""),"自動求人")</f>
        <v>自動求人</v>
      </c>
      <c r="H7" s="42"/>
      <c r="I7" s="42"/>
      <c r="J7" s="155">
        <f>IFERROR(__xludf.DUMMYFUNCTION("""COMPUTED_VALUE"""),24298.0)</f>
        <v>24298</v>
      </c>
      <c r="K7" s="152" t="str">
        <f>IFERROR(__xludf.DUMMYFUNCTION("""COMPUTED_VALUE"""),"https://woman-type.jp/job-condition/10/24298/f/")</f>
        <v>https://woman-type.jp/job-condition/10/24298/f/</v>
      </c>
      <c r="L7" s="42"/>
      <c r="M7" s="42" t="str">
        <f>IFERROR(__xludf.DUMMYFUNCTION("""COMPUTED_VALUE"""),"R")</f>
        <v>R</v>
      </c>
      <c r="N7" s="42"/>
      <c r="O7" s="42" t="b">
        <f>IFERROR(__xludf.DUMMYFUNCTION("""COMPUTED_VALUE"""),FALSE)</f>
        <v>0</v>
      </c>
      <c r="P7" s="42">
        <f>IFERROR(__xludf.DUMMYFUNCTION("IFERROR(IMPORTXML(K7, ""/html/body/form/div[1]/div[3]/main/div/div/div[2]/div/span[1]""))"),222.0)</f>
        <v>222</v>
      </c>
    </row>
    <row r="8">
      <c r="A8" s="153" t="str">
        <f>IFERROR(__xludf.DUMMYFUNCTION("""COMPUTED_VALUE"""),"水")</f>
        <v>水</v>
      </c>
      <c r="B8" s="42">
        <f>IFERROR(__xludf.DUMMYFUNCTION("""COMPUTED_VALUE"""),12.0)</f>
        <v>12</v>
      </c>
      <c r="C8" s="154" t="str">
        <f>IFERROR(__xludf.DUMMYFUNCTION("""COMPUTED_VALUE"""),"自己PR不要_リモート未経験_事務")</f>
        <v>自己PR不要_リモート未経験_事務</v>
      </c>
      <c r="D8" s="42">
        <f>IFERROR(__xludf.DUMMYFUNCTION("""COMPUTED_VALUE"""),2.5)</f>
        <v>2.5</v>
      </c>
      <c r="E8" s="42" t="str">
        <f>IFERROR(__xludf.DUMMYFUNCTION("""COMPUTED_VALUE"""),"毎週配信")</f>
        <v>毎週配信</v>
      </c>
      <c r="F8" s="79"/>
      <c r="G8" s="42" t="str">
        <f>IFERROR(__xludf.DUMMYFUNCTION("""COMPUTED_VALUE"""),"自動求人")</f>
        <v>自動求人</v>
      </c>
      <c r="H8" s="42"/>
      <c r="I8" s="42"/>
      <c r="J8" s="155">
        <f>IFERROR(__xludf.DUMMYFUNCTION("""COMPUTED_VALUE"""),24336.0)</f>
        <v>24336</v>
      </c>
      <c r="K8" s="152" t="str">
        <f>IFERROR(__xludf.DUMMYFUNCTION("""COMPUTED_VALUE"""),"https://woman-type.jp/job-office/24336/f/")</f>
        <v>https://woman-type.jp/job-office/24336/f/</v>
      </c>
      <c r="L8" s="42"/>
      <c r="M8" s="42" t="str">
        <f>IFERROR(__xludf.DUMMYFUNCTION("""COMPUTED_VALUE"""),"R")</f>
        <v>R</v>
      </c>
      <c r="N8" s="42"/>
      <c r="O8" s="42" t="b">
        <f>IFERROR(__xludf.DUMMYFUNCTION("""COMPUTED_VALUE"""),FALSE)</f>
        <v>0</v>
      </c>
      <c r="P8" s="42">
        <f>IFERROR(__xludf.DUMMYFUNCTION("IFERROR(IMPORTXML(K8, ""/html/body/form/div[1]/div[3]/main/div/div/div[2]/div/span[1]""))"),174.0)</f>
        <v>174</v>
      </c>
    </row>
    <row r="9">
      <c r="A9" s="153" t="str">
        <f>IFERROR(__xludf.DUMMYFUNCTION("""COMPUTED_VALUE"""),"水")</f>
        <v>水</v>
      </c>
      <c r="B9" s="42">
        <f>IFERROR(__xludf.DUMMYFUNCTION("""COMPUTED_VALUE"""),12.0)</f>
        <v>12</v>
      </c>
      <c r="C9" s="156" t="str">
        <f>IFERROR(__xludf.DUMMYFUNCTION("""COMPUTED_VALUE"""),"自己PR不要_リモート未経験_営業")</f>
        <v>自己PR不要_リモート未経験_営業</v>
      </c>
      <c r="D9" s="42">
        <f>IFERROR(__xludf.DUMMYFUNCTION("""COMPUTED_VALUE"""),0.3)</f>
        <v>0.3</v>
      </c>
      <c r="E9" s="42" t="str">
        <f>IFERROR(__xludf.DUMMYFUNCTION("""COMPUTED_VALUE"""),"毎週配信")</f>
        <v>毎週配信</v>
      </c>
      <c r="F9" s="79"/>
      <c r="G9" s="42" t="str">
        <f>IFERROR(__xludf.DUMMYFUNCTION("""COMPUTED_VALUE"""),"自動求人")</f>
        <v>自動求人</v>
      </c>
      <c r="H9" s="69"/>
      <c r="I9" s="69"/>
      <c r="J9" s="157">
        <f>IFERROR(__xludf.DUMMYFUNCTION("""COMPUTED_VALUE"""),24356.0)</f>
        <v>24356</v>
      </c>
      <c r="K9" s="152" t="str">
        <f>IFERROR(__xludf.DUMMYFUNCTION("""COMPUTED_VALUE"""),"https://woman-type.jp/job-sales/24356/f/")</f>
        <v>https://woman-type.jp/job-sales/24356/f/</v>
      </c>
      <c r="L9" s="42"/>
      <c r="M9" s="42" t="str">
        <f>IFERROR(__xludf.DUMMYFUNCTION("""COMPUTED_VALUE"""),"R")</f>
        <v>R</v>
      </c>
      <c r="N9" s="42"/>
      <c r="O9" s="42" t="b">
        <f>IFERROR(__xludf.DUMMYFUNCTION("""COMPUTED_VALUE"""),FALSE)</f>
        <v>0</v>
      </c>
      <c r="P9" s="42">
        <f>IFERROR(__xludf.DUMMYFUNCTION("IFERROR(IMPORTXML(K9, ""/html/body/form/div[1]/div[3]/main/div/div/div[2]/div/span[1]""))"),104.0)</f>
        <v>104</v>
      </c>
    </row>
    <row r="10">
      <c r="A10" s="153" t="str">
        <f>IFERROR(__xludf.DUMMYFUNCTION("""COMPUTED_VALUE"""),"水")</f>
        <v>水</v>
      </c>
      <c r="B10" s="42">
        <f>IFERROR(__xludf.DUMMYFUNCTION("""COMPUTED_VALUE"""),12.0)</f>
        <v>12</v>
      </c>
      <c r="C10" s="137" t="str">
        <f>IFERROR(__xludf.DUMMYFUNCTION("""COMPUTED_VALUE"""),"自己PR不要_残業無_未経験_販サ")</f>
        <v>自己PR不要_残業無_未経験_販サ</v>
      </c>
      <c r="D10" s="42">
        <f>IFERROR(__xludf.DUMMYFUNCTION("""COMPUTED_VALUE"""),0.3)</f>
        <v>0.3</v>
      </c>
      <c r="E10" s="42" t="str">
        <f>IFERROR(__xludf.DUMMYFUNCTION("""COMPUTED_VALUE"""),"毎週配信")</f>
        <v>毎週配信</v>
      </c>
      <c r="F10" s="137"/>
      <c r="G10" s="42" t="str">
        <f>IFERROR(__xludf.DUMMYFUNCTION("""COMPUTED_VALUE"""),"自動求人")</f>
        <v>自動求人</v>
      </c>
      <c r="H10" s="69"/>
      <c r="I10" s="69"/>
      <c r="J10" s="158">
        <f>IFERROR(__xludf.DUMMYFUNCTION("""COMPUTED_VALUE"""),24358.0)</f>
        <v>24358</v>
      </c>
      <c r="K10" s="152" t="str">
        <f>IFERROR(__xludf.DUMMYFUNCTION("""COMPUTED_VALUE"""),"https://woman-type.jp/job-service/24358/f/")</f>
        <v>https://woman-type.jp/job-service/24358/f/</v>
      </c>
      <c r="L10" s="42"/>
      <c r="M10" s="42" t="str">
        <f>IFERROR(__xludf.DUMMYFUNCTION("""COMPUTED_VALUE"""),"R")</f>
        <v>R</v>
      </c>
      <c r="N10" s="42"/>
      <c r="O10" s="42" t="b">
        <f>IFERROR(__xludf.DUMMYFUNCTION("""COMPUTED_VALUE"""),FALSE)</f>
        <v>0</v>
      </c>
      <c r="P10" s="42">
        <f>IFERROR(__xludf.DUMMYFUNCTION("IFERROR(IMPORTXML(K10, ""/html/body/form/div[1]/div[3]/main/div/div/div[2]/div/span[1]""))"),116.0)</f>
        <v>116</v>
      </c>
    </row>
    <row r="11">
      <c r="A11" s="153" t="str">
        <f>IFERROR(__xludf.DUMMYFUNCTION("""COMPUTED_VALUE"""),"水")</f>
        <v>水</v>
      </c>
      <c r="B11" s="42">
        <f>IFERROR(__xludf.DUMMYFUNCTION("""COMPUTED_VALUE"""),12.0)</f>
        <v>12</v>
      </c>
      <c r="C11" s="154" t="str">
        <f>IFERROR(__xludf.DUMMYFUNCTION("""COMPUTED_VALUE"""),"自己PR不要_リモート未経験_エンジニア")</f>
        <v>自己PR不要_リモート未経験_エンジニア</v>
      </c>
      <c r="D11" s="42">
        <f>IFERROR(__xludf.DUMMYFUNCTION("""COMPUTED_VALUE"""),0.2)</f>
        <v>0.2</v>
      </c>
      <c r="E11" s="42" t="str">
        <f>IFERROR(__xludf.DUMMYFUNCTION("""COMPUTED_VALUE"""),"毎週配信")</f>
        <v>毎週配信</v>
      </c>
      <c r="F11" s="70"/>
      <c r="G11" s="42" t="str">
        <f>IFERROR(__xludf.DUMMYFUNCTION("""COMPUTED_VALUE"""),"自動求人")</f>
        <v>自動求人</v>
      </c>
      <c r="H11" s="42"/>
      <c r="I11" s="42"/>
      <c r="J11" s="155">
        <f>IFERROR(__xludf.DUMMYFUNCTION("""COMPUTED_VALUE"""),24876.0)</f>
        <v>24876</v>
      </c>
      <c r="K11" s="152" t="str">
        <f>IFERROR(__xludf.DUMMYFUNCTION("""COMPUTED_VALUE"""),"https://woman-type.jp/job-engineer/24876/f/")</f>
        <v>https://woman-type.jp/job-engineer/24876/f/</v>
      </c>
      <c r="L11" s="42"/>
      <c r="M11" s="42" t="str">
        <f>IFERROR(__xludf.DUMMYFUNCTION("""COMPUTED_VALUE"""),"R")</f>
        <v>R</v>
      </c>
      <c r="N11" s="42"/>
      <c r="O11" s="42" t="b">
        <f>IFERROR(__xludf.DUMMYFUNCTION("""COMPUTED_VALUE"""),FALSE)</f>
        <v>0</v>
      </c>
      <c r="P11" s="42">
        <f>IFERROR(__xludf.DUMMYFUNCTION("IFERROR(IMPORTXML(K11, ""/html/body/form/div[1]/div[3]/main/div/div/div[2]/div/span[1]""))"),95.0)</f>
        <v>95</v>
      </c>
    </row>
    <row r="12">
      <c r="A12" s="153" t="str">
        <f>IFERROR(__xludf.DUMMYFUNCTION("""COMPUTED_VALUE"""),"木")</f>
        <v>木</v>
      </c>
      <c r="B12" s="42">
        <f>IFERROR(__xludf.DUMMYFUNCTION("""COMPUTED_VALUE"""),8.0)</f>
        <v>8</v>
      </c>
      <c r="C12" s="159" t="str">
        <f>IFERROR(__xludf.DUMMYFUNCTION("""COMPUTED_VALUE"""),"年収500万以上_未経験歓迎")</f>
        <v>年収500万以上_未経験歓迎</v>
      </c>
      <c r="D12" s="160">
        <f>IFERROR(__xludf.DUMMYFUNCTION("""COMPUTED_VALUE"""),0.6)</f>
        <v>0.6</v>
      </c>
      <c r="E12" s="42" t="str">
        <f>IFERROR(__xludf.DUMMYFUNCTION("""COMPUTED_VALUE"""),"毎週配信")</f>
        <v>毎週配信</v>
      </c>
      <c r="F12" s="159"/>
      <c r="G12" s="42" t="str">
        <f>IFERROR(__xludf.DUMMYFUNCTION("""COMPUTED_VALUE"""),"自動求人")</f>
        <v>自動求人</v>
      </c>
      <c r="H12" s="160"/>
      <c r="I12" s="160"/>
      <c r="J12" s="161">
        <f>IFERROR(__xludf.DUMMYFUNCTION("""COMPUTED_VALUE"""),12077.0)</f>
        <v>12077</v>
      </c>
      <c r="K12" s="152" t="str">
        <f>IFERROR(__xludf.DUMMYFUNCTION("""COMPUTED_VALUE"""),"https://woman-type.jp/job-condition/10/12077/f/")</f>
        <v>https://woman-type.jp/job-condition/10/12077/f/</v>
      </c>
      <c r="L12" s="42"/>
      <c r="M12" s="42" t="str">
        <f>IFERROR(__xludf.DUMMYFUNCTION("""COMPUTED_VALUE"""),"R")</f>
        <v>R</v>
      </c>
      <c r="N12" s="42"/>
      <c r="O12" s="42" t="b">
        <f>IFERROR(__xludf.DUMMYFUNCTION("""COMPUTED_VALUE"""),FALSE)</f>
        <v>0</v>
      </c>
      <c r="P12" s="42">
        <f>IFERROR(__xludf.DUMMYFUNCTION("IFERROR(IMPORTXML(K12, ""/html/body/form/div[1]/div[3]/main/div/div/div[2]/div/span[1]""))"),47.0)</f>
        <v>47</v>
      </c>
    </row>
    <row r="13">
      <c r="A13" s="42"/>
      <c r="B13" s="42"/>
      <c r="C13" s="159"/>
      <c r="D13" s="160"/>
      <c r="E13" s="42"/>
      <c r="F13" s="159"/>
      <c r="G13" s="42"/>
      <c r="H13" s="160"/>
      <c r="I13" s="160"/>
      <c r="J13" s="162"/>
      <c r="K13" s="79"/>
      <c r="L13" s="42"/>
      <c r="M13" s="42"/>
      <c r="N13" s="42"/>
      <c r="O13" s="42"/>
      <c r="P13" s="42" t="str">
        <f>IFERROR(__xludf.DUMMYFUNCTION("IFERROR(IMPORTXML(K13, ""/html/body/form/div[1]/div[3]/main/div/div/div[2]/div/span[1]""))"),"")</f>
        <v/>
      </c>
    </row>
    <row r="14">
      <c r="A14" s="42"/>
      <c r="B14" s="42"/>
      <c r="C14" s="159"/>
      <c r="D14" s="160"/>
      <c r="E14" s="42"/>
      <c r="F14" s="159"/>
      <c r="G14" s="42"/>
      <c r="H14" s="160"/>
      <c r="I14" s="160"/>
      <c r="J14" s="162"/>
      <c r="K14" s="79"/>
      <c r="L14" s="42"/>
      <c r="M14" s="42"/>
      <c r="N14" s="42"/>
      <c r="O14" s="42"/>
      <c r="P14" s="42" t="str">
        <f>IFERROR(__xludf.DUMMYFUNCTION("IFERROR(IMPORTXML(K14, ""/html/body/form/div[1]/div[3]/main/div/div/div[2]/div/span[1]""))"),"")</f>
        <v/>
      </c>
    </row>
    <row r="15">
      <c r="A15" s="42"/>
      <c r="B15" s="42"/>
      <c r="C15" s="159"/>
      <c r="D15" s="160"/>
      <c r="E15" s="42"/>
      <c r="F15" s="159"/>
      <c r="G15" s="42"/>
      <c r="H15" s="160"/>
      <c r="I15" s="160"/>
      <c r="J15" s="162"/>
      <c r="K15" s="79"/>
      <c r="L15" s="42"/>
      <c r="M15" s="42"/>
      <c r="N15" s="42"/>
      <c r="O15" s="42"/>
      <c r="P15" s="42" t="str">
        <f>IFERROR(__xludf.DUMMYFUNCTION("IFERROR(IMPORTXML(K15, ""/html/body/form/div[1]/div[3]/main/div/div/div[2]/div/span[1]""))"),"")</f>
        <v/>
      </c>
    </row>
    <row r="16">
      <c r="A16" s="42"/>
      <c r="B16" s="42"/>
      <c r="C16" s="159"/>
      <c r="D16" s="160"/>
      <c r="E16" s="42"/>
      <c r="F16" s="159"/>
      <c r="G16" s="42"/>
      <c r="H16" s="160"/>
      <c r="I16" s="160"/>
      <c r="J16" s="162"/>
      <c r="K16" s="79"/>
      <c r="L16" s="42"/>
      <c r="M16" s="42"/>
      <c r="N16" s="42"/>
      <c r="O16" s="42"/>
      <c r="P16" s="42" t="str">
        <f>IFERROR(__xludf.DUMMYFUNCTION("IFERROR(IMPORTXML(K16, ""/html/body/form/div[1]/div[3]/main/div/div/div[2]/div/span[1]""))"),"")</f>
        <v/>
      </c>
    </row>
    <row r="17">
      <c r="A17" s="42"/>
      <c r="B17" s="42"/>
      <c r="C17" s="159"/>
      <c r="D17" s="160"/>
      <c r="E17" s="42"/>
      <c r="F17" s="159"/>
      <c r="G17" s="42"/>
      <c r="H17" s="160"/>
      <c r="I17" s="160"/>
      <c r="J17" s="162"/>
      <c r="K17" s="79"/>
      <c r="L17" s="42"/>
      <c r="M17" s="42"/>
      <c r="N17" s="42"/>
      <c r="O17" s="42"/>
      <c r="P17" s="42" t="str">
        <f>IFERROR(__xludf.DUMMYFUNCTION("IFERROR(IMPORTXML(K17, ""/html/body/form/div[1]/div[3]/main/div/div/div[2]/div/span[1]""))"),"")</f>
        <v/>
      </c>
    </row>
    <row r="18">
      <c r="A18" s="42"/>
      <c r="B18" s="42"/>
      <c r="C18" s="159"/>
      <c r="D18" s="160"/>
      <c r="E18" s="42"/>
      <c r="F18" s="159"/>
      <c r="G18" s="42"/>
      <c r="H18" s="160"/>
      <c r="I18" s="160"/>
      <c r="J18" s="162"/>
      <c r="K18" s="79"/>
      <c r="L18" s="42"/>
      <c r="M18" s="42"/>
      <c r="N18" s="42"/>
      <c r="O18" s="42"/>
      <c r="P18" s="42" t="str">
        <f>IFERROR(__xludf.DUMMYFUNCTION("IFERROR(IMPORTXML(K18, ""/html/body/form/div[1]/div[3]/main/div/div/div[2]/div/span[1]""))"),"")</f>
        <v/>
      </c>
    </row>
    <row r="19">
      <c r="A19" s="42"/>
      <c r="B19" s="42"/>
      <c r="C19" s="159"/>
      <c r="D19" s="160"/>
      <c r="E19" s="42"/>
      <c r="F19" s="159"/>
      <c r="G19" s="42"/>
      <c r="H19" s="160"/>
      <c r="I19" s="160"/>
      <c r="J19" s="162"/>
      <c r="K19" s="79"/>
      <c r="L19" s="42"/>
      <c r="M19" s="42"/>
      <c r="N19" s="42"/>
      <c r="O19" s="42"/>
      <c r="P19" s="42" t="str">
        <f>IFERROR(__xludf.DUMMYFUNCTION("IFERROR(IMPORTXML(K19, ""/html/body/form/div[1]/div[3]/main/div/div/div[2]/div/span[1]""))"),"")</f>
        <v/>
      </c>
    </row>
    <row r="20">
      <c r="A20" s="42"/>
      <c r="B20" s="42"/>
      <c r="C20" s="159"/>
      <c r="D20" s="160"/>
      <c r="E20" s="42"/>
      <c r="F20" s="159"/>
      <c r="G20" s="42"/>
      <c r="H20" s="160"/>
      <c r="I20" s="160"/>
      <c r="J20" s="162"/>
      <c r="K20" s="79"/>
      <c r="L20" s="42"/>
      <c r="M20" s="42"/>
      <c r="N20" s="42"/>
      <c r="O20" s="42"/>
      <c r="P20" s="42" t="str">
        <f>IFERROR(__xludf.DUMMYFUNCTION("IFERROR(IMPORTXML(K20, ""/html/body/form/div[1]/div[3]/main/div/div/div[2]/div/span[1]""))"),"")</f>
        <v/>
      </c>
    </row>
    <row r="21">
      <c r="A21" s="42"/>
      <c r="B21" s="42"/>
      <c r="C21" s="159"/>
      <c r="D21" s="160"/>
      <c r="E21" s="42"/>
      <c r="F21" s="159"/>
      <c r="G21" s="42"/>
      <c r="H21" s="160"/>
      <c r="I21" s="160"/>
      <c r="J21" s="162"/>
      <c r="K21" s="79"/>
      <c r="L21" s="42"/>
      <c r="M21" s="42"/>
      <c r="N21" s="42"/>
      <c r="O21" s="42"/>
      <c r="P21" s="42" t="str">
        <f>IFERROR(__xludf.DUMMYFUNCTION("IFERROR(IMPORTXML(K21, ""/html/body/form/div[1]/div[3]/main/div/div/div[2]/div/span[1]""))"),"")</f>
        <v/>
      </c>
    </row>
    <row r="22">
      <c r="A22" s="42"/>
      <c r="B22" s="42"/>
      <c r="C22" s="159"/>
      <c r="D22" s="160"/>
      <c r="E22" s="42"/>
      <c r="F22" s="159"/>
      <c r="G22" s="42"/>
      <c r="H22" s="160"/>
      <c r="I22" s="160"/>
      <c r="J22" s="162"/>
      <c r="K22" s="79"/>
      <c r="L22" s="42"/>
      <c r="M22" s="42"/>
      <c r="N22" s="42"/>
      <c r="O22" s="42"/>
      <c r="P22" s="42" t="str">
        <f>IFERROR(__xludf.DUMMYFUNCTION("IFERROR(IMPORTXML(K22, ""/html/body/form/div[1]/div[3]/main/div/div/div[2]/div/span[1]""))"),"")</f>
        <v/>
      </c>
    </row>
  </sheetData>
  <conditionalFormatting sqref="P3:P22">
    <cfRule type="cellIs" dxfId="9" priority="1" operator="greaterThan">
      <formula>700</formula>
    </cfRule>
  </conditionalFormatting>
  <hyperlinks>
    <hyperlink r:id="rId1" ref="J3"/>
    <hyperlink r:id="rId2" ref="K3"/>
    <hyperlink r:id="rId3" ref="J4"/>
    <hyperlink r:id="rId4" ref="K4"/>
    <hyperlink r:id="rId5" ref="J5"/>
    <hyperlink r:id="rId6" ref="K5"/>
    <hyperlink r:id="rId7" ref="J6"/>
    <hyperlink r:id="rId8" ref="K6"/>
    <hyperlink r:id="rId9" ref="J7"/>
    <hyperlink r:id="rId10" ref="K7"/>
    <hyperlink r:id="rId11" ref="J8"/>
    <hyperlink r:id="rId12" ref="K8"/>
    <hyperlink r:id="rId13" ref="J9"/>
    <hyperlink r:id="rId14" ref="K9"/>
    <hyperlink r:id="rId15" ref="J10"/>
    <hyperlink r:id="rId16" ref="K10"/>
    <hyperlink r:id="rId17" ref="J11"/>
    <hyperlink r:id="rId18" ref="K11"/>
    <hyperlink r:id="rId19" ref="J12"/>
    <hyperlink r:id="rId20" ref="K12"/>
  </hyperlinks>
  <drawing r:id="rId2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5.0"/>
    <col customWidth="1" min="2" max="8" width="22.0"/>
    <col customWidth="1" min="9" max="15" width="6.25"/>
  </cols>
  <sheetData>
    <row r="1" ht="29.25" customHeight="1">
      <c r="A1" s="163"/>
      <c r="B1" s="164" t="s">
        <v>171</v>
      </c>
      <c r="C1" s="164" t="s">
        <v>184</v>
      </c>
      <c r="D1" s="164" t="s">
        <v>197</v>
      </c>
      <c r="E1" s="164" t="s">
        <v>177</v>
      </c>
      <c r="F1" s="164" t="s">
        <v>186</v>
      </c>
      <c r="G1" s="164" t="s">
        <v>194</v>
      </c>
      <c r="H1" s="164" t="s">
        <v>181</v>
      </c>
      <c r="I1" s="165"/>
      <c r="J1" s="165"/>
      <c r="K1" s="165"/>
      <c r="L1" s="165"/>
      <c r="M1" s="165"/>
      <c r="N1" s="165"/>
      <c r="O1" s="165"/>
    </row>
    <row r="2" ht="16.5" customHeight="1">
      <c r="A2" s="164">
        <v>8.0</v>
      </c>
      <c r="B2" s="166" t="str">
        <f>IFERROR(__xludf.DUMMYFUNCTION("IFERROR(INDEX(QUERY({'リスト'!$A$3:$G50; ARRAYFORMULA({TEXT('新規'!$A$2:$A50, ""aaa""), '新規'!$B$2:$B50, '新規'!$E$2:$E50, '新規'!$F$2:$F50, '新規'!$G$2:$G50})}, ""select Col3 where Col1 = '""&amp;B$1&amp;""' and Col2 = ""&amp;LOOKUP(10^10, $A$1:$A2)&amp;"" and Col5 = '毎月配信'""), ROW"&amp;"() - MATCH(LOOKUP(10^10, $A$1:$A2), $A$1:$A2, 0) + 1), """") 
"),"")</f>
        <v/>
      </c>
      <c r="C2" s="166" t="str">
        <f>IFERROR(__xludf.DUMMYFUNCTION("IFERROR(INDEX(QUERY({'リスト'!$A$3:$G50; ARRAYFORMULA({TEXT('新規'!$A$2:$A50, ""aaa""), '新規'!$B$2:$B50, '新規'!$E$2:$E50, '新規'!$F$2:$F50, '新規'!$G$2:$G50})}, ""select Col3 where Col1 = '""&amp;C$1&amp;""' and Col2 = ""&amp;LOOKUP(10^10, $A$1:$A2)&amp;"" and Col5 = '毎月配信'""), ROW"&amp;"() - MATCH(LOOKUP(10^10, $A$1:$A2), $A$1:$A2, 0) + 1), """") 
"),"")</f>
        <v/>
      </c>
      <c r="D2" s="166" t="str">
        <f>IFERROR(__xludf.DUMMYFUNCTION("IFERROR(INDEX(QUERY({'リスト'!$A$3:$G50; ARRAYFORMULA({TEXT('新規'!$A$2:$A50, ""aaa""), '新規'!$B$2:$B50, '新規'!$E$2:$E50, '新規'!$F$2:$F50, '新規'!$G$2:$G50})}, ""select Col3 where Col1 = '""&amp;D$1&amp;""' and Col2 = ""&amp;LOOKUP(10^10, $A$1:$A2)&amp;"" and Col5 = '毎月配信'""), ROW"&amp;"() - MATCH(LOOKUP(10^10, $A$1:$A2), $A$1:$A2, 0) + 1), """") 
"),"")</f>
        <v/>
      </c>
      <c r="E2" s="166" t="str">
        <f>IFERROR(__xludf.DUMMYFUNCTION("IFERROR(INDEX(QUERY({'リスト'!$A$3:$G50; ARRAYFORMULA({TEXT('新規'!$A$2:$A50, ""aaa""), '新規'!$B$2:$B50, '新規'!$E$2:$E50, '新規'!$F$2:$F50, '新規'!$G$2:$G50})}, ""select Col3 where Col1 = '""&amp;E$1&amp;""' and Col2 = ""&amp;LOOKUP(10^10, $A$1:$A2)&amp;"" and Col5 = '毎月配信'""), ROW"&amp;"() - MATCH(LOOKUP(10^10, $A$1:$A2), $A$1:$A2, 0) + 1), """") 
"),"")</f>
        <v/>
      </c>
      <c r="F2" s="166" t="str">
        <f>IFERROR(__xludf.DUMMYFUNCTION("IFERROR(INDEX(QUERY({'リスト'!$A$3:$G50; ARRAYFORMULA({TEXT('新規'!$A$2:$A50, ""aaa""), '新規'!$B$2:$B50, '新規'!$E$2:$E50, '新規'!$F$2:$F50, '新規'!$G$2:$G50})}, ""select Col3 where Col1 = '""&amp;F$1&amp;""' and Col2 = ""&amp;LOOKUP(10^10, $A$1:$A2)&amp;"" and Col5 = '毎月配信'""), ROW"&amp;"() - MATCH(LOOKUP(10^10, $A$1:$A2), $A$1:$A2, 0) + 1), """") 
"),"")</f>
        <v/>
      </c>
      <c r="G2" s="166" t="str">
        <f>IFERROR(__xludf.DUMMYFUNCTION("IFERROR(INDEX(QUERY({'リスト'!$A$3:$G50; ARRAYFORMULA({TEXT('新規'!$A$2:$A50, ""aaa""), '新規'!$B$2:$B50, '新規'!$E$2:$E50, '新規'!$F$2:$F50, '新規'!$G$2:$G50})}, ""select Col3 where Col1 = '""&amp;G$1&amp;""' and Col2 = ""&amp;LOOKUP(10^10, $A$1:$A2)&amp;"" and Col5 = '毎月配信'""), ROW"&amp;"() - MATCH(LOOKUP(10^10, $A$1:$A2), $A$1:$A2, 0) + 1), """") 
"),"")</f>
        <v/>
      </c>
      <c r="H2" s="166" t="str">
        <f>IFERROR(__xludf.DUMMYFUNCTION("IFERROR(INDEX(QUERY({'リスト'!$A$3:$G50; ARRAYFORMULA({TEXT('新規'!$A$2:$A50, ""aaa""), '新規'!$B$2:$B50, '新規'!$E$2:$E50, '新規'!$F$2:$F50, '新規'!$G$2:$G50})}, ""select Col3 where Col1 = '""&amp;H$1&amp;""' and Col2 = ""&amp;LOOKUP(10^10, $A$1:$A2)&amp;"" and Col5 = '毎月配信'""), ROW"&amp;"() - MATCH(LOOKUP(10^10, $A$1:$A2), $A$1:$A2, 0) + 1), """") 
"),"")</f>
        <v/>
      </c>
      <c r="I2" s="167"/>
      <c r="J2" s="167"/>
      <c r="K2" s="167"/>
      <c r="L2" s="167"/>
      <c r="M2" s="167"/>
      <c r="N2" s="167"/>
      <c r="O2" s="167"/>
    </row>
    <row r="3" ht="16.5" customHeight="1">
      <c r="A3" s="164"/>
      <c r="B3" s="166" t="str">
        <f>IFERROR(__xludf.DUMMYFUNCTION("IFERROR(INDEX(QUERY({'リスト'!$A$3:$G50; ARRAYFORMULA({TEXT('新規'!$A$2:$A50, ""aaa""), '新規'!$B$2:$B50, '新規'!$E$2:$E50, '新規'!$F$2:$F50, '新規'!$G$2:$G50})}, ""select Col3 where Col1 = '""&amp;B$1&amp;""' and Col2 = ""&amp;LOOKUP(10^10, $A$1:$A3)&amp;"" and Col5 = '毎月配信'""), ROW"&amp;"() - MATCH(LOOKUP(10^10, $A$1:$A3), $A$1:$A3, 0) + 1), """") 
"),"")</f>
        <v/>
      </c>
      <c r="C3" s="166" t="str">
        <f>IFERROR(__xludf.DUMMYFUNCTION("IFERROR(INDEX(QUERY({'リスト'!$A$3:$G50; ARRAYFORMULA({TEXT('新規'!$A$2:$A50, ""aaa""), '新規'!$B$2:$B50, '新規'!$E$2:$E50, '新規'!$F$2:$F50, '新規'!$G$2:$G50})}, ""select Col3 where Col1 = '""&amp;C$1&amp;""' and Col2 = ""&amp;LOOKUP(10^10, $A$1:$A3)&amp;"" and Col5 = '毎月配信'""), ROW"&amp;"() - MATCH(LOOKUP(10^10, $A$1:$A3), $A$1:$A3, 0) + 1), """") 
"),"")</f>
        <v/>
      </c>
      <c r="D3" s="166" t="str">
        <f>IFERROR(__xludf.DUMMYFUNCTION("IFERROR(INDEX(QUERY({'リスト'!$A$3:$G50; ARRAYFORMULA({TEXT('新規'!$A$2:$A50, ""aaa""), '新規'!$B$2:$B50, '新規'!$E$2:$E50, '新規'!$F$2:$F50, '新規'!$G$2:$G50})}, ""select Col3 where Col1 = '""&amp;D$1&amp;""' and Col2 = ""&amp;LOOKUP(10^10, $A$1:$A3)&amp;"" and Col5 = '毎月配信'""), ROW"&amp;"() - MATCH(LOOKUP(10^10, $A$1:$A3), $A$1:$A3, 0) + 1), """") 
"),"")</f>
        <v/>
      </c>
      <c r="E3" s="166" t="str">
        <f>IFERROR(__xludf.DUMMYFUNCTION("IFERROR(INDEX(QUERY({'リスト'!$A$3:$G50; ARRAYFORMULA({TEXT('新規'!$A$2:$A50, ""aaa""), '新規'!$B$2:$B50, '新規'!$E$2:$E50, '新規'!$F$2:$F50, '新規'!$G$2:$G50})}, ""select Col3 where Col1 = '""&amp;E$1&amp;""' and Col2 = ""&amp;LOOKUP(10^10, $A$1:$A3)&amp;"" and Col5 = '毎月配信'""), ROW"&amp;"() - MATCH(LOOKUP(10^10, $A$1:$A3), $A$1:$A3, 0) + 1), """") 
"),"")</f>
        <v/>
      </c>
      <c r="F3" s="166" t="str">
        <f>IFERROR(__xludf.DUMMYFUNCTION("IFERROR(INDEX(QUERY({'リスト'!$A$3:$G50; ARRAYFORMULA({TEXT('新規'!$A$2:$A50, ""aaa""), '新規'!$B$2:$B50, '新規'!$E$2:$E50, '新規'!$F$2:$F50, '新規'!$G$2:$G50})}, ""select Col3 where Col1 = '""&amp;F$1&amp;""' and Col2 = ""&amp;LOOKUP(10^10, $A$1:$A3)&amp;"" and Col5 = '毎月配信'""), ROW"&amp;"() - MATCH(LOOKUP(10^10, $A$1:$A3), $A$1:$A3, 0) + 1), """") 
"),"")</f>
        <v/>
      </c>
      <c r="G3" s="166" t="str">
        <f>IFERROR(__xludf.DUMMYFUNCTION("IFERROR(INDEX(QUERY({'リスト'!$A$3:$G50; ARRAYFORMULA({TEXT('新規'!$A$2:$A50, ""aaa""), '新規'!$B$2:$B50, '新規'!$E$2:$E50, '新規'!$F$2:$F50, '新規'!$G$2:$G50})}, ""select Col3 where Col1 = '""&amp;G$1&amp;""' and Col2 = ""&amp;LOOKUP(10^10, $A$1:$A3)&amp;"" and Col5 = '毎月配信'""), ROW"&amp;"() - MATCH(LOOKUP(10^10, $A$1:$A3), $A$1:$A3, 0) + 1), """") 
"),"")</f>
        <v/>
      </c>
      <c r="H3" s="166" t="str">
        <f>IFERROR(__xludf.DUMMYFUNCTION("IFERROR(INDEX(QUERY({'リスト'!$A$3:$G50; ARRAYFORMULA({TEXT('新規'!$A$2:$A50, ""aaa""), '新規'!$B$2:$B50, '新規'!$E$2:$E50, '新規'!$F$2:$F50, '新規'!$G$2:$G50})}, ""select Col3 where Col1 = '""&amp;H$1&amp;""' and Col2 = ""&amp;LOOKUP(10^10, $A$1:$A3)&amp;"" and Col5 = '毎月配信'""), ROW"&amp;"() - MATCH(LOOKUP(10^10, $A$1:$A3), $A$1:$A3, 0) + 1), """") 
"),"")</f>
        <v/>
      </c>
      <c r="I3" s="167"/>
      <c r="J3" s="167"/>
      <c r="K3" s="167"/>
      <c r="L3" s="167"/>
      <c r="M3" s="167"/>
      <c r="N3" s="167"/>
      <c r="O3" s="167"/>
    </row>
    <row r="4" ht="16.5" customHeight="1">
      <c r="A4" s="164">
        <f>A2+1</f>
        <v>9</v>
      </c>
      <c r="B4" s="166" t="str">
        <f>IFERROR(__xludf.DUMMYFUNCTION("IFERROR(INDEX(QUERY({'リスト'!$A$3:$G50; ARRAYFORMULA({TEXT('新規'!$A$2:$A50, ""aaa""), '新規'!$B$2:$B50, '新規'!$E$2:$E50, '新規'!$F$2:$F50, '新規'!$G$2:$G50})}, ""select Col3 where Col1 = '""&amp;B$1&amp;""' and Col2 = ""&amp;LOOKUP(10^10, $A$1:$A4)&amp;"" and Col5 = '毎月配信'""), ROW"&amp;"() - MATCH(LOOKUP(10^10, $A$1:$A4), $A$1:$A4, 0) + 1), """") 
"),"")</f>
        <v/>
      </c>
      <c r="C4" s="166" t="str">
        <f>IFERROR(__xludf.DUMMYFUNCTION("IFERROR(INDEX(QUERY({'リスト'!$A$3:$G50; ARRAYFORMULA({TEXT('新規'!$A$2:$A50, ""aaa""), '新規'!$B$2:$B50, '新規'!$E$2:$E50, '新規'!$F$2:$F50, '新規'!$G$2:$G50})}, ""select Col3 where Col1 = '""&amp;C$1&amp;""' and Col2 = ""&amp;LOOKUP(10^10, $A$1:$A4)&amp;"" and Col5 = '毎月配信'""), ROW"&amp;"() - MATCH(LOOKUP(10^10, $A$1:$A4), $A$1:$A4, 0) + 1), """") 
"),"")</f>
        <v/>
      </c>
      <c r="D4" s="166" t="str">
        <f>IFERROR(__xludf.DUMMYFUNCTION("IFERROR(INDEX(QUERY({'リスト'!$A$3:$G50; ARRAYFORMULA({TEXT('新規'!$A$2:$A50, ""aaa""), '新規'!$B$2:$B50, '新規'!$E$2:$E50, '新規'!$F$2:$F50, '新規'!$G$2:$G50})}, ""select Col3 where Col1 = '""&amp;D$1&amp;""' and Col2 = ""&amp;LOOKUP(10^10, $A$1:$A4)&amp;"" and Col5 = '毎月配信'""), ROW"&amp;"() - MATCH(LOOKUP(10^10, $A$1:$A4), $A$1:$A4, 0) + 1), """") 
"),"")</f>
        <v/>
      </c>
      <c r="E4" s="166" t="str">
        <f>IFERROR(__xludf.DUMMYFUNCTION("IFERROR(INDEX(QUERY({'リスト'!$A$3:$G50; ARRAYFORMULA({TEXT('新規'!$A$2:$A50, ""aaa""), '新規'!$B$2:$B50, '新規'!$E$2:$E50, '新規'!$F$2:$F50, '新規'!$G$2:$G50})}, ""select Col3 where Col1 = '""&amp;E$1&amp;""' and Col2 = ""&amp;LOOKUP(10^10, $A$1:$A4)&amp;"" and Col5 = '毎月配信'""), ROW"&amp;"() - MATCH(LOOKUP(10^10, $A$1:$A4), $A$1:$A4, 0) + 1), """") 
"),"")</f>
        <v/>
      </c>
      <c r="F4" s="166" t="str">
        <f>IFERROR(__xludf.DUMMYFUNCTION("IFERROR(INDEX(QUERY({'リスト'!$A$3:$G50; ARRAYFORMULA({TEXT('新規'!$A$2:$A50, ""aaa""), '新規'!$B$2:$B50, '新規'!$E$2:$E50, '新規'!$F$2:$F50, '新規'!$G$2:$G50})}, ""select Col3 where Col1 = '""&amp;F$1&amp;""' and Col2 = ""&amp;LOOKUP(10^10, $A$1:$A4)&amp;"" and Col5 = '毎月配信'""), ROW"&amp;"() - MATCH(LOOKUP(10^10, $A$1:$A4), $A$1:$A4, 0) + 1), """") 
"),"")</f>
        <v/>
      </c>
      <c r="G4" s="166" t="str">
        <f>IFERROR(__xludf.DUMMYFUNCTION("IFERROR(INDEX(QUERY({'リスト'!$A$3:$G50; ARRAYFORMULA({TEXT('新規'!$A$2:$A50, ""aaa""), '新規'!$B$2:$B50, '新規'!$E$2:$E50, '新規'!$F$2:$F50, '新規'!$G$2:$G50})}, ""select Col3 where Col1 = '""&amp;G$1&amp;""' and Col2 = ""&amp;LOOKUP(10^10, $A$1:$A4)&amp;"" and Col5 = '毎月配信'""), ROW"&amp;"() - MATCH(LOOKUP(10^10, $A$1:$A4), $A$1:$A4, 0) + 1), """") 
"),"")</f>
        <v/>
      </c>
      <c r="H4" s="166" t="str">
        <f>IFERROR(__xludf.DUMMYFUNCTION("IFERROR(INDEX(QUERY({'リスト'!$A$3:$G50; ARRAYFORMULA({TEXT('新規'!$A$2:$A50, ""aaa""), '新規'!$B$2:$B50, '新規'!$E$2:$E50, '新規'!$F$2:$F50, '新規'!$G$2:$G50})}, ""select Col3 where Col1 = '""&amp;H$1&amp;""' and Col2 = ""&amp;LOOKUP(10^10, $A$1:$A4)&amp;"" and Col5 = '毎月配信'""), ROW"&amp;"() - MATCH(LOOKUP(10^10, $A$1:$A4), $A$1:$A4, 0) + 1), """") 
"),"")</f>
        <v/>
      </c>
      <c r="I4" s="167"/>
      <c r="J4" s="167"/>
      <c r="K4" s="167"/>
      <c r="L4" s="167"/>
      <c r="M4" s="167"/>
      <c r="N4" s="167"/>
      <c r="O4" s="167"/>
    </row>
    <row r="5" ht="16.5" customHeight="1">
      <c r="A5" s="164"/>
      <c r="B5" s="166" t="str">
        <f>IFERROR(__xludf.DUMMYFUNCTION("IFERROR(INDEX(QUERY({'リスト'!$A$3:$G50; ARRAYFORMULA({TEXT('新規'!$A$2:$A50, ""aaa""), '新規'!$B$2:$B50, '新規'!$E$2:$E50, '新規'!$F$2:$F50, '新規'!$G$2:$G50})}, ""select Col3 where Col1 = '""&amp;B$1&amp;""' and Col2 = ""&amp;LOOKUP(10^10, $A$1:$A5)&amp;"" and Col5 = '毎月配信'""), ROW"&amp;"() - MATCH(LOOKUP(10^10, $A$1:$A5), $A$1:$A5, 0) + 1), """") 
"),"")</f>
        <v/>
      </c>
      <c r="C5" s="166" t="str">
        <f>IFERROR(__xludf.DUMMYFUNCTION("IFERROR(INDEX(QUERY({'リスト'!$A$3:$G50; ARRAYFORMULA({TEXT('新規'!$A$2:$A50, ""aaa""), '新規'!$B$2:$B50, '新規'!$E$2:$E50, '新規'!$F$2:$F50, '新規'!$G$2:$G50})}, ""select Col3 where Col1 = '""&amp;C$1&amp;""' and Col2 = ""&amp;LOOKUP(10^10, $A$1:$A5)&amp;"" and Col5 = '毎月配信'""), ROW"&amp;"() - MATCH(LOOKUP(10^10, $A$1:$A5), $A$1:$A5, 0) + 1), """") 
"),"")</f>
        <v/>
      </c>
      <c r="D5" s="166" t="str">
        <f>IFERROR(__xludf.DUMMYFUNCTION("IFERROR(INDEX(QUERY({'リスト'!$A$3:$G50; ARRAYFORMULA({TEXT('新規'!$A$2:$A50, ""aaa""), '新規'!$B$2:$B50, '新規'!$E$2:$E50, '新規'!$F$2:$F50, '新規'!$G$2:$G50})}, ""select Col3 where Col1 = '""&amp;D$1&amp;""' and Col2 = ""&amp;LOOKUP(10^10, $A$1:$A5)&amp;"" and Col5 = '毎月配信'""), ROW"&amp;"() - MATCH(LOOKUP(10^10, $A$1:$A5), $A$1:$A5, 0) + 1), """") 
"),"")</f>
        <v/>
      </c>
      <c r="E5" s="166" t="str">
        <f>IFERROR(__xludf.DUMMYFUNCTION("IFERROR(INDEX(QUERY({'リスト'!$A$3:$G50; ARRAYFORMULA({TEXT('新規'!$A$2:$A50, ""aaa""), '新規'!$B$2:$B50, '新規'!$E$2:$E50, '新規'!$F$2:$F50, '新規'!$G$2:$G50})}, ""select Col3 where Col1 = '""&amp;E$1&amp;""' and Col2 = ""&amp;LOOKUP(10^10, $A$1:$A5)&amp;"" and Col5 = '毎月配信'""), ROW"&amp;"() - MATCH(LOOKUP(10^10, $A$1:$A5), $A$1:$A5, 0) + 1), """") 
"),"")</f>
        <v/>
      </c>
      <c r="F5" s="166" t="str">
        <f>IFERROR(__xludf.DUMMYFUNCTION("IFERROR(INDEX(QUERY({'リスト'!$A$3:$G50; ARRAYFORMULA({TEXT('新規'!$A$2:$A50, ""aaa""), '新規'!$B$2:$B50, '新規'!$E$2:$E50, '新規'!$F$2:$F50, '新規'!$G$2:$G50})}, ""select Col3 where Col1 = '""&amp;F$1&amp;""' and Col2 = ""&amp;LOOKUP(10^10, $A$1:$A5)&amp;"" and Col5 = '毎月配信'""), ROW"&amp;"() - MATCH(LOOKUP(10^10, $A$1:$A5), $A$1:$A5, 0) + 1), """") 
"),"")</f>
        <v/>
      </c>
      <c r="G5" s="166" t="str">
        <f>IFERROR(__xludf.DUMMYFUNCTION("IFERROR(INDEX(QUERY({'リスト'!$A$3:$G50; ARRAYFORMULA({TEXT('新規'!$A$2:$A50, ""aaa""), '新規'!$B$2:$B50, '新規'!$E$2:$E50, '新規'!$F$2:$F50, '新規'!$G$2:$G50})}, ""select Col3 where Col1 = '""&amp;G$1&amp;""' and Col2 = ""&amp;LOOKUP(10^10, $A$1:$A5)&amp;"" and Col5 = '毎月配信'""), ROW"&amp;"() - MATCH(LOOKUP(10^10, $A$1:$A5), $A$1:$A5, 0) + 1), """") 
"),"")</f>
        <v/>
      </c>
      <c r="H5" s="166" t="str">
        <f>IFERROR(__xludf.DUMMYFUNCTION("IFERROR(INDEX(QUERY({'リスト'!$A$3:$G50; ARRAYFORMULA({TEXT('新規'!$A$2:$A50, ""aaa""), '新規'!$B$2:$B50, '新規'!$E$2:$E50, '新規'!$F$2:$F50, '新規'!$G$2:$G50})}, ""select Col3 where Col1 = '""&amp;H$1&amp;""' and Col2 = ""&amp;LOOKUP(10^10, $A$1:$A5)&amp;"" and Col5 = '毎月配信'""), ROW"&amp;"() - MATCH(LOOKUP(10^10, $A$1:$A5), $A$1:$A5, 0) + 1), """") 
"),"")</f>
        <v/>
      </c>
      <c r="I5" s="167"/>
      <c r="J5" s="167"/>
      <c r="K5" s="167"/>
      <c r="L5" s="167"/>
      <c r="M5" s="167"/>
      <c r="N5" s="167"/>
      <c r="O5" s="167"/>
    </row>
    <row r="6" ht="16.5" customHeight="1">
      <c r="A6" s="164">
        <f>A4+1</f>
        <v>10</v>
      </c>
      <c r="B6" s="166" t="str">
        <f>IFERROR(__xludf.DUMMYFUNCTION("IFERROR(INDEX(QUERY({'リスト'!$A$3:$G50; ARRAYFORMULA({TEXT('新規'!$A$2:$A50, ""aaa""), '新規'!$B$2:$B50, '新規'!$E$2:$E50, '新規'!$F$2:$F50, '新規'!$G$2:$G50})}, ""select Col3 where Col1 = '""&amp;B$1&amp;""' and Col2 = ""&amp;LOOKUP(10^10, $A$1:$A6)&amp;"" and Col5 = '毎月配信'""), ROW"&amp;"() - MATCH(LOOKUP(10^10, $A$1:$A6), $A$1:$A6, 0) + 1), """") 
"),"")</f>
        <v/>
      </c>
      <c r="C6" s="166" t="str">
        <f>IFERROR(__xludf.DUMMYFUNCTION("IFERROR(INDEX(QUERY({'リスト'!$A$3:$G50; ARRAYFORMULA({TEXT('新規'!$A$2:$A50, ""aaa""), '新規'!$B$2:$B50, '新規'!$E$2:$E50, '新規'!$F$2:$F50, '新規'!$G$2:$G50})}, ""select Col3 where Col1 = '""&amp;C$1&amp;""' and Col2 = ""&amp;LOOKUP(10^10, $A$1:$A6)&amp;"" and Col5 = '毎月配信'""), ROW"&amp;"() - MATCH(LOOKUP(10^10, $A$1:$A6), $A$1:$A6, 0) + 1), """") 
"),"")</f>
        <v/>
      </c>
      <c r="D6" s="166" t="str">
        <f>IFERROR(__xludf.DUMMYFUNCTION("IFERROR(INDEX(QUERY({'リスト'!$A$3:$G50; ARRAYFORMULA({TEXT('新規'!$A$2:$A50, ""aaa""), '新規'!$B$2:$B50, '新規'!$E$2:$E50, '新規'!$F$2:$F50, '新規'!$G$2:$G50})}, ""select Col3 where Col1 = '""&amp;D$1&amp;""' and Col2 = ""&amp;LOOKUP(10^10, $A$1:$A6)&amp;"" and Col5 = '毎月配信'""), ROW"&amp;"() - MATCH(LOOKUP(10^10, $A$1:$A6), $A$1:$A6, 0) + 1), """") 
"),"")</f>
        <v/>
      </c>
      <c r="E6" s="166" t="str">
        <f>IFERROR(__xludf.DUMMYFUNCTION("IFERROR(INDEX(QUERY({'リスト'!$A$3:$G50; ARRAYFORMULA({TEXT('新規'!$A$2:$A50, ""aaa""), '新規'!$B$2:$B50, '新規'!$E$2:$E50, '新規'!$F$2:$F50, '新規'!$G$2:$G50})}, ""select Col3 where Col1 = '""&amp;E$1&amp;""' and Col2 = ""&amp;LOOKUP(10^10, $A$1:$A6)&amp;"" and Col5 = '毎月配信'""), ROW"&amp;"() - MATCH(LOOKUP(10^10, $A$1:$A6), $A$1:$A6, 0) + 1), """") 
"),"")</f>
        <v/>
      </c>
      <c r="F6" s="166" t="str">
        <f>IFERROR(__xludf.DUMMYFUNCTION("IFERROR(INDEX(QUERY({'リスト'!$A$3:$G50; ARRAYFORMULA({TEXT('新規'!$A$2:$A50, ""aaa""), '新規'!$B$2:$B50, '新規'!$E$2:$E50, '新規'!$F$2:$F50, '新規'!$G$2:$G50})}, ""select Col3 where Col1 = '""&amp;F$1&amp;""' and Col2 = ""&amp;LOOKUP(10^10, $A$1:$A6)&amp;"" and Col5 = '毎月配信'""), ROW"&amp;"() - MATCH(LOOKUP(10^10, $A$1:$A6), $A$1:$A6, 0) + 1), """") 
"),"")</f>
        <v/>
      </c>
      <c r="G6" s="166" t="str">
        <f>IFERROR(__xludf.DUMMYFUNCTION("IFERROR(INDEX(QUERY({'リスト'!$A$3:$G50; ARRAYFORMULA({TEXT('新規'!$A$2:$A50, ""aaa""), '新規'!$B$2:$B50, '新規'!$E$2:$E50, '新規'!$F$2:$F50, '新規'!$G$2:$G50})}, ""select Col3 where Col1 = '""&amp;G$1&amp;""' and Col2 = ""&amp;LOOKUP(10^10, $A$1:$A6)&amp;"" and Col5 = '毎月配信'""), ROW"&amp;"() - MATCH(LOOKUP(10^10, $A$1:$A6), $A$1:$A6, 0) + 1), """") 
"),"")</f>
        <v/>
      </c>
      <c r="H6" s="166" t="str">
        <f>IFERROR(__xludf.DUMMYFUNCTION("IFERROR(INDEX(QUERY({'リスト'!$A$3:$G50; ARRAYFORMULA({TEXT('新規'!$A$2:$A50, ""aaa""), '新規'!$B$2:$B50, '新規'!$E$2:$E50, '新規'!$F$2:$F50, '新規'!$G$2:$G50})}, ""select Col3 where Col1 = '""&amp;H$1&amp;""' and Col2 = ""&amp;LOOKUP(10^10, $A$1:$A6)&amp;"" and Col5 = '毎月配信'""), ROW"&amp;"() - MATCH(LOOKUP(10^10, $A$1:$A6), $A$1:$A6, 0) + 1), """") 
"),"")</f>
        <v/>
      </c>
      <c r="I6" s="167"/>
      <c r="J6" s="167"/>
      <c r="K6" s="167"/>
      <c r="L6" s="167"/>
      <c r="M6" s="167"/>
      <c r="N6" s="167"/>
      <c r="O6" s="167"/>
    </row>
    <row r="7" ht="16.5" customHeight="1">
      <c r="A7" s="164"/>
      <c r="B7" s="166" t="str">
        <f>IFERROR(__xludf.DUMMYFUNCTION("IFERROR(INDEX(QUERY({'リスト'!$A$3:$G50; ARRAYFORMULA({TEXT('新規'!$A$2:$A50, ""aaa""), '新規'!$B$2:$B50, '新規'!$E$2:$E50, '新規'!$F$2:$F50, '新規'!$G$2:$G50})}, ""select Col3 where Col1 = '""&amp;B$1&amp;""' and Col2 = ""&amp;LOOKUP(10^10, $A$1:$A7)&amp;"" and Col5 = '毎月配信'""), ROW"&amp;"() - MATCH(LOOKUP(10^10, $A$1:$A7), $A$1:$A7, 0) + 1), """") 
"),"")</f>
        <v/>
      </c>
      <c r="C7" s="166" t="str">
        <f>IFERROR(__xludf.DUMMYFUNCTION("IFERROR(INDEX(QUERY({'リスト'!$A$3:$G50; ARRAYFORMULA({TEXT('新規'!$A$2:$A50, ""aaa""), '新規'!$B$2:$B50, '新規'!$E$2:$E50, '新規'!$F$2:$F50, '新規'!$G$2:$G50})}, ""select Col3 where Col1 = '""&amp;C$1&amp;""' and Col2 = ""&amp;LOOKUP(10^10, $A$1:$A7)&amp;"" and Col5 = '毎月配信'""), ROW"&amp;"() - MATCH(LOOKUP(10^10, $A$1:$A7), $A$1:$A7, 0) + 1), """") 
"),"")</f>
        <v/>
      </c>
      <c r="D7" s="166" t="str">
        <f>IFERROR(__xludf.DUMMYFUNCTION("IFERROR(INDEX(QUERY({'リスト'!$A$3:$G50; ARRAYFORMULA({TEXT('新規'!$A$2:$A50, ""aaa""), '新規'!$B$2:$B50, '新規'!$E$2:$E50, '新規'!$F$2:$F50, '新規'!$G$2:$G50})}, ""select Col3 where Col1 = '""&amp;D$1&amp;""' and Col2 = ""&amp;LOOKUP(10^10, $A$1:$A7)&amp;"" and Col5 = '毎月配信'""), ROW"&amp;"() - MATCH(LOOKUP(10^10, $A$1:$A7), $A$1:$A7, 0) + 1), """") 
"),"")</f>
        <v/>
      </c>
      <c r="E7" s="166" t="str">
        <f>IFERROR(__xludf.DUMMYFUNCTION("IFERROR(INDEX(QUERY({'リスト'!$A$3:$G50; ARRAYFORMULA({TEXT('新規'!$A$2:$A50, ""aaa""), '新規'!$B$2:$B50, '新規'!$E$2:$E50, '新規'!$F$2:$F50, '新規'!$G$2:$G50})}, ""select Col3 where Col1 = '""&amp;E$1&amp;""' and Col2 = ""&amp;LOOKUP(10^10, $A$1:$A7)&amp;"" and Col5 = '毎月配信'""), ROW"&amp;"() - MATCH(LOOKUP(10^10, $A$1:$A7), $A$1:$A7, 0) + 1), """") 
"),"")</f>
        <v/>
      </c>
      <c r="F7" s="166" t="str">
        <f>IFERROR(__xludf.DUMMYFUNCTION("IFERROR(INDEX(QUERY({'リスト'!$A$3:$G50; ARRAYFORMULA({TEXT('新規'!$A$2:$A50, ""aaa""), '新規'!$B$2:$B50, '新規'!$E$2:$E50, '新規'!$F$2:$F50, '新規'!$G$2:$G50})}, ""select Col3 where Col1 = '""&amp;F$1&amp;""' and Col2 = ""&amp;LOOKUP(10^10, $A$1:$A7)&amp;"" and Col5 = '毎月配信'""), ROW"&amp;"() - MATCH(LOOKUP(10^10, $A$1:$A7), $A$1:$A7, 0) + 1), """") 
"),"")</f>
        <v/>
      </c>
      <c r="G7" s="166" t="str">
        <f>IFERROR(__xludf.DUMMYFUNCTION("IFERROR(INDEX(QUERY({'リスト'!$A$3:$G50; ARRAYFORMULA({TEXT('新規'!$A$2:$A50, ""aaa""), '新規'!$B$2:$B50, '新規'!$E$2:$E50, '新規'!$F$2:$F50, '新規'!$G$2:$G50})}, ""select Col3 where Col1 = '""&amp;G$1&amp;""' and Col2 = ""&amp;LOOKUP(10^10, $A$1:$A7)&amp;"" and Col5 = '毎月配信'""), ROW"&amp;"() - MATCH(LOOKUP(10^10, $A$1:$A7), $A$1:$A7, 0) + 1), """") 
"),"")</f>
        <v/>
      </c>
      <c r="H7" s="166" t="str">
        <f>IFERROR(__xludf.DUMMYFUNCTION("IFERROR(INDEX(QUERY({'リスト'!$A$3:$G50; ARRAYFORMULA({TEXT('新規'!$A$2:$A50, ""aaa""), '新規'!$B$2:$B50, '新規'!$E$2:$E50, '新規'!$F$2:$F50, '新規'!$G$2:$G50})}, ""select Col3 where Col1 = '""&amp;H$1&amp;""' and Col2 = ""&amp;LOOKUP(10^10, $A$1:$A7)&amp;"" and Col5 = '毎月配信'""), ROW"&amp;"() - MATCH(LOOKUP(10^10, $A$1:$A7), $A$1:$A7, 0) + 1), """") 
"),"")</f>
        <v/>
      </c>
      <c r="I7" s="167"/>
      <c r="J7" s="167"/>
      <c r="K7" s="167"/>
      <c r="L7" s="167"/>
      <c r="M7" s="167"/>
      <c r="N7" s="167"/>
      <c r="O7" s="167"/>
    </row>
    <row r="8" ht="16.5" customHeight="1">
      <c r="A8" s="164">
        <f>A6+1</f>
        <v>11</v>
      </c>
      <c r="B8" s="166" t="str">
        <f>IFERROR(__xludf.DUMMYFUNCTION("IFERROR(INDEX(QUERY({'リスト'!$A$3:$G50; ARRAYFORMULA({TEXT('新規'!$A$2:$A50, ""aaa""), '新規'!$B$2:$B50, '新規'!$E$2:$E50, '新規'!$F$2:$F50, '新規'!$G$2:$G50})}, ""select Col3 where Col1 = '""&amp;B$1&amp;""' and Col2 = ""&amp;LOOKUP(10^10, $A$1:$A8)&amp;"" and Col5 = '毎月配信'""), ROW"&amp;"() - MATCH(LOOKUP(10^10, $A$1:$A8), $A$1:$A8, 0) + 1), """") 
"),"")</f>
        <v/>
      </c>
      <c r="C8" s="166" t="str">
        <f>IFERROR(__xludf.DUMMYFUNCTION("IFERROR(INDEX(QUERY({'リスト'!$A$3:$G50; ARRAYFORMULA({TEXT('新規'!$A$2:$A50, ""aaa""), '新規'!$B$2:$B50, '新規'!$E$2:$E50, '新規'!$F$2:$F50, '新規'!$G$2:$G50})}, ""select Col3 where Col1 = '""&amp;C$1&amp;""' and Col2 = ""&amp;LOOKUP(10^10, $A$1:$A8)&amp;"" and Col5 = '毎月配信'""), ROW"&amp;"() - MATCH(LOOKUP(10^10, $A$1:$A8), $A$1:$A8, 0) + 1), """") 
"),"")</f>
        <v/>
      </c>
      <c r="D8" s="166" t="str">
        <f>IFERROR(__xludf.DUMMYFUNCTION("IFERROR(INDEX(QUERY({'リスト'!$A$3:$G50; ARRAYFORMULA({TEXT('新規'!$A$2:$A50, ""aaa""), '新規'!$B$2:$B50, '新規'!$E$2:$E50, '新規'!$F$2:$F50, '新規'!$G$2:$G50})}, ""select Col3 where Col1 = '""&amp;D$1&amp;""' and Col2 = ""&amp;LOOKUP(10^10, $A$1:$A8)&amp;"" and Col5 = '毎月配信'""), ROW"&amp;"() - MATCH(LOOKUP(10^10, $A$1:$A8), $A$1:$A8, 0) + 1), """") 
"),"")</f>
        <v/>
      </c>
      <c r="E8" s="166" t="str">
        <f>IFERROR(__xludf.DUMMYFUNCTION("IFERROR(INDEX(QUERY({'リスト'!$A$3:$G50; ARRAYFORMULA({TEXT('新規'!$A$2:$A50, ""aaa""), '新規'!$B$2:$B50, '新規'!$E$2:$E50, '新規'!$F$2:$F50, '新規'!$G$2:$G50})}, ""select Col3 where Col1 = '""&amp;E$1&amp;""' and Col2 = ""&amp;LOOKUP(10^10, $A$1:$A8)&amp;"" and Col5 = '毎月配信'""), ROW"&amp;"() - MATCH(LOOKUP(10^10, $A$1:$A8), $A$1:$A8, 0) + 1), """") 
"),"")</f>
        <v/>
      </c>
      <c r="F8" s="166" t="str">
        <f>IFERROR(__xludf.DUMMYFUNCTION("IFERROR(INDEX(QUERY({'リスト'!$A$3:$G50; ARRAYFORMULA({TEXT('新規'!$A$2:$A50, ""aaa""), '新規'!$B$2:$B50, '新規'!$E$2:$E50, '新規'!$F$2:$F50, '新規'!$G$2:$G50})}, ""select Col3 where Col1 = '""&amp;F$1&amp;""' and Col2 = ""&amp;LOOKUP(10^10, $A$1:$A8)&amp;"" and Col5 = '毎月配信'""), ROW"&amp;"() - MATCH(LOOKUP(10^10, $A$1:$A8), $A$1:$A8, 0) + 1), """") 
"),"")</f>
        <v/>
      </c>
      <c r="G8" s="166" t="str">
        <f>IFERROR(__xludf.DUMMYFUNCTION("IFERROR(INDEX(QUERY({'リスト'!$A$3:$G50; ARRAYFORMULA({TEXT('新規'!$A$2:$A50, ""aaa""), '新規'!$B$2:$B50, '新規'!$E$2:$E50, '新規'!$F$2:$F50, '新規'!$G$2:$G50})}, ""select Col3 where Col1 = '""&amp;G$1&amp;""' and Col2 = ""&amp;LOOKUP(10^10, $A$1:$A8)&amp;"" and Col5 = '毎月配信'""), ROW"&amp;"() - MATCH(LOOKUP(10^10, $A$1:$A8), $A$1:$A8, 0) + 1), """") 
"),"")</f>
        <v/>
      </c>
      <c r="H8" s="166" t="str">
        <f>IFERROR(__xludf.DUMMYFUNCTION("IFERROR(INDEX(QUERY({'リスト'!$A$3:$G50; ARRAYFORMULA({TEXT('新規'!$A$2:$A50, ""aaa""), '新規'!$B$2:$B50, '新規'!$E$2:$E50, '新規'!$F$2:$F50, '新規'!$G$2:$G50})}, ""select Col3 where Col1 = '""&amp;H$1&amp;""' and Col2 = ""&amp;LOOKUP(10^10, $A$1:$A8)&amp;"" and Col5 = '毎月配信'""), ROW"&amp;"() - MATCH(LOOKUP(10^10, $A$1:$A8), $A$1:$A8, 0) + 1), """") 
"),"")</f>
        <v/>
      </c>
      <c r="I8" s="167"/>
      <c r="J8" s="167"/>
      <c r="K8" s="167"/>
      <c r="L8" s="167"/>
      <c r="M8" s="167"/>
      <c r="N8" s="167"/>
      <c r="O8" s="167"/>
    </row>
    <row r="9" ht="16.5" customHeight="1">
      <c r="A9" s="164"/>
      <c r="B9" s="166" t="str">
        <f>IFERROR(__xludf.DUMMYFUNCTION("IFERROR(INDEX(QUERY({'リスト'!$A$3:$G50; ARRAYFORMULA({TEXT('新規'!$A$2:$A50, ""aaa""), '新規'!$B$2:$B50, '新規'!$E$2:$E50, '新規'!$F$2:$F50, '新規'!$G$2:$G50})}, ""select Col3 where Col1 = '""&amp;B$1&amp;""' and Col2 = ""&amp;LOOKUP(10^10, $A$1:$A9)&amp;"" and Col5 = '毎月配信'""), ROW"&amp;"() - MATCH(LOOKUP(10^10, $A$1:$A9), $A$1:$A9, 0) + 1), """") 
"),"")</f>
        <v/>
      </c>
      <c r="C9" s="166" t="str">
        <f>IFERROR(__xludf.DUMMYFUNCTION("IFERROR(INDEX(QUERY({'リスト'!$A$3:$G50; ARRAYFORMULA({TEXT('新規'!$A$2:$A50, ""aaa""), '新規'!$B$2:$B50, '新規'!$E$2:$E50, '新規'!$F$2:$F50, '新規'!$G$2:$G50})}, ""select Col3 where Col1 = '""&amp;C$1&amp;""' and Col2 = ""&amp;LOOKUP(10^10, $A$1:$A9)&amp;"" and Col5 = '毎月配信'""), ROW"&amp;"() - MATCH(LOOKUP(10^10, $A$1:$A9), $A$1:$A9, 0) + 1), """") 
"),"")</f>
        <v/>
      </c>
      <c r="D9" s="166" t="str">
        <f>IFERROR(__xludf.DUMMYFUNCTION("IFERROR(INDEX(QUERY({'リスト'!$A$3:$G50; ARRAYFORMULA({TEXT('新規'!$A$2:$A50, ""aaa""), '新規'!$B$2:$B50, '新規'!$E$2:$E50, '新規'!$F$2:$F50, '新規'!$G$2:$G50})}, ""select Col3 where Col1 = '""&amp;D$1&amp;""' and Col2 = ""&amp;LOOKUP(10^10, $A$1:$A9)&amp;"" and Col5 = '毎月配信'""), ROW"&amp;"() - MATCH(LOOKUP(10^10, $A$1:$A9), $A$1:$A9, 0) + 1), """") 
"),"")</f>
        <v/>
      </c>
      <c r="E9" s="166" t="str">
        <f>IFERROR(__xludf.DUMMYFUNCTION("IFERROR(INDEX(QUERY({'リスト'!$A$3:$G50; ARRAYFORMULA({TEXT('新規'!$A$2:$A50, ""aaa""), '新規'!$B$2:$B50, '新規'!$E$2:$E50, '新規'!$F$2:$F50, '新規'!$G$2:$G50})}, ""select Col3 where Col1 = '""&amp;E$1&amp;""' and Col2 = ""&amp;LOOKUP(10^10, $A$1:$A9)&amp;"" and Col5 = '毎月配信'""), ROW"&amp;"() - MATCH(LOOKUP(10^10, $A$1:$A9), $A$1:$A9, 0) + 1), """") 
"),"")</f>
        <v/>
      </c>
      <c r="F9" s="166" t="str">
        <f>IFERROR(__xludf.DUMMYFUNCTION("IFERROR(INDEX(QUERY({'リスト'!$A$3:$G50; ARRAYFORMULA({TEXT('新規'!$A$2:$A50, ""aaa""), '新規'!$B$2:$B50, '新規'!$E$2:$E50, '新規'!$F$2:$F50, '新規'!$G$2:$G50})}, ""select Col3 where Col1 = '""&amp;F$1&amp;""' and Col2 = ""&amp;LOOKUP(10^10, $A$1:$A9)&amp;"" and Col5 = '毎月配信'""), ROW"&amp;"() - MATCH(LOOKUP(10^10, $A$1:$A9), $A$1:$A9, 0) + 1), """") 
"),"")</f>
        <v/>
      </c>
      <c r="G9" s="166" t="str">
        <f>IFERROR(__xludf.DUMMYFUNCTION("IFERROR(INDEX(QUERY({'リスト'!$A$3:$G50; ARRAYFORMULA({TEXT('新規'!$A$2:$A50, ""aaa""), '新規'!$B$2:$B50, '新規'!$E$2:$E50, '新規'!$F$2:$F50, '新規'!$G$2:$G50})}, ""select Col3 where Col1 = '""&amp;G$1&amp;""' and Col2 = ""&amp;LOOKUP(10^10, $A$1:$A9)&amp;"" and Col5 = '毎月配信'""), ROW"&amp;"() - MATCH(LOOKUP(10^10, $A$1:$A9), $A$1:$A9, 0) + 1), """") 
"),"")</f>
        <v/>
      </c>
      <c r="H9" s="166" t="str">
        <f>IFERROR(__xludf.DUMMYFUNCTION("IFERROR(INDEX(QUERY({'リスト'!$A$3:$G50; ARRAYFORMULA({TEXT('新規'!$A$2:$A50, ""aaa""), '新規'!$B$2:$B50, '新規'!$E$2:$E50, '新規'!$F$2:$F50, '新規'!$G$2:$G50})}, ""select Col3 where Col1 = '""&amp;H$1&amp;""' and Col2 = ""&amp;LOOKUP(10^10, $A$1:$A9)&amp;"" and Col5 = '毎月配信'""), ROW"&amp;"() - MATCH(LOOKUP(10^10, $A$1:$A9), $A$1:$A9, 0) + 1), """") 
"),"")</f>
        <v/>
      </c>
      <c r="I9" s="167"/>
      <c r="J9" s="167"/>
      <c r="K9" s="167"/>
      <c r="L9" s="167"/>
      <c r="M9" s="167"/>
      <c r="N9" s="167"/>
      <c r="O9" s="167"/>
    </row>
    <row r="10" ht="16.5" customHeight="1">
      <c r="A10" s="164">
        <f>A8+1</f>
        <v>12</v>
      </c>
      <c r="B10" s="166" t="str">
        <f>IFERROR(__xludf.DUMMYFUNCTION("IFERROR(INDEX(QUERY({'リスト'!$A$3:$G50; ARRAYFORMULA({TEXT('新規'!$A$2:$A50, ""aaa""), '新規'!$B$2:$B50, '新規'!$E$2:$E50, '新規'!$F$2:$F50, '新規'!$G$2:$G50})}, ""select Col3 where Col1 = '""&amp;B$1&amp;""' and Col2 = ""&amp;LOOKUP(10^10, $A$1:$A10)&amp;"" and Col5 = '毎月配信'""), RO"&amp;"W() - MATCH(LOOKUP(10^10, $A$1:$A10), $A$1:$A10, 0) + 1), """") 
"),"")</f>
        <v/>
      </c>
      <c r="C10" s="166" t="str">
        <f>IFERROR(__xludf.DUMMYFUNCTION("IFERROR(INDEX(QUERY({'リスト'!$A$3:$G50; ARRAYFORMULA({TEXT('新規'!$A$2:$A50, ""aaa""), '新規'!$B$2:$B50, '新規'!$E$2:$E50, '新規'!$F$2:$F50, '新規'!$G$2:$G50})}, ""select Col3 where Col1 = '""&amp;C$1&amp;""' and Col2 = ""&amp;LOOKUP(10^10, $A$1:$A10)&amp;"" and Col5 = '毎月配信'""), RO"&amp;"W() - MATCH(LOOKUP(10^10, $A$1:$A10), $A$1:$A10, 0) + 1), """") 
"),"")</f>
        <v/>
      </c>
      <c r="D10" s="166" t="str">
        <f>IFERROR(__xludf.DUMMYFUNCTION("IFERROR(INDEX(QUERY({'リスト'!$A$3:$G50; ARRAYFORMULA({TEXT('新規'!$A$2:$A50, ""aaa""), '新規'!$B$2:$B50, '新規'!$E$2:$E50, '新規'!$F$2:$F50, '新規'!$G$2:$G50})}, ""select Col3 where Col1 = '""&amp;D$1&amp;""' and Col2 = ""&amp;LOOKUP(10^10, $A$1:$A10)&amp;"" and Col5 = '毎月配信'""), RO"&amp;"W() - MATCH(LOOKUP(10^10, $A$1:$A10), $A$1:$A10, 0) + 1), """") 
"),"")</f>
        <v/>
      </c>
      <c r="E10" s="166" t="str">
        <f>IFERROR(__xludf.DUMMYFUNCTION("IFERROR(INDEX(QUERY({'リスト'!$A$3:$G50; ARRAYFORMULA({TEXT('新規'!$A$2:$A50, ""aaa""), '新規'!$B$2:$B50, '新規'!$E$2:$E50, '新規'!$F$2:$F50, '新規'!$G$2:$G50})}, ""select Col3 where Col1 = '""&amp;E$1&amp;""' and Col2 = ""&amp;LOOKUP(10^10, $A$1:$A10)&amp;"" and Col5 = '毎月配信'""), RO"&amp;"W() - MATCH(LOOKUP(10^10, $A$1:$A10), $A$1:$A10, 0) + 1), """") 
"),"")</f>
        <v/>
      </c>
      <c r="F10" s="166" t="str">
        <f>IFERROR(__xludf.DUMMYFUNCTION("IFERROR(INDEX(QUERY({'リスト'!$A$3:$G50; ARRAYFORMULA({TEXT('新規'!$A$2:$A50, ""aaa""), '新規'!$B$2:$B50, '新規'!$E$2:$E50, '新規'!$F$2:$F50, '新規'!$G$2:$G50})}, ""select Col3 where Col1 = '""&amp;F$1&amp;""' and Col2 = ""&amp;LOOKUP(10^10, $A$1:$A10)&amp;"" and Col5 = '毎月配信'""), RO"&amp;"W() - MATCH(LOOKUP(10^10, $A$1:$A10), $A$1:$A10, 0) + 1), """") 
"),"")</f>
        <v/>
      </c>
      <c r="G10" s="166" t="str">
        <f>IFERROR(__xludf.DUMMYFUNCTION("IFERROR(INDEX(QUERY({'リスト'!$A$3:$G50; ARRAYFORMULA({TEXT('新規'!$A$2:$A50, ""aaa""), '新規'!$B$2:$B50, '新規'!$E$2:$E50, '新規'!$F$2:$F50, '新規'!$G$2:$G50})}, ""select Col3 where Col1 = '""&amp;G$1&amp;""' and Col2 = ""&amp;LOOKUP(10^10, $A$1:$A10)&amp;"" and Col5 = '毎月配信'""), RO"&amp;"W() - MATCH(LOOKUP(10^10, $A$1:$A10), $A$1:$A10, 0) + 1), """") 
"),"")</f>
        <v/>
      </c>
      <c r="H10" s="166" t="str">
        <f>IFERROR(__xludf.DUMMYFUNCTION("IFERROR(INDEX(QUERY({'リスト'!$A$3:$G50; ARRAYFORMULA({TEXT('新規'!$A$2:$A50, ""aaa""), '新規'!$B$2:$B50, '新規'!$E$2:$E50, '新規'!$F$2:$F50, '新規'!$G$2:$G50})}, ""select Col3 where Col1 = '""&amp;H$1&amp;""' and Col2 = ""&amp;LOOKUP(10^10, $A$1:$A10)&amp;"" and Col5 = '毎月配信'""), RO"&amp;"W() - MATCH(LOOKUP(10^10, $A$1:$A10), $A$1:$A10, 0) + 1), """") 
"),"")</f>
        <v/>
      </c>
      <c r="I10" s="167"/>
      <c r="J10" s="167"/>
      <c r="K10" s="167"/>
      <c r="L10" s="167"/>
      <c r="M10" s="167"/>
      <c r="N10" s="167"/>
      <c r="O10" s="167"/>
    </row>
    <row r="11" ht="16.5" customHeight="1">
      <c r="A11" s="164"/>
      <c r="B11" s="166" t="str">
        <f>IFERROR(__xludf.DUMMYFUNCTION("IFERROR(INDEX(QUERY({'リスト'!$A$3:$G50; ARRAYFORMULA({TEXT('新規'!$A$2:$A50, ""aaa""), '新規'!$B$2:$B50, '新規'!$E$2:$E50, '新規'!$F$2:$F50, '新規'!$G$2:$G50})}, ""select Col3 where Col1 = '""&amp;B$1&amp;""' and Col2 = ""&amp;LOOKUP(10^10, $A$1:$A11)&amp;"" and Col5 = '毎月配信'""), RO"&amp;"W() - MATCH(LOOKUP(10^10, $A$1:$A11), $A$1:$A11, 0) + 1), """") 
"),"")</f>
        <v/>
      </c>
      <c r="C11" s="166" t="str">
        <f>IFERROR(__xludf.DUMMYFUNCTION("IFERROR(INDEX(QUERY({'リスト'!$A$3:$G50; ARRAYFORMULA({TEXT('新規'!$A$2:$A50, ""aaa""), '新規'!$B$2:$B50, '新規'!$E$2:$E50, '新規'!$F$2:$F50, '新規'!$G$2:$G50})}, ""select Col3 where Col1 = '""&amp;C$1&amp;""' and Col2 = ""&amp;LOOKUP(10^10, $A$1:$A11)&amp;"" and Col5 = '毎月配信'""), RO"&amp;"W() - MATCH(LOOKUP(10^10, $A$1:$A11), $A$1:$A11, 0) + 1), """") 
"),"")</f>
        <v/>
      </c>
      <c r="D11" s="166" t="str">
        <f>IFERROR(__xludf.DUMMYFUNCTION("IFERROR(INDEX(QUERY({'リスト'!$A$3:$G50; ARRAYFORMULA({TEXT('新規'!$A$2:$A50, ""aaa""), '新規'!$B$2:$B50, '新規'!$E$2:$E50, '新規'!$F$2:$F50, '新規'!$G$2:$G50})}, ""select Col3 where Col1 = '""&amp;D$1&amp;""' and Col2 = ""&amp;LOOKUP(10^10, $A$1:$A11)&amp;"" and Col5 = '毎月配信'""), RO"&amp;"W() - MATCH(LOOKUP(10^10, $A$1:$A11), $A$1:$A11, 0) + 1), """") 
"),"")</f>
        <v/>
      </c>
      <c r="E11" s="166" t="str">
        <f>IFERROR(__xludf.DUMMYFUNCTION("IFERROR(INDEX(QUERY({'リスト'!$A$3:$G50; ARRAYFORMULA({TEXT('新規'!$A$2:$A50, ""aaa""), '新規'!$B$2:$B50, '新規'!$E$2:$E50, '新規'!$F$2:$F50, '新規'!$G$2:$G50})}, ""select Col3 where Col1 = '""&amp;E$1&amp;""' and Col2 = ""&amp;LOOKUP(10^10, $A$1:$A11)&amp;"" and Col5 = '毎月配信'""), RO"&amp;"W() - MATCH(LOOKUP(10^10, $A$1:$A11), $A$1:$A11, 0) + 1), """") 
"),"")</f>
        <v/>
      </c>
      <c r="F11" s="166" t="str">
        <f>IFERROR(__xludf.DUMMYFUNCTION("IFERROR(INDEX(QUERY({'リスト'!$A$3:$G50; ARRAYFORMULA({TEXT('新規'!$A$2:$A50, ""aaa""), '新規'!$B$2:$B50, '新規'!$E$2:$E50, '新規'!$F$2:$F50, '新規'!$G$2:$G50})}, ""select Col3 where Col1 = '""&amp;F$1&amp;""' and Col2 = ""&amp;LOOKUP(10^10, $A$1:$A11)&amp;"" and Col5 = '毎月配信'""), RO"&amp;"W() - MATCH(LOOKUP(10^10, $A$1:$A11), $A$1:$A11, 0) + 1), """") 
"),"")</f>
        <v/>
      </c>
      <c r="G11" s="166" t="str">
        <f>IFERROR(__xludf.DUMMYFUNCTION("IFERROR(INDEX(QUERY({'リスト'!$A$3:$G50; ARRAYFORMULA({TEXT('新規'!$A$2:$A50, ""aaa""), '新規'!$B$2:$B50, '新規'!$E$2:$E50, '新規'!$F$2:$F50, '新規'!$G$2:$G50})}, ""select Col3 where Col1 = '""&amp;G$1&amp;""' and Col2 = ""&amp;LOOKUP(10^10, $A$1:$A11)&amp;"" and Col5 = '毎月配信'""), RO"&amp;"W() - MATCH(LOOKUP(10^10, $A$1:$A11), $A$1:$A11, 0) + 1), """") 
"),"")</f>
        <v/>
      </c>
      <c r="H11" s="166" t="str">
        <f>IFERROR(__xludf.DUMMYFUNCTION("IFERROR(INDEX(QUERY({'リスト'!$A$3:$G50; ARRAYFORMULA({TEXT('新規'!$A$2:$A50, ""aaa""), '新規'!$B$2:$B50, '新規'!$E$2:$E50, '新規'!$F$2:$F50, '新規'!$G$2:$G50})}, ""select Col3 where Col1 = '""&amp;H$1&amp;""' and Col2 = ""&amp;LOOKUP(10^10, $A$1:$A11)&amp;"" and Col5 = '毎月配信'""), RO"&amp;"W() - MATCH(LOOKUP(10^10, $A$1:$A11), $A$1:$A11, 0) + 1), """") 
"),"")</f>
        <v/>
      </c>
      <c r="I11" s="167"/>
      <c r="J11" s="167"/>
      <c r="K11" s="167"/>
      <c r="L11" s="167"/>
      <c r="M11" s="167"/>
      <c r="N11" s="167"/>
      <c r="O11" s="167"/>
    </row>
    <row r="12" ht="16.5" customHeight="1">
      <c r="A12" s="164">
        <f>A10+1</f>
        <v>13</v>
      </c>
      <c r="B12" s="166" t="str">
        <f>IFERROR(__xludf.DUMMYFUNCTION("IFERROR(INDEX(QUERY({'リスト'!$A$3:$G50; ARRAYFORMULA({TEXT('新規'!$A$2:$A50, ""aaa""), '新規'!$B$2:$B50, '新規'!$E$2:$E50, '新規'!$F$2:$F50, '新規'!$G$2:$G50})}, ""select Col3 where Col1 = '""&amp;B$1&amp;""' and Col2 = ""&amp;LOOKUP(10^10, $A$1:$A12)&amp;"" and Col5 = '毎月配信'""), RO"&amp;"W() - MATCH(LOOKUP(10^10, $A$1:$A12), $A$1:$A12, 0) + 1), """") 
"),"")</f>
        <v/>
      </c>
      <c r="C12" s="166" t="str">
        <f>IFERROR(__xludf.DUMMYFUNCTION("IFERROR(INDEX(QUERY({'リスト'!$A$3:$G50; ARRAYFORMULA({TEXT('新規'!$A$2:$A50, ""aaa""), '新規'!$B$2:$B50, '新規'!$E$2:$E50, '新規'!$F$2:$F50, '新規'!$G$2:$G50})}, ""select Col3 where Col1 = '""&amp;C$1&amp;""' and Col2 = ""&amp;LOOKUP(10^10, $A$1:$A12)&amp;"" and Col5 = '毎月配信'""), RO"&amp;"W() - MATCH(LOOKUP(10^10, $A$1:$A12), $A$1:$A12, 0) + 1), """") 
"),"")</f>
        <v/>
      </c>
      <c r="D12" s="166" t="str">
        <f>IFERROR(__xludf.DUMMYFUNCTION("IFERROR(INDEX(QUERY({'リスト'!$A$3:$G50; ARRAYFORMULA({TEXT('新規'!$A$2:$A50, ""aaa""), '新規'!$B$2:$B50, '新規'!$E$2:$E50, '新規'!$F$2:$F50, '新規'!$G$2:$G50})}, ""select Col3 where Col1 = '""&amp;D$1&amp;""' and Col2 = ""&amp;LOOKUP(10^10, $A$1:$A12)&amp;"" and Col5 = '毎月配信'""), RO"&amp;"W() - MATCH(LOOKUP(10^10, $A$1:$A12), $A$1:$A12, 0) + 1), """") 
"),"")</f>
        <v/>
      </c>
      <c r="E12" s="166" t="str">
        <f>IFERROR(__xludf.DUMMYFUNCTION("IFERROR(INDEX(QUERY({'リスト'!$A$3:$G50; ARRAYFORMULA({TEXT('新規'!$A$2:$A50, ""aaa""), '新規'!$B$2:$B50, '新規'!$E$2:$E50, '新規'!$F$2:$F50, '新規'!$G$2:$G50})}, ""select Col3 where Col1 = '""&amp;E$1&amp;""' and Col2 = ""&amp;LOOKUP(10^10, $A$1:$A12)&amp;"" and Col5 = '毎月配信'""), RO"&amp;"W() - MATCH(LOOKUP(10^10, $A$1:$A12), $A$1:$A12, 0) + 1), """") 
"),"")</f>
        <v/>
      </c>
      <c r="F12" s="166" t="str">
        <f>IFERROR(__xludf.DUMMYFUNCTION("IFERROR(INDEX(QUERY({'リスト'!$A$3:$G50; ARRAYFORMULA({TEXT('新規'!$A$2:$A50, ""aaa""), '新規'!$B$2:$B50, '新規'!$E$2:$E50, '新規'!$F$2:$F50, '新規'!$G$2:$G50})}, ""select Col3 where Col1 = '""&amp;F$1&amp;""' and Col2 = ""&amp;LOOKUP(10^10, $A$1:$A12)&amp;"" and Col5 = '毎月配信'""), RO"&amp;"W() - MATCH(LOOKUP(10^10, $A$1:$A12), $A$1:$A12, 0) + 1), """") 
"),"")</f>
        <v/>
      </c>
      <c r="G12" s="166" t="str">
        <f>IFERROR(__xludf.DUMMYFUNCTION("IFERROR(INDEX(QUERY({'リスト'!$A$3:$G50; ARRAYFORMULA({TEXT('新規'!$A$2:$A50, ""aaa""), '新規'!$B$2:$B50, '新規'!$E$2:$E50, '新規'!$F$2:$F50, '新規'!$G$2:$G50})}, ""select Col3 where Col1 = '""&amp;G$1&amp;""' and Col2 = ""&amp;LOOKUP(10^10, $A$1:$A12)&amp;"" and Col5 = '毎月配信'""), RO"&amp;"W() - MATCH(LOOKUP(10^10, $A$1:$A12), $A$1:$A12, 0) + 1), """") 
"),"")</f>
        <v/>
      </c>
      <c r="H12" s="166" t="str">
        <f>IFERROR(__xludf.DUMMYFUNCTION("IFERROR(INDEX(QUERY({'リスト'!$A$3:$G50; ARRAYFORMULA({TEXT('新規'!$A$2:$A50, ""aaa""), '新規'!$B$2:$B50, '新規'!$E$2:$E50, '新規'!$F$2:$F50, '新規'!$G$2:$G50})}, ""select Col3 where Col1 = '""&amp;H$1&amp;""' and Col2 = ""&amp;LOOKUP(10^10, $A$1:$A12)&amp;"" and Col5 = '毎月配信'""), RO"&amp;"W() - MATCH(LOOKUP(10^10, $A$1:$A12), $A$1:$A12, 0) + 1), """") 
"),"")</f>
        <v/>
      </c>
      <c r="I12" s="167"/>
      <c r="J12" s="167"/>
      <c r="K12" s="167"/>
      <c r="L12" s="167"/>
      <c r="M12" s="167"/>
      <c r="N12" s="167"/>
      <c r="O12" s="167"/>
    </row>
    <row r="13" ht="16.5" customHeight="1">
      <c r="A13" s="164"/>
      <c r="B13" s="166" t="str">
        <f>IFERROR(__xludf.DUMMYFUNCTION("IFERROR(INDEX(QUERY({'リスト'!$A$3:$G50; ARRAYFORMULA({TEXT('新規'!$A$2:$A50, ""aaa""), '新規'!$B$2:$B50, '新規'!$E$2:$E50, '新規'!$F$2:$F50, '新規'!$G$2:$G50})}, ""select Col3 where Col1 = '""&amp;B$1&amp;""' and Col2 = ""&amp;LOOKUP(10^10, $A$1:$A13)&amp;"" and Col5 = '毎月配信'""), RO"&amp;"W() - MATCH(LOOKUP(10^10, $A$1:$A13), $A$1:$A13, 0) + 1), """") 
"),"")</f>
        <v/>
      </c>
      <c r="C13" s="166" t="str">
        <f>IFERROR(__xludf.DUMMYFUNCTION("IFERROR(INDEX(QUERY({'リスト'!$A$3:$G50; ARRAYFORMULA({TEXT('新規'!$A$2:$A50, ""aaa""), '新規'!$B$2:$B50, '新規'!$E$2:$E50, '新規'!$F$2:$F50, '新規'!$G$2:$G50})}, ""select Col3 where Col1 = '""&amp;C$1&amp;""' and Col2 = ""&amp;LOOKUP(10^10, $A$1:$A13)&amp;"" and Col5 = '毎月配信'""), RO"&amp;"W() - MATCH(LOOKUP(10^10, $A$1:$A13), $A$1:$A13, 0) + 1), """") 
"),"")</f>
        <v/>
      </c>
      <c r="D13" s="166" t="str">
        <f>IFERROR(__xludf.DUMMYFUNCTION("IFERROR(INDEX(QUERY({'リスト'!$A$3:$G50; ARRAYFORMULA({TEXT('新規'!$A$2:$A50, ""aaa""), '新規'!$B$2:$B50, '新規'!$E$2:$E50, '新規'!$F$2:$F50, '新規'!$G$2:$G50})}, ""select Col3 where Col1 = '""&amp;D$1&amp;""' and Col2 = ""&amp;LOOKUP(10^10, $A$1:$A13)&amp;"" and Col5 = '毎月配信'""), RO"&amp;"W() - MATCH(LOOKUP(10^10, $A$1:$A13), $A$1:$A13, 0) + 1), """") 
"),"")</f>
        <v/>
      </c>
      <c r="E13" s="166" t="str">
        <f>IFERROR(__xludf.DUMMYFUNCTION("IFERROR(INDEX(QUERY({'リスト'!$A$3:$G50; ARRAYFORMULA({TEXT('新規'!$A$2:$A50, ""aaa""), '新規'!$B$2:$B50, '新規'!$E$2:$E50, '新規'!$F$2:$F50, '新規'!$G$2:$G50})}, ""select Col3 where Col1 = '""&amp;E$1&amp;""' and Col2 = ""&amp;LOOKUP(10^10, $A$1:$A13)&amp;"" and Col5 = '毎月配信'""), RO"&amp;"W() - MATCH(LOOKUP(10^10, $A$1:$A13), $A$1:$A13, 0) + 1), """") 
"),"")</f>
        <v/>
      </c>
      <c r="F13" s="166" t="str">
        <f>IFERROR(__xludf.DUMMYFUNCTION("IFERROR(INDEX(QUERY({'リスト'!$A$3:$G50; ARRAYFORMULA({TEXT('新規'!$A$2:$A50, ""aaa""), '新規'!$B$2:$B50, '新規'!$E$2:$E50, '新規'!$F$2:$F50, '新規'!$G$2:$G50})}, ""select Col3 where Col1 = '""&amp;F$1&amp;""' and Col2 = ""&amp;LOOKUP(10^10, $A$1:$A13)&amp;"" and Col5 = '毎月配信'""), RO"&amp;"W() - MATCH(LOOKUP(10^10, $A$1:$A13), $A$1:$A13, 0) + 1), """") 
"),"")</f>
        <v/>
      </c>
      <c r="G13" s="166" t="str">
        <f>IFERROR(__xludf.DUMMYFUNCTION("IFERROR(INDEX(QUERY({'リスト'!$A$3:$G50; ARRAYFORMULA({TEXT('新規'!$A$2:$A50, ""aaa""), '新規'!$B$2:$B50, '新規'!$E$2:$E50, '新規'!$F$2:$F50, '新規'!$G$2:$G50})}, ""select Col3 where Col1 = '""&amp;G$1&amp;""' and Col2 = ""&amp;LOOKUP(10^10, $A$1:$A13)&amp;"" and Col5 = '毎月配信'""), RO"&amp;"W() - MATCH(LOOKUP(10^10, $A$1:$A13), $A$1:$A13, 0) + 1), """") 
"),"")</f>
        <v/>
      </c>
      <c r="H13" s="166" t="str">
        <f>IFERROR(__xludf.DUMMYFUNCTION("IFERROR(INDEX(QUERY({'リスト'!$A$3:$G50; ARRAYFORMULA({TEXT('新規'!$A$2:$A50, ""aaa""), '新規'!$B$2:$B50, '新規'!$E$2:$E50, '新規'!$F$2:$F50, '新規'!$G$2:$G50})}, ""select Col3 where Col1 = '""&amp;H$1&amp;""' and Col2 = ""&amp;LOOKUP(10^10, $A$1:$A13)&amp;"" and Col5 = '毎月配信'""), RO"&amp;"W() - MATCH(LOOKUP(10^10, $A$1:$A13), $A$1:$A13, 0) + 1), """") 
"),"")</f>
        <v/>
      </c>
      <c r="I13" s="167"/>
      <c r="J13" s="167"/>
      <c r="K13" s="167"/>
      <c r="L13" s="167"/>
      <c r="M13" s="167"/>
      <c r="N13" s="167"/>
      <c r="O13" s="167"/>
    </row>
    <row r="14" ht="16.5" customHeight="1">
      <c r="A14" s="164">
        <f>A12+1</f>
        <v>14</v>
      </c>
      <c r="B14" s="166" t="str">
        <f>IFERROR(__xludf.DUMMYFUNCTION("IFERROR(INDEX(QUERY({'リスト'!$A$3:$G50; ARRAYFORMULA({TEXT('新規'!$A$2:$A50, ""aaa""), '新規'!$B$2:$B50, '新規'!$E$2:$E50, '新規'!$F$2:$F50, '新規'!$G$2:$G50})}, ""select Col3 where Col1 = '""&amp;B$1&amp;""' and Col2 = ""&amp;LOOKUP(10^10, $A$1:$A14)&amp;"" and Col5 = '毎月配信'""), RO"&amp;"W() - MATCH(LOOKUP(10^10, $A$1:$A14), $A$1:$A14, 0) + 1), """") 
"),"")</f>
        <v/>
      </c>
      <c r="C14" s="166" t="str">
        <f>IFERROR(__xludf.DUMMYFUNCTION("IFERROR(INDEX(QUERY({'リスト'!$A$3:$G50; ARRAYFORMULA({TEXT('新規'!$A$2:$A50, ""aaa""), '新規'!$B$2:$B50, '新規'!$E$2:$E50, '新規'!$F$2:$F50, '新規'!$G$2:$G50})}, ""select Col3 where Col1 = '""&amp;C$1&amp;""' and Col2 = ""&amp;LOOKUP(10^10, $A$1:$A14)&amp;"" and Col5 = '毎月配信'""), RO"&amp;"W() - MATCH(LOOKUP(10^10, $A$1:$A14), $A$1:$A14, 0) + 1), """") 
"),"")</f>
        <v/>
      </c>
      <c r="D14" s="166" t="str">
        <f>IFERROR(__xludf.DUMMYFUNCTION("IFERROR(INDEX(QUERY({'リスト'!$A$3:$G50; ARRAYFORMULA({TEXT('新規'!$A$2:$A50, ""aaa""), '新規'!$B$2:$B50, '新規'!$E$2:$E50, '新規'!$F$2:$F50, '新規'!$G$2:$G50})}, ""select Col3 where Col1 = '""&amp;D$1&amp;""' and Col2 = ""&amp;LOOKUP(10^10, $A$1:$A14)&amp;"" and Col5 = '毎月配信'""), RO"&amp;"W() - MATCH(LOOKUP(10^10, $A$1:$A14), $A$1:$A14, 0) + 1), """") 
"),"")</f>
        <v/>
      </c>
      <c r="E14" s="166" t="str">
        <f>IFERROR(__xludf.DUMMYFUNCTION("IFERROR(INDEX(QUERY({'リスト'!$A$3:$G50; ARRAYFORMULA({TEXT('新規'!$A$2:$A50, ""aaa""), '新規'!$B$2:$B50, '新規'!$E$2:$E50, '新規'!$F$2:$F50, '新規'!$G$2:$G50})}, ""select Col3 where Col1 = '""&amp;E$1&amp;""' and Col2 = ""&amp;LOOKUP(10^10, $A$1:$A14)&amp;"" and Col5 = '毎月配信'""), RO"&amp;"W() - MATCH(LOOKUP(10^10, $A$1:$A14), $A$1:$A14, 0) + 1), """") 
"),"")</f>
        <v/>
      </c>
      <c r="F14" s="166" t="str">
        <f>IFERROR(__xludf.DUMMYFUNCTION("IFERROR(INDEX(QUERY({'リスト'!$A$3:$G50; ARRAYFORMULA({TEXT('新規'!$A$2:$A50, ""aaa""), '新規'!$B$2:$B50, '新規'!$E$2:$E50, '新規'!$F$2:$F50, '新規'!$G$2:$G50})}, ""select Col3 where Col1 = '""&amp;F$1&amp;""' and Col2 = ""&amp;LOOKUP(10^10, $A$1:$A14)&amp;"" and Col5 = '毎月配信'""), RO"&amp;"W() - MATCH(LOOKUP(10^10, $A$1:$A14), $A$1:$A14, 0) + 1), """") 
"),"")</f>
        <v/>
      </c>
      <c r="G14" s="166" t="str">
        <f>IFERROR(__xludf.DUMMYFUNCTION("IFERROR(INDEX(QUERY({'リスト'!$A$3:$G50; ARRAYFORMULA({TEXT('新規'!$A$2:$A50, ""aaa""), '新規'!$B$2:$B50, '新規'!$E$2:$E50, '新規'!$F$2:$F50, '新規'!$G$2:$G50})}, ""select Col3 where Col1 = '""&amp;G$1&amp;""' and Col2 = ""&amp;LOOKUP(10^10, $A$1:$A14)&amp;"" and Col5 = '毎月配信'""), RO"&amp;"W() - MATCH(LOOKUP(10^10, $A$1:$A14), $A$1:$A14, 0) + 1), """") 
"),"")</f>
        <v/>
      </c>
      <c r="H14" s="166" t="str">
        <f>IFERROR(__xludf.DUMMYFUNCTION("IFERROR(INDEX(QUERY({'リスト'!$A$3:$G50; ARRAYFORMULA({TEXT('新規'!$A$2:$A50, ""aaa""), '新規'!$B$2:$B50, '新規'!$E$2:$E50, '新規'!$F$2:$F50, '新規'!$G$2:$G50})}, ""select Col3 where Col1 = '""&amp;H$1&amp;""' and Col2 = ""&amp;LOOKUP(10^10, $A$1:$A14)&amp;"" and Col5 = '毎月配信'""), RO"&amp;"W() - MATCH(LOOKUP(10^10, $A$1:$A14), $A$1:$A14, 0) + 1), """") 
"),"")</f>
        <v/>
      </c>
      <c r="I14" s="167"/>
      <c r="J14" s="167"/>
      <c r="K14" s="167"/>
      <c r="L14" s="167"/>
      <c r="M14" s="167"/>
      <c r="N14" s="167"/>
      <c r="O14" s="167"/>
    </row>
    <row r="15" ht="16.5" customHeight="1">
      <c r="A15" s="164"/>
      <c r="B15" s="166" t="str">
        <f>IFERROR(__xludf.DUMMYFUNCTION("IFERROR(INDEX(QUERY({'リスト'!$A$3:$G50; ARRAYFORMULA({TEXT('新規'!$A$2:$A50, ""aaa""), '新規'!$B$2:$B50, '新規'!$E$2:$E50, '新規'!$F$2:$F50, '新規'!$G$2:$G50})}, ""select Col3 where Col1 = '""&amp;B$1&amp;""' and Col2 = ""&amp;LOOKUP(10^10, $A$1:$A15)&amp;"" and Col5 = '毎月配信'""), RO"&amp;"W() - MATCH(LOOKUP(10^10, $A$1:$A15), $A$1:$A15, 0) + 1), """") 
"),"")</f>
        <v/>
      </c>
      <c r="C15" s="166" t="str">
        <f>IFERROR(__xludf.DUMMYFUNCTION("IFERROR(INDEX(QUERY({'リスト'!$A$3:$G50; ARRAYFORMULA({TEXT('新規'!$A$2:$A50, ""aaa""), '新規'!$B$2:$B50, '新規'!$E$2:$E50, '新規'!$F$2:$F50, '新規'!$G$2:$G50})}, ""select Col3 where Col1 = '""&amp;C$1&amp;""' and Col2 = ""&amp;LOOKUP(10^10, $A$1:$A15)&amp;"" and Col5 = '毎月配信'""), RO"&amp;"W() - MATCH(LOOKUP(10^10, $A$1:$A15), $A$1:$A15, 0) + 1), """") 
"),"")</f>
        <v/>
      </c>
      <c r="D15" s="166" t="str">
        <f>IFERROR(__xludf.DUMMYFUNCTION("IFERROR(INDEX(QUERY({'リスト'!$A$3:$G50; ARRAYFORMULA({TEXT('新規'!$A$2:$A50, ""aaa""), '新規'!$B$2:$B50, '新規'!$E$2:$E50, '新規'!$F$2:$F50, '新規'!$G$2:$G50})}, ""select Col3 where Col1 = '""&amp;D$1&amp;""' and Col2 = ""&amp;LOOKUP(10^10, $A$1:$A15)&amp;"" and Col5 = '毎月配信'""), RO"&amp;"W() - MATCH(LOOKUP(10^10, $A$1:$A15), $A$1:$A15, 0) + 1), """") 
"),"")</f>
        <v/>
      </c>
      <c r="E15" s="166" t="str">
        <f>IFERROR(__xludf.DUMMYFUNCTION("IFERROR(INDEX(QUERY({'リスト'!$A$3:$G50; ARRAYFORMULA({TEXT('新規'!$A$2:$A50, ""aaa""), '新規'!$B$2:$B50, '新規'!$E$2:$E50, '新規'!$F$2:$F50, '新規'!$G$2:$G50})}, ""select Col3 where Col1 = '""&amp;E$1&amp;""' and Col2 = ""&amp;LOOKUP(10^10, $A$1:$A15)&amp;"" and Col5 = '毎月配信'""), RO"&amp;"W() - MATCH(LOOKUP(10^10, $A$1:$A15), $A$1:$A15, 0) + 1), """") 
"),"")</f>
        <v/>
      </c>
      <c r="F15" s="166" t="str">
        <f>IFERROR(__xludf.DUMMYFUNCTION("IFERROR(INDEX(QUERY({'リスト'!$A$3:$G50; ARRAYFORMULA({TEXT('新規'!$A$2:$A50, ""aaa""), '新規'!$B$2:$B50, '新規'!$E$2:$E50, '新規'!$F$2:$F50, '新規'!$G$2:$G50})}, ""select Col3 where Col1 = '""&amp;F$1&amp;""' and Col2 = ""&amp;LOOKUP(10^10, $A$1:$A15)&amp;"" and Col5 = '毎月配信'""), RO"&amp;"W() - MATCH(LOOKUP(10^10, $A$1:$A15), $A$1:$A15, 0) + 1), """") 
"),"")</f>
        <v/>
      </c>
      <c r="G15" s="166" t="str">
        <f>IFERROR(__xludf.DUMMYFUNCTION("IFERROR(INDEX(QUERY({'リスト'!$A$3:$G50; ARRAYFORMULA({TEXT('新規'!$A$2:$A50, ""aaa""), '新規'!$B$2:$B50, '新規'!$E$2:$E50, '新規'!$F$2:$F50, '新規'!$G$2:$G50})}, ""select Col3 where Col1 = '""&amp;G$1&amp;""' and Col2 = ""&amp;LOOKUP(10^10, $A$1:$A15)&amp;"" and Col5 = '毎月配信'""), RO"&amp;"W() - MATCH(LOOKUP(10^10, $A$1:$A15), $A$1:$A15, 0) + 1), """") 
"),"")</f>
        <v/>
      </c>
      <c r="H15" s="166" t="str">
        <f>IFERROR(__xludf.DUMMYFUNCTION("IFERROR(INDEX(QUERY({'リスト'!$A$3:$G50; ARRAYFORMULA({TEXT('新規'!$A$2:$A50, ""aaa""), '新規'!$B$2:$B50, '新規'!$E$2:$E50, '新規'!$F$2:$F50, '新規'!$G$2:$G50})}, ""select Col3 where Col1 = '""&amp;H$1&amp;""' and Col2 = ""&amp;LOOKUP(10^10, $A$1:$A15)&amp;"" and Col5 = '毎月配信'""), RO"&amp;"W() - MATCH(LOOKUP(10^10, $A$1:$A15), $A$1:$A15, 0) + 1), """") 
"),"")</f>
        <v/>
      </c>
      <c r="I15" s="167"/>
      <c r="J15" s="167"/>
      <c r="K15" s="167"/>
      <c r="L15" s="167"/>
      <c r="M15" s="167"/>
      <c r="N15" s="167"/>
      <c r="O15" s="167"/>
    </row>
    <row r="16" ht="16.5" customHeight="1">
      <c r="A16" s="164">
        <f>A14+1</f>
        <v>15</v>
      </c>
      <c r="B16" s="166" t="str">
        <f>IFERROR(__xludf.DUMMYFUNCTION("IFERROR(INDEX(QUERY({'リスト'!$A$3:$G50; ARRAYFORMULA({TEXT('新規'!$A$2:$A50, ""aaa""), '新規'!$B$2:$B50, '新規'!$E$2:$E50, '新規'!$F$2:$F50, '新規'!$G$2:$G50})}, ""select Col3 where Col1 = '""&amp;B$1&amp;""' and Col2 = ""&amp;LOOKUP(10^10, $A$1:$A16)&amp;"" and Col5 = '毎月配信'""), RO"&amp;"W() - MATCH(LOOKUP(10^10, $A$1:$A16), $A$1:$A16, 0) + 1), """") 
"),"")</f>
        <v/>
      </c>
      <c r="C16" s="166" t="str">
        <f>IFERROR(__xludf.DUMMYFUNCTION("IFERROR(INDEX(QUERY({'リスト'!$A$3:$G50; ARRAYFORMULA({TEXT('新規'!$A$2:$A50, ""aaa""), '新規'!$B$2:$B50, '新規'!$E$2:$E50, '新規'!$F$2:$F50, '新規'!$G$2:$G50})}, ""select Col3 where Col1 = '""&amp;C$1&amp;""' and Col2 = ""&amp;LOOKUP(10^10, $A$1:$A16)&amp;"" and Col5 = '毎月配信'""), RO"&amp;"W() - MATCH(LOOKUP(10^10, $A$1:$A16), $A$1:$A16, 0) + 1), """") 
"),"")</f>
        <v/>
      </c>
      <c r="D16" s="166" t="str">
        <f>IFERROR(__xludf.DUMMYFUNCTION("IFERROR(INDEX(QUERY({'リスト'!$A$3:$G50; ARRAYFORMULA({TEXT('新規'!$A$2:$A50, ""aaa""), '新規'!$B$2:$B50, '新規'!$E$2:$E50, '新規'!$F$2:$F50, '新規'!$G$2:$G50})}, ""select Col3 where Col1 = '""&amp;D$1&amp;""' and Col2 = ""&amp;LOOKUP(10^10, $A$1:$A16)&amp;"" and Col5 = '毎月配信'""), RO"&amp;"W() - MATCH(LOOKUP(10^10, $A$1:$A16), $A$1:$A16, 0) + 1), """") 
"),"")</f>
        <v/>
      </c>
      <c r="E16" s="166" t="str">
        <f>IFERROR(__xludf.DUMMYFUNCTION("IFERROR(INDEX(QUERY({'リスト'!$A$3:$G50; ARRAYFORMULA({TEXT('新規'!$A$2:$A50, ""aaa""), '新規'!$B$2:$B50, '新規'!$E$2:$E50, '新規'!$F$2:$F50, '新規'!$G$2:$G50})}, ""select Col3 where Col1 = '""&amp;E$1&amp;""' and Col2 = ""&amp;LOOKUP(10^10, $A$1:$A16)&amp;"" and Col5 = '毎月配信'""), RO"&amp;"W() - MATCH(LOOKUP(10^10, $A$1:$A16), $A$1:$A16, 0) + 1), """") 
"),"")</f>
        <v/>
      </c>
      <c r="F16" s="166" t="str">
        <f>IFERROR(__xludf.DUMMYFUNCTION("IFERROR(INDEX(QUERY({'リスト'!$A$3:$G50; ARRAYFORMULA({TEXT('新規'!$A$2:$A50, ""aaa""), '新規'!$B$2:$B50, '新規'!$E$2:$E50, '新規'!$F$2:$F50, '新規'!$G$2:$G50})}, ""select Col3 where Col1 = '""&amp;F$1&amp;""' and Col2 = ""&amp;LOOKUP(10^10, $A$1:$A16)&amp;"" and Col5 = '毎月配信'""), RO"&amp;"W() - MATCH(LOOKUP(10^10, $A$1:$A16), $A$1:$A16, 0) + 1), """") 
"),"")</f>
        <v/>
      </c>
      <c r="G16" s="166" t="str">
        <f>IFERROR(__xludf.DUMMYFUNCTION("IFERROR(INDEX(QUERY({'リスト'!$A$3:$G50; ARRAYFORMULA({TEXT('新規'!$A$2:$A50, ""aaa""), '新規'!$B$2:$B50, '新規'!$E$2:$E50, '新規'!$F$2:$F50, '新規'!$G$2:$G50})}, ""select Col3 where Col1 = '""&amp;G$1&amp;""' and Col2 = ""&amp;LOOKUP(10^10, $A$1:$A16)&amp;"" and Col5 = '毎月配信'""), RO"&amp;"W() - MATCH(LOOKUP(10^10, $A$1:$A16), $A$1:$A16, 0) + 1), """") 
"),"")</f>
        <v/>
      </c>
      <c r="H16" s="166" t="str">
        <f>IFERROR(__xludf.DUMMYFUNCTION("IFERROR(INDEX(QUERY({'リスト'!$A$3:$G50; ARRAYFORMULA({TEXT('新規'!$A$2:$A50, ""aaa""), '新規'!$B$2:$B50, '新規'!$E$2:$E50, '新規'!$F$2:$F50, '新規'!$G$2:$G50})}, ""select Col3 where Col1 = '""&amp;H$1&amp;""' and Col2 = ""&amp;LOOKUP(10^10, $A$1:$A16)&amp;"" and Col5 = '毎月配信'""), RO"&amp;"W() - MATCH(LOOKUP(10^10, $A$1:$A16), $A$1:$A16, 0) + 1), """") 
"),"")</f>
        <v/>
      </c>
      <c r="I16" s="167"/>
      <c r="J16" s="167"/>
      <c r="K16" s="167"/>
      <c r="L16" s="167"/>
      <c r="M16" s="167"/>
      <c r="N16" s="167"/>
      <c r="O16" s="167"/>
    </row>
    <row r="17" ht="16.5" customHeight="1">
      <c r="A17" s="164"/>
      <c r="B17" s="166" t="str">
        <f>IFERROR(__xludf.DUMMYFUNCTION("IFERROR(INDEX(QUERY({'リスト'!$A$3:$G50; ARRAYFORMULA({TEXT('新規'!$A$2:$A50, ""aaa""), '新規'!$B$2:$B50, '新規'!$E$2:$E50, '新規'!$F$2:$F50, '新規'!$G$2:$G50})}, ""select Col3 where Col1 = '""&amp;B$1&amp;""' and Col2 = ""&amp;LOOKUP(10^10, $A$1:$A17)&amp;"" and Col5 = '毎月配信'""), RO"&amp;"W() - MATCH(LOOKUP(10^10, $A$1:$A17), $A$1:$A17, 0) + 1), """") 
"),"")</f>
        <v/>
      </c>
      <c r="C17" s="166" t="str">
        <f>IFERROR(__xludf.DUMMYFUNCTION("IFERROR(INDEX(QUERY({'リスト'!$A$3:$G50; ARRAYFORMULA({TEXT('新規'!$A$2:$A50, ""aaa""), '新規'!$B$2:$B50, '新規'!$E$2:$E50, '新規'!$F$2:$F50, '新規'!$G$2:$G50})}, ""select Col3 where Col1 = '""&amp;C$1&amp;""' and Col2 = ""&amp;LOOKUP(10^10, $A$1:$A17)&amp;"" and Col5 = '毎月配信'""), RO"&amp;"W() - MATCH(LOOKUP(10^10, $A$1:$A17), $A$1:$A17, 0) + 1), """") 
"),"")</f>
        <v/>
      </c>
      <c r="D17" s="166" t="str">
        <f>IFERROR(__xludf.DUMMYFUNCTION("IFERROR(INDEX(QUERY({'リスト'!$A$3:$G50; ARRAYFORMULA({TEXT('新規'!$A$2:$A50, ""aaa""), '新規'!$B$2:$B50, '新規'!$E$2:$E50, '新規'!$F$2:$F50, '新規'!$G$2:$G50})}, ""select Col3 where Col1 = '""&amp;D$1&amp;""' and Col2 = ""&amp;LOOKUP(10^10, $A$1:$A17)&amp;"" and Col5 = '毎月配信'""), RO"&amp;"W() - MATCH(LOOKUP(10^10, $A$1:$A17), $A$1:$A17, 0) + 1), """") 
"),"")</f>
        <v/>
      </c>
      <c r="E17" s="166" t="str">
        <f>IFERROR(__xludf.DUMMYFUNCTION("IFERROR(INDEX(QUERY({'リスト'!$A$3:$G50; ARRAYFORMULA({TEXT('新規'!$A$2:$A50, ""aaa""), '新規'!$B$2:$B50, '新規'!$E$2:$E50, '新規'!$F$2:$F50, '新規'!$G$2:$G50})}, ""select Col3 where Col1 = '""&amp;E$1&amp;""' and Col2 = ""&amp;LOOKUP(10^10, $A$1:$A17)&amp;"" and Col5 = '毎月配信'""), RO"&amp;"W() - MATCH(LOOKUP(10^10, $A$1:$A17), $A$1:$A17, 0) + 1), """") 
"),"")</f>
        <v/>
      </c>
      <c r="F17" s="166" t="str">
        <f>IFERROR(__xludf.DUMMYFUNCTION("IFERROR(INDEX(QUERY({'リスト'!$A$3:$G50; ARRAYFORMULA({TEXT('新規'!$A$2:$A50, ""aaa""), '新規'!$B$2:$B50, '新規'!$E$2:$E50, '新規'!$F$2:$F50, '新規'!$G$2:$G50})}, ""select Col3 where Col1 = '""&amp;F$1&amp;""' and Col2 = ""&amp;LOOKUP(10^10, $A$1:$A17)&amp;"" and Col5 = '毎月配信'""), RO"&amp;"W() - MATCH(LOOKUP(10^10, $A$1:$A17), $A$1:$A17, 0) + 1), """") 
"),"")</f>
        <v/>
      </c>
      <c r="G17" s="166" t="str">
        <f>IFERROR(__xludf.DUMMYFUNCTION("IFERROR(INDEX(QUERY({'リスト'!$A$3:$G50; ARRAYFORMULA({TEXT('新規'!$A$2:$A50, ""aaa""), '新規'!$B$2:$B50, '新規'!$E$2:$E50, '新規'!$F$2:$F50, '新規'!$G$2:$G50})}, ""select Col3 where Col1 = '""&amp;G$1&amp;""' and Col2 = ""&amp;LOOKUP(10^10, $A$1:$A17)&amp;"" and Col5 = '毎月配信'""), RO"&amp;"W() - MATCH(LOOKUP(10^10, $A$1:$A17), $A$1:$A17, 0) + 1), """") 
"),"")</f>
        <v/>
      </c>
      <c r="H17" s="166" t="str">
        <f>IFERROR(__xludf.DUMMYFUNCTION("IFERROR(INDEX(QUERY({'リスト'!$A$3:$G50; ARRAYFORMULA({TEXT('新規'!$A$2:$A50, ""aaa""), '新規'!$B$2:$B50, '新規'!$E$2:$E50, '新規'!$F$2:$F50, '新規'!$G$2:$G50})}, ""select Col3 where Col1 = '""&amp;H$1&amp;""' and Col2 = ""&amp;LOOKUP(10^10, $A$1:$A17)&amp;"" and Col5 = '毎月配信'""), RO"&amp;"W() - MATCH(LOOKUP(10^10, $A$1:$A17), $A$1:$A17, 0) + 1), """") 
"),"")</f>
        <v/>
      </c>
      <c r="I17" s="167"/>
      <c r="J17" s="167"/>
      <c r="K17" s="167"/>
      <c r="L17" s="167"/>
      <c r="M17" s="167"/>
      <c r="N17" s="167"/>
      <c r="O17" s="167"/>
    </row>
    <row r="18" ht="16.5" customHeight="1">
      <c r="A18" s="164">
        <f>A16+1</f>
        <v>16</v>
      </c>
      <c r="B18" s="166" t="str">
        <f>IFERROR(__xludf.DUMMYFUNCTION("IFERROR(INDEX(QUERY({'リスト'!$A$3:$G50; ARRAYFORMULA({TEXT('新規'!$A$2:$A50, ""aaa""), '新規'!$B$2:$B50, '新規'!$E$2:$E50, '新規'!$F$2:$F50, '新規'!$G$2:$G50})}, ""select Col3 where Col1 = '""&amp;B$1&amp;""' and Col2 = ""&amp;LOOKUP(10^10, $A$1:$A18)&amp;"" and Col5 = '毎月配信'""), RO"&amp;"W() - MATCH(LOOKUP(10^10, $A$1:$A18), $A$1:$A18, 0) + 1), """") 
"),"")</f>
        <v/>
      </c>
      <c r="C18" s="166" t="str">
        <f>IFERROR(__xludf.DUMMYFUNCTION("IFERROR(INDEX(QUERY({'リスト'!$A$3:$G50; ARRAYFORMULA({TEXT('新規'!$A$2:$A50, ""aaa""), '新規'!$B$2:$B50, '新規'!$E$2:$E50, '新規'!$F$2:$F50, '新規'!$G$2:$G50})}, ""select Col3 where Col1 = '""&amp;C$1&amp;""' and Col2 = ""&amp;LOOKUP(10^10, $A$1:$A18)&amp;"" and Col5 = '毎月配信'""), RO"&amp;"W() - MATCH(LOOKUP(10^10, $A$1:$A18), $A$1:$A18, 0) + 1), """") 
"),"")</f>
        <v/>
      </c>
      <c r="D18" s="166" t="str">
        <f>IFERROR(__xludf.DUMMYFUNCTION("IFERROR(INDEX(QUERY({'リスト'!$A$3:$G50; ARRAYFORMULA({TEXT('新規'!$A$2:$A50, ""aaa""), '新規'!$B$2:$B50, '新規'!$E$2:$E50, '新規'!$F$2:$F50, '新規'!$G$2:$G50})}, ""select Col3 where Col1 = '""&amp;D$1&amp;""' and Col2 = ""&amp;LOOKUP(10^10, $A$1:$A18)&amp;"" and Col5 = '毎月配信'""), RO"&amp;"W() - MATCH(LOOKUP(10^10, $A$1:$A18), $A$1:$A18, 0) + 1), """") 
"),"")</f>
        <v/>
      </c>
      <c r="E18" s="166" t="str">
        <f>IFERROR(__xludf.DUMMYFUNCTION("IFERROR(INDEX(QUERY({'リスト'!$A$3:$G50; ARRAYFORMULA({TEXT('新規'!$A$2:$A50, ""aaa""), '新規'!$B$2:$B50, '新規'!$E$2:$E50, '新規'!$F$2:$F50, '新規'!$G$2:$G50})}, ""select Col3 where Col1 = '""&amp;E$1&amp;""' and Col2 = ""&amp;LOOKUP(10^10, $A$1:$A18)&amp;"" and Col5 = '毎月配信'""), RO"&amp;"W() - MATCH(LOOKUP(10^10, $A$1:$A18), $A$1:$A18, 0) + 1), """") 
"),"")</f>
        <v/>
      </c>
      <c r="F18" s="166" t="str">
        <f>IFERROR(__xludf.DUMMYFUNCTION("IFERROR(INDEX(QUERY({'リスト'!$A$3:$G50; ARRAYFORMULA({TEXT('新規'!$A$2:$A50, ""aaa""), '新規'!$B$2:$B50, '新規'!$E$2:$E50, '新規'!$F$2:$F50, '新規'!$G$2:$G50})}, ""select Col3 where Col1 = '""&amp;F$1&amp;""' and Col2 = ""&amp;LOOKUP(10^10, $A$1:$A18)&amp;"" and Col5 = '毎月配信'""), RO"&amp;"W() - MATCH(LOOKUP(10^10, $A$1:$A18), $A$1:$A18, 0) + 1), """") 
"),"")</f>
        <v/>
      </c>
      <c r="G18" s="166" t="str">
        <f>IFERROR(__xludf.DUMMYFUNCTION("IFERROR(INDEX(QUERY({'リスト'!$A$3:$G50; ARRAYFORMULA({TEXT('新規'!$A$2:$A50, ""aaa""), '新規'!$B$2:$B50, '新規'!$E$2:$E50, '新規'!$F$2:$F50, '新規'!$G$2:$G50})}, ""select Col3 where Col1 = '""&amp;G$1&amp;""' and Col2 = ""&amp;LOOKUP(10^10, $A$1:$A18)&amp;"" and Col5 = '毎月配信'""), RO"&amp;"W() - MATCH(LOOKUP(10^10, $A$1:$A18), $A$1:$A18, 0) + 1), """") 
"),"")</f>
        <v/>
      </c>
      <c r="H18" s="166" t="str">
        <f>IFERROR(__xludf.DUMMYFUNCTION("IFERROR(INDEX(QUERY({'リスト'!$A$3:$G50; ARRAYFORMULA({TEXT('新規'!$A$2:$A50, ""aaa""), '新規'!$B$2:$B50, '新規'!$E$2:$E50, '新規'!$F$2:$F50, '新規'!$G$2:$G50})}, ""select Col3 where Col1 = '""&amp;H$1&amp;""' and Col2 = ""&amp;LOOKUP(10^10, $A$1:$A18)&amp;"" and Col5 = '毎月配信'""), RO"&amp;"W() - MATCH(LOOKUP(10^10, $A$1:$A18), $A$1:$A18, 0) + 1), """") 
"),"")</f>
        <v/>
      </c>
      <c r="I18" s="167"/>
      <c r="J18" s="167"/>
      <c r="K18" s="167"/>
      <c r="L18" s="167"/>
      <c r="M18" s="167"/>
      <c r="N18" s="167"/>
      <c r="O18" s="167"/>
    </row>
    <row r="19" ht="16.5" customHeight="1">
      <c r="A19" s="164"/>
      <c r="B19" s="166" t="str">
        <f>IFERROR(__xludf.DUMMYFUNCTION("IFERROR(INDEX(QUERY({'リスト'!$A$3:$G50; ARRAYFORMULA({TEXT('新規'!$A$2:$A50, ""aaa""), '新規'!$B$2:$B50, '新規'!$E$2:$E50, '新規'!$F$2:$F50, '新規'!$G$2:$G50})}, ""select Col3 where Col1 = '""&amp;B$1&amp;""' and Col2 = ""&amp;LOOKUP(10^10, $A$1:$A19)&amp;"" and Col5 = '毎月配信'""), RO"&amp;"W() - MATCH(LOOKUP(10^10, $A$1:$A19), $A$1:$A19, 0) + 1), """") 
"),"")</f>
        <v/>
      </c>
      <c r="C19" s="166" t="str">
        <f>IFERROR(__xludf.DUMMYFUNCTION("IFERROR(INDEX(QUERY({'リスト'!$A$3:$G50; ARRAYFORMULA({TEXT('新規'!$A$2:$A50, ""aaa""), '新規'!$B$2:$B50, '新規'!$E$2:$E50, '新規'!$F$2:$F50, '新規'!$G$2:$G50})}, ""select Col3 where Col1 = '""&amp;C$1&amp;""' and Col2 = ""&amp;LOOKUP(10^10, $A$1:$A19)&amp;"" and Col5 = '毎月配信'""), RO"&amp;"W() - MATCH(LOOKUP(10^10, $A$1:$A19), $A$1:$A19, 0) + 1), """") 
"),"")</f>
        <v/>
      </c>
      <c r="D19" s="166" t="str">
        <f>IFERROR(__xludf.DUMMYFUNCTION("IFERROR(INDEX(QUERY({'リスト'!$A$3:$G50; ARRAYFORMULA({TEXT('新規'!$A$2:$A50, ""aaa""), '新規'!$B$2:$B50, '新規'!$E$2:$E50, '新規'!$F$2:$F50, '新規'!$G$2:$G50})}, ""select Col3 where Col1 = '""&amp;D$1&amp;""' and Col2 = ""&amp;LOOKUP(10^10, $A$1:$A19)&amp;"" and Col5 = '毎月配信'""), RO"&amp;"W() - MATCH(LOOKUP(10^10, $A$1:$A19), $A$1:$A19, 0) + 1), """") 
"),"")</f>
        <v/>
      </c>
      <c r="E19" s="166" t="str">
        <f>IFERROR(__xludf.DUMMYFUNCTION("IFERROR(INDEX(QUERY({'リスト'!$A$3:$G50; ARRAYFORMULA({TEXT('新規'!$A$2:$A50, ""aaa""), '新規'!$B$2:$B50, '新規'!$E$2:$E50, '新規'!$F$2:$F50, '新規'!$G$2:$G50})}, ""select Col3 where Col1 = '""&amp;E$1&amp;""' and Col2 = ""&amp;LOOKUP(10^10, $A$1:$A19)&amp;"" and Col5 = '毎月配信'""), RO"&amp;"W() - MATCH(LOOKUP(10^10, $A$1:$A19), $A$1:$A19, 0) + 1), """") 
"),"")</f>
        <v/>
      </c>
      <c r="F19" s="166" t="str">
        <f>IFERROR(__xludf.DUMMYFUNCTION("IFERROR(INDEX(QUERY({'リスト'!$A$3:$G50; ARRAYFORMULA({TEXT('新規'!$A$2:$A50, ""aaa""), '新規'!$B$2:$B50, '新規'!$E$2:$E50, '新規'!$F$2:$F50, '新規'!$G$2:$G50})}, ""select Col3 where Col1 = '""&amp;F$1&amp;""' and Col2 = ""&amp;LOOKUP(10^10, $A$1:$A19)&amp;"" and Col5 = '毎月配信'""), RO"&amp;"W() - MATCH(LOOKUP(10^10, $A$1:$A19), $A$1:$A19, 0) + 1), """") 
"),"")</f>
        <v/>
      </c>
      <c r="G19" s="166" t="str">
        <f>IFERROR(__xludf.DUMMYFUNCTION("IFERROR(INDEX(QUERY({'リスト'!$A$3:$G50; ARRAYFORMULA({TEXT('新規'!$A$2:$A50, ""aaa""), '新規'!$B$2:$B50, '新規'!$E$2:$E50, '新規'!$F$2:$F50, '新規'!$G$2:$G50})}, ""select Col3 where Col1 = '""&amp;G$1&amp;""' and Col2 = ""&amp;LOOKUP(10^10, $A$1:$A19)&amp;"" and Col5 = '毎月配信'""), RO"&amp;"W() - MATCH(LOOKUP(10^10, $A$1:$A19), $A$1:$A19, 0) + 1), """") 
"),"")</f>
        <v/>
      </c>
      <c r="H19" s="166" t="str">
        <f>IFERROR(__xludf.DUMMYFUNCTION("IFERROR(INDEX(QUERY({'リスト'!$A$3:$G50; ARRAYFORMULA({TEXT('新規'!$A$2:$A50, ""aaa""), '新規'!$B$2:$B50, '新規'!$E$2:$E50, '新規'!$F$2:$F50, '新規'!$G$2:$G50})}, ""select Col3 where Col1 = '""&amp;H$1&amp;""' and Col2 = ""&amp;LOOKUP(10^10, $A$1:$A19)&amp;"" and Col5 = '毎月配信'""), RO"&amp;"W() - MATCH(LOOKUP(10^10, $A$1:$A19), $A$1:$A19, 0) + 1), """") 
"),"")</f>
        <v/>
      </c>
      <c r="I19" s="167"/>
      <c r="J19" s="167"/>
      <c r="K19" s="167"/>
      <c r="L19" s="167"/>
      <c r="M19" s="167"/>
      <c r="N19" s="167"/>
      <c r="O19" s="167"/>
    </row>
    <row r="20" ht="16.5" customHeight="1">
      <c r="A20" s="164">
        <f>A18+1</f>
        <v>17</v>
      </c>
      <c r="B20" s="166" t="str">
        <f>IFERROR(__xludf.DUMMYFUNCTION("IFERROR(INDEX(QUERY({'リスト'!$A$3:$G50; ARRAYFORMULA({TEXT('新規'!$A$2:$A50, ""aaa""), '新規'!$B$2:$B50, '新規'!$E$2:$E50, '新規'!$F$2:$F50, '新規'!$G$2:$G50})}, ""select Col3 where Col1 = '""&amp;B$1&amp;""' and Col2 = ""&amp;LOOKUP(10^10, $A$1:$A20)&amp;"" and Col5 = '毎月配信'""), RO"&amp;"W() - MATCH(LOOKUP(10^10, $A$1:$A20), $A$1:$A20, 0) + 1), """") 
"),"")</f>
        <v/>
      </c>
      <c r="C20" s="166" t="str">
        <f>IFERROR(__xludf.DUMMYFUNCTION("IFERROR(INDEX(QUERY({'リスト'!$A$3:$G50; ARRAYFORMULA({TEXT('新規'!$A$2:$A50, ""aaa""), '新規'!$B$2:$B50, '新規'!$E$2:$E50, '新規'!$F$2:$F50, '新規'!$G$2:$G50})}, ""select Col3 where Col1 = '""&amp;C$1&amp;""' and Col2 = ""&amp;LOOKUP(10^10, $A$1:$A20)&amp;"" and Col5 = '毎月配信'""), RO"&amp;"W() - MATCH(LOOKUP(10^10, $A$1:$A20), $A$1:$A20, 0) + 1), """") 
"),"")</f>
        <v/>
      </c>
      <c r="D20" s="166" t="str">
        <f>IFERROR(__xludf.DUMMYFUNCTION("IFERROR(INDEX(QUERY({'リスト'!$A$3:$G50; ARRAYFORMULA({TEXT('新規'!$A$2:$A50, ""aaa""), '新規'!$B$2:$B50, '新規'!$E$2:$E50, '新規'!$F$2:$F50, '新規'!$G$2:$G50})}, ""select Col3 where Col1 = '""&amp;D$1&amp;""' and Col2 = ""&amp;LOOKUP(10^10, $A$1:$A20)&amp;"" and Col5 = '毎月配信'""), RO"&amp;"W() - MATCH(LOOKUP(10^10, $A$1:$A20), $A$1:$A20, 0) + 1), """") 
"),"")</f>
        <v/>
      </c>
      <c r="E20" s="166" t="str">
        <f>IFERROR(__xludf.DUMMYFUNCTION("IFERROR(INDEX(QUERY({'リスト'!$A$3:$G50; ARRAYFORMULA({TEXT('新規'!$A$2:$A50, ""aaa""), '新規'!$B$2:$B50, '新規'!$E$2:$E50, '新規'!$F$2:$F50, '新規'!$G$2:$G50})}, ""select Col3 where Col1 = '""&amp;E$1&amp;""' and Col2 = ""&amp;LOOKUP(10^10, $A$1:$A20)&amp;"" and Col5 = '毎月配信'""), RO"&amp;"W() - MATCH(LOOKUP(10^10, $A$1:$A20), $A$1:$A20, 0) + 1), """") 
"),"")</f>
        <v/>
      </c>
      <c r="F20" s="166" t="str">
        <f>IFERROR(__xludf.DUMMYFUNCTION("IFERROR(INDEX(QUERY({'リスト'!$A$3:$G50; ARRAYFORMULA({TEXT('新規'!$A$2:$A50, ""aaa""), '新規'!$B$2:$B50, '新規'!$E$2:$E50, '新規'!$F$2:$F50, '新規'!$G$2:$G50})}, ""select Col3 where Col1 = '""&amp;F$1&amp;""' and Col2 = ""&amp;LOOKUP(10^10, $A$1:$A20)&amp;"" and Col5 = '毎月配信'""), RO"&amp;"W() - MATCH(LOOKUP(10^10, $A$1:$A20), $A$1:$A20, 0) + 1), """") 
"),"")</f>
        <v/>
      </c>
      <c r="G20" s="166" t="str">
        <f>IFERROR(__xludf.DUMMYFUNCTION("IFERROR(INDEX(QUERY({'リスト'!$A$3:$G50; ARRAYFORMULA({TEXT('新規'!$A$2:$A50, ""aaa""), '新規'!$B$2:$B50, '新規'!$E$2:$E50, '新規'!$F$2:$F50, '新規'!$G$2:$G50})}, ""select Col3 where Col1 = '""&amp;G$1&amp;""' and Col2 = ""&amp;LOOKUP(10^10, $A$1:$A20)&amp;"" and Col5 = '毎月配信'""), RO"&amp;"W() - MATCH(LOOKUP(10^10, $A$1:$A20), $A$1:$A20, 0) + 1), """") 
"),"")</f>
        <v/>
      </c>
      <c r="H20" s="166" t="str">
        <f>IFERROR(__xludf.DUMMYFUNCTION("IFERROR(INDEX(QUERY({'リスト'!$A$3:$G50; ARRAYFORMULA({TEXT('新規'!$A$2:$A50, ""aaa""), '新規'!$B$2:$B50, '新規'!$E$2:$E50, '新規'!$F$2:$F50, '新規'!$G$2:$G50})}, ""select Col3 where Col1 = '""&amp;H$1&amp;""' and Col2 = ""&amp;LOOKUP(10^10, $A$1:$A20)&amp;"" and Col5 = '毎月配信'""), RO"&amp;"W() - MATCH(LOOKUP(10^10, $A$1:$A20), $A$1:$A20, 0) + 1), """") 
"),"")</f>
        <v/>
      </c>
      <c r="I20" s="167"/>
      <c r="J20" s="167"/>
      <c r="K20" s="167"/>
      <c r="L20" s="167"/>
      <c r="M20" s="167"/>
      <c r="N20" s="167"/>
      <c r="O20" s="167"/>
    </row>
    <row r="21" ht="16.5" customHeight="1">
      <c r="A21" s="164"/>
      <c r="B21" s="166" t="str">
        <f>IFERROR(__xludf.DUMMYFUNCTION("IFERROR(INDEX(QUERY({'リスト'!$A$3:$G50; ARRAYFORMULA({TEXT('新規'!$A$2:$A50, ""aaa""), '新規'!$B$2:$B50, '新規'!$E$2:$E50, '新規'!$F$2:$F50, '新規'!$G$2:$G50})}, ""select Col3 where Col1 = '""&amp;B$1&amp;""' and Col2 = ""&amp;LOOKUP(10^10, $A$1:$A21)&amp;"" and Col5 = '毎月配信'""), RO"&amp;"W() - MATCH(LOOKUP(10^10, $A$1:$A21), $A$1:$A21, 0) + 1), """") 
"),"")</f>
        <v/>
      </c>
      <c r="C21" s="166" t="str">
        <f>IFERROR(__xludf.DUMMYFUNCTION("IFERROR(INDEX(QUERY({'リスト'!$A$3:$G50; ARRAYFORMULA({TEXT('新規'!$A$2:$A50, ""aaa""), '新規'!$B$2:$B50, '新規'!$E$2:$E50, '新規'!$F$2:$F50, '新規'!$G$2:$G50})}, ""select Col3 where Col1 = '""&amp;C$1&amp;""' and Col2 = ""&amp;LOOKUP(10^10, $A$1:$A21)&amp;"" and Col5 = '毎月配信'""), RO"&amp;"W() - MATCH(LOOKUP(10^10, $A$1:$A21), $A$1:$A21, 0) + 1), """") 
"),"")</f>
        <v/>
      </c>
      <c r="D21" s="166" t="str">
        <f>IFERROR(__xludf.DUMMYFUNCTION("IFERROR(INDEX(QUERY({'リスト'!$A$3:$G50; ARRAYFORMULA({TEXT('新規'!$A$2:$A50, ""aaa""), '新規'!$B$2:$B50, '新規'!$E$2:$E50, '新規'!$F$2:$F50, '新規'!$G$2:$G50})}, ""select Col3 where Col1 = '""&amp;D$1&amp;""' and Col2 = ""&amp;LOOKUP(10^10, $A$1:$A21)&amp;"" and Col5 = '毎月配信'""), RO"&amp;"W() - MATCH(LOOKUP(10^10, $A$1:$A21), $A$1:$A21, 0) + 1), """") 
"),"")</f>
        <v/>
      </c>
      <c r="E21" s="166" t="str">
        <f>IFERROR(__xludf.DUMMYFUNCTION("IFERROR(INDEX(QUERY({'リスト'!$A$3:$G50; ARRAYFORMULA({TEXT('新規'!$A$2:$A50, ""aaa""), '新規'!$B$2:$B50, '新規'!$E$2:$E50, '新規'!$F$2:$F50, '新規'!$G$2:$G50})}, ""select Col3 where Col1 = '""&amp;E$1&amp;""' and Col2 = ""&amp;LOOKUP(10^10, $A$1:$A21)&amp;"" and Col5 = '毎月配信'""), RO"&amp;"W() - MATCH(LOOKUP(10^10, $A$1:$A21), $A$1:$A21, 0) + 1), """") 
"),"")</f>
        <v/>
      </c>
      <c r="F21" s="166" t="str">
        <f>IFERROR(__xludf.DUMMYFUNCTION("IFERROR(INDEX(QUERY({'リスト'!$A$3:$G50; ARRAYFORMULA({TEXT('新規'!$A$2:$A50, ""aaa""), '新規'!$B$2:$B50, '新規'!$E$2:$E50, '新規'!$F$2:$F50, '新規'!$G$2:$G50})}, ""select Col3 where Col1 = '""&amp;F$1&amp;""' and Col2 = ""&amp;LOOKUP(10^10, $A$1:$A21)&amp;"" and Col5 = '毎月配信'""), RO"&amp;"W() - MATCH(LOOKUP(10^10, $A$1:$A21), $A$1:$A21, 0) + 1), """") 
"),"")</f>
        <v/>
      </c>
      <c r="G21" s="166" t="str">
        <f>IFERROR(__xludf.DUMMYFUNCTION("IFERROR(INDEX(QUERY({'リスト'!$A$3:$G50; ARRAYFORMULA({TEXT('新規'!$A$2:$A50, ""aaa""), '新規'!$B$2:$B50, '新規'!$E$2:$E50, '新規'!$F$2:$F50, '新規'!$G$2:$G50})}, ""select Col3 where Col1 = '""&amp;G$1&amp;""' and Col2 = ""&amp;LOOKUP(10^10, $A$1:$A21)&amp;"" and Col5 = '毎月配信'""), RO"&amp;"W() - MATCH(LOOKUP(10^10, $A$1:$A21), $A$1:$A21, 0) + 1), """") 
"),"")</f>
        <v/>
      </c>
      <c r="H21" s="166" t="str">
        <f>IFERROR(__xludf.DUMMYFUNCTION("IFERROR(INDEX(QUERY({'リスト'!$A$3:$G50; ARRAYFORMULA({TEXT('新規'!$A$2:$A50, ""aaa""), '新規'!$B$2:$B50, '新規'!$E$2:$E50, '新規'!$F$2:$F50, '新規'!$G$2:$G50})}, ""select Col3 where Col1 = '""&amp;H$1&amp;""' and Col2 = ""&amp;LOOKUP(10^10, $A$1:$A21)&amp;"" and Col5 = '毎月配信'""), RO"&amp;"W() - MATCH(LOOKUP(10^10, $A$1:$A21), $A$1:$A21, 0) + 1), """") 
"),"")</f>
        <v/>
      </c>
      <c r="I21" s="167"/>
      <c r="J21" s="167"/>
      <c r="K21" s="167"/>
      <c r="L21" s="167"/>
      <c r="M21" s="167"/>
      <c r="N21" s="167"/>
      <c r="O21" s="167"/>
    </row>
    <row r="22" ht="16.5" customHeight="1">
      <c r="A22" s="164">
        <f>A20+1</f>
        <v>18</v>
      </c>
      <c r="B22" s="166" t="str">
        <f>IFERROR(__xludf.DUMMYFUNCTION("IFERROR(INDEX(QUERY({'リスト'!$A$3:$G50; ARRAYFORMULA({TEXT('新規'!$A$2:$A50, ""aaa""), '新規'!$B$2:$B50, '新規'!$E$2:$E50, '新規'!$F$2:$F50, '新規'!$G$2:$G50})}, ""select Col3 where Col1 = '""&amp;B$1&amp;""' and Col2 = ""&amp;LOOKUP(10^10, $A$1:$A22)&amp;"" and Col5 = '毎月配信'""), RO"&amp;"W() - MATCH(LOOKUP(10^10, $A$1:$A22), $A$1:$A22, 0) + 1), """") 
"),"")</f>
        <v/>
      </c>
      <c r="C22" s="166" t="str">
        <f>IFERROR(__xludf.DUMMYFUNCTION("IFERROR(INDEX(QUERY({'リスト'!$A$3:$G50; ARRAYFORMULA({TEXT('新規'!$A$2:$A50, ""aaa""), '新規'!$B$2:$B50, '新規'!$E$2:$E50, '新規'!$F$2:$F50, '新規'!$G$2:$G50})}, ""select Col3 where Col1 = '""&amp;C$1&amp;""' and Col2 = ""&amp;LOOKUP(10^10, $A$1:$A22)&amp;"" and Col5 = '毎月配信'""), RO"&amp;"W() - MATCH(LOOKUP(10^10, $A$1:$A22), $A$1:$A22, 0) + 1), """") 
"),"")</f>
        <v/>
      </c>
      <c r="D22" s="166" t="str">
        <f>IFERROR(__xludf.DUMMYFUNCTION("IFERROR(INDEX(QUERY({'リスト'!$A$3:$G50; ARRAYFORMULA({TEXT('新規'!$A$2:$A50, ""aaa""), '新規'!$B$2:$B50, '新規'!$E$2:$E50, '新規'!$F$2:$F50, '新規'!$G$2:$G50})}, ""select Col3 where Col1 = '""&amp;D$1&amp;""' and Col2 = ""&amp;LOOKUP(10^10, $A$1:$A22)&amp;"" and Col5 = '毎月配信'""), RO"&amp;"W() - MATCH(LOOKUP(10^10, $A$1:$A22), $A$1:$A22, 0) + 1), """") 
"),"")</f>
        <v/>
      </c>
      <c r="E22" s="166" t="str">
        <f>IFERROR(__xludf.DUMMYFUNCTION("IFERROR(INDEX(QUERY({'リスト'!$A$3:$G50; ARRAYFORMULA({TEXT('新規'!$A$2:$A50, ""aaa""), '新規'!$B$2:$B50, '新規'!$E$2:$E50, '新規'!$F$2:$F50, '新規'!$G$2:$G50})}, ""select Col3 where Col1 = '""&amp;E$1&amp;""' and Col2 = ""&amp;LOOKUP(10^10, $A$1:$A22)&amp;"" and Col5 = '毎月配信'""), RO"&amp;"W() - MATCH(LOOKUP(10^10, $A$1:$A22), $A$1:$A22, 0) + 1), """") 
"),"")</f>
        <v/>
      </c>
      <c r="F22" s="166" t="str">
        <f>IFERROR(__xludf.DUMMYFUNCTION("IFERROR(INDEX(QUERY({'リスト'!$A$3:$G50; ARRAYFORMULA({TEXT('新規'!$A$2:$A50, ""aaa""), '新規'!$B$2:$B50, '新規'!$E$2:$E50, '新規'!$F$2:$F50, '新規'!$G$2:$G50})}, ""select Col3 where Col1 = '""&amp;F$1&amp;""' and Col2 = ""&amp;LOOKUP(10^10, $A$1:$A22)&amp;"" and Col5 = '毎月配信'""), RO"&amp;"W() - MATCH(LOOKUP(10^10, $A$1:$A22), $A$1:$A22, 0) + 1), """") 
"),"")</f>
        <v/>
      </c>
      <c r="G22" s="166" t="str">
        <f>IFERROR(__xludf.DUMMYFUNCTION("IFERROR(INDEX(QUERY({'リスト'!$A$3:$G50; ARRAYFORMULA({TEXT('新規'!$A$2:$A50, ""aaa""), '新規'!$B$2:$B50, '新規'!$E$2:$E50, '新規'!$F$2:$F50, '新規'!$G$2:$G50})}, ""select Col3 where Col1 = '""&amp;G$1&amp;""' and Col2 = ""&amp;LOOKUP(10^10, $A$1:$A22)&amp;"" and Col5 = '毎月配信'""), RO"&amp;"W() - MATCH(LOOKUP(10^10, $A$1:$A22), $A$1:$A22, 0) + 1), """") 
"),"")</f>
        <v/>
      </c>
      <c r="H22" s="166" t="str">
        <f>IFERROR(__xludf.DUMMYFUNCTION("IFERROR(INDEX(QUERY({'リスト'!$A$3:$G50; ARRAYFORMULA({TEXT('新規'!$A$2:$A50, ""aaa""), '新規'!$B$2:$B50, '新規'!$E$2:$E50, '新規'!$F$2:$F50, '新規'!$G$2:$G50})}, ""select Col3 where Col1 = '""&amp;H$1&amp;""' and Col2 = ""&amp;LOOKUP(10^10, $A$1:$A22)&amp;"" and Col5 = '毎月配信'""), RO"&amp;"W() - MATCH(LOOKUP(10^10, $A$1:$A22), $A$1:$A22, 0) + 1), """") 
"),"")</f>
        <v/>
      </c>
      <c r="I22" s="167"/>
      <c r="J22" s="167"/>
      <c r="K22" s="167"/>
      <c r="L22" s="167"/>
      <c r="M22" s="167"/>
      <c r="N22" s="167"/>
      <c r="O22" s="167"/>
    </row>
    <row r="23" ht="16.5" customHeight="1">
      <c r="A23" s="164"/>
      <c r="B23" s="166" t="str">
        <f>IFERROR(__xludf.DUMMYFUNCTION("IFERROR(INDEX(QUERY({'リスト'!$A$3:$G50; ARRAYFORMULA({TEXT('新規'!$A$2:$A50, ""aaa""), '新規'!$B$2:$B50, '新規'!$E$2:$E50, '新規'!$F$2:$F50, '新規'!$G$2:$G50})}, ""select Col3 where Col1 = '""&amp;B$1&amp;""' and Col2 = ""&amp;LOOKUP(10^10, $A$1:$A23)&amp;"" and Col5 = '毎月配信'""), RO"&amp;"W() - MATCH(LOOKUP(10^10, $A$1:$A23), $A$1:$A23, 0) + 1), """") 
"),"")</f>
        <v/>
      </c>
      <c r="C23" s="166" t="str">
        <f>IFERROR(__xludf.DUMMYFUNCTION("IFERROR(INDEX(QUERY({'リスト'!$A$3:$G50; ARRAYFORMULA({TEXT('新規'!$A$2:$A50, ""aaa""), '新規'!$B$2:$B50, '新規'!$E$2:$E50, '新規'!$F$2:$F50, '新規'!$G$2:$G50})}, ""select Col3 where Col1 = '""&amp;C$1&amp;""' and Col2 = ""&amp;LOOKUP(10^10, $A$1:$A23)&amp;"" and Col5 = '毎月配信'""), RO"&amp;"W() - MATCH(LOOKUP(10^10, $A$1:$A23), $A$1:$A23, 0) + 1), """") 
"),"")</f>
        <v/>
      </c>
      <c r="D23" s="166" t="str">
        <f>IFERROR(__xludf.DUMMYFUNCTION("IFERROR(INDEX(QUERY({'リスト'!$A$3:$G50; ARRAYFORMULA({TEXT('新規'!$A$2:$A50, ""aaa""), '新規'!$B$2:$B50, '新規'!$E$2:$E50, '新規'!$F$2:$F50, '新規'!$G$2:$G50})}, ""select Col3 where Col1 = '""&amp;D$1&amp;""' and Col2 = ""&amp;LOOKUP(10^10, $A$1:$A23)&amp;"" and Col5 = '毎月配信'""), RO"&amp;"W() - MATCH(LOOKUP(10^10, $A$1:$A23), $A$1:$A23, 0) + 1), """") 
"),"")</f>
        <v/>
      </c>
      <c r="E23" s="166" t="str">
        <f>IFERROR(__xludf.DUMMYFUNCTION("IFERROR(INDEX(QUERY({'リスト'!$A$3:$G50; ARRAYFORMULA({TEXT('新規'!$A$2:$A50, ""aaa""), '新規'!$B$2:$B50, '新規'!$E$2:$E50, '新規'!$F$2:$F50, '新規'!$G$2:$G50})}, ""select Col3 where Col1 = '""&amp;E$1&amp;""' and Col2 = ""&amp;LOOKUP(10^10, $A$1:$A23)&amp;"" and Col5 = '毎月配信'""), RO"&amp;"W() - MATCH(LOOKUP(10^10, $A$1:$A23), $A$1:$A23, 0) + 1), """") 
"),"")</f>
        <v/>
      </c>
      <c r="F23" s="166" t="str">
        <f>IFERROR(__xludf.DUMMYFUNCTION("IFERROR(INDEX(QUERY({'リスト'!$A$3:$G50; ARRAYFORMULA({TEXT('新規'!$A$2:$A50, ""aaa""), '新規'!$B$2:$B50, '新規'!$E$2:$E50, '新規'!$F$2:$F50, '新規'!$G$2:$G50})}, ""select Col3 where Col1 = '""&amp;F$1&amp;""' and Col2 = ""&amp;LOOKUP(10^10, $A$1:$A23)&amp;"" and Col5 = '毎月配信'""), RO"&amp;"W() - MATCH(LOOKUP(10^10, $A$1:$A23), $A$1:$A23, 0) + 1), """") 
"),"")</f>
        <v/>
      </c>
      <c r="G23" s="166" t="str">
        <f>IFERROR(__xludf.DUMMYFUNCTION("IFERROR(INDEX(QUERY({'リスト'!$A$3:$G50; ARRAYFORMULA({TEXT('新規'!$A$2:$A50, ""aaa""), '新規'!$B$2:$B50, '新規'!$E$2:$E50, '新規'!$F$2:$F50, '新規'!$G$2:$G50})}, ""select Col3 where Col1 = '""&amp;G$1&amp;""' and Col2 = ""&amp;LOOKUP(10^10, $A$1:$A23)&amp;"" and Col5 = '毎月配信'""), RO"&amp;"W() - MATCH(LOOKUP(10^10, $A$1:$A23), $A$1:$A23, 0) + 1), """") 
"),"")</f>
        <v/>
      </c>
      <c r="H23" s="166" t="str">
        <f>IFERROR(__xludf.DUMMYFUNCTION("IFERROR(INDEX(QUERY({'リスト'!$A$3:$G50; ARRAYFORMULA({TEXT('新規'!$A$2:$A50, ""aaa""), '新規'!$B$2:$B50, '新規'!$E$2:$E50, '新規'!$F$2:$F50, '新規'!$G$2:$G50})}, ""select Col3 where Col1 = '""&amp;H$1&amp;""' and Col2 = ""&amp;LOOKUP(10^10, $A$1:$A23)&amp;"" and Col5 = '毎月配信'""), RO"&amp;"W() - MATCH(LOOKUP(10^10, $A$1:$A23), $A$1:$A23, 0) + 1), """") 
"),"")</f>
        <v/>
      </c>
      <c r="I23" s="167"/>
      <c r="J23" s="167"/>
      <c r="K23" s="167"/>
      <c r="L23" s="167"/>
      <c r="M23" s="167"/>
      <c r="N23" s="167"/>
      <c r="O23" s="167"/>
    </row>
    <row r="24" ht="16.5" customHeight="1">
      <c r="A24" s="164">
        <f>A22+1</f>
        <v>19</v>
      </c>
      <c r="B24" s="166" t="str">
        <f>IFERROR(__xludf.DUMMYFUNCTION("IFERROR(INDEX(QUERY({'リスト'!$A$3:$G50; ARRAYFORMULA({TEXT('新規'!$A$2:$A50, ""aaa""), '新規'!$B$2:$B50, '新規'!$E$2:$E50, '新規'!$F$2:$F50, '新規'!$G$2:$G50})}, ""select Col3 where Col1 = '""&amp;B$1&amp;""' and Col2 = ""&amp;LOOKUP(10^10, $A$1:$A24)&amp;"" and Col5 = '毎月配信'""), RO"&amp;"W() - MATCH(LOOKUP(10^10, $A$1:$A24), $A$1:$A24, 0) + 1), """") 
"),"")</f>
        <v/>
      </c>
      <c r="C24" s="166" t="str">
        <f>IFERROR(__xludf.DUMMYFUNCTION("IFERROR(INDEX(QUERY({'リスト'!$A$3:$G50; ARRAYFORMULA({TEXT('新規'!$A$2:$A50, ""aaa""), '新規'!$B$2:$B50, '新規'!$E$2:$E50, '新規'!$F$2:$F50, '新規'!$G$2:$G50})}, ""select Col3 where Col1 = '""&amp;C$1&amp;""' and Col2 = ""&amp;LOOKUP(10^10, $A$1:$A24)&amp;"" and Col5 = '毎月配信'""), RO"&amp;"W() - MATCH(LOOKUP(10^10, $A$1:$A24), $A$1:$A24, 0) + 1), """") 
"),"")</f>
        <v/>
      </c>
      <c r="D24" s="166" t="str">
        <f>IFERROR(__xludf.DUMMYFUNCTION("IFERROR(INDEX(QUERY({'リスト'!$A$3:$G50; ARRAYFORMULA({TEXT('新規'!$A$2:$A50, ""aaa""), '新規'!$B$2:$B50, '新規'!$E$2:$E50, '新規'!$F$2:$F50, '新規'!$G$2:$G50})}, ""select Col3 where Col1 = '""&amp;D$1&amp;""' and Col2 = ""&amp;LOOKUP(10^10, $A$1:$A24)&amp;"" and Col5 = '毎月配信'""), RO"&amp;"W() - MATCH(LOOKUP(10^10, $A$1:$A24), $A$1:$A24, 0) + 1), """") 
"),"")</f>
        <v/>
      </c>
      <c r="E24" s="166" t="str">
        <f>IFERROR(__xludf.DUMMYFUNCTION("IFERROR(INDEX(QUERY({'リスト'!$A$3:$G50; ARRAYFORMULA({TEXT('新規'!$A$2:$A50, ""aaa""), '新規'!$B$2:$B50, '新規'!$E$2:$E50, '新規'!$F$2:$F50, '新規'!$G$2:$G50})}, ""select Col3 where Col1 = '""&amp;E$1&amp;""' and Col2 = ""&amp;LOOKUP(10^10, $A$1:$A24)&amp;"" and Col5 = '毎月配信'""), RO"&amp;"W() - MATCH(LOOKUP(10^10, $A$1:$A24), $A$1:$A24, 0) + 1), """") 
"),"")</f>
        <v/>
      </c>
      <c r="F24" s="166" t="str">
        <f>IFERROR(__xludf.DUMMYFUNCTION("IFERROR(INDEX(QUERY({'リスト'!$A$3:$G50; ARRAYFORMULA({TEXT('新規'!$A$2:$A50, ""aaa""), '新規'!$B$2:$B50, '新規'!$E$2:$E50, '新規'!$F$2:$F50, '新規'!$G$2:$G50})}, ""select Col3 where Col1 = '""&amp;F$1&amp;""' and Col2 = ""&amp;LOOKUP(10^10, $A$1:$A24)&amp;"" and Col5 = '毎月配信'""), RO"&amp;"W() - MATCH(LOOKUP(10^10, $A$1:$A24), $A$1:$A24, 0) + 1), """") 
"),"")</f>
        <v/>
      </c>
      <c r="G24" s="166" t="str">
        <f>IFERROR(__xludf.DUMMYFUNCTION("IFERROR(INDEX(QUERY({'リスト'!$A$3:$G50; ARRAYFORMULA({TEXT('新規'!$A$2:$A50, ""aaa""), '新規'!$B$2:$B50, '新規'!$E$2:$E50, '新規'!$F$2:$F50, '新規'!$G$2:$G50})}, ""select Col3 where Col1 = '""&amp;G$1&amp;""' and Col2 = ""&amp;LOOKUP(10^10, $A$1:$A24)&amp;"" and Col5 = '毎月配信'""), RO"&amp;"W() - MATCH(LOOKUP(10^10, $A$1:$A24), $A$1:$A24, 0) + 1), """") 
"),"")</f>
        <v/>
      </c>
      <c r="H24" s="166" t="str">
        <f>IFERROR(__xludf.DUMMYFUNCTION("IFERROR(INDEX(QUERY({'リスト'!$A$3:$G50; ARRAYFORMULA({TEXT('新規'!$A$2:$A50, ""aaa""), '新規'!$B$2:$B50, '新規'!$E$2:$E50, '新規'!$F$2:$F50, '新規'!$G$2:$G50})}, ""select Col3 where Col1 = '""&amp;H$1&amp;""' and Col2 = ""&amp;LOOKUP(10^10, $A$1:$A24)&amp;"" and Col5 = '毎月配信'""), RO"&amp;"W() - MATCH(LOOKUP(10^10, $A$1:$A24), $A$1:$A24, 0) + 1), """") 
"),"")</f>
        <v/>
      </c>
      <c r="I24" s="167"/>
      <c r="J24" s="167"/>
      <c r="K24" s="167"/>
      <c r="L24" s="167"/>
      <c r="M24" s="167"/>
      <c r="N24" s="167"/>
      <c r="O24" s="167"/>
    </row>
    <row r="25" ht="16.5" customHeight="1">
      <c r="A25" s="164"/>
      <c r="B25" s="166" t="str">
        <f>IFERROR(__xludf.DUMMYFUNCTION("IFERROR(INDEX(QUERY({'リスト'!$A$3:$G50; ARRAYFORMULA({TEXT('新規'!$A$2:$A50, ""aaa""), '新規'!$B$2:$B50, '新規'!$E$2:$E50, '新規'!$F$2:$F50, '新規'!$G$2:$G50})}, ""select Col3 where Col1 = '""&amp;B$1&amp;""' and Col2 = ""&amp;LOOKUP(10^10, $A$1:$A25)&amp;"" and Col5 = '毎月配信'""), RO"&amp;"W() - MATCH(LOOKUP(10^10, $A$1:$A25), $A$1:$A25, 0) + 1), """") 
"),"")</f>
        <v/>
      </c>
      <c r="C25" s="166" t="str">
        <f>IFERROR(__xludf.DUMMYFUNCTION("IFERROR(INDEX(QUERY({'リスト'!$A$3:$G50; ARRAYFORMULA({TEXT('新規'!$A$2:$A50, ""aaa""), '新規'!$B$2:$B50, '新規'!$E$2:$E50, '新規'!$F$2:$F50, '新規'!$G$2:$G50})}, ""select Col3 where Col1 = '""&amp;C$1&amp;""' and Col2 = ""&amp;LOOKUP(10^10, $A$1:$A25)&amp;"" and Col5 = '毎月配信'""), RO"&amp;"W() - MATCH(LOOKUP(10^10, $A$1:$A25), $A$1:$A25, 0) + 1), """") 
"),"")</f>
        <v/>
      </c>
      <c r="D25" s="166" t="str">
        <f>IFERROR(__xludf.DUMMYFUNCTION("IFERROR(INDEX(QUERY({'リスト'!$A$3:$G50; ARRAYFORMULA({TEXT('新規'!$A$2:$A50, ""aaa""), '新規'!$B$2:$B50, '新規'!$E$2:$E50, '新規'!$F$2:$F50, '新規'!$G$2:$G50})}, ""select Col3 where Col1 = '""&amp;D$1&amp;""' and Col2 = ""&amp;LOOKUP(10^10, $A$1:$A25)&amp;"" and Col5 = '毎月配信'""), RO"&amp;"W() - MATCH(LOOKUP(10^10, $A$1:$A25), $A$1:$A25, 0) + 1), """") 
"),"")</f>
        <v/>
      </c>
      <c r="E25" s="166" t="str">
        <f>IFERROR(__xludf.DUMMYFUNCTION("IFERROR(INDEX(QUERY({'リスト'!$A$3:$G50; ARRAYFORMULA({TEXT('新規'!$A$2:$A50, ""aaa""), '新規'!$B$2:$B50, '新規'!$E$2:$E50, '新規'!$F$2:$F50, '新規'!$G$2:$G50})}, ""select Col3 where Col1 = '""&amp;E$1&amp;""' and Col2 = ""&amp;LOOKUP(10^10, $A$1:$A25)&amp;"" and Col5 = '毎月配信'""), RO"&amp;"W() - MATCH(LOOKUP(10^10, $A$1:$A25), $A$1:$A25, 0) + 1), """") 
"),"")</f>
        <v/>
      </c>
      <c r="F25" s="166" t="str">
        <f>IFERROR(__xludf.DUMMYFUNCTION("IFERROR(INDEX(QUERY({'リスト'!$A$3:$G50; ARRAYFORMULA({TEXT('新規'!$A$2:$A50, ""aaa""), '新規'!$B$2:$B50, '新規'!$E$2:$E50, '新規'!$F$2:$F50, '新規'!$G$2:$G50})}, ""select Col3 where Col1 = '""&amp;F$1&amp;""' and Col2 = ""&amp;LOOKUP(10^10, $A$1:$A25)&amp;"" and Col5 = '毎月配信'""), RO"&amp;"W() - MATCH(LOOKUP(10^10, $A$1:$A25), $A$1:$A25, 0) + 1), """") 
"),"")</f>
        <v/>
      </c>
      <c r="G25" s="166" t="str">
        <f>IFERROR(__xludf.DUMMYFUNCTION("IFERROR(INDEX(QUERY({'リスト'!$A$3:$G50; ARRAYFORMULA({TEXT('新規'!$A$2:$A50, ""aaa""), '新規'!$B$2:$B50, '新規'!$E$2:$E50, '新規'!$F$2:$F50, '新規'!$G$2:$G50})}, ""select Col3 where Col1 = '""&amp;G$1&amp;""' and Col2 = ""&amp;LOOKUP(10^10, $A$1:$A25)&amp;"" and Col5 = '毎月配信'""), RO"&amp;"W() - MATCH(LOOKUP(10^10, $A$1:$A25), $A$1:$A25, 0) + 1), """") 
"),"")</f>
        <v/>
      </c>
      <c r="H25" s="166" t="str">
        <f>IFERROR(__xludf.DUMMYFUNCTION("IFERROR(INDEX(QUERY({'リスト'!$A$3:$G50; ARRAYFORMULA({TEXT('新規'!$A$2:$A50, ""aaa""), '新規'!$B$2:$B50, '新規'!$E$2:$E50, '新規'!$F$2:$F50, '新規'!$G$2:$G50})}, ""select Col3 where Col1 = '""&amp;H$1&amp;""' and Col2 = ""&amp;LOOKUP(10^10, $A$1:$A25)&amp;"" and Col5 = '毎月配信'""), RO"&amp;"W() - MATCH(LOOKUP(10^10, $A$1:$A25), $A$1:$A25, 0) + 1), """") 
"),"")</f>
        <v/>
      </c>
      <c r="I25" s="167"/>
      <c r="J25" s="167"/>
      <c r="K25" s="167"/>
      <c r="L25" s="167"/>
      <c r="M25" s="167"/>
      <c r="N25" s="167"/>
      <c r="O25" s="167"/>
    </row>
    <row r="26" ht="16.5" customHeight="1">
      <c r="A26" s="164">
        <f>A24+1</f>
        <v>20</v>
      </c>
      <c r="B26" s="166" t="str">
        <f>IFERROR(__xludf.DUMMYFUNCTION("IFERROR(INDEX(QUERY({'リスト'!$A$3:$G50; ARRAYFORMULA({TEXT('新規'!$A$2:$A50, ""aaa""), '新規'!$B$2:$B50, '新規'!$E$2:$E50, '新規'!$F$2:$F50, '新規'!$G$2:$G50})}, ""select Col3 where Col1 = '""&amp;B$1&amp;""' and Col2 = ""&amp;LOOKUP(10^10, $A$1:$A26)&amp;"" and Col5 = '毎月配信'""), RO"&amp;"W() - MATCH(LOOKUP(10^10, $A$1:$A26), $A$1:$A26, 0) + 1), """") 
"),"")</f>
        <v/>
      </c>
      <c r="C26" s="166" t="str">
        <f>IFERROR(__xludf.DUMMYFUNCTION("IFERROR(INDEX(QUERY({'リスト'!$A$3:$G50; ARRAYFORMULA({TEXT('新規'!$A$2:$A50, ""aaa""), '新規'!$B$2:$B50, '新規'!$E$2:$E50, '新規'!$F$2:$F50, '新規'!$G$2:$G50})}, ""select Col3 where Col1 = '""&amp;C$1&amp;""' and Col2 = ""&amp;LOOKUP(10^10, $A$1:$A26)&amp;"" and Col5 = '毎月配信'""), RO"&amp;"W() - MATCH(LOOKUP(10^10, $A$1:$A26), $A$1:$A26, 0) + 1), """") 
"),"")</f>
        <v/>
      </c>
      <c r="D26" s="166" t="str">
        <f>IFERROR(__xludf.DUMMYFUNCTION("IFERROR(INDEX(QUERY({'リスト'!$A$3:$G50; ARRAYFORMULA({TEXT('新規'!$A$2:$A50, ""aaa""), '新規'!$B$2:$B50, '新規'!$E$2:$E50, '新規'!$F$2:$F50, '新規'!$G$2:$G50})}, ""select Col3 where Col1 = '""&amp;D$1&amp;""' and Col2 = ""&amp;LOOKUP(10^10, $A$1:$A26)&amp;"" and Col5 = '毎月配信'""), RO"&amp;"W() - MATCH(LOOKUP(10^10, $A$1:$A26), $A$1:$A26, 0) + 1), """") 
"),"")</f>
        <v/>
      </c>
      <c r="E26" s="166" t="str">
        <f>IFERROR(__xludf.DUMMYFUNCTION("IFERROR(INDEX(QUERY({'リスト'!$A$3:$G50; ARRAYFORMULA({TEXT('新規'!$A$2:$A50, ""aaa""), '新規'!$B$2:$B50, '新規'!$E$2:$E50, '新規'!$F$2:$F50, '新規'!$G$2:$G50})}, ""select Col3 where Col1 = '""&amp;E$1&amp;""' and Col2 = ""&amp;LOOKUP(10^10, $A$1:$A26)&amp;"" and Col5 = '毎月配信'""), RO"&amp;"W() - MATCH(LOOKUP(10^10, $A$1:$A26), $A$1:$A26, 0) + 1), """") 
"),"")</f>
        <v/>
      </c>
      <c r="F26" s="166" t="str">
        <f>IFERROR(__xludf.DUMMYFUNCTION("IFERROR(INDEX(QUERY({'リスト'!$A$3:$G50; ARRAYFORMULA({TEXT('新規'!$A$2:$A50, ""aaa""), '新規'!$B$2:$B50, '新規'!$E$2:$E50, '新規'!$F$2:$F50, '新規'!$G$2:$G50})}, ""select Col3 where Col1 = '""&amp;F$1&amp;""' and Col2 = ""&amp;LOOKUP(10^10, $A$1:$A26)&amp;"" and Col5 = '毎月配信'""), RO"&amp;"W() - MATCH(LOOKUP(10^10, $A$1:$A26), $A$1:$A26, 0) + 1), """") 
"),"")</f>
        <v/>
      </c>
      <c r="G26" s="166" t="str">
        <f>IFERROR(__xludf.DUMMYFUNCTION("IFERROR(INDEX(QUERY({'リスト'!$A$3:$G50; ARRAYFORMULA({TEXT('新規'!$A$2:$A50, ""aaa""), '新規'!$B$2:$B50, '新規'!$E$2:$E50, '新規'!$F$2:$F50, '新規'!$G$2:$G50})}, ""select Col3 where Col1 = '""&amp;G$1&amp;""' and Col2 = ""&amp;LOOKUP(10^10, $A$1:$A26)&amp;"" and Col5 = '毎月配信'""), RO"&amp;"W() - MATCH(LOOKUP(10^10, $A$1:$A26), $A$1:$A26, 0) + 1), """") 
"),"")</f>
        <v/>
      </c>
      <c r="H26" s="166" t="str">
        <f>IFERROR(__xludf.DUMMYFUNCTION("IFERROR(INDEX(QUERY({'リスト'!$A$3:$G50; ARRAYFORMULA({TEXT('新規'!$A$2:$A50, ""aaa""), '新規'!$B$2:$B50, '新規'!$E$2:$E50, '新規'!$F$2:$F50, '新規'!$G$2:$G50})}, ""select Col3 where Col1 = '""&amp;H$1&amp;""' and Col2 = ""&amp;LOOKUP(10^10, $A$1:$A26)&amp;"" and Col5 = '毎月配信'""), RO"&amp;"W() - MATCH(LOOKUP(10^10, $A$1:$A26), $A$1:$A26, 0) + 1), """") 
"),"")</f>
        <v/>
      </c>
      <c r="I26" s="167"/>
      <c r="J26" s="167"/>
      <c r="K26" s="167"/>
      <c r="L26" s="167"/>
      <c r="M26" s="167"/>
      <c r="N26" s="167"/>
      <c r="O26" s="167"/>
    </row>
    <row r="27" ht="16.5" customHeight="1">
      <c r="A27" s="164"/>
      <c r="B27" s="166" t="str">
        <f>IFERROR(__xludf.DUMMYFUNCTION("IFERROR(INDEX(QUERY({'リスト'!$A$3:$G50; ARRAYFORMULA({TEXT('新規'!$A$2:$A50, ""aaa""), '新規'!$B$2:$B50, '新規'!$E$2:$E50, '新規'!$F$2:$F50, '新規'!$G$2:$G50})}, ""select Col3 where Col1 = '""&amp;B$1&amp;""' and Col2 = ""&amp;LOOKUP(10^10, $A$1:$A27)&amp;"" and Col5 = '毎月配信'""), RO"&amp;"W() - MATCH(LOOKUP(10^10, $A$1:$A27), $A$1:$A27, 0) + 1), """") 
"),"")</f>
        <v/>
      </c>
      <c r="C27" s="166" t="str">
        <f>IFERROR(__xludf.DUMMYFUNCTION("IFERROR(INDEX(QUERY({'リスト'!$A$3:$G50; ARRAYFORMULA({TEXT('新規'!$A$2:$A50, ""aaa""), '新規'!$B$2:$B50, '新規'!$E$2:$E50, '新規'!$F$2:$F50, '新規'!$G$2:$G50})}, ""select Col3 where Col1 = '""&amp;C$1&amp;""' and Col2 = ""&amp;LOOKUP(10^10, $A$1:$A27)&amp;"" and Col5 = '毎月配信'""), RO"&amp;"W() - MATCH(LOOKUP(10^10, $A$1:$A27), $A$1:$A27, 0) + 1), """") 
"),"")</f>
        <v/>
      </c>
      <c r="D27" s="166" t="str">
        <f>IFERROR(__xludf.DUMMYFUNCTION("IFERROR(INDEX(QUERY({'リスト'!$A$3:$G50; ARRAYFORMULA({TEXT('新規'!$A$2:$A50, ""aaa""), '新規'!$B$2:$B50, '新規'!$E$2:$E50, '新規'!$F$2:$F50, '新規'!$G$2:$G50})}, ""select Col3 where Col1 = '""&amp;D$1&amp;""' and Col2 = ""&amp;LOOKUP(10^10, $A$1:$A27)&amp;"" and Col5 = '毎月配信'""), RO"&amp;"W() - MATCH(LOOKUP(10^10, $A$1:$A27), $A$1:$A27, 0) + 1), """") 
"),"")</f>
        <v/>
      </c>
      <c r="E27" s="166" t="str">
        <f>IFERROR(__xludf.DUMMYFUNCTION("IFERROR(INDEX(QUERY({'リスト'!$A$3:$G50; ARRAYFORMULA({TEXT('新規'!$A$2:$A50, ""aaa""), '新規'!$B$2:$B50, '新規'!$E$2:$E50, '新規'!$F$2:$F50, '新規'!$G$2:$G50})}, ""select Col3 where Col1 = '""&amp;E$1&amp;""' and Col2 = ""&amp;LOOKUP(10^10, $A$1:$A27)&amp;"" and Col5 = '毎月配信'""), RO"&amp;"W() - MATCH(LOOKUP(10^10, $A$1:$A27), $A$1:$A27, 0) + 1), """") 
"),"")</f>
        <v/>
      </c>
      <c r="F27" s="166" t="str">
        <f>IFERROR(__xludf.DUMMYFUNCTION("IFERROR(INDEX(QUERY({'リスト'!$A$3:$G50; ARRAYFORMULA({TEXT('新規'!$A$2:$A50, ""aaa""), '新規'!$B$2:$B50, '新規'!$E$2:$E50, '新規'!$F$2:$F50, '新規'!$G$2:$G50})}, ""select Col3 where Col1 = '""&amp;F$1&amp;""' and Col2 = ""&amp;LOOKUP(10^10, $A$1:$A27)&amp;"" and Col5 = '毎月配信'""), RO"&amp;"W() - MATCH(LOOKUP(10^10, $A$1:$A27), $A$1:$A27, 0) + 1), """") 
"),"")</f>
        <v/>
      </c>
      <c r="G27" s="166" t="str">
        <f>IFERROR(__xludf.DUMMYFUNCTION("IFERROR(INDEX(QUERY({'リスト'!$A$3:$G50; ARRAYFORMULA({TEXT('新規'!$A$2:$A50, ""aaa""), '新規'!$B$2:$B50, '新規'!$E$2:$E50, '新規'!$F$2:$F50, '新規'!$G$2:$G50})}, ""select Col3 where Col1 = '""&amp;G$1&amp;""' and Col2 = ""&amp;LOOKUP(10^10, $A$1:$A27)&amp;"" and Col5 = '毎月配信'""), RO"&amp;"W() - MATCH(LOOKUP(10^10, $A$1:$A27), $A$1:$A27, 0) + 1), """") 
"),"")</f>
        <v/>
      </c>
      <c r="H27" s="166" t="str">
        <f>IFERROR(__xludf.DUMMYFUNCTION("IFERROR(INDEX(QUERY({'リスト'!$A$3:$G50; ARRAYFORMULA({TEXT('新規'!$A$2:$A50, ""aaa""), '新規'!$B$2:$B50, '新規'!$E$2:$E50, '新規'!$F$2:$F50, '新規'!$G$2:$G50})}, ""select Col3 where Col1 = '""&amp;H$1&amp;""' and Col2 = ""&amp;LOOKUP(10^10, $A$1:$A27)&amp;"" and Col5 = '毎月配信'""), RO"&amp;"W() - MATCH(LOOKUP(10^10, $A$1:$A27), $A$1:$A27, 0) + 1), """") 
"),"")</f>
        <v/>
      </c>
      <c r="I27" s="167"/>
      <c r="J27" s="167"/>
      <c r="K27" s="167"/>
      <c r="L27" s="167"/>
      <c r="M27" s="167"/>
      <c r="N27" s="167"/>
      <c r="O27" s="167"/>
    </row>
    <row r="28" ht="16.5" customHeight="1">
      <c r="A28" s="164">
        <f>A26+1</f>
        <v>21</v>
      </c>
      <c r="B28" s="166" t="str">
        <f>IFERROR(__xludf.DUMMYFUNCTION("IFERROR(INDEX(QUERY({'リスト'!$A$3:$G50; ARRAYFORMULA({TEXT('新規'!$A$2:$A50, ""aaa""), '新規'!$B$2:$B50, '新規'!$E$2:$E50, '新規'!$F$2:$F50, '新規'!$G$2:$G50})}, ""select Col3 where Col1 = '""&amp;B$1&amp;""' and Col2 = ""&amp;LOOKUP(10^10, $A$1:$A28)&amp;"" and Col5 = '毎月配信'""), RO"&amp;"W() - MATCH(LOOKUP(10^10, $A$1:$A28), $A$1:$A28, 0) + 1), """") 
"),"")</f>
        <v/>
      </c>
      <c r="C28" s="166" t="str">
        <f>IFERROR(__xludf.DUMMYFUNCTION("IFERROR(INDEX(QUERY({'リスト'!$A$3:$G50; ARRAYFORMULA({TEXT('新規'!$A$2:$A50, ""aaa""), '新規'!$B$2:$B50, '新規'!$E$2:$E50, '新規'!$F$2:$F50, '新規'!$G$2:$G50})}, ""select Col3 where Col1 = '""&amp;C$1&amp;""' and Col2 = ""&amp;LOOKUP(10^10, $A$1:$A28)&amp;"" and Col5 = '毎月配信'""), RO"&amp;"W() - MATCH(LOOKUP(10^10, $A$1:$A28), $A$1:$A28, 0) + 1), """") 
"),"")</f>
        <v/>
      </c>
      <c r="D28" s="166" t="str">
        <f>IFERROR(__xludf.DUMMYFUNCTION("IFERROR(INDEX(QUERY({'リスト'!$A$3:$G50; ARRAYFORMULA({TEXT('新規'!$A$2:$A50, ""aaa""), '新規'!$B$2:$B50, '新規'!$E$2:$E50, '新規'!$F$2:$F50, '新規'!$G$2:$G50})}, ""select Col3 where Col1 = '""&amp;D$1&amp;""' and Col2 = ""&amp;LOOKUP(10^10, $A$1:$A28)&amp;"" and Col5 = '毎月配信'""), RO"&amp;"W() - MATCH(LOOKUP(10^10, $A$1:$A28), $A$1:$A28, 0) + 1), """") 
"),"")</f>
        <v/>
      </c>
      <c r="E28" s="166" t="str">
        <f>IFERROR(__xludf.DUMMYFUNCTION("IFERROR(INDEX(QUERY({'リスト'!$A$3:$G50; ARRAYFORMULA({TEXT('新規'!$A$2:$A50, ""aaa""), '新規'!$B$2:$B50, '新規'!$E$2:$E50, '新規'!$F$2:$F50, '新規'!$G$2:$G50})}, ""select Col3 where Col1 = '""&amp;E$1&amp;""' and Col2 = ""&amp;LOOKUP(10^10, $A$1:$A28)&amp;"" and Col5 = '毎月配信'""), RO"&amp;"W() - MATCH(LOOKUP(10^10, $A$1:$A28), $A$1:$A28, 0) + 1), """") 
"),"")</f>
        <v/>
      </c>
      <c r="F28" s="166" t="str">
        <f>IFERROR(__xludf.DUMMYFUNCTION("IFERROR(INDEX(QUERY({'リスト'!$A$3:$G50; ARRAYFORMULA({TEXT('新規'!$A$2:$A50, ""aaa""), '新規'!$B$2:$B50, '新規'!$E$2:$E50, '新規'!$F$2:$F50, '新規'!$G$2:$G50})}, ""select Col3 where Col1 = '""&amp;F$1&amp;""' and Col2 = ""&amp;LOOKUP(10^10, $A$1:$A28)&amp;"" and Col5 = '毎月配信'""), RO"&amp;"W() - MATCH(LOOKUP(10^10, $A$1:$A28), $A$1:$A28, 0) + 1), """") 
"),"")</f>
        <v/>
      </c>
      <c r="G28" s="166" t="str">
        <f>IFERROR(__xludf.DUMMYFUNCTION("IFERROR(INDEX(QUERY({'リスト'!$A$3:$G50; ARRAYFORMULA({TEXT('新規'!$A$2:$A50, ""aaa""), '新規'!$B$2:$B50, '新規'!$E$2:$E50, '新規'!$F$2:$F50, '新規'!$G$2:$G50})}, ""select Col3 where Col1 = '""&amp;G$1&amp;""' and Col2 = ""&amp;LOOKUP(10^10, $A$1:$A28)&amp;"" and Col5 = '毎月配信'""), RO"&amp;"W() - MATCH(LOOKUP(10^10, $A$1:$A28), $A$1:$A28, 0) + 1), """") 
"),"")</f>
        <v/>
      </c>
      <c r="H28" s="166" t="str">
        <f>IFERROR(__xludf.DUMMYFUNCTION("IFERROR(INDEX(QUERY({'リスト'!$A$3:$G50; ARRAYFORMULA({TEXT('新規'!$A$2:$A50, ""aaa""), '新規'!$B$2:$B50, '新規'!$E$2:$E50, '新規'!$F$2:$F50, '新規'!$G$2:$G50})}, ""select Col3 where Col1 = '""&amp;H$1&amp;""' and Col2 = ""&amp;LOOKUP(10^10, $A$1:$A28)&amp;"" and Col5 = '毎月配信'""), RO"&amp;"W() - MATCH(LOOKUP(10^10, $A$1:$A28), $A$1:$A28, 0) + 1), """") 
"),"")</f>
        <v/>
      </c>
      <c r="I28" s="167"/>
      <c r="J28" s="167"/>
      <c r="K28" s="167"/>
      <c r="L28" s="167"/>
      <c r="M28" s="167"/>
      <c r="N28" s="167"/>
      <c r="O28" s="167"/>
    </row>
    <row r="29" ht="16.5" customHeight="1">
      <c r="A29" s="168"/>
      <c r="B29" s="166" t="str">
        <f>IFERROR(__xludf.DUMMYFUNCTION("IFERROR(INDEX(QUERY({'リスト'!$A$3:$G50; ARRAYFORMULA({TEXT('新規'!$A$2:$A50, ""aaa""), '新規'!$B$2:$B50, '新規'!$E$2:$E50, '新規'!$F$2:$F50, '新規'!$G$2:$G50})}, ""select Col3 where Col1 = '""&amp;B$1&amp;""' and Col2 = ""&amp;LOOKUP(10^10, $A$1:$A29)&amp;"" and Col5 = '毎月配信'""), RO"&amp;"W() - MATCH(LOOKUP(10^10, $A$1:$A29), $A$1:$A29, 0) + 1), """") 
"),"")</f>
        <v/>
      </c>
      <c r="C29" s="166" t="str">
        <f>IFERROR(__xludf.DUMMYFUNCTION("IFERROR(INDEX(QUERY({'リスト'!$A$3:$G50; ARRAYFORMULA({TEXT('新規'!$A$2:$A50, ""aaa""), '新規'!$B$2:$B50, '新規'!$E$2:$E50, '新規'!$F$2:$F50, '新規'!$G$2:$G50})}, ""select Col3 where Col1 = '""&amp;C$1&amp;""' and Col2 = ""&amp;LOOKUP(10^10, $A$1:$A29)&amp;"" and Col5 = '毎月配信'""), RO"&amp;"W() - MATCH(LOOKUP(10^10, $A$1:$A29), $A$1:$A29, 0) + 1), """") 
"),"")</f>
        <v/>
      </c>
      <c r="D29" s="166" t="str">
        <f>IFERROR(__xludf.DUMMYFUNCTION("IFERROR(INDEX(QUERY({'リスト'!$A$3:$G50; ARRAYFORMULA({TEXT('新規'!$A$2:$A50, ""aaa""), '新規'!$B$2:$B50, '新規'!$E$2:$E50, '新規'!$F$2:$F50, '新規'!$G$2:$G50})}, ""select Col3 where Col1 = '""&amp;D$1&amp;""' and Col2 = ""&amp;LOOKUP(10^10, $A$1:$A29)&amp;"" and Col5 = '毎月配信'""), RO"&amp;"W() - MATCH(LOOKUP(10^10, $A$1:$A29), $A$1:$A29, 0) + 1), """") 
"),"")</f>
        <v/>
      </c>
      <c r="E29" s="166" t="str">
        <f>IFERROR(__xludf.DUMMYFUNCTION("IFERROR(INDEX(QUERY({'リスト'!$A$3:$G50; ARRAYFORMULA({TEXT('新規'!$A$2:$A50, ""aaa""), '新規'!$B$2:$B50, '新規'!$E$2:$E50, '新規'!$F$2:$F50, '新規'!$G$2:$G50})}, ""select Col3 where Col1 = '""&amp;E$1&amp;""' and Col2 = ""&amp;LOOKUP(10^10, $A$1:$A29)&amp;"" and Col5 = '毎月配信'""), RO"&amp;"W() - MATCH(LOOKUP(10^10, $A$1:$A29), $A$1:$A29, 0) + 1), """") 
"),"")</f>
        <v/>
      </c>
      <c r="F29" s="166" t="str">
        <f>IFERROR(__xludf.DUMMYFUNCTION("IFERROR(INDEX(QUERY({'リスト'!$A$3:$G50; ARRAYFORMULA({TEXT('新規'!$A$2:$A50, ""aaa""), '新規'!$B$2:$B50, '新規'!$E$2:$E50, '新規'!$F$2:$F50, '新規'!$G$2:$G50})}, ""select Col3 where Col1 = '""&amp;F$1&amp;""' and Col2 = ""&amp;LOOKUP(10^10, $A$1:$A29)&amp;"" and Col5 = '毎月配信'""), RO"&amp;"W() - MATCH(LOOKUP(10^10, $A$1:$A29), $A$1:$A29, 0) + 1), """") 
"),"")</f>
        <v/>
      </c>
      <c r="G29" s="166" t="str">
        <f>IFERROR(__xludf.DUMMYFUNCTION("IFERROR(INDEX(QUERY({'リスト'!$A$3:$G50; ARRAYFORMULA({TEXT('新規'!$A$2:$A50, ""aaa""), '新規'!$B$2:$B50, '新規'!$E$2:$E50, '新規'!$F$2:$F50, '新規'!$G$2:$G50})}, ""select Col3 where Col1 = '""&amp;G$1&amp;""' and Col2 = ""&amp;LOOKUP(10^10, $A$1:$A29)&amp;"" and Col5 = '毎月配信'""), RO"&amp;"W() - MATCH(LOOKUP(10^10, $A$1:$A29), $A$1:$A29, 0) + 1), """") 
"),"")</f>
        <v/>
      </c>
      <c r="H29" s="166" t="str">
        <f>IFERROR(__xludf.DUMMYFUNCTION("IFERROR(INDEX(QUERY({'リスト'!$A$3:$G50; ARRAYFORMULA({TEXT('新規'!$A$2:$A50, ""aaa""), '新規'!$B$2:$B50, '新規'!$E$2:$E50, '新規'!$F$2:$F50, '新規'!$G$2:$G50})}, ""select Col3 where Col1 = '""&amp;H$1&amp;""' and Col2 = ""&amp;LOOKUP(10^10, $A$1:$A29)&amp;"" and Col5 = '毎月配信'""), RO"&amp;"W() - MATCH(LOOKUP(10^10, $A$1:$A29), $A$1:$A29, 0) + 1), """") 
"),"")</f>
        <v/>
      </c>
      <c r="I29" s="167"/>
      <c r="J29" s="167"/>
      <c r="K29" s="167"/>
      <c r="L29" s="167"/>
      <c r="M29" s="167"/>
      <c r="N29" s="167"/>
      <c r="O29" s="167"/>
    </row>
    <row r="30" hidden="1">
      <c r="A30" s="169"/>
      <c r="B30" s="169"/>
      <c r="C30" s="170"/>
      <c r="D30" s="170"/>
      <c r="E30" s="170"/>
      <c r="F30" s="170"/>
      <c r="G30" s="170"/>
      <c r="H30" s="170"/>
      <c r="I30" s="170"/>
      <c r="J30" s="170"/>
      <c r="K30" s="170"/>
      <c r="L30" s="170"/>
      <c r="M30" s="170"/>
      <c r="N30" s="170"/>
      <c r="O30" s="170"/>
    </row>
    <row r="31" hidden="1">
      <c r="A31" s="171" t="s">
        <v>135</v>
      </c>
      <c r="B31" s="123" t="s">
        <v>136</v>
      </c>
      <c r="C31" s="123" t="s">
        <v>0</v>
      </c>
      <c r="D31" s="172" t="s">
        <v>1</v>
      </c>
      <c r="E31" s="142" t="s">
        <v>139</v>
      </c>
      <c r="F31" s="172" t="s">
        <v>140</v>
      </c>
      <c r="G31" s="123" t="s">
        <v>141</v>
      </c>
      <c r="H31" s="123" t="s">
        <v>142</v>
      </c>
      <c r="I31" s="123" t="s">
        <v>143</v>
      </c>
      <c r="J31" s="124" t="s">
        <v>144</v>
      </c>
      <c r="K31" s="123" t="s">
        <v>145</v>
      </c>
      <c r="L31" s="123" t="s">
        <v>78</v>
      </c>
      <c r="M31" s="123" t="s">
        <v>2</v>
      </c>
      <c r="N31" s="123" t="s">
        <v>3</v>
      </c>
      <c r="O31" s="124" t="s">
        <v>146</v>
      </c>
    </row>
    <row r="32" hidden="1">
      <c r="A32" s="67" t="str">
        <f>IFERROR(__xludf.DUMMYFUNCTION("IFERROR(QUERY({'リスト'!A3:Q50; '新規'!A2:B50, '新規'!E2:Q50}, ""where Col5 = '毎月配信'"", 0), ""対象データなし"")
"),"対象データなし")</f>
        <v>対象データなし</v>
      </c>
      <c r="B32" s="67"/>
      <c r="C32" s="83"/>
      <c r="D32" s="67"/>
      <c r="E32" s="67"/>
      <c r="F32" s="67"/>
      <c r="G32" s="67"/>
      <c r="H32" s="67"/>
      <c r="I32" s="67"/>
      <c r="J32" s="67"/>
      <c r="K32" s="67"/>
      <c r="L32" s="67"/>
      <c r="M32" s="67"/>
      <c r="N32" s="67"/>
      <c r="O32" s="67"/>
    </row>
    <row r="33" hidden="1">
      <c r="A33" s="67"/>
      <c r="B33" s="67"/>
      <c r="C33" s="83"/>
      <c r="D33" s="67"/>
      <c r="E33" s="67"/>
      <c r="F33" s="67"/>
      <c r="G33" s="67"/>
      <c r="H33" s="67"/>
      <c r="I33" s="67"/>
      <c r="J33" s="67"/>
      <c r="K33" s="67"/>
      <c r="L33" s="67"/>
      <c r="M33" s="67"/>
      <c r="N33" s="67"/>
      <c r="O33" s="67"/>
    </row>
    <row r="34" hidden="1">
      <c r="A34" s="67"/>
      <c r="B34" s="67"/>
      <c r="C34" s="83"/>
      <c r="D34" s="67"/>
      <c r="E34" s="67"/>
      <c r="F34" s="67"/>
      <c r="G34" s="67"/>
      <c r="H34" s="67"/>
      <c r="I34" s="67"/>
      <c r="J34" s="67"/>
      <c r="K34" s="67"/>
      <c r="L34" s="67"/>
      <c r="M34" s="67"/>
      <c r="N34" s="67"/>
      <c r="O34" s="67"/>
    </row>
    <row r="35" hidden="1">
      <c r="A35" s="67"/>
      <c r="B35" s="67"/>
      <c r="C35" s="83"/>
      <c r="D35" s="67"/>
      <c r="E35" s="67"/>
      <c r="F35" s="67"/>
      <c r="G35" s="67"/>
      <c r="H35" s="67"/>
      <c r="I35" s="67"/>
      <c r="J35" s="67"/>
      <c r="K35" s="67"/>
      <c r="L35" s="67"/>
      <c r="M35" s="67"/>
      <c r="N35" s="67"/>
      <c r="O35" s="67"/>
    </row>
    <row r="36" hidden="1">
      <c r="A36" s="67"/>
      <c r="B36" s="67"/>
      <c r="C36" s="83"/>
      <c r="D36" s="67"/>
      <c r="E36" s="67"/>
      <c r="F36" s="67"/>
      <c r="G36" s="67"/>
      <c r="H36" s="67"/>
      <c r="I36" s="67"/>
      <c r="J36" s="67"/>
      <c r="K36" s="67"/>
      <c r="L36" s="67"/>
      <c r="M36" s="67"/>
      <c r="N36" s="67"/>
      <c r="O36" s="67"/>
    </row>
    <row r="37" hidden="1">
      <c r="A37" s="67"/>
      <c r="B37" s="67"/>
      <c r="C37" s="83"/>
      <c r="D37" s="67"/>
      <c r="E37" s="67"/>
      <c r="F37" s="67"/>
      <c r="G37" s="67"/>
      <c r="H37" s="67"/>
      <c r="I37" s="67"/>
      <c r="J37" s="67"/>
      <c r="K37" s="67"/>
      <c r="L37" s="67"/>
      <c r="M37" s="67"/>
      <c r="N37" s="67"/>
      <c r="O37" s="67"/>
    </row>
    <row r="38" hidden="1">
      <c r="A38" s="67"/>
      <c r="B38" s="67"/>
      <c r="C38" s="83"/>
      <c r="D38" s="67"/>
      <c r="E38" s="67"/>
      <c r="F38" s="67"/>
      <c r="G38" s="67"/>
      <c r="H38" s="67"/>
      <c r="I38" s="67"/>
      <c r="J38" s="67"/>
      <c r="K38" s="67"/>
      <c r="L38" s="67"/>
      <c r="M38" s="67"/>
      <c r="N38" s="67"/>
      <c r="O38" s="67"/>
    </row>
    <row r="39" hidden="1">
      <c r="A39" s="67"/>
      <c r="B39" s="67"/>
      <c r="C39" s="83"/>
      <c r="D39" s="67"/>
      <c r="E39" s="67"/>
      <c r="F39" s="67"/>
      <c r="G39" s="67"/>
      <c r="H39" s="67"/>
      <c r="I39" s="67"/>
      <c r="J39" s="67"/>
      <c r="K39" s="67"/>
      <c r="L39" s="67"/>
      <c r="M39" s="67"/>
      <c r="N39" s="67"/>
      <c r="O39" s="67"/>
    </row>
    <row r="40" hidden="1">
      <c r="A40" s="67"/>
      <c r="B40" s="67"/>
      <c r="C40" s="83"/>
      <c r="D40" s="67"/>
      <c r="E40" s="67"/>
      <c r="F40" s="67"/>
      <c r="G40" s="67"/>
      <c r="H40" s="67"/>
      <c r="I40" s="67"/>
      <c r="J40" s="67"/>
      <c r="K40" s="67"/>
      <c r="L40" s="67"/>
      <c r="M40" s="67"/>
      <c r="N40" s="67"/>
      <c r="O40" s="67"/>
    </row>
    <row r="41" hidden="1">
      <c r="A41" s="67"/>
      <c r="B41" s="67"/>
      <c r="C41" s="83"/>
      <c r="D41" s="67"/>
      <c r="E41" s="67"/>
      <c r="F41" s="67"/>
      <c r="G41" s="67"/>
      <c r="H41" s="67"/>
      <c r="I41" s="67"/>
      <c r="J41" s="67"/>
      <c r="K41" s="67"/>
      <c r="L41" s="67"/>
      <c r="M41" s="67"/>
      <c r="N41" s="67"/>
      <c r="O41" s="67"/>
    </row>
    <row r="42" hidden="1">
      <c r="A42" s="67"/>
      <c r="B42" s="67"/>
      <c r="C42" s="83"/>
      <c r="D42" s="67"/>
      <c r="E42" s="67"/>
      <c r="F42" s="67"/>
      <c r="G42" s="67"/>
      <c r="H42" s="67"/>
      <c r="I42" s="67"/>
      <c r="J42" s="67"/>
      <c r="K42" s="67"/>
      <c r="L42" s="67"/>
      <c r="M42" s="67"/>
      <c r="N42" s="67"/>
      <c r="O42" s="67"/>
    </row>
    <row r="43" hidden="1">
      <c r="A43" s="67"/>
      <c r="B43" s="67"/>
      <c r="C43" s="83"/>
      <c r="D43" s="67"/>
      <c r="E43" s="67"/>
      <c r="F43" s="67"/>
      <c r="G43" s="67"/>
      <c r="H43" s="67"/>
      <c r="I43" s="67"/>
      <c r="J43" s="67"/>
      <c r="K43" s="67"/>
      <c r="L43" s="67"/>
      <c r="M43" s="67"/>
      <c r="N43" s="67"/>
      <c r="O43" s="67"/>
    </row>
    <row r="44" hidden="1">
      <c r="A44" s="67"/>
      <c r="B44" s="67"/>
      <c r="C44" s="83"/>
      <c r="D44" s="67"/>
      <c r="E44" s="67"/>
      <c r="F44" s="67"/>
      <c r="G44" s="67"/>
      <c r="H44" s="67"/>
      <c r="I44" s="67"/>
      <c r="J44" s="67"/>
      <c r="K44" s="67"/>
      <c r="L44" s="67"/>
      <c r="M44" s="67"/>
      <c r="N44" s="67"/>
      <c r="O44" s="67"/>
    </row>
    <row r="45" hidden="1">
      <c r="A45" s="67"/>
      <c r="B45" s="67"/>
      <c r="C45" s="83"/>
      <c r="D45" s="67"/>
      <c r="E45" s="67"/>
      <c r="F45" s="67"/>
      <c r="G45" s="67"/>
      <c r="H45" s="67"/>
      <c r="I45" s="67"/>
      <c r="J45" s="67"/>
      <c r="K45" s="67"/>
      <c r="L45" s="67"/>
      <c r="M45" s="67"/>
      <c r="N45" s="67"/>
      <c r="O45" s="67"/>
    </row>
    <row r="46" hidden="1">
      <c r="A46" s="67"/>
      <c r="B46" s="67"/>
      <c r="C46" s="83"/>
      <c r="D46" s="67"/>
      <c r="E46" s="67"/>
      <c r="F46" s="67"/>
      <c r="G46" s="67"/>
      <c r="H46" s="67"/>
      <c r="I46" s="67"/>
      <c r="J46" s="67"/>
      <c r="K46" s="67"/>
      <c r="L46" s="67"/>
      <c r="M46" s="67"/>
      <c r="N46" s="67"/>
      <c r="O46" s="67"/>
    </row>
    <row r="47" hidden="1">
      <c r="A47" s="67"/>
      <c r="B47" s="67"/>
      <c r="C47" s="83"/>
      <c r="D47" s="67"/>
      <c r="E47" s="67"/>
      <c r="F47" s="67"/>
      <c r="G47" s="67"/>
      <c r="H47" s="67"/>
      <c r="I47" s="67"/>
      <c r="J47" s="67"/>
      <c r="K47" s="67"/>
      <c r="L47" s="67"/>
      <c r="M47" s="67"/>
      <c r="N47" s="67"/>
      <c r="O47" s="67"/>
    </row>
    <row r="48" hidden="1">
      <c r="A48" s="67"/>
      <c r="B48" s="67"/>
      <c r="C48" s="83"/>
      <c r="D48" s="67"/>
      <c r="E48" s="67"/>
      <c r="F48" s="67"/>
      <c r="G48" s="67"/>
      <c r="H48" s="67"/>
      <c r="I48" s="67"/>
      <c r="J48" s="67"/>
      <c r="K48" s="67"/>
      <c r="L48" s="67"/>
      <c r="M48" s="67"/>
      <c r="N48" s="67"/>
      <c r="O48" s="67"/>
    </row>
    <row r="49" hidden="1">
      <c r="A49" s="67"/>
      <c r="B49" s="67"/>
      <c r="C49" s="83"/>
      <c r="D49" s="67"/>
      <c r="E49" s="67"/>
      <c r="F49" s="67"/>
      <c r="G49" s="67"/>
      <c r="H49" s="67"/>
      <c r="I49" s="67"/>
      <c r="J49" s="67"/>
      <c r="K49" s="67"/>
      <c r="L49" s="67"/>
      <c r="M49" s="67"/>
      <c r="N49" s="67"/>
      <c r="O49" s="67"/>
    </row>
    <row r="50" hidden="1">
      <c r="A50" s="36"/>
      <c r="B50" s="36"/>
      <c r="C50" s="50"/>
      <c r="D50" s="8"/>
      <c r="E50" s="35"/>
      <c r="F50" s="8"/>
      <c r="G50" s="36"/>
      <c r="H50" s="36"/>
      <c r="I50" s="36"/>
      <c r="J50" s="36"/>
      <c r="K50" s="36"/>
      <c r="L50" s="36"/>
      <c r="M50" s="36"/>
      <c r="N50" s="36"/>
      <c r="O50" s="3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2.13"/>
    <col customWidth="1" min="3" max="3" width="33.88"/>
    <col customWidth="1" min="4" max="5" width="13.0"/>
    <col customWidth="1" min="6" max="6" width="19.38"/>
    <col customWidth="1" min="7" max="9" width="13.0"/>
    <col customWidth="1" min="10" max="11" width="11.5"/>
    <col customWidth="1" min="12" max="12" width="10.75"/>
  </cols>
  <sheetData>
    <row r="1">
      <c r="A1" s="173" t="s">
        <v>554</v>
      </c>
      <c r="B1" s="28" t="s">
        <v>136</v>
      </c>
      <c r="C1" s="28" t="s">
        <v>0</v>
      </c>
      <c r="D1" s="31" t="s">
        <v>1</v>
      </c>
      <c r="E1" s="31" t="s">
        <v>139</v>
      </c>
      <c r="F1" s="31" t="s">
        <v>140</v>
      </c>
      <c r="G1" s="28" t="s">
        <v>141</v>
      </c>
      <c r="H1" s="31" t="s">
        <v>145</v>
      </c>
      <c r="I1" s="28" t="s">
        <v>78</v>
      </c>
      <c r="J1" s="28" t="s">
        <v>2</v>
      </c>
      <c r="K1" s="28" t="s">
        <v>3</v>
      </c>
      <c r="L1" s="30" t="s">
        <v>146</v>
      </c>
    </row>
    <row r="2" ht="18.75" customHeight="1">
      <c r="A2" s="174">
        <v>46126.0</v>
      </c>
      <c r="B2" s="8">
        <v>12.0</v>
      </c>
      <c r="C2" s="175" t="s">
        <v>555</v>
      </c>
      <c r="D2" s="175"/>
      <c r="E2" s="175"/>
      <c r="F2" s="8"/>
      <c r="G2" s="176"/>
      <c r="H2" s="8"/>
      <c r="I2" s="8"/>
      <c r="J2" s="175"/>
      <c r="K2" s="175"/>
      <c r="L2" s="8" t="b">
        <v>0</v>
      </c>
    </row>
    <row r="3" ht="17.25" customHeight="1">
      <c r="A3" s="174">
        <v>46129.0</v>
      </c>
      <c r="B3" s="8">
        <v>12.0</v>
      </c>
      <c r="C3" s="175" t="s">
        <v>555</v>
      </c>
      <c r="D3" s="175"/>
      <c r="E3" s="175"/>
      <c r="F3" s="8"/>
      <c r="G3" s="176"/>
      <c r="H3" s="8"/>
      <c r="I3" s="8"/>
      <c r="J3" s="175"/>
      <c r="K3" s="175"/>
      <c r="L3" s="8" t="b">
        <v>0</v>
      </c>
    </row>
    <row r="4" ht="17.25" customHeight="1">
      <c r="A4" s="174">
        <v>46126.0</v>
      </c>
      <c r="B4" s="8">
        <v>20.0</v>
      </c>
      <c r="C4" s="177" t="s">
        <v>556</v>
      </c>
      <c r="D4" s="177"/>
      <c r="E4" s="177"/>
      <c r="F4" s="178"/>
      <c r="G4" s="176"/>
      <c r="H4" s="178"/>
      <c r="I4" s="178"/>
      <c r="J4" s="177"/>
      <c r="K4" s="177"/>
      <c r="L4" s="8" t="b">
        <v>0</v>
      </c>
    </row>
    <row r="5" ht="17.25" customHeight="1">
      <c r="A5" s="174">
        <v>46127.0</v>
      </c>
      <c r="B5" s="8">
        <v>20.0</v>
      </c>
      <c r="C5" s="177" t="s">
        <v>556</v>
      </c>
      <c r="D5" s="177"/>
      <c r="E5" s="177"/>
      <c r="F5" s="178"/>
      <c r="G5" s="176"/>
      <c r="H5" s="178"/>
      <c r="I5" s="178"/>
      <c r="J5" s="177"/>
      <c r="K5" s="177"/>
      <c r="L5" s="8" t="b">
        <v>0</v>
      </c>
    </row>
    <row r="6" ht="17.25" customHeight="1">
      <c r="A6" s="174">
        <v>46128.0</v>
      </c>
      <c r="B6" s="8">
        <v>20.0</v>
      </c>
      <c r="C6" s="177" t="s">
        <v>556</v>
      </c>
      <c r="D6" s="177"/>
      <c r="E6" s="177"/>
      <c r="F6" s="178"/>
      <c r="G6" s="176"/>
      <c r="H6" s="178"/>
      <c r="I6" s="178"/>
      <c r="J6" s="177"/>
      <c r="K6" s="177"/>
      <c r="L6" s="8" t="b">
        <v>0</v>
      </c>
    </row>
    <row r="7" ht="17.25" customHeight="1">
      <c r="A7" s="174">
        <v>46129.0</v>
      </c>
      <c r="B7" s="8">
        <v>20.0</v>
      </c>
      <c r="C7" s="177" t="s">
        <v>556</v>
      </c>
      <c r="D7" s="177"/>
      <c r="E7" s="177"/>
      <c r="F7" s="178"/>
      <c r="G7" s="176"/>
      <c r="H7" s="178"/>
      <c r="I7" s="178"/>
      <c r="J7" s="177"/>
      <c r="K7" s="177"/>
      <c r="L7" s="8" t="b">
        <v>0</v>
      </c>
    </row>
    <row r="8" ht="17.25" customHeight="1">
      <c r="A8" s="174">
        <v>46132.0</v>
      </c>
      <c r="B8" s="8">
        <v>20.0</v>
      </c>
      <c r="C8" s="177" t="s">
        <v>556</v>
      </c>
      <c r="D8" s="177"/>
      <c r="E8" s="177"/>
      <c r="F8" s="178"/>
      <c r="G8" s="176"/>
      <c r="H8" s="178"/>
      <c r="I8" s="178"/>
      <c r="J8" s="177"/>
      <c r="K8" s="177"/>
      <c r="L8" s="8" t="b">
        <v>0</v>
      </c>
    </row>
    <row r="9" ht="17.25" customHeight="1">
      <c r="A9" s="174">
        <v>46126.0</v>
      </c>
      <c r="B9" s="8">
        <v>18.0</v>
      </c>
      <c r="C9" s="175" t="s">
        <v>557</v>
      </c>
      <c r="D9" s="175"/>
      <c r="E9" s="175"/>
      <c r="F9" s="8"/>
      <c r="G9" s="176"/>
      <c r="H9" s="8"/>
      <c r="I9" s="8"/>
      <c r="J9" s="175"/>
      <c r="K9" s="175"/>
      <c r="L9" s="8" t="b">
        <v>0</v>
      </c>
    </row>
    <row r="10" ht="17.25" customHeight="1">
      <c r="A10" s="174">
        <v>46129.0</v>
      </c>
      <c r="B10" s="8">
        <v>18.0</v>
      </c>
      <c r="C10" s="175" t="s">
        <v>557</v>
      </c>
      <c r="D10" s="175"/>
      <c r="E10" s="175"/>
      <c r="F10" s="8"/>
      <c r="G10" s="176"/>
      <c r="H10" s="8"/>
      <c r="I10" s="8"/>
      <c r="J10" s="175"/>
      <c r="K10" s="175"/>
      <c r="L10" s="8" t="b">
        <v>0</v>
      </c>
    </row>
    <row r="11" ht="17.25" customHeight="1">
      <c r="A11" s="174"/>
      <c r="B11" s="8"/>
      <c r="C11" s="179"/>
      <c r="D11" s="180"/>
      <c r="E11" s="180"/>
      <c r="F11" s="8"/>
      <c r="G11" s="67"/>
      <c r="H11" s="8"/>
      <c r="I11" s="8"/>
      <c r="J11" s="180"/>
      <c r="K11" s="181"/>
      <c r="L11" s="8" t="b">
        <v>0</v>
      </c>
    </row>
    <row r="12" ht="17.25" customHeight="1">
      <c r="A12" s="174"/>
      <c r="B12" s="8"/>
      <c r="C12" s="179"/>
      <c r="D12" s="180"/>
      <c r="E12" s="180"/>
      <c r="F12" s="8"/>
      <c r="G12" s="67"/>
      <c r="H12" s="8"/>
      <c r="I12" s="8"/>
      <c r="J12" s="180"/>
      <c r="K12" s="181"/>
      <c r="L12" s="8" t="b">
        <v>0</v>
      </c>
    </row>
    <row r="13" ht="17.25" customHeight="1">
      <c r="A13" s="174"/>
      <c r="B13" s="8"/>
      <c r="C13" s="179"/>
      <c r="D13" s="180"/>
      <c r="E13" s="180"/>
      <c r="F13" s="8"/>
      <c r="G13" s="67"/>
      <c r="H13" s="8"/>
      <c r="I13" s="8"/>
      <c r="J13" s="180"/>
      <c r="K13" s="181"/>
      <c r="L13" s="8" t="b">
        <v>0</v>
      </c>
    </row>
    <row r="14" ht="17.25" customHeight="1">
      <c r="A14" s="174"/>
      <c r="B14" s="8"/>
      <c r="C14" s="179"/>
      <c r="D14" s="180"/>
      <c r="E14" s="180"/>
      <c r="F14" s="8"/>
      <c r="G14" s="67"/>
      <c r="H14" s="8"/>
      <c r="I14" s="8"/>
      <c r="J14" s="180"/>
      <c r="K14" s="181"/>
      <c r="L14" s="8" t="b">
        <v>0</v>
      </c>
    </row>
    <row r="15" ht="17.25" customHeight="1">
      <c r="A15" s="174"/>
      <c r="B15" s="8"/>
      <c r="C15" s="179"/>
      <c r="D15" s="180"/>
      <c r="E15" s="180"/>
      <c r="F15" s="8"/>
      <c r="G15" s="67"/>
      <c r="H15" s="8"/>
      <c r="I15" s="8"/>
      <c r="J15" s="180"/>
      <c r="K15" s="181"/>
      <c r="L15" s="8" t="b">
        <v>0</v>
      </c>
    </row>
    <row r="16" ht="17.25" customHeight="1">
      <c r="A16" s="174"/>
      <c r="B16" s="8"/>
      <c r="C16" s="179"/>
      <c r="D16" s="180"/>
      <c r="E16" s="180"/>
      <c r="F16" s="8"/>
      <c r="G16" s="67"/>
      <c r="H16" s="8"/>
      <c r="I16" s="8"/>
      <c r="J16" s="180"/>
      <c r="K16" s="181"/>
      <c r="L16" s="8" t="b">
        <v>0</v>
      </c>
    </row>
  </sheetData>
  <autoFilter ref="$A$1:$L$1">
    <sortState ref="A1:L1">
      <sortCondition ref="E1"/>
      <sortCondition ref="A1"/>
      <sortCondition ref="F1"/>
    </sortState>
  </autoFilter>
  <printOptions gridLines="1" horizontalCentered="1"/>
  <pageMargins bottom="0.75" footer="0.0" header="0.0" left="0.25" right="0.25" top="0.75"/>
  <pageSetup fitToWidth="0" paperSize="8" cellComments="atEnd" orientation="landscape" pageOrder="overThenDow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7" width="9.38"/>
  </cols>
  <sheetData>
    <row r="1" ht="30.75" customHeight="1">
      <c r="A1" s="182" t="s">
        <v>558</v>
      </c>
      <c r="B1" s="183"/>
      <c r="C1" s="183"/>
      <c r="D1" s="183"/>
      <c r="E1" s="183"/>
      <c r="F1" s="183"/>
      <c r="G1" s="183"/>
      <c r="H1" s="183"/>
      <c r="I1" s="184"/>
      <c r="J1" s="184"/>
      <c r="K1" s="184"/>
      <c r="L1" s="184"/>
      <c r="M1" s="184"/>
      <c r="N1" s="184"/>
      <c r="O1" s="184"/>
      <c r="P1" s="184"/>
      <c r="Q1" s="184"/>
      <c r="R1" s="185"/>
      <c r="S1" s="185"/>
      <c r="T1" s="185"/>
      <c r="U1" s="185"/>
      <c r="V1" s="185"/>
      <c r="W1" s="185"/>
      <c r="X1" s="185"/>
      <c r="Y1" s="185"/>
      <c r="Z1" s="185"/>
      <c r="AA1" s="185"/>
      <c r="AB1" s="185"/>
      <c r="AC1" s="185"/>
      <c r="AD1" s="185"/>
    </row>
    <row r="2">
      <c r="A2" s="186" t="s">
        <v>559</v>
      </c>
      <c r="B2" s="186" t="s">
        <v>560</v>
      </c>
      <c r="C2" s="186" t="s">
        <v>561</v>
      </c>
      <c r="D2" s="187" t="s">
        <v>562</v>
      </c>
      <c r="E2" s="188"/>
      <c r="F2" s="188"/>
      <c r="G2" s="184"/>
      <c r="H2" s="184"/>
      <c r="I2" s="184"/>
      <c r="J2" s="184"/>
      <c r="K2" s="184"/>
      <c r="L2" s="184"/>
      <c r="M2" s="184"/>
      <c r="N2" s="184"/>
      <c r="O2" s="184"/>
      <c r="P2" s="184"/>
      <c r="Q2" s="184"/>
      <c r="R2" s="185"/>
      <c r="S2" s="185"/>
      <c r="T2" s="185"/>
      <c r="U2" s="185"/>
      <c r="V2" s="185"/>
      <c r="W2" s="185"/>
      <c r="X2" s="185"/>
      <c r="Y2" s="185"/>
      <c r="Z2" s="185"/>
      <c r="AA2" s="185"/>
      <c r="AB2" s="185"/>
      <c r="AC2" s="185"/>
      <c r="AD2" s="185"/>
    </row>
    <row r="3">
      <c r="A3" s="189" t="s">
        <v>140</v>
      </c>
      <c r="B3" s="190" t="s">
        <v>563</v>
      </c>
      <c r="C3" s="190" t="s">
        <v>564</v>
      </c>
      <c r="D3" s="190" t="s">
        <v>565</v>
      </c>
      <c r="E3" s="191" t="s">
        <v>566</v>
      </c>
      <c r="F3" s="189" t="s">
        <v>567</v>
      </c>
      <c r="G3" s="192" t="s">
        <v>568</v>
      </c>
      <c r="H3" s="193"/>
      <c r="I3" s="193"/>
      <c r="J3" s="193"/>
      <c r="K3" s="193"/>
      <c r="L3" s="193"/>
      <c r="M3" s="193"/>
      <c r="N3" s="193"/>
      <c r="O3" s="193"/>
      <c r="P3" s="193"/>
      <c r="Q3" s="194"/>
      <c r="R3" s="185"/>
      <c r="S3" s="185"/>
      <c r="T3" s="185"/>
      <c r="U3" s="185"/>
      <c r="V3" s="185"/>
      <c r="W3" s="185"/>
      <c r="X3" s="185"/>
      <c r="Y3" s="185"/>
      <c r="Z3" s="185"/>
      <c r="AA3" s="185"/>
      <c r="AB3" s="195" t="s">
        <v>569</v>
      </c>
      <c r="AC3" s="195" t="s">
        <v>570</v>
      </c>
      <c r="AD3" s="195" t="s">
        <v>570</v>
      </c>
    </row>
    <row r="4">
      <c r="A4" s="196">
        <v>200.0</v>
      </c>
      <c r="B4" s="196" t="s">
        <v>571</v>
      </c>
      <c r="C4" s="197">
        <v>45495.0</v>
      </c>
      <c r="D4" s="197">
        <v>72888.0</v>
      </c>
      <c r="E4" s="198" t="s">
        <v>572</v>
      </c>
      <c r="F4" s="199" t="s">
        <v>573</v>
      </c>
      <c r="G4" s="196" t="s">
        <v>276</v>
      </c>
      <c r="H4" s="196" t="s">
        <v>208</v>
      </c>
      <c r="I4" s="196" t="s">
        <v>507</v>
      </c>
      <c r="J4" s="196" t="s">
        <v>407</v>
      </c>
      <c r="K4" s="196" t="s">
        <v>385</v>
      </c>
      <c r="L4" s="196" t="s">
        <v>254</v>
      </c>
      <c r="M4" s="184"/>
      <c r="N4" s="184"/>
      <c r="O4" s="184"/>
      <c r="P4" s="184"/>
      <c r="Q4" s="184"/>
      <c r="R4" s="185"/>
      <c r="S4" s="185"/>
      <c r="T4" s="185"/>
      <c r="U4" s="185"/>
      <c r="V4" s="185"/>
      <c r="W4" s="185"/>
      <c r="X4" s="185"/>
      <c r="Y4" s="185"/>
      <c r="Z4" s="185"/>
      <c r="AA4" s="185"/>
      <c r="AB4" s="185" t="str">
        <f>IFERROR(__xludf.DUMMYFUNCTION("LET(width,COLUMN($AB$1)-COLUMN($G$1),r,INDEX($G4:$AAB4,1,SEQUENCE(1,width)),flat,TOCOL(r,1),bad,FILTER(flat,COUNTIF('リスト'!$E:$E,flat)=0),IFERROR(TEXTJOIN(""\n"",TRUE,bad),""""))"),"")</f>
        <v/>
      </c>
      <c r="AC4" s="200" t="str">
        <f>IFERROR(__xludf.DUMMYFUNCTION("ARRAYFORMULA(QUERY(SPLIT(FLATTEN(IF(LEN($G$4:$ZZ1051),$G$4:$ZZ1051&amp;""♦""&amp;$A$4:$A1051,)),""♦""),""where Col1 is not null"",0))"),"#REF!")</f>
        <v>#REF!</v>
      </c>
      <c r="AD4" s="200" t="str">
        <f t="array" ref="AD4">IF(AE4:AE1051="","",AE4:AE1051)</f>
        <v>#VALUE!</v>
      </c>
    </row>
    <row r="5">
      <c r="A5" s="199">
        <f t="shared" ref="A5:A6" si="1">A4+1</f>
        <v>201</v>
      </c>
      <c r="B5" s="196" t="s">
        <v>574</v>
      </c>
      <c r="C5" s="197">
        <v>45495.0</v>
      </c>
      <c r="D5" s="197">
        <v>72888.0</v>
      </c>
      <c r="E5" s="198" t="s">
        <v>572</v>
      </c>
      <c r="F5" s="188"/>
      <c r="G5" s="196" t="s">
        <v>235</v>
      </c>
      <c r="H5" s="196" t="s">
        <v>275</v>
      </c>
      <c r="I5" s="196" t="s">
        <v>207</v>
      </c>
      <c r="J5" s="184"/>
      <c r="K5" s="184"/>
      <c r="L5" s="184"/>
      <c r="M5" s="184"/>
      <c r="N5" s="184"/>
      <c r="O5" s="184"/>
      <c r="P5" s="184"/>
      <c r="Q5" s="184"/>
      <c r="R5" s="185"/>
      <c r="S5" s="185"/>
      <c r="T5" s="185"/>
      <c r="U5" s="185"/>
      <c r="V5" s="185"/>
      <c r="W5" s="185"/>
      <c r="X5" s="185"/>
      <c r="Y5" s="185"/>
      <c r="Z5" s="185"/>
      <c r="AA5" s="185"/>
      <c r="AB5" s="185" t="str">
        <f>IFERROR(__xludf.DUMMYFUNCTION("LET(width,COLUMN($AB$1)-COLUMN($G$1),r,INDEX($G5:$AAB5,1,SEQUENCE(1,width)),flat,TOCOL(r,1),bad,FILTER(flat,COUNTIF('リスト'!$E:$E,flat)=0),IFERROR(TEXTJOIN(""\n"",TRUE,bad),""""))"),"")</f>
        <v/>
      </c>
      <c r="AC5" s="185"/>
      <c r="AD5" s="185"/>
    </row>
    <row r="6">
      <c r="A6" s="199">
        <f t="shared" si="1"/>
        <v>202</v>
      </c>
      <c r="B6" s="196" t="s">
        <v>575</v>
      </c>
      <c r="C6" s="197">
        <v>45495.0</v>
      </c>
      <c r="D6" s="197">
        <v>72888.0</v>
      </c>
      <c r="E6" s="198" t="s">
        <v>572</v>
      </c>
      <c r="F6" s="198" t="s">
        <v>573</v>
      </c>
      <c r="G6" s="196" t="s">
        <v>358</v>
      </c>
      <c r="H6" s="196" t="s">
        <v>280</v>
      </c>
      <c r="I6" s="196" t="s">
        <v>368</v>
      </c>
      <c r="J6" s="184"/>
      <c r="K6" s="184"/>
      <c r="L6" s="184"/>
      <c r="M6" s="184"/>
      <c r="N6" s="184"/>
      <c r="O6" s="184"/>
      <c r="P6" s="184"/>
      <c r="Q6" s="184"/>
      <c r="R6" s="185"/>
      <c r="S6" s="185"/>
      <c r="T6" s="185"/>
      <c r="U6" s="185"/>
      <c r="V6" s="185"/>
      <c r="W6" s="185"/>
      <c r="X6" s="185"/>
      <c r="Y6" s="185"/>
      <c r="Z6" s="185"/>
      <c r="AA6" s="185"/>
      <c r="AB6" s="185" t="str">
        <f>IFERROR(__xludf.DUMMYFUNCTION("LET(width,COLUMN($AB$1)-COLUMN($G$1),r,INDEX($G6:$AAB6,1,SEQUENCE(1,width)),flat,TOCOL(r,1),bad,FILTER(flat,COUNTIF('リスト'!$E:$E,flat)=0),IFERROR(TEXTJOIN(""\n"",TRUE,bad),""""))"),"")</f>
        <v/>
      </c>
      <c r="AC6" s="185"/>
      <c r="AD6" s="185"/>
    </row>
    <row r="7">
      <c r="A7" s="196">
        <f>A4+1</f>
        <v>201</v>
      </c>
      <c r="B7" s="199" t="s">
        <v>576</v>
      </c>
      <c r="C7" s="197">
        <v>46112.0</v>
      </c>
      <c r="D7" s="197">
        <v>46139.0</v>
      </c>
      <c r="E7" s="201" t="s">
        <v>577</v>
      </c>
      <c r="F7" s="201" t="s">
        <v>578</v>
      </c>
      <c r="G7" s="196" t="s">
        <v>255</v>
      </c>
      <c r="H7" s="196" t="s">
        <v>257</v>
      </c>
      <c r="I7" s="196" t="s">
        <v>258</v>
      </c>
      <c r="J7" s="196" t="s">
        <v>259</v>
      </c>
      <c r="K7" s="196" t="s">
        <v>260</v>
      </c>
      <c r="L7" s="196" t="s">
        <v>301</v>
      </c>
      <c r="M7" s="196" t="s">
        <v>302</v>
      </c>
      <c r="N7" s="196" t="s">
        <v>303</v>
      </c>
      <c r="O7" s="196" t="s">
        <v>304</v>
      </c>
      <c r="P7" s="196" t="s">
        <v>305</v>
      </c>
      <c r="Q7" s="196" t="s">
        <v>333</v>
      </c>
      <c r="R7" s="185"/>
      <c r="S7" s="185"/>
      <c r="T7" s="185"/>
      <c r="U7" s="185"/>
      <c r="V7" s="185"/>
      <c r="W7" s="185"/>
      <c r="X7" s="185"/>
      <c r="Y7" s="185"/>
      <c r="Z7" s="185"/>
      <c r="AA7" s="185"/>
      <c r="AB7" s="185" t="str">
        <f>IFERROR(__xludf.DUMMYFUNCTION("LET(width,COLUMN($AB$1)-COLUMN($G$1),r,INDEX($G7:$AAB7,1,SEQUENCE(1,width)),flat,TOCOL(r,1),bad,FILTER(flat,COUNTIF('リスト'!$E:$E,flat)=0),IFERROR(TEXTJOIN(""\n"",TRUE,bad),""""))"),"")</f>
        <v/>
      </c>
      <c r="AC7" s="185"/>
      <c r="AD7" s="185"/>
    </row>
    <row r="8" ht="107.25" customHeight="1">
      <c r="A8" s="185"/>
      <c r="B8" s="202"/>
      <c r="C8" s="202"/>
      <c r="D8" s="202"/>
      <c r="E8" s="203"/>
      <c r="F8" s="203"/>
      <c r="G8" s="202"/>
      <c r="H8" s="185"/>
      <c r="I8" s="185"/>
      <c r="J8" s="185"/>
      <c r="K8" s="185"/>
      <c r="L8" s="185"/>
      <c r="M8" s="185"/>
      <c r="N8" s="185"/>
      <c r="O8" s="185"/>
      <c r="P8" s="185"/>
      <c r="Q8" s="185"/>
      <c r="R8" s="185"/>
      <c r="S8" s="185"/>
      <c r="T8" s="185"/>
      <c r="U8" s="185"/>
      <c r="V8" s="185"/>
      <c r="W8" s="185"/>
      <c r="X8" s="185"/>
      <c r="Y8" s="185"/>
      <c r="Z8" s="185"/>
      <c r="AA8" s="185"/>
      <c r="AB8" s="185" t="str">
        <f>IFERROR(__xludf.DUMMYFUNCTION("LET(width,COLUMN($AB$1)-COLUMN($G$1),r,INDEX($G8:$AAB8,1,SEQUENCE(1,width)),flat,TOCOL(r,1),bad,FILTER(flat,COUNTIF('リスト'!$E:$E,flat)=0),IFERROR(TEXTJOIN(""\n"",TRUE,bad),""""))"),"")</f>
        <v/>
      </c>
      <c r="AC8" s="185"/>
      <c r="AD8" s="185"/>
    </row>
    <row r="9" ht="107.25" customHeight="1">
      <c r="A9" s="202"/>
      <c r="B9" s="202"/>
      <c r="C9" s="202"/>
      <c r="D9" s="202"/>
      <c r="E9" s="203"/>
      <c r="F9" s="203"/>
      <c r="G9" s="202"/>
      <c r="H9" s="185"/>
      <c r="I9" s="185"/>
      <c r="J9" s="185"/>
      <c r="K9" s="185"/>
      <c r="L9" s="185"/>
      <c r="M9" s="185"/>
      <c r="N9" s="185"/>
      <c r="O9" s="185"/>
      <c r="P9" s="185"/>
      <c r="Q9" s="185"/>
      <c r="R9" s="185"/>
      <c r="S9" s="185"/>
      <c r="T9" s="185"/>
      <c r="U9" s="185"/>
      <c r="V9" s="185"/>
      <c r="W9" s="185"/>
      <c r="X9" s="185"/>
      <c r="Y9" s="185"/>
      <c r="Z9" s="185"/>
      <c r="AA9" s="185"/>
      <c r="AB9" s="185" t="str">
        <f>IFERROR(__xludf.DUMMYFUNCTION("LET(width,COLUMN($AB$1)-COLUMN($G$1),r,INDEX($G9:$AAB9,1,SEQUENCE(1,width)),flat,TOCOL(r,1),bad,FILTER(flat,COUNTIF('リスト'!$E:$E,flat)=0),IFERROR(TEXTJOIN(""\n"",TRUE,bad),""""))"),"")</f>
        <v/>
      </c>
      <c r="AC9" s="185"/>
      <c r="AD9" s="185"/>
    </row>
    <row r="10" ht="126.0" customHeight="1">
      <c r="A10" s="202"/>
      <c r="B10" s="202"/>
      <c r="C10" s="202"/>
      <c r="D10" s="202"/>
      <c r="E10" s="203"/>
      <c r="F10" s="203"/>
      <c r="G10" s="202"/>
      <c r="H10" s="185"/>
      <c r="I10" s="185"/>
      <c r="J10" s="185"/>
      <c r="K10" s="185"/>
      <c r="L10" s="185"/>
      <c r="M10" s="185"/>
      <c r="N10" s="185"/>
      <c r="O10" s="185"/>
      <c r="P10" s="185"/>
      <c r="Q10" s="185"/>
      <c r="R10" s="185"/>
      <c r="S10" s="185"/>
      <c r="T10" s="185"/>
      <c r="U10" s="185"/>
      <c r="V10" s="185"/>
      <c r="W10" s="185"/>
      <c r="X10" s="185"/>
      <c r="Y10" s="185"/>
      <c r="Z10" s="185"/>
      <c r="AA10" s="185"/>
      <c r="AB10" s="185" t="str">
        <f>IFERROR(__xludf.DUMMYFUNCTION("LET(width,COLUMN($AB$1)-COLUMN($G$1),r,INDEX($G10:$AAB10,1,SEQUENCE(1,width)),flat,TOCOL(r,1),bad,FILTER(flat,COUNTIF('リスト'!$E:$E,flat)=0),IFERROR(TEXTJOIN(""\n"",TRUE,bad),""""))"),"")</f>
        <v/>
      </c>
      <c r="AC10" s="185"/>
      <c r="AD10" s="185"/>
    </row>
    <row r="11" ht="121.5" customHeight="1">
      <c r="A11" s="202"/>
      <c r="B11" s="202"/>
      <c r="C11" s="202"/>
      <c r="D11" s="202"/>
      <c r="E11" s="203"/>
      <c r="F11" s="203"/>
      <c r="G11" s="202"/>
      <c r="H11" s="185"/>
      <c r="I11" s="185"/>
      <c r="J11" s="185"/>
      <c r="K11" s="185"/>
      <c r="L11" s="185"/>
      <c r="M11" s="185"/>
      <c r="N11" s="185"/>
      <c r="O11" s="185"/>
      <c r="P11" s="185"/>
      <c r="Q11" s="185"/>
      <c r="R11" s="185"/>
      <c r="S11" s="185"/>
      <c r="T11" s="185"/>
      <c r="U11" s="185"/>
      <c r="V11" s="185"/>
      <c r="W11" s="185"/>
      <c r="X11" s="185"/>
      <c r="Y11" s="185"/>
      <c r="Z11" s="185"/>
      <c r="AA11" s="185"/>
      <c r="AB11" s="185" t="str">
        <f>IFERROR(__xludf.DUMMYFUNCTION("LET(width,COLUMN($AB$1)-COLUMN($G$1),r,INDEX($G11:$AAB11,1,SEQUENCE(1,width)),flat,TOCOL(r,1),bad,FILTER(flat,COUNTIF('リスト'!$E:$E,flat)=0),IFERROR(TEXTJOIN(""\n"",TRUE,bad),""""))"),"")</f>
        <v/>
      </c>
      <c r="AC11" s="185"/>
      <c r="AD11" s="185"/>
    </row>
    <row r="12" ht="121.5" customHeight="1">
      <c r="A12" s="202"/>
      <c r="B12" s="202"/>
      <c r="C12" s="202"/>
      <c r="D12" s="202"/>
      <c r="E12" s="203"/>
      <c r="F12" s="203"/>
      <c r="G12" s="202"/>
      <c r="H12" s="185"/>
      <c r="I12" s="185"/>
      <c r="J12" s="185"/>
      <c r="K12" s="185"/>
      <c r="L12" s="185"/>
      <c r="M12" s="185"/>
      <c r="N12" s="185"/>
      <c r="O12" s="185"/>
      <c r="P12" s="185"/>
      <c r="Q12" s="185"/>
      <c r="R12" s="185"/>
      <c r="S12" s="185"/>
      <c r="T12" s="185"/>
      <c r="U12" s="185"/>
      <c r="V12" s="185"/>
      <c r="W12" s="185"/>
      <c r="X12" s="185"/>
      <c r="Y12" s="185"/>
      <c r="Z12" s="185"/>
      <c r="AA12" s="185"/>
      <c r="AB12" s="185" t="str">
        <f>IFERROR(__xludf.DUMMYFUNCTION("LET(width,COLUMN($AB$1)-COLUMN($G$1),r,INDEX($G12:$AAB12,1,SEQUENCE(1,width)),flat,TOCOL(r,1),bad,FILTER(flat,COUNTIF('リスト'!$E:$E,flat)=0),IFERROR(TEXTJOIN(""\n"",TRUE,bad),""""))"),"")</f>
        <v/>
      </c>
      <c r="AC12" s="185"/>
      <c r="AD12" s="185"/>
    </row>
    <row r="13" ht="121.5" customHeight="1">
      <c r="A13" s="202"/>
      <c r="B13" s="202"/>
      <c r="C13" s="202"/>
      <c r="D13" s="202"/>
      <c r="E13" s="203"/>
      <c r="F13" s="203"/>
      <c r="G13" s="202"/>
      <c r="H13" s="185"/>
      <c r="I13" s="185"/>
      <c r="J13" s="185"/>
      <c r="K13" s="185"/>
      <c r="L13" s="185"/>
      <c r="M13" s="185"/>
      <c r="N13" s="185"/>
      <c r="O13" s="185"/>
      <c r="P13" s="185"/>
      <c r="Q13" s="185"/>
      <c r="R13" s="185"/>
      <c r="S13" s="185"/>
      <c r="T13" s="185"/>
      <c r="U13" s="185"/>
      <c r="V13" s="185"/>
      <c r="W13" s="185"/>
      <c r="X13" s="185"/>
      <c r="Y13" s="185"/>
      <c r="Z13" s="185"/>
      <c r="AA13" s="185"/>
      <c r="AB13" s="185" t="str">
        <f>IFERROR(__xludf.DUMMYFUNCTION("LET(width,COLUMN($AB$1)-COLUMN($G$1),r,INDEX($G13:$AAB13,1,SEQUENCE(1,width)),flat,TOCOL(r,1),bad,FILTER(flat,COUNTIF('リスト'!$E:$E,flat)=0),IFERROR(TEXTJOIN(""\n"",TRUE,bad),""""))"),"")</f>
        <v/>
      </c>
      <c r="AC13" s="185"/>
      <c r="AD13" s="185"/>
    </row>
    <row r="14" ht="121.5" customHeight="1">
      <c r="A14" s="202"/>
      <c r="B14" s="202"/>
      <c r="C14" s="202"/>
      <c r="D14" s="202"/>
      <c r="E14" s="203"/>
      <c r="F14" s="203"/>
      <c r="G14" s="202"/>
      <c r="H14" s="202"/>
      <c r="I14" s="185"/>
      <c r="J14" s="185"/>
      <c r="K14" s="185"/>
      <c r="L14" s="185"/>
      <c r="M14" s="185"/>
      <c r="N14" s="185"/>
      <c r="O14" s="185"/>
      <c r="P14" s="185"/>
      <c r="Q14" s="185"/>
      <c r="R14" s="185"/>
      <c r="S14" s="185"/>
      <c r="T14" s="185"/>
      <c r="U14" s="185"/>
      <c r="V14" s="185"/>
      <c r="W14" s="185"/>
      <c r="X14" s="185"/>
      <c r="Y14" s="185"/>
      <c r="Z14" s="185"/>
      <c r="AA14" s="185"/>
      <c r="AB14" s="185" t="str">
        <f>IFERROR(__xludf.DUMMYFUNCTION("LET(width,COLUMN($AB$1)-COLUMN($G$1),r,INDEX($G14:$AAB14,1,SEQUENCE(1,width)),flat,TOCOL(r,1),bad,FILTER(flat,COUNTIF('リスト'!$E:$E,flat)=0),IFERROR(TEXTJOIN(""\n"",TRUE,bad),""""))"),"")</f>
        <v/>
      </c>
      <c r="AC14" s="185"/>
      <c r="AD14" s="185"/>
    </row>
    <row r="15" ht="121.5" customHeight="1">
      <c r="A15" s="202"/>
      <c r="B15" s="202"/>
      <c r="C15" s="202"/>
      <c r="D15" s="202"/>
      <c r="E15" s="203"/>
      <c r="F15" s="203"/>
      <c r="G15" s="202"/>
      <c r="H15" s="202"/>
      <c r="I15" s="185"/>
      <c r="J15" s="185"/>
      <c r="K15" s="185"/>
      <c r="L15" s="185"/>
      <c r="M15" s="185"/>
      <c r="N15" s="185"/>
      <c r="O15" s="185"/>
      <c r="P15" s="185"/>
      <c r="Q15" s="185"/>
      <c r="R15" s="185"/>
      <c r="S15" s="185"/>
      <c r="T15" s="185"/>
      <c r="U15" s="185"/>
      <c r="V15" s="185"/>
      <c r="W15" s="185"/>
      <c r="X15" s="185"/>
      <c r="Y15" s="185"/>
      <c r="Z15" s="185"/>
      <c r="AA15" s="185"/>
      <c r="AB15" s="185" t="str">
        <f>IFERROR(__xludf.DUMMYFUNCTION("LET(width,COLUMN($AB$1)-COLUMN($G$1),r,INDEX($G15:$AAB15,1,SEQUENCE(1,width)),flat,TOCOL(r,1),bad,FILTER(flat,COUNTIF('リスト'!$E:$E,flat)=0),IFERROR(TEXTJOIN(""\n"",TRUE,bad),""""))"),"")</f>
        <v/>
      </c>
      <c r="AC15" s="185"/>
      <c r="AD15" s="185"/>
    </row>
    <row r="16" ht="121.5" customHeight="1">
      <c r="A16" s="202"/>
      <c r="B16" s="202"/>
      <c r="C16" s="202"/>
      <c r="D16" s="202"/>
      <c r="E16" s="203"/>
      <c r="F16" s="203"/>
      <c r="G16" s="202"/>
      <c r="H16" s="202"/>
      <c r="I16" s="185"/>
      <c r="J16" s="185"/>
      <c r="K16" s="185"/>
      <c r="L16" s="185"/>
      <c r="M16" s="185"/>
      <c r="N16" s="185"/>
      <c r="O16" s="185"/>
      <c r="P16" s="185"/>
      <c r="Q16" s="185"/>
      <c r="R16" s="185"/>
      <c r="S16" s="185"/>
      <c r="T16" s="185"/>
      <c r="U16" s="185"/>
      <c r="V16" s="185"/>
      <c r="W16" s="185"/>
      <c r="X16" s="185"/>
      <c r="Y16" s="185"/>
      <c r="Z16" s="185"/>
      <c r="AA16" s="185"/>
      <c r="AB16" s="185" t="str">
        <f>IFERROR(__xludf.DUMMYFUNCTION("LET(width,COLUMN($AB$1)-COLUMN($G$1),r,INDEX($G16:$AAB16,1,SEQUENCE(1,width)),flat,TOCOL(r,1),bad,FILTER(flat,COUNTIF('リスト'!$E:$E,flat)=0),IFERROR(TEXTJOIN(""\n"",TRUE,bad),""""))"),"")</f>
        <v/>
      </c>
      <c r="AC16" s="185"/>
      <c r="AD16" s="185"/>
    </row>
    <row r="17" ht="121.5" customHeight="1">
      <c r="A17" s="202"/>
      <c r="B17" s="202"/>
      <c r="C17" s="202"/>
      <c r="D17" s="202"/>
      <c r="E17" s="203"/>
      <c r="F17" s="203"/>
      <c r="G17" s="202"/>
      <c r="H17" s="202"/>
      <c r="I17" s="185"/>
      <c r="J17" s="185"/>
      <c r="K17" s="185"/>
      <c r="L17" s="185"/>
      <c r="M17" s="185"/>
      <c r="N17" s="185"/>
      <c r="O17" s="185"/>
      <c r="P17" s="185"/>
      <c r="Q17" s="185"/>
      <c r="R17" s="185"/>
      <c r="S17" s="185"/>
      <c r="T17" s="185"/>
      <c r="U17" s="185"/>
      <c r="V17" s="185"/>
      <c r="W17" s="185"/>
      <c r="X17" s="185"/>
      <c r="Y17" s="185"/>
      <c r="Z17" s="185"/>
      <c r="AA17" s="185"/>
      <c r="AB17" s="185" t="str">
        <f>IFERROR(__xludf.DUMMYFUNCTION("LET(width,COLUMN($AB$1)-COLUMN($G$1),r,INDEX($G17:$AAB17,1,SEQUENCE(1,width)),flat,TOCOL(r,1),bad,FILTER(flat,COUNTIF('リスト'!$E:$E,flat)=0),IFERROR(TEXTJOIN(""\n"",TRUE,bad),""""))"),"")</f>
        <v/>
      </c>
      <c r="AC17" s="185"/>
      <c r="AD17" s="185"/>
    </row>
    <row r="18" ht="121.5" customHeight="1">
      <c r="A18" s="202"/>
      <c r="B18" s="202"/>
      <c r="C18" s="202"/>
      <c r="D18" s="202"/>
      <c r="E18" s="203"/>
      <c r="F18" s="203"/>
      <c r="G18" s="202"/>
      <c r="H18" s="202"/>
      <c r="I18" s="185"/>
      <c r="J18" s="185"/>
      <c r="K18" s="185"/>
      <c r="L18" s="185"/>
      <c r="M18" s="185"/>
      <c r="N18" s="185"/>
      <c r="O18" s="185"/>
      <c r="P18" s="185"/>
      <c r="Q18" s="185"/>
      <c r="R18" s="185"/>
      <c r="S18" s="185"/>
      <c r="T18" s="185"/>
      <c r="U18" s="185"/>
      <c r="V18" s="185"/>
      <c r="W18" s="185"/>
      <c r="X18" s="185"/>
      <c r="Y18" s="185"/>
      <c r="Z18" s="185"/>
      <c r="AA18" s="185"/>
      <c r="AB18" s="185" t="str">
        <f>IFERROR(__xludf.DUMMYFUNCTION("LET(width,COLUMN($AB$1)-COLUMN($G$1),r,INDEX($G18:$AAB18,1,SEQUENCE(1,width)),flat,TOCOL(r,1),bad,FILTER(flat,COUNTIF('リスト'!$E:$E,flat)=0),IFERROR(TEXTJOIN(""\n"",TRUE,bad),""""))"),"")</f>
        <v/>
      </c>
      <c r="AC18" s="185"/>
      <c r="AD18" s="185"/>
    </row>
    <row r="19" ht="189.75" customHeight="1">
      <c r="A19" s="202"/>
      <c r="B19" s="202"/>
      <c r="C19" s="202"/>
      <c r="D19" s="202"/>
      <c r="E19" s="203"/>
      <c r="F19" s="203"/>
      <c r="G19" s="202"/>
      <c r="H19" s="202"/>
      <c r="I19" s="185"/>
      <c r="J19" s="185"/>
      <c r="K19" s="185"/>
      <c r="L19" s="185"/>
      <c r="M19" s="185"/>
      <c r="N19" s="185"/>
      <c r="O19" s="185"/>
      <c r="P19" s="185"/>
      <c r="Q19" s="185"/>
      <c r="R19" s="185"/>
      <c r="S19" s="185"/>
      <c r="T19" s="185"/>
      <c r="U19" s="185"/>
      <c r="V19" s="185"/>
      <c r="W19" s="185"/>
      <c r="X19" s="185"/>
      <c r="Y19" s="185"/>
      <c r="Z19" s="185"/>
      <c r="AA19" s="185"/>
      <c r="AB19" s="185" t="str">
        <f>IFERROR(__xludf.DUMMYFUNCTION("LET(width,COLUMN($AB$1)-COLUMN($G$1),r,INDEX($G19:$AAB19,1,SEQUENCE(1,width)),flat,TOCOL(r,1),bad,FILTER(flat,COUNTIF('リスト'!$E:$E,flat)=0),IFERROR(TEXTJOIN(""\n"",TRUE,bad),""""))"),"")</f>
        <v/>
      </c>
      <c r="AC19" s="185"/>
      <c r="AD19" s="185"/>
    </row>
    <row r="20" ht="19.5" customHeight="1">
      <c r="A20" s="202"/>
      <c r="B20" s="202"/>
      <c r="C20" s="202"/>
      <c r="D20" s="202"/>
      <c r="E20" s="203"/>
      <c r="F20" s="203"/>
      <c r="G20" s="202"/>
      <c r="H20" s="202"/>
      <c r="I20" s="185"/>
      <c r="J20" s="185"/>
      <c r="K20" s="185"/>
      <c r="L20" s="185"/>
      <c r="M20" s="185"/>
      <c r="N20" s="185"/>
      <c r="O20" s="185"/>
      <c r="P20" s="185"/>
      <c r="Q20" s="185"/>
      <c r="R20" s="185"/>
      <c r="S20" s="185"/>
      <c r="T20" s="185"/>
      <c r="U20" s="185"/>
      <c r="V20" s="185"/>
      <c r="W20" s="185"/>
      <c r="X20" s="185"/>
      <c r="Y20" s="185"/>
      <c r="Z20" s="185"/>
      <c r="AA20" s="185"/>
      <c r="AB20" s="185" t="str">
        <f>IFERROR(__xludf.DUMMYFUNCTION("LET(width,COLUMN($AB$1)-COLUMN($G$1),r,INDEX($G20:$AAB20,1,SEQUENCE(1,width)),flat,TOCOL(r,1),bad,FILTER(flat,COUNTIF('リスト'!$E:$E,flat)=0),IFERROR(TEXTJOIN(""\n"",TRUE,bad),""""))"),"")</f>
        <v/>
      </c>
      <c r="AC20" s="185"/>
      <c r="AD20" s="185"/>
    </row>
    <row r="21" ht="19.5" customHeight="1">
      <c r="A21" s="202"/>
      <c r="B21" s="202"/>
      <c r="C21" s="202"/>
      <c r="D21" s="202"/>
      <c r="E21" s="203"/>
      <c r="F21" s="203"/>
      <c r="G21" s="202"/>
      <c r="H21" s="202"/>
      <c r="I21" s="185"/>
      <c r="J21" s="185"/>
      <c r="K21" s="185"/>
      <c r="L21" s="185"/>
      <c r="M21" s="185"/>
      <c r="N21" s="185"/>
      <c r="O21" s="185"/>
      <c r="P21" s="185"/>
      <c r="Q21" s="185"/>
      <c r="R21" s="185"/>
      <c r="S21" s="185"/>
      <c r="T21" s="185"/>
      <c r="U21" s="185"/>
      <c r="V21" s="185"/>
      <c r="W21" s="185"/>
      <c r="X21" s="185"/>
      <c r="Y21" s="185"/>
      <c r="Z21" s="185"/>
      <c r="AA21" s="185"/>
      <c r="AB21" s="185" t="str">
        <f>IFERROR(__xludf.DUMMYFUNCTION("LET(width,COLUMN($AB$1)-COLUMN($G$1),r,INDEX($G21:$AAB21,1,SEQUENCE(1,width)),flat,TOCOL(r,1),bad,FILTER(flat,COUNTIF('リスト'!$E:$E,flat)=0),IFERROR(TEXTJOIN(""\n"",TRUE,bad),""""))"),"")</f>
        <v/>
      </c>
      <c r="AC21" s="185"/>
      <c r="AD21" s="185"/>
    </row>
    <row r="22" ht="19.5" customHeight="1">
      <c r="A22" s="202"/>
      <c r="B22" s="202"/>
      <c r="C22" s="202"/>
      <c r="D22" s="202"/>
      <c r="E22" s="203"/>
      <c r="F22" s="203"/>
      <c r="G22" s="202"/>
      <c r="H22" s="202"/>
      <c r="I22" s="185"/>
      <c r="J22" s="185"/>
      <c r="K22" s="185"/>
      <c r="L22" s="185"/>
      <c r="M22" s="185"/>
      <c r="N22" s="185"/>
      <c r="O22" s="185"/>
      <c r="P22" s="185"/>
      <c r="Q22" s="185"/>
      <c r="R22" s="185"/>
      <c r="S22" s="185"/>
      <c r="T22" s="185"/>
      <c r="U22" s="185"/>
      <c r="V22" s="185"/>
      <c r="W22" s="185"/>
      <c r="X22" s="185"/>
      <c r="Y22" s="185"/>
      <c r="Z22" s="185"/>
      <c r="AA22" s="185"/>
      <c r="AB22" s="185" t="str">
        <f>IFERROR(__xludf.DUMMYFUNCTION("LET(width,COLUMN($AB$1)-COLUMN($G$1),r,INDEX($G22:$AAB22,1,SEQUENCE(1,width)),flat,TOCOL(r,1),bad,FILTER(flat,COUNTIF('リスト'!$E:$E,flat)=0),IFERROR(TEXTJOIN(""\n"",TRUE,bad),""""))"),"")</f>
        <v/>
      </c>
      <c r="AC22" s="185"/>
      <c r="AD22" s="185"/>
    </row>
    <row r="23" ht="19.5" customHeight="1">
      <c r="A23" s="202"/>
      <c r="B23" s="202"/>
      <c r="C23" s="202"/>
      <c r="D23" s="202"/>
      <c r="E23" s="203"/>
      <c r="F23" s="203"/>
      <c r="G23" s="202"/>
      <c r="H23" s="202"/>
      <c r="I23" s="185"/>
      <c r="J23" s="185"/>
      <c r="K23" s="185"/>
      <c r="L23" s="185"/>
      <c r="M23" s="185"/>
      <c r="N23" s="185"/>
      <c r="O23" s="185"/>
      <c r="P23" s="185"/>
      <c r="Q23" s="185"/>
      <c r="R23" s="185"/>
      <c r="S23" s="185"/>
      <c r="T23" s="185"/>
      <c r="U23" s="185"/>
      <c r="V23" s="185"/>
      <c r="W23" s="185"/>
      <c r="X23" s="185"/>
      <c r="Y23" s="185"/>
      <c r="Z23" s="185"/>
      <c r="AA23" s="185"/>
      <c r="AB23" s="185" t="str">
        <f>IFERROR(__xludf.DUMMYFUNCTION("LET(width,COLUMN($AB$1)-COLUMN($G$1),r,INDEX($G23:$AAB23,1,SEQUENCE(1,width)),flat,TOCOL(r,1),bad,FILTER(flat,COUNTIF('リスト'!$E:$E,flat)=0),IFERROR(TEXTJOIN(""\n"",TRUE,bad),""""))"),"")</f>
        <v/>
      </c>
      <c r="AC23" s="185"/>
      <c r="AD23" s="185"/>
    </row>
    <row r="24" ht="19.5" customHeight="1">
      <c r="A24" s="202"/>
      <c r="B24" s="202"/>
      <c r="C24" s="202"/>
      <c r="D24" s="202"/>
      <c r="E24" s="203"/>
      <c r="F24" s="203"/>
      <c r="G24" s="202"/>
      <c r="H24" s="202"/>
      <c r="I24" s="185"/>
      <c r="J24" s="185"/>
      <c r="K24" s="185"/>
      <c r="L24" s="185"/>
      <c r="M24" s="185"/>
      <c r="N24" s="185"/>
      <c r="O24" s="185"/>
      <c r="P24" s="185"/>
      <c r="Q24" s="185"/>
      <c r="R24" s="185"/>
      <c r="S24" s="185"/>
      <c r="T24" s="185"/>
      <c r="U24" s="185"/>
      <c r="V24" s="185"/>
      <c r="W24" s="185"/>
      <c r="X24" s="185"/>
      <c r="Y24" s="185"/>
      <c r="Z24" s="185"/>
      <c r="AA24" s="185"/>
      <c r="AB24" s="185" t="str">
        <f>IFERROR(__xludf.DUMMYFUNCTION("LET(width,COLUMN($AB$1)-COLUMN($G$1),r,INDEX($G24:$AAB24,1,SEQUENCE(1,width)),flat,TOCOL(r,1),bad,FILTER(flat,COUNTIF('リスト'!$E:$E,flat)=0),IFERROR(TEXTJOIN(""\n"",TRUE,bad),""""))"),"")</f>
        <v/>
      </c>
      <c r="AC24" s="185"/>
      <c r="AD24" s="185"/>
    </row>
    <row r="25" ht="19.5" customHeight="1">
      <c r="A25" s="202"/>
      <c r="B25" s="202"/>
      <c r="C25" s="202"/>
      <c r="D25" s="202"/>
      <c r="E25" s="203"/>
      <c r="F25" s="203"/>
      <c r="G25" s="202"/>
      <c r="H25" s="202"/>
      <c r="I25" s="185"/>
      <c r="J25" s="185"/>
      <c r="K25" s="185"/>
      <c r="L25" s="185"/>
      <c r="M25" s="185"/>
      <c r="N25" s="185"/>
      <c r="O25" s="185"/>
      <c r="P25" s="185"/>
      <c r="Q25" s="185"/>
      <c r="R25" s="185"/>
      <c r="S25" s="185"/>
      <c r="T25" s="185"/>
      <c r="U25" s="185"/>
      <c r="V25" s="185"/>
      <c r="W25" s="185"/>
      <c r="X25" s="185"/>
      <c r="Y25" s="185"/>
      <c r="Z25" s="185"/>
      <c r="AA25" s="185"/>
      <c r="AB25" s="185" t="str">
        <f>IFERROR(__xludf.DUMMYFUNCTION("LET(width,COLUMN($AB$1)-COLUMN($G$1),r,INDEX($G25:$AAB25,1,SEQUENCE(1,width)),flat,TOCOL(r,1),bad,FILTER(flat,COUNTIF('リスト'!$E:$E,flat)=0),IFERROR(TEXTJOIN(""\n"",TRUE,bad),""""))"),"")</f>
        <v/>
      </c>
      <c r="AC25" s="185"/>
      <c r="AD25" s="185"/>
    </row>
    <row r="26" ht="19.5" customHeight="1">
      <c r="A26" s="202"/>
      <c r="B26" s="202"/>
      <c r="C26" s="202"/>
      <c r="D26" s="202"/>
      <c r="E26" s="203"/>
      <c r="F26" s="203"/>
      <c r="G26" s="202"/>
      <c r="H26" s="202"/>
      <c r="I26" s="185"/>
      <c r="J26" s="185"/>
      <c r="K26" s="185"/>
      <c r="L26" s="185"/>
      <c r="M26" s="185"/>
      <c r="N26" s="185"/>
      <c r="O26" s="185"/>
      <c r="P26" s="185"/>
      <c r="Q26" s="185"/>
      <c r="R26" s="185"/>
      <c r="S26" s="185"/>
      <c r="T26" s="185"/>
      <c r="U26" s="185"/>
      <c r="V26" s="185"/>
      <c r="W26" s="185"/>
      <c r="X26" s="185"/>
      <c r="Y26" s="185"/>
      <c r="Z26" s="185"/>
      <c r="AA26" s="185"/>
      <c r="AB26" s="185" t="str">
        <f>IFERROR(__xludf.DUMMYFUNCTION("LET(width,COLUMN($AB$1)-COLUMN($G$1),r,INDEX($G26:$AAB26,1,SEQUENCE(1,width)),flat,TOCOL(r,1),bad,FILTER(flat,COUNTIF('リスト'!$E:$E,flat)=0),IFERROR(TEXTJOIN(""\n"",TRUE,bad),""""))"),"")</f>
        <v/>
      </c>
      <c r="AC26" s="185"/>
      <c r="AD26" s="185"/>
    </row>
    <row r="27" ht="19.5" customHeight="1">
      <c r="A27" s="202"/>
      <c r="B27" s="202"/>
      <c r="C27" s="202"/>
      <c r="D27" s="202"/>
      <c r="E27" s="203"/>
      <c r="F27" s="203"/>
      <c r="G27" s="202"/>
      <c r="H27" s="202"/>
      <c r="I27" s="185"/>
      <c r="J27" s="185"/>
      <c r="K27" s="185"/>
      <c r="L27" s="185"/>
      <c r="M27" s="185"/>
      <c r="N27" s="185"/>
      <c r="O27" s="185"/>
      <c r="P27" s="185"/>
      <c r="Q27" s="185"/>
      <c r="R27" s="185"/>
      <c r="S27" s="185"/>
      <c r="T27" s="185"/>
      <c r="U27" s="185"/>
      <c r="V27" s="185"/>
      <c r="W27" s="185"/>
      <c r="X27" s="185"/>
      <c r="Y27" s="185"/>
      <c r="Z27" s="185"/>
      <c r="AA27" s="185"/>
      <c r="AB27" s="185" t="str">
        <f>IFERROR(__xludf.DUMMYFUNCTION("LET(width,COLUMN($AB$1)-COLUMN($G$1),r,INDEX($G27:$AAB27,1,SEQUENCE(1,width)),flat,TOCOL(r,1),bad,FILTER(flat,COUNTIF('リスト'!$E:$E,flat)=0),IFERROR(TEXTJOIN(""\n"",TRUE,bad),""""))"),"")</f>
        <v/>
      </c>
      <c r="AC27" s="185"/>
      <c r="AD27" s="185"/>
    </row>
    <row r="28" ht="19.5" customHeight="1">
      <c r="A28" s="202"/>
      <c r="B28" s="202"/>
      <c r="C28" s="202"/>
      <c r="D28" s="202"/>
      <c r="E28" s="203"/>
      <c r="F28" s="203"/>
      <c r="G28" s="202"/>
      <c r="H28" s="202"/>
      <c r="I28" s="185"/>
      <c r="J28" s="185"/>
      <c r="K28" s="185"/>
      <c r="L28" s="185"/>
      <c r="M28" s="185"/>
      <c r="N28" s="185"/>
      <c r="O28" s="185"/>
      <c r="P28" s="185"/>
      <c r="Q28" s="185"/>
      <c r="R28" s="185"/>
      <c r="S28" s="185"/>
      <c r="T28" s="185"/>
      <c r="U28" s="185"/>
      <c r="V28" s="185"/>
      <c r="W28" s="185"/>
      <c r="X28" s="185"/>
      <c r="Y28" s="185"/>
      <c r="Z28" s="185"/>
      <c r="AA28" s="185"/>
      <c r="AB28" s="185" t="str">
        <f>IFERROR(__xludf.DUMMYFUNCTION("LET(width,COLUMN($AB$1)-COLUMN($G$1),r,INDEX($G28:$AAB28,1,SEQUENCE(1,width)),flat,TOCOL(r,1),bad,FILTER(flat,COUNTIF('リスト'!$E:$E,flat)=0),IFERROR(TEXTJOIN(""\n"",TRUE,bad),""""))"),"")</f>
        <v/>
      </c>
      <c r="AC28" s="185"/>
      <c r="AD28" s="185"/>
    </row>
    <row r="29" ht="19.5" customHeight="1">
      <c r="A29" s="202"/>
      <c r="B29" s="202"/>
      <c r="C29" s="202"/>
      <c r="D29" s="202"/>
      <c r="E29" s="203"/>
      <c r="F29" s="203"/>
      <c r="G29" s="202"/>
      <c r="H29" s="202"/>
      <c r="I29" s="185"/>
      <c r="J29" s="185"/>
      <c r="K29" s="185"/>
      <c r="L29" s="185"/>
      <c r="M29" s="185"/>
      <c r="N29" s="185"/>
      <c r="O29" s="185"/>
      <c r="P29" s="185"/>
      <c r="Q29" s="185"/>
      <c r="R29" s="185"/>
      <c r="S29" s="185"/>
      <c r="T29" s="185"/>
      <c r="U29" s="185"/>
      <c r="V29" s="185"/>
      <c r="W29" s="185"/>
      <c r="X29" s="185"/>
      <c r="Y29" s="185"/>
      <c r="Z29" s="185"/>
      <c r="AA29" s="185"/>
      <c r="AB29" s="185" t="str">
        <f>IFERROR(__xludf.DUMMYFUNCTION("LET(width,COLUMN($AB$1)-COLUMN($G$1),r,INDEX($G29:$AAB29,1,SEQUENCE(1,width)),flat,TOCOL(r,1),bad,FILTER(flat,COUNTIF('リスト'!$E:$E,flat)=0),IFERROR(TEXTJOIN(""\n"",TRUE,bad),""""))"),"")</f>
        <v/>
      </c>
      <c r="AC29" s="185"/>
      <c r="AD29" s="185"/>
    </row>
    <row r="30" ht="19.5" customHeight="1">
      <c r="A30" s="202"/>
      <c r="B30" s="202"/>
      <c r="C30" s="202"/>
      <c r="D30" s="202"/>
      <c r="E30" s="203"/>
      <c r="F30" s="203"/>
      <c r="G30" s="202"/>
      <c r="H30" s="202"/>
      <c r="I30" s="185"/>
      <c r="J30" s="185"/>
      <c r="K30" s="185"/>
      <c r="L30" s="185"/>
      <c r="M30" s="185"/>
      <c r="N30" s="185"/>
      <c r="O30" s="185"/>
      <c r="P30" s="185"/>
      <c r="Q30" s="185"/>
      <c r="R30" s="185"/>
      <c r="S30" s="185"/>
      <c r="T30" s="185"/>
      <c r="U30" s="185"/>
      <c r="V30" s="185"/>
      <c r="W30" s="185"/>
      <c r="X30" s="185"/>
      <c r="Y30" s="185"/>
      <c r="Z30" s="185"/>
      <c r="AA30" s="185"/>
      <c r="AB30" s="185" t="str">
        <f>IFERROR(__xludf.DUMMYFUNCTION("LET(width,COLUMN($AB$1)-COLUMN($G$1),r,INDEX($G30:$AAB30,1,SEQUENCE(1,width)),flat,TOCOL(r,1),bad,FILTER(flat,COUNTIF('リスト'!$E:$E,flat)=0),IFERROR(TEXTJOIN(""\n"",TRUE,bad),""""))"),"")</f>
        <v/>
      </c>
      <c r="AC30" s="185"/>
      <c r="AD30" s="185"/>
    </row>
    <row r="31" ht="19.5" customHeight="1">
      <c r="A31" s="202"/>
      <c r="B31" s="202"/>
      <c r="C31" s="202"/>
      <c r="D31" s="202"/>
      <c r="E31" s="203"/>
      <c r="F31" s="203"/>
      <c r="G31" s="202"/>
      <c r="H31" s="202"/>
      <c r="I31" s="185"/>
      <c r="J31" s="185"/>
      <c r="K31" s="185"/>
      <c r="L31" s="185"/>
      <c r="M31" s="185"/>
      <c r="N31" s="185"/>
      <c r="O31" s="185"/>
      <c r="P31" s="185"/>
      <c r="Q31" s="185"/>
      <c r="R31" s="185"/>
      <c r="S31" s="185"/>
      <c r="T31" s="185"/>
      <c r="U31" s="185"/>
      <c r="V31" s="185"/>
      <c r="W31" s="185"/>
      <c r="X31" s="185"/>
      <c r="Y31" s="185"/>
      <c r="Z31" s="185"/>
      <c r="AA31" s="185"/>
      <c r="AB31" s="185" t="str">
        <f>IFERROR(__xludf.DUMMYFUNCTION("LET(width,COLUMN($AB$1)-COLUMN($G$1),r,INDEX($G31:$AAB31,1,SEQUENCE(1,width)),flat,TOCOL(r,1),bad,FILTER(flat,COUNTIF('リスト'!$E:$E,flat)=0),IFERROR(TEXTJOIN(""\n"",TRUE,bad),""""))"),"")</f>
        <v/>
      </c>
      <c r="AC31" s="185"/>
      <c r="AD31" s="185"/>
    </row>
    <row r="32" ht="19.5" customHeight="1">
      <c r="A32" s="202"/>
      <c r="B32" s="202"/>
      <c r="C32" s="202"/>
      <c r="D32" s="202"/>
      <c r="E32" s="203"/>
      <c r="F32" s="203"/>
      <c r="G32" s="202"/>
      <c r="H32" s="202"/>
      <c r="I32" s="185"/>
      <c r="J32" s="185"/>
      <c r="K32" s="185"/>
      <c r="L32" s="185"/>
      <c r="M32" s="185"/>
      <c r="N32" s="185"/>
      <c r="O32" s="185"/>
      <c r="P32" s="185"/>
      <c r="Q32" s="185"/>
      <c r="R32" s="185"/>
      <c r="S32" s="185"/>
      <c r="T32" s="185"/>
      <c r="U32" s="185"/>
      <c r="V32" s="185"/>
      <c r="W32" s="185"/>
      <c r="X32" s="185"/>
      <c r="Y32" s="185"/>
      <c r="Z32" s="185"/>
      <c r="AA32" s="185"/>
      <c r="AB32" s="185" t="str">
        <f>IFERROR(__xludf.DUMMYFUNCTION("LET(width,COLUMN($AB$1)-COLUMN($G$1),r,INDEX($G32:$AAB32,1,SEQUENCE(1,width)),flat,TOCOL(r,1),bad,FILTER(flat,COUNTIF('リスト'!$E:$E,flat)=0),IFERROR(TEXTJOIN(""\n"",TRUE,bad),""""))"),"")</f>
        <v/>
      </c>
      <c r="AC32" s="185"/>
      <c r="AD32" s="185"/>
    </row>
    <row r="33" ht="19.5" customHeight="1">
      <c r="A33" s="202"/>
      <c r="B33" s="202"/>
      <c r="C33" s="202"/>
      <c r="D33" s="202"/>
      <c r="E33" s="203"/>
      <c r="F33" s="203"/>
      <c r="G33" s="202"/>
      <c r="H33" s="202"/>
      <c r="I33" s="185"/>
      <c r="J33" s="185"/>
      <c r="K33" s="185"/>
      <c r="L33" s="185"/>
      <c r="M33" s="185"/>
      <c r="N33" s="185"/>
      <c r="O33" s="185"/>
      <c r="P33" s="185"/>
      <c r="Q33" s="185"/>
      <c r="R33" s="185"/>
      <c r="S33" s="185"/>
      <c r="T33" s="185"/>
      <c r="U33" s="185"/>
      <c r="V33" s="185"/>
      <c r="W33" s="185"/>
      <c r="X33" s="185"/>
      <c r="Y33" s="185"/>
      <c r="Z33" s="185"/>
      <c r="AA33" s="185"/>
      <c r="AB33" s="185" t="str">
        <f>IFERROR(__xludf.DUMMYFUNCTION("LET(width,COLUMN($AB$1)-COLUMN($G$1),r,INDEX($G33:$AAB33,1,SEQUENCE(1,width)),flat,TOCOL(r,1),bad,FILTER(flat,COUNTIF('リスト'!$E:$E,flat)=0),IFERROR(TEXTJOIN(""\n"",TRUE,bad),""""))"),"")</f>
        <v/>
      </c>
      <c r="AC33" s="185"/>
      <c r="AD33" s="185"/>
    </row>
    <row r="34" ht="19.5" customHeight="1">
      <c r="A34" s="202"/>
      <c r="B34" s="202"/>
      <c r="C34" s="202"/>
      <c r="D34" s="202"/>
      <c r="E34" s="203"/>
      <c r="F34" s="203"/>
      <c r="G34" s="202"/>
      <c r="H34" s="202"/>
      <c r="I34" s="185"/>
      <c r="J34" s="185"/>
      <c r="K34" s="185"/>
      <c r="L34" s="185"/>
      <c r="M34" s="185"/>
      <c r="N34" s="185"/>
      <c r="O34" s="185"/>
      <c r="P34" s="185"/>
      <c r="Q34" s="185"/>
      <c r="R34" s="185"/>
      <c r="S34" s="185"/>
      <c r="T34" s="185"/>
      <c r="U34" s="185"/>
      <c r="V34" s="185"/>
      <c r="W34" s="185"/>
      <c r="X34" s="185"/>
      <c r="Y34" s="185"/>
      <c r="Z34" s="185"/>
      <c r="AA34" s="185"/>
      <c r="AB34" s="185" t="str">
        <f>IFERROR(__xludf.DUMMYFUNCTION("LET(width,COLUMN($AB$1)-COLUMN($G$1),r,INDEX($G34:$AAB34,1,SEQUENCE(1,width)),flat,TOCOL(r,1),bad,FILTER(flat,COUNTIF('リスト'!$E:$E,flat)=0),IFERROR(TEXTJOIN(""\n"",TRUE,bad),""""))"),"")</f>
        <v/>
      </c>
      <c r="AC34" s="185"/>
      <c r="AD34" s="185"/>
    </row>
    <row r="35" ht="19.5" customHeight="1">
      <c r="A35" s="202"/>
      <c r="B35" s="202"/>
      <c r="C35" s="202"/>
      <c r="D35" s="202"/>
      <c r="E35" s="203"/>
      <c r="F35" s="203"/>
      <c r="G35" s="202"/>
      <c r="H35" s="202"/>
      <c r="I35" s="185"/>
      <c r="J35" s="185"/>
      <c r="K35" s="185"/>
      <c r="L35" s="185"/>
      <c r="M35" s="185"/>
      <c r="N35" s="185"/>
      <c r="O35" s="185"/>
      <c r="P35" s="185"/>
      <c r="Q35" s="185"/>
      <c r="R35" s="185"/>
      <c r="S35" s="185"/>
      <c r="T35" s="185"/>
      <c r="U35" s="185"/>
      <c r="V35" s="185"/>
      <c r="W35" s="185"/>
      <c r="X35" s="185"/>
      <c r="Y35" s="185"/>
      <c r="Z35" s="185"/>
      <c r="AA35" s="185"/>
      <c r="AB35" s="185" t="str">
        <f>IFERROR(__xludf.DUMMYFUNCTION("LET(width,COLUMN($AB$1)-COLUMN($G$1),r,INDEX($G35:$AAB35,1,SEQUENCE(1,width)),flat,TOCOL(r,1),bad,FILTER(flat,COUNTIF('リスト'!$E:$E,flat)=0),IFERROR(TEXTJOIN(""\n"",TRUE,bad),""""))"),"")</f>
        <v/>
      </c>
      <c r="AC35" s="185"/>
      <c r="AD35" s="185"/>
    </row>
    <row r="36" ht="19.5" customHeight="1">
      <c r="A36" s="202"/>
      <c r="B36" s="202"/>
      <c r="C36" s="202"/>
      <c r="D36" s="202"/>
      <c r="E36" s="203"/>
      <c r="F36" s="203"/>
      <c r="G36" s="202"/>
      <c r="H36" s="202"/>
      <c r="I36" s="185"/>
      <c r="J36" s="185"/>
      <c r="K36" s="185"/>
      <c r="L36" s="185"/>
      <c r="M36" s="185"/>
      <c r="N36" s="185"/>
      <c r="O36" s="185"/>
      <c r="P36" s="185"/>
      <c r="Q36" s="185"/>
      <c r="R36" s="185"/>
      <c r="S36" s="185"/>
      <c r="T36" s="185"/>
      <c r="U36" s="185"/>
      <c r="V36" s="185"/>
      <c r="W36" s="185"/>
      <c r="X36" s="185"/>
      <c r="Y36" s="185"/>
      <c r="Z36" s="185"/>
      <c r="AA36" s="185"/>
      <c r="AB36" s="185" t="str">
        <f>IFERROR(__xludf.DUMMYFUNCTION("LET(width,COLUMN($AB$1)-COLUMN($G$1),r,INDEX($G36:$AAB36,1,SEQUENCE(1,width)),flat,TOCOL(r,1),bad,FILTER(flat,COUNTIF('リスト'!$E:$E,flat)=0),IFERROR(TEXTJOIN(""\n"",TRUE,bad),""""))"),"")</f>
        <v/>
      </c>
      <c r="AC36" s="185"/>
      <c r="AD36" s="185"/>
    </row>
    <row r="37" ht="19.5" customHeight="1">
      <c r="A37" s="202"/>
      <c r="B37" s="202"/>
      <c r="C37" s="202"/>
      <c r="D37" s="202"/>
      <c r="E37" s="203"/>
      <c r="F37" s="203"/>
      <c r="G37" s="202"/>
      <c r="H37" s="202"/>
      <c r="I37" s="185"/>
      <c r="J37" s="185"/>
      <c r="K37" s="185"/>
      <c r="L37" s="185"/>
      <c r="M37" s="185"/>
      <c r="N37" s="185"/>
      <c r="O37" s="185"/>
      <c r="P37" s="185"/>
      <c r="Q37" s="185"/>
      <c r="R37" s="185"/>
      <c r="S37" s="185"/>
      <c r="T37" s="185"/>
      <c r="U37" s="185"/>
      <c r="V37" s="185"/>
      <c r="W37" s="185"/>
      <c r="X37" s="185"/>
      <c r="Y37" s="185"/>
      <c r="Z37" s="185"/>
      <c r="AA37" s="185"/>
      <c r="AB37" s="185" t="str">
        <f>IFERROR(__xludf.DUMMYFUNCTION("LET(width,COLUMN($AB$1)-COLUMN($G$1),r,INDEX($G37:$AAB37,1,SEQUENCE(1,width)),flat,TOCOL(r,1),bad,FILTER(flat,COUNTIF('リスト'!$E:$E,flat)=0),IFERROR(TEXTJOIN(""\n"",TRUE,bad),""""))"),"")</f>
        <v/>
      </c>
      <c r="AC37" s="185"/>
      <c r="AD37" s="185"/>
    </row>
    <row r="38" ht="19.5" customHeight="1">
      <c r="A38" s="202"/>
      <c r="B38" s="202"/>
      <c r="C38" s="202"/>
      <c r="D38" s="202"/>
      <c r="E38" s="203"/>
      <c r="F38" s="203"/>
      <c r="G38" s="202"/>
      <c r="H38" s="202"/>
      <c r="I38" s="185"/>
      <c r="J38" s="185"/>
      <c r="K38" s="185"/>
      <c r="L38" s="185"/>
      <c r="M38" s="185"/>
      <c r="N38" s="185"/>
      <c r="O38" s="185"/>
      <c r="P38" s="185"/>
      <c r="Q38" s="185"/>
      <c r="R38" s="185"/>
      <c r="S38" s="185"/>
      <c r="T38" s="185"/>
      <c r="U38" s="185"/>
      <c r="V38" s="185"/>
      <c r="W38" s="185"/>
      <c r="X38" s="185"/>
      <c r="Y38" s="185"/>
      <c r="Z38" s="185"/>
      <c r="AA38" s="185"/>
      <c r="AB38" s="185" t="str">
        <f>IFERROR(__xludf.DUMMYFUNCTION("LET(width,COLUMN($AB$1)-COLUMN($G$1),r,INDEX($G38:$AAB38,1,SEQUENCE(1,width)),flat,TOCOL(r,1),bad,FILTER(flat,COUNTIF('リスト'!$E:$E,flat)=0),IFERROR(TEXTJOIN(""\n"",TRUE,bad),""""))"),"")</f>
        <v/>
      </c>
      <c r="AC38" s="185"/>
      <c r="AD38" s="185"/>
    </row>
    <row r="39" ht="19.5" customHeight="1">
      <c r="A39" s="202"/>
      <c r="B39" s="202"/>
      <c r="C39" s="202"/>
      <c r="D39" s="202"/>
      <c r="E39" s="203"/>
      <c r="F39" s="203"/>
      <c r="G39" s="202"/>
      <c r="H39" s="202"/>
      <c r="I39" s="185"/>
      <c r="J39" s="185"/>
      <c r="K39" s="185"/>
      <c r="L39" s="185"/>
      <c r="M39" s="185"/>
      <c r="N39" s="185"/>
      <c r="O39" s="185"/>
      <c r="P39" s="185"/>
      <c r="Q39" s="185"/>
      <c r="R39" s="185"/>
      <c r="S39" s="185"/>
      <c r="T39" s="185"/>
      <c r="U39" s="185"/>
      <c r="V39" s="185"/>
      <c r="W39" s="185"/>
      <c r="X39" s="185"/>
      <c r="Y39" s="185"/>
      <c r="Z39" s="185"/>
      <c r="AA39" s="185"/>
      <c r="AB39" s="185" t="str">
        <f>IFERROR(__xludf.DUMMYFUNCTION("LET(width,COLUMN($AB$1)-COLUMN($G$1),r,INDEX($G39:$AAB39,1,SEQUENCE(1,width)),flat,TOCOL(r,1),bad,FILTER(flat,COUNTIF('リスト'!$E:$E,flat)=0),IFERROR(TEXTJOIN(""\n"",TRUE,bad),""""))"),"")</f>
        <v/>
      </c>
      <c r="AC39" s="185"/>
      <c r="AD39" s="185"/>
    </row>
    <row r="40" ht="19.5" customHeight="1">
      <c r="A40" s="202"/>
      <c r="B40" s="202"/>
      <c r="C40" s="202"/>
      <c r="D40" s="202"/>
      <c r="E40" s="203"/>
      <c r="F40" s="203"/>
      <c r="G40" s="202"/>
      <c r="H40" s="202"/>
      <c r="I40" s="185"/>
      <c r="J40" s="185"/>
      <c r="K40" s="185"/>
      <c r="L40" s="185"/>
      <c r="M40" s="185"/>
      <c r="N40" s="185"/>
      <c r="O40" s="185"/>
      <c r="P40" s="185"/>
      <c r="Q40" s="185"/>
      <c r="R40" s="185"/>
      <c r="S40" s="185"/>
      <c r="T40" s="185"/>
      <c r="U40" s="185"/>
      <c r="V40" s="185"/>
      <c r="W40" s="185"/>
      <c r="X40" s="185"/>
      <c r="Y40" s="185"/>
      <c r="Z40" s="185"/>
      <c r="AA40" s="185"/>
      <c r="AB40" s="185" t="str">
        <f>IFERROR(__xludf.DUMMYFUNCTION("LET(width,COLUMN($AB$1)-COLUMN($G$1),r,INDEX($G40:$AAB40,1,SEQUENCE(1,width)),flat,TOCOL(r,1),bad,FILTER(flat,COUNTIF('リスト'!$E:$E,flat)=0),IFERROR(TEXTJOIN(""\n"",TRUE,bad),""""))"),"")</f>
        <v/>
      </c>
      <c r="AC40" s="185"/>
      <c r="AD40" s="185"/>
    </row>
    <row r="41" ht="19.5" customHeight="1">
      <c r="A41" s="202"/>
      <c r="B41" s="202"/>
      <c r="C41" s="202"/>
      <c r="D41" s="202"/>
      <c r="E41" s="203"/>
      <c r="F41" s="203"/>
      <c r="G41" s="202"/>
      <c r="H41" s="202"/>
      <c r="I41" s="185"/>
      <c r="J41" s="185"/>
      <c r="K41" s="185"/>
      <c r="L41" s="185"/>
      <c r="M41" s="185"/>
      <c r="N41" s="185"/>
      <c r="O41" s="185"/>
      <c r="P41" s="185"/>
      <c r="Q41" s="185"/>
      <c r="R41" s="185"/>
      <c r="S41" s="185"/>
      <c r="T41" s="185"/>
      <c r="U41" s="185"/>
      <c r="V41" s="185"/>
      <c r="W41" s="185"/>
      <c r="X41" s="185"/>
      <c r="Y41" s="185"/>
      <c r="Z41" s="185"/>
      <c r="AA41" s="185"/>
      <c r="AB41" s="185" t="str">
        <f>IFERROR(__xludf.DUMMYFUNCTION("LET(width,COLUMN($AB$1)-COLUMN($G$1),r,INDEX($G41:$AAB41,1,SEQUENCE(1,width)),flat,TOCOL(r,1),bad,FILTER(flat,COUNTIF('リスト'!$E:$E,flat)=0),IFERROR(TEXTJOIN(""\n"",TRUE,bad),""""))"),"")</f>
        <v/>
      </c>
      <c r="AC41" s="185"/>
      <c r="AD41" s="185"/>
    </row>
    <row r="42" ht="19.5" customHeight="1">
      <c r="A42" s="202"/>
      <c r="B42" s="202"/>
      <c r="C42" s="202"/>
      <c r="D42" s="202"/>
      <c r="E42" s="203"/>
      <c r="F42" s="203"/>
      <c r="G42" s="202"/>
      <c r="H42" s="202"/>
      <c r="I42" s="185"/>
      <c r="J42" s="185"/>
      <c r="K42" s="185"/>
      <c r="L42" s="185"/>
      <c r="M42" s="185"/>
      <c r="N42" s="185"/>
      <c r="O42" s="185"/>
      <c r="P42" s="185"/>
      <c r="Q42" s="185"/>
      <c r="R42" s="185"/>
      <c r="S42" s="185"/>
      <c r="T42" s="185"/>
      <c r="U42" s="185"/>
      <c r="V42" s="185"/>
      <c r="W42" s="185"/>
      <c r="X42" s="185"/>
      <c r="Y42" s="185"/>
      <c r="Z42" s="185"/>
      <c r="AA42" s="185"/>
      <c r="AB42" s="185" t="str">
        <f>IFERROR(__xludf.DUMMYFUNCTION("LET(width,COLUMN($AB$1)-COLUMN($G$1),r,INDEX($G42:$AAB42,1,SEQUENCE(1,width)),flat,TOCOL(r,1),bad,FILTER(flat,COUNTIF('リスト'!$E:$E,flat)=0),IFERROR(TEXTJOIN(""\n"",TRUE,bad),""""))"),"")</f>
        <v/>
      </c>
      <c r="AC42" s="185"/>
      <c r="AD42" s="185"/>
    </row>
    <row r="43" ht="19.5" customHeight="1">
      <c r="A43" s="202"/>
      <c r="B43" s="202"/>
      <c r="C43" s="202"/>
      <c r="D43" s="202"/>
      <c r="E43" s="203"/>
      <c r="F43" s="203"/>
      <c r="G43" s="202"/>
      <c r="H43" s="202"/>
      <c r="I43" s="185"/>
      <c r="J43" s="185"/>
      <c r="K43" s="185"/>
      <c r="L43" s="185"/>
      <c r="M43" s="185"/>
      <c r="N43" s="185"/>
      <c r="O43" s="185"/>
      <c r="P43" s="185"/>
      <c r="Q43" s="185"/>
      <c r="R43" s="185"/>
      <c r="S43" s="185"/>
      <c r="T43" s="185"/>
      <c r="U43" s="185"/>
      <c r="V43" s="185"/>
      <c r="W43" s="185"/>
      <c r="X43" s="185"/>
      <c r="Y43" s="185"/>
      <c r="Z43" s="185"/>
      <c r="AA43" s="185"/>
      <c r="AB43" s="185" t="str">
        <f>IFERROR(__xludf.DUMMYFUNCTION("LET(width,COLUMN($AB$1)-COLUMN($G$1),r,INDEX($G43:$AAB43,1,SEQUENCE(1,width)),flat,TOCOL(r,1),bad,FILTER(flat,COUNTIF('リスト'!$E:$E,flat)=0),IFERROR(TEXTJOIN(""\n"",TRUE,bad),""""))"),"")</f>
        <v/>
      </c>
      <c r="AC43" s="185"/>
      <c r="AD43" s="185"/>
    </row>
    <row r="44" ht="19.5" customHeight="1">
      <c r="A44" s="202"/>
      <c r="B44" s="202"/>
      <c r="C44" s="202"/>
      <c r="D44" s="202"/>
      <c r="E44" s="203"/>
      <c r="F44" s="203"/>
      <c r="G44" s="202"/>
      <c r="H44" s="202"/>
      <c r="I44" s="185"/>
      <c r="J44" s="185"/>
      <c r="K44" s="185"/>
      <c r="L44" s="185"/>
      <c r="M44" s="185"/>
      <c r="N44" s="185"/>
      <c r="O44" s="185"/>
      <c r="P44" s="185"/>
      <c r="Q44" s="185"/>
      <c r="R44" s="185"/>
      <c r="S44" s="185"/>
      <c r="T44" s="185"/>
      <c r="U44" s="185"/>
      <c r="V44" s="185"/>
      <c r="W44" s="185"/>
      <c r="X44" s="185"/>
      <c r="Y44" s="185"/>
      <c r="Z44" s="185"/>
      <c r="AA44" s="185"/>
      <c r="AB44" s="185" t="str">
        <f>IFERROR(__xludf.DUMMYFUNCTION("LET(width,COLUMN($AB$1)-COLUMN($G$1),r,INDEX($G44:$AAB44,1,SEQUENCE(1,width)),flat,TOCOL(r,1),bad,FILTER(flat,COUNTIF('リスト'!$E:$E,flat)=0),IFERROR(TEXTJOIN(""\n"",TRUE,bad),""""))"),"")</f>
        <v/>
      </c>
      <c r="AC44" s="185"/>
      <c r="AD44" s="185"/>
    </row>
    <row r="45" ht="19.5" customHeight="1">
      <c r="A45" s="202"/>
      <c r="B45" s="202"/>
      <c r="C45" s="202"/>
      <c r="D45" s="202"/>
      <c r="E45" s="203"/>
      <c r="F45" s="203"/>
      <c r="G45" s="202"/>
      <c r="H45" s="202"/>
      <c r="I45" s="185"/>
      <c r="J45" s="185"/>
      <c r="K45" s="185"/>
      <c r="L45" s="185"/>
      <c r="M45" s="185"/>
      <c r="N45" s="185"/>
      <c r="O45" s="185"/>
      <c r="P45" s="185"/>
      <c r="Q45" s="185"/>
      <c r="R45" s="185"/>
      <c r="S45" s="185"/>
      <c r="T45" s="185"/>
      <c r="U45" s="185"/>
      <c r="V45" s="185"/>
      <c r="W45" s="185"/>
      <c r="X45" s="185"/>
      <c r="Y45" s="185"/>
      <c r="Z45" s="185"/>
      <c r="AA45" s="185"/>
      <c r="AB45" s="185" t="str">
        <f>IFERROR(__xludf.DUMMYFUNCTION("LET(width,COLUMN($AB$1)-COLUMN($G$1),r,INDEX($G45:$AAB45,1,SEQUENCE(1,width)),flat,TOCOL(r,1),bad,FILTER(flat,COUNTIF('リスト'!$E:$E,flat)=0),IFERROR(TEXTJOIN(""\n"",TRUE,bad),""""))"),"")</f>
        <v/>
      </c>
      <c r="AC45" s="185"/>
      <c r="AD45" s="185"/>
    </row>
    <row r="46" ht="19.5" customHeight="1">
      <c r="A46" s="202"/>
      <c r="B46" s="202"/>
      <c r="C46" s="202"/>
      <c r="D46" s="202"/>
      <c r="E46" s="203"/>
      <c r="F46" s="203"/>
      <c r="G46" s="202"/>
      <c r="H46" s="202"/>
      <c r="I46" s="185"/>
      <c r="J46" s="185"/>
      <c r="K46" s="185"/>
      <c r="L46" s="185"/>
      <c r="M46" s="185"/>
      <c r="N46" s="185"/>
      <c r="O46" s="185"/>
      <c r="P46" s="185"/>
      <c r="Q46" s="185"/>
      <c r="R46" s="185"/>
      <c r="S46" s="185"/>
      <c r="T46" s="185"/>
      <c r="U46" s="185"/>
      <c r="V46" s="185"/>
      <c r="W46" s="185"/>
      <c r="X46" s="185"/>
      <c r="Y46" s="185"/>
      <c r="Z46" s="185"/>
      <c r="AA46" s="185"/>
      <c r="AB46" s="185" t="str">
        <f>IFERROR(__xludf.DUMMYFUNCTION("LET(width,COLUMN($AB$1)-COLUMN($G$1),r,INDEX($G46:$AAB46,1,SEQUENCE(1,width)),flat,TOCOL(r,1),bad,FILTER(flat,COUNTIF('リスト'!$E:$E,flat)=0),IFERROR(TEXTJOIN(""\n"",TRUE,bad),""""))"),"")</f>
        <v/>
      </c>
      <c r="AC46" s="185"/>
      <c r="AD46" s="185"/>
    </row>
    <row r="47" ht="19.5" customHeight="1">
      <c r="A47" s="202"/>
      <c r="B47" s="202"/>
      <c r="C47" s="202"/>
      <c r="D47" s="202"/>
      <c r="E47" s="203"/>
      <c r="F47" s="203"/>
      <c r="G47" s="202"/>
      <c r="H47" s="202"/>
      <c r="I47" s="185"/>
      <c r="J47" s="185"/>
      <c r="K47" s="185"/>
      <c r="L47" s="185"/>
      <c r="M47" s="185"/>
      <c r="N47" s="185"/>
      <c r="O47" s="185"/>
      <c r="P47" s="185"/>
      <c r="Q47" s="185"/>
      <c r="R47" s="185"/>
      <c r="S47" s="185"/>
      <c r="T47" s="185"/>
      <c r="U47" s="185"/>
      <c r="V47" s="185"/>
      <c r="W47" s="185"/>
      <c r="X47" s="185"/>
      <c r="Y47" s="185"/>
      <c r="Z47" s="185"/>
      <c r="AA47" s="185"/>
      <c r="AB47" s="185" t="str">
        <f>IFERROR(__xludf.DUMMYFUNCTION("LET(width,COLUMN($AB$1)-COLUMN($G$1),r,INDEX($G47:$AAB47,1,SEQUENCE(1,width)),flat,TOCOL(r,1),bad,FILTER(flat,COUNTIF('リスト'!$E:$E,flat)=0),IFERROR(TEXTJOIN(""\n"",TRUE,bad),""""))"),"")</f>
        <v/>
      </c>
      <c r="AC47" s="185"/>
      <c r="AD47" s="185"/>
    </row>
    <row r="48" ht="19.5" customHeight="1">
      <c r="A48" s="202"/>
      <c r="B48" s="202"/>
      <c r="C48" s="202"/>
      <c r="D48" s="202"/>
      <c r="E48" s="203"/>
      <c r="F48" s="203"/>
      <c r="G48" s="202"/>
      <c r="H48" s="202"/>
      <c r="I48" s="185"/>
      <c r="J48" s="185"/>
      <c r="K48" s="185"/>
      <c r="L48" s="185"/>
      <c r="M48" s="185"/>
      <c r="N48" s="185"/>
      <c r="O48" s="185"/>
      <c r="P48" s="185"/>
      <c r="Q48" s="185"/>
      <c r="R48" s="185"/>
      <c r="S48" s="185"/>
      <c r="T48" s="185"/>
      <c r="U48" s="185"/>
      <c r="V48" s="185"/>
      <c r="W48" s="185"/>
      <c r="X48" s="185"/>
      <c r="Y48" s="185"/>
      <c r="Z48" s="185"/>
      <c r="AA48" s="185"/>
      <c r="AB48" s="185" t="str">
        <f>IFERROR(__xludf.DUMMYFUNCTION("LET(width,COLUMN($AB$1)-COLUMN($G$1),r,INDEX($G48:$AAB48,1,SEQUENCE(1,width)),flat,TOCOL(r,1),bad,FILTER(flat,COUNTIF('リスト'!$E:$E,flat)=0),IFERROR(TEXTJOIN(""\n"",TRUE,bad),""""))"),"")</f>
        <v/>
      </c>
      <c r="AC48" s="185"/>
      <c r="AD48" s="185"/>
    </row>
    <row r="49" ht="19.5" customHeight="1">
      <c r="A49" s="202"/>
      <c r="B49" s="202"/>
      <c r="C49" s="202"/>
      <c r="D49" s="202"/>
      <c r="E49" s="203"/>
      <c r="F49" s="203"/>
      <c r="G49" s="202"/>
      <c r="H49" s="202"/>
      <c r="I49" s="185"/>
      <c r="J49" s="185"/>
      <c r="K49" s="185"/>
      <c r="L49" s="185"/>
      <c r="M49" s="185"/>
      <c r="N49" s="185"/>
      <c r="O49" s="185"/>
      <c r="P49" s="185"/>
      <c r="Q49" s="185"/>
      <c r="R49" s="185"/>
      <c r="S49" s="185"/>
      <c r="T49" s="185"/>
      <c r="U49" s="185"/>
      <c r="V49" s="185"/>
      <c r="W49" s="185"/>
      <c r="X49" s="185"/>
      <c r="Y49" s="185"/>
      <c r="Z49" s="185"/>
      <c r="AA49" s="185"/>
      <c r="AB49" s="185" t="str">
        <f>IFERROR(__xludf.DUMMYFUNCTION("LET(width,COLUMN($AB$1)-COLUMN($G$1),r,INDEX($G49:$AAB49,1,SEQUENCE(1,width)),flat,TOCOL(r,1),bad,FILTER(flat,COUNTIF('リスト'!$E:$E,flat)=0),IFERROR(TEXTJOIN(""\n"",TRUE,bad),""""))"),"")</f>
        <v/>
      </c>
      <c r="AC49" s="185"/>
      <c r="AD49" s="185"/>
    </row>
    <row r="50" ht="19.5" customHeight="1">
      <c r="A50" s="202"/>
      <c r="B50" s="202"/>
      <c r="C50" s="202"/>
      <c r="D50" s="202"/>
      <c r="E50" s="203"/>
      <c r="F50" s="203"/>
      <c r="G50" s="202"/>
      <c r="H50" s="202"/>
      <c r="I50" s="185"/>
      <c r="J50" s="185"/>
      <c r="K50" s="185"/>
      <c r="L50" s="185"/>
      <c r="M50" s="185"/>
      <c r="N50" s="185"/>
      <c r="O50" s="185"/>
      <c r="P50" s="185"/>
      <c r="Q50" s="185"/>
      <c r="R50" s="185"/>
      <c r="S50" s="185"/>
      <c r="T50" s="185"/>
      <c r="U50" s="185"/>
      <c r="V50" s="185"/>
      <c r="W50" s="185"/>
      <c r="X50" s="185"/>
      <c r="Y50" s="185"/>
      <c r="Z50" s="185"/>
      <c r="AA50" s="185"/>
      <c r="AB50" s="185" t="str">
        <f>IFERROR(__xludf.DUMMYFUNCTION("LET(width,COLUMN($AB$1)-COLUMN($G$1),r,INDEX($G50:$AAB50,1,SEQUENCE(1,width)),flat,TOCOL(r,1),bad,FILTER(flat,COUNTIF('リスト'!$E:$E,flat)=0),IFERROR(TEXTJOIN(""\n"",TRUE,bad),""""))"),"")</f>
        <v/>
      </c>
      <c r="AC50" s="185"/>
      <c r="AD50" s="185"/>
    </row>
    <row r="51" ht="19.5" customHeight="1">
      <c r="A51" s="202"/>
      <c r="B51" s="202"/>
      <c r="C51" s="202"/>
      <c r="D51" s="202"/>
      <c r="E51" s="203"/>
      <c r="F51" s="203"/>
      <c r="G51" s="202"/>
      <c r="H51" s="202"/>
      <c r="I51" s="185"/>
      <c r="J51" s="185"/>
      <c r="K51" s="185"/>
      <c r="L51" s="185"/>
      <c r="M51" s="185"/>
      <c r="N51" s="185"/>
      <c r="O51" s="185"/>
      <c r="P51" s="185"/>
      <c r="Q51" s="185"/>
      <c r="R51" s="185"/>
      <c r="S51" s="185"/>
      <c r="T51" s="185"/>
      <c r="U51" s="185"/>
      <c r="V51" s="185"/>
      <c r="W51" s="185"/>
      <c r="X51" s="185"/>
      <c r="Y51" s="185"/>
      <c r="Z51" s="185"/>
      <c r="AA51" s="185"/>
      <c r="AB51" s="185" t="str">
        <f>IFERROR(__xludf.DUMMYFUNCTION("LET(width,COLUMN($AB$1)-COLUMN($G$1),r,INDEX($G51:$AAB51,1,SEQUENCE(1,width)),flat,TOCOL(r,1),bad,FILTER(flat,COUNTIF('リスト'!$E:$E,flat)=0),IFERROR(TEXTJOIN(""\n"",TRUE,bad),""""))"),"")</f>
        <v/>
      </c>
      <c r="AC51" s="185"/>
      <c r="AD51" s="185"/>
    </row>
    <row r="52" ht="19.5" customHeight="1">
      <c r="A52" s="202"/>
      <c r="B52" s="202"/>
      <c r="C52" s="202"/>
      <c r="D52" s="202"/>
      <c r="E52" s="203"/>
      <c r="F52" s="203"/>
      <c r="G52" s="202"/>
      <c r="H52" s="202"/>
      <c r="I52" s="185"/>
      <c r="J52" s="185"/>
      <c r="K52" s="185"/>
      <c r="L52" s="185"/>
      <c r="M52" s="185"/>
      <c r="N52" s="185"/>
      <c r="O52" s="185"/>
      <c r="P52" s="185"/>
      <c r="Q52" s="185"/>
      <c r="R52" s="185"/>
      <c r="S52" s="185"/>
      <c r="T52" s="185"/>
      <c r="U52" s="185"/>
      <c r="V52" s="185"/>
      <c r="W52" s="185"/>
      <c r="X52" s="185"/>
      <c r="Y52" s="185"/>
      <c r="Z52" s="185"/>
      <c r="AA52" s="185"/>
      <c r="AB52" s="185" t="str">
        <f>IFERROR(__xludf.DUMMYFUNCTION("LET(width,COLUMN($AB$1)-COLUMN($G$1),r,INDEX($G52:$AAB52,1,SEQUENCE(1,width)),flat,TOCOL(r,1),bad,FILTER(flat,COUNTIF('リスト'!$E:$E,flat)=0),IFERROR(TEXTJOIN(""\n"",TRUE,bad),""""))"),"")</f>
        <v/>
      </c>
      <c r="AC52" s="185"/>
      <c r="AD52" s="185"/>
    </row>
    <row r="53" ht="19.5" customHeight="1">
      <c r="A53" s="202"/>
      <c r="B53" s="202"/>
      <c r="C53" s="202"/>
      <c r="D53" s="202"/>
      <c r="E53" s="203"/>
      <c r="F53" s="203"/>
      <c r="G53" s="202"/>
      <c r="H53" s="202"/>
      <c r="I53" s="185"/>
      <c r="J53" s="185"/>
      <c r="K53" s="185"/>
      <c r="L53" s="185"/>
      <c r="M53" s="185"/>
      <c r="N53" s="185"/>
      <c r="O53" s="185"/>
      <c r="P53" s="185"/>
      <c r="Q53" s="185"/>
      <c r="R53" s="185"/>
      <c r="S53" s="185"/>
      <c r="T53" s="185"/>
      <c r="U53" s="185"/>
      <c r="V53" s="185"/>
      <c r="W53" s="185"/>
      <c r="X53" s="185"/>
      <c r="Y53" s="185"/>
      <c r="Z53" s="185"/>
      <c r="AA53" s="185"/>
      <c r="AB53" s="185" t="str">
        <f>IFERROR(__xludf.DUMMYFUNCTION("LET(width,COLUMN($AB$1)-COLUMN($G$1),r,INDEX($G53:$AAB53,1,SEQUENCE(1,width)),flat,TOCOL(r,1),bad,FILTER(flat,COUNTIF('リスト'!$E:$E,flat)=0),IFERROR(TEXTJOIN(""\n"",TRUE,bad),""""))"),"")</f>
        <v/>
      </c>
      <c r="AC53" s="185"/>
      <c r="AD53" s="185"/>
    </row>
    <row r="54" ht="19.5" customHeight="1">
      <c r="A54" s="202"/>
      <c r="B54" s="202"/>
      <c r="C54" s="202"/>
      <c r="D54" s="202"/>
      <c r="E54" s="203"/>
      <c r="F54" s="203"/>
      <c r="G54" s="202"/>
      <c r="H54" s="202"/>
      <c r="I54" s="185"/>
      <c r="J54" s="185"/>
      <c r="K54" s="185"/>
      <c r="L54" s="185"/>
      <c r="M54" s="185"/>
      <c r="N54" s="185"/>
      <c r="O54" s="185"/>
      <c r="P54" s="185"/>
      <c r="Q54" s="185"/>
      <c r="R54" s="185"/>
      <c r="S54" s="185"/>
      <c r="T54" s="185"/>
      <c r="U54" s="185"/>
      <c r="V54" s="185"/>
      <c r="W54" s="185"/>
      <c r="X54" s="185"/>
      <c r="Y54" s="185"/>
      <c r="Z54" s="185"/>
      <c r="AA54" s="185"/>
      <c r="AB54" s="185" t="str">
        <f>IFERROR(__xludf.DUMMYFUNCTION("LET(width,COLUMN($AB$1)-COLUMN($G$1),r,INDEX($G54:$AAB54,1,SEQUENCE(1,width)),flat,TOCOL(r,1),bad,FILTER(flat,COUNTIF('リスト'!$E:$E,flat)=0),IFERROR(TEXTJOIN(""\n"",TRUE,bad),""""))"),"")</f>
        <v/>
      </c>
      <c r="AC54" s="185"/>
      <c r="AD54" s="185"/>
    </row>
    <row r="55" ht="19.5" customHeight="1">
      <c r="A55" s="202"/>
      <c r="B55" s="202"/>
      <c r="C55" s="202"/>
      <c r="D55" s="202"/>
      <c r="E55" s="203"/>
      <c r="F55" s="203"/>
      <c r="G55" s="202"/>
      <c r="H55" s="202"/>
      <c r="I55" s="185"/>
      <c r="J55" s="185"/>
      <c r="K55" s="185"/>
      <c r="L55" s="185"/>
      <c r="M55" s="185"/>
      <c r="N55" s="185"/>
      <c r="O55" s="185"/>
      <c r="P55" s="185"/>
      <c r="Q55" s="185"/>
      <c r="R55" s="185"/>
      <c r="S55" s="185"/>
      <c r="T55" s="185"/>
      <c r="U55" s="185"/>
      <c r="V55" s="185"/>
      <c r="W55" s="185"/>
      <c r="X55" s="185"/>
      <c r="Y55" s="185"/>
      <c r="Z55" s="185"/>
      <c r="AA55" s="185"/>
      <c r="AB55" s="185" t="str">
        <f>IFERROR(__xludf.DUMMYFUNCTION("LET(width,COLUMN($AB$1)-COLUMN($G$1),r,INDEX($G55:$AAB55,1,SEQUENCE(1,width)),flat,TOCOL(r,1),bad,FILTER(flat,COUNTIF('リスト'!$E:$E,flat)=0),IFERROR(TEXTJOIN(""\n"",TRUE,bad),""""))"),"")</f>
        <v/>
      </c>
      <c r="AC55" s="185"/>
      <c r="AD55" s="185"/>
    </row>
    <row r="56" ht="19.5" customHeight="1">
      <c r="A56" s="202"/>
      <c r="B56" s="202"/>
      <c r="C56" s="202"/>
      <c r="D56" s="202"/>
      <c r="E56" s="203"/>
      <c r="F56" s="203"/>
      <c r="G56" s="202"/>
      <c r="H56" s="202"/>
      <c r="I56" s="185"/>
      <c r="J56" s="185"/>
      <c r="K56" s="185"/>
      <c r="L56" s="185"/>
      <c r="M56" s="185"/>
      <c r="N56" s="185"/>
      <c r="O56" s="185"/>
      <c r="P56" s="185"/>
      <c r="Q56" s="185"/>
      <c r="R56" s="185"/>
      <c r="S56" s="185"/>
      <c r="T56" s="185"/>
      <c r="U56" s="185"/>
      <c r="V56" s="185"/>
      <c r="W56" s="185"/>
      <c r="X56" s="185"/>
      <c r="Y56" s="185"/>
      <c r="Z56" s="185"/>
      <c r="AA56" s="185"/>
      <c r="AB56" s="185" t="str">
        <f>IFERROR(__xludf.DUMMYFUNCTION("LET(width,COLUMN($AB$1)-COLUMN($G$1),r,INDEX($G56:$AAB56,1,SEQUENCE(1,width)),flat,TOCOL(r,1),bad,FILTER(flat,COUNTIF('リスト'!$E:$E,flat)=0),IFERROR(TEXTJOIN(""\n"",TRUE,bad),""""))"),"")</f>
        <v/>
      </c>
      <c r="AC56" s="185"/>
      <c r="AD56" s="185"/>
    </row>
    <row r="57" ht="19.5" customHeight="1">
      <c r="A57" s="202"/>
      <c r="B57" s="202"/>
      <c r="C57" s="202"/>
      <c r="D57" s="202"/>
      <c r="E57" s="203"/>
      <c r="F57" s="203"/>
      <c r="G57" s="202"/>
      <c r="H57" s="202"/>
      <c r="I57" s="185"/>
      <c r="J57" s="185"/>
      <c r="K57" s="185"/>
      <c r="L57" s="185"/>
      <c r="M57" s="185"/>
      <c r="N57" s="185"/>
      <c r="O57" s="185"/>
      <c r="P57" s="185"/>
      <c r="Q57" s="185"/>
      <c r="R57" s="185"/>
      <c r="S57" s="185"/>
      <c r="T57" s="185"/>
      <c r="U57" s="185"/>
      <c r="V57" s="185"/>
      <c r="W57" s="185"/>
      <c r="X57" s="185"/>
      <c r="Y57" s="185"/>
      <c r="Z57" s="185"/>
      <c r="AA57" s="185"/>
      <c r="AB57" s="185" t="str">
        <f>IFERROR(__xludf.DUMMYFUNCTION("LET(width,COLUMN($AB$1)-COLUMN($G$1),r,INDEX($G57:$AAB57,1,SEQUENCE(1,width)),flat,TOCOL(r,1),bad,FILTER(flat,COUNTIF('リスト'!$E:$E,flat)=0),IFERROR(TEXTJOIN(""\n"",TRUE,bad),""""))"),"")</f>
        <v/>
      </c>
      <c r="AC57" s="185"/>
      <c r="AD57" s="185"/>
    </row>
    <row r="58" ht="19.5" customHeight="1">
      <c r="A58" s="202"/>
      <c r="B58" s="202"/>
      <c r="C58" s="202"/>
      <c r="D58" s="202"/>
      <c r="E58" s="203"/>
      <c r="F58" s="203"/>
      <c r="G58" s="202"/>
      <c r="H58" s="202"/>
      <c r="I58" s="185"/>
      <c r="J58" s="185"/>
      <c r="K58" s="185"/>
      <c r="L58" s="185"/>
      <c r="M58" s="185"/>
      <c r="N58" s="185"/>
      <c r="O58" s="185"/>
      <c r="P58" s="185"/>
      <c r="Q58" s="185"/>
      <c r="R58" s="185"/>
      <c r="S58" s="185"/>
      <c r="T58" s="185"/>
      <c r="U58" s="185"/>
      <c r="V58" s="185"/>
      <c r="W58" s="185"/>
      <c r="X58" s="185"/>
      <c r="Y58" s="185"/>
      <c r="Z58" s="185"/>
      <c r="AA58" s="185"/>
      <c r="AB58" s="185" t="str">
        <f>IFERROR(__xludf.DUMMYFUNCTION("LET(width,COLUMN($AB$1)-COLUMN($G$1),r,INDEX($G58:$AAB58,1,SEQUENCE(1,width)),flat,TOCOL(r,1),bad,FILTER(flat,COUNTIF('リスト'!$E:$E,flat)=0),IFERROR(TEXTJOIN(""\n"",TRUE,bad),""""))"),"")</f>
        <v/>
      </c>
      <c r="AC58" s="185"/>
      <c r="AD58" s="185"/>
    </row>
    <row r="59" ht="19.5" customHeight="1">
      <c r="A59" s="202"/>
      <c r="B59" s="202"/>
      <c r="C59" s="202"/>
      <c r="D59" s="202"/>
      <c r="E59" s="203"/>
      <c r="F59" s="203"/>
      <c r="G59" s="202"/>
      <c r="H59" s="202"/>
      <c r="I59" s="185"/>
      <c r="J59" s="185"/>
      <c r="K59" s="185"/>
      <c r="L59" s="185"/>
      <c r="M59" s="185"/>
      <c r="N59" s="185"/>
      <c r="O59" s="185"/>
      <c r="P59" s="185"/>
      <c r="Q59" s="185"/>
      <c r="R59" s="185"/>
      <c r="S59" s="185"/>
      <c r="T59" s="185"/>
      <c r="U59" s="185"/>
      <c r="V59" s="185"/>
      <c r="W59" s="185"/>
      <c r="X59" s="185"/>
      <c r="Y59" s="185"/>
      <c r="Z59" s="185"/>
      <c r="AA59" s="185"/>
      <c r="AB59" s="185" t="str">
        <f>IFERROR(__xludf.DUMMYFUNCTION("LET(width,COLUMN($AB$1)-COLUMN($G$1),r,INDEX($G59:$AAB59,1,SEQUENCE(1,width)),flat,TOCOL(r,1),bad,FILTER(flat,COUNTIF('リスト'!$E:$E,flat)=0),IFERROR(TEXTJOIN(""\n"",TRUE,bad),""""))"),"")</f>
        <v/>
      </c>
      <c r="AC59" s="185"/>
      <c r="AD59" s="185"/>
    </row>
    <row r="60" ht="19.5" customHeight="1">
      <c r="A60" s="202"/>
      <c r="B60" s="202"/>
      <c r="C60" s="202"/>
      <c r="D60" s="202"/>
      <c r="E60" s="203"/>
      <c r="F60" s="203"/>
      <c r="G60" s="202"/>
      <c r="H60" s="202"/>
      <c r="I60" s="185"/>
      <c r="J60" s="185"/>
      <c r="K60" s="185"/>
      <c r="L60" s="185"/>
      <c r="M60" s="185"/>
      <c r="N60" s="185"/>
      <c r="O60" s="185"/>
      <c r="P60" s="185"/>
      <c r="Q60" s="185"/>
      <c r="R60" s="185"/>
      <c r="S60" s="185"/>
      <c r="T60" s="185"/>
      <c r="U60" s="185"/>
      <c r="V60" s="185"/>
      <c r="W60" s="185"/>
      <c r="X60" s="185"/>
      <c r="Y60" s="185"/>
      <c r="Z60" s="185"/>
      <c r="AA60" s="185"/>
      <c r="AB60" s="185" t="str">
        <f>IFERROR(__xludf.DUMMYFUNCTION("LET(width,COLUMN($AB$1)-COLUMN($G$1),r,INDEX($G60:$AAB60,1,SEQUENCE(1,width)),flat,TOCOL(r,1),bad,FILTER(flat,COUNTIF('リスト'!$E:$E,flat)=0),IFERROR(TEXTJOIN(""\n"",TRUE,bad),""""))"),"")</f>
        <v/>
      </c>
      <c r="AC60" s="185"/>
      <c r="AD60" s="185"/>
    </row>
    <row r="61" ht="19.5" customHeight="1">
      <c r="A61" s="202"/>
      <c r="B61" s="202"/>
      <c r="C61" s="202"/>
      <c r="D61" s="202"/>
      <c r="E61" s="203"/>
      <c r="F61" s="203"/>
      <c r="G61" s="202"/>
      <c r="H61" s="202"/>
      <c r="I61" s="185"/>
      <c r="J61" s="185"/>
      <c r="K61" s="185"/>
      <c r="L61" s="185"/>
      <c r="M61" s="185"/>
      <c r="N61" s="185"/>
      <c r="O61" s="185"/>
      <c r="P61" s="185"/>
      <c r="Q61" s="185"/>
      <c r="R61" s="185"/>
      <c r="S61" s="185"/>
      <c r="T61" s="185"/>
      <c r="U61" s="185"/>
      <c r="V61" s="185"/>
      <c r="W61" s="185"/>
      <c r="X61" s="185"/>
      <c r="Y61" s="185"/>
      <c r="Z61" s="185"/>
      <c r="AA61" s="185"/>
      <c r="AB61" s="185" t="str">
        <f>IFERROR(__xludf.DUMMYFUNCTION("LET(width,COLUMN($AB$1)-COLUMN($G$1),r,INDEX($G61:$AAB61,1,SEQUENCE(1,width)),flat,TOCOL(r,1),bad,FILTER(flat,COUNTIF('リスト'!$E:$E,flat)=0),IFERROR(TEXTJOIN(""\n"",TRUE,bad),""""))"),"")</f>
        <v/>
      </c>
      <c r="AC61" s="185"/>
      <c r="AD61" s="185"/>
    </row>
    <row r="62" ht="19.5" customHeight="1">
      <c r="A62" s="202"/>
      <c r="B62" s="202"/>
      <c r="C62" s="202"/>
      <c r="D62" s="202"/>
      <c r="E62" s="203"/>
      <c r="F62" s="203"/>
      <c r="G62" s="202"/>
      <c r="H62" s="202"/>
      <c r="I62" s="185"/>
      <c r="J62" s="185"/>
      <c r="K62" s="185"/>
      <c r="L62" s="185"/>
      <c r="M62" s="185"/>
      <c r="N62" s="185"/>
      <c r="O62" s="185"/>
      <c r="P62" s="185"/>
      <c r="Q62" s="185"/>
      <c r="R62" s="185"/>
      <c r="S62" s="185"/>
      <c r="T62" s="185"/>
      <c r="U62" s="185"/>
      <c r="V62" s="185"/>
      <c r="W62" s="185"/>
      <c r="X62" s="185"/>
      <c r="Y62" s="185"/>
      <c r="Z62" s="185"/>
      <c r="AA62" s="185"/>
      <c r="AB62" s="185" t="str">
        <f>IFERROR(__xludf.DUMMYFUNCTION("LET(width,COLUMN($AB$1)-COLUMN($G$1),r,INDEX($G62:$AAB62,1,SEQUENCE(1,width)),flat,TOCOL(r,1),bad,FILTER(flat,COUNTIF('リスト'!$E:$E,flat)=0),IFERROR(TEXTJOIN(""\n"",TRUE,bad),""""))"),"")</f>
        <v/>
      </c>
      <c r="AC62" s="185"/>
      <c r="AD62" s="185"/>
    </row>
    <row r="63" ht="19.5" customHeight="1">
      <c r="A63" s="202"/>
      <c r="B63" s="202"/>
      <c r="C63" s="202"/>
      <c r="D63" s="202"/>
      <c r="E63" s="203"/>
      <c r="F63" s="203"/>
      <c r="G63" s="202"/>
      <c r="H63" s="202"/>
      <c r="I63" s="185"/>
      <c r="J63" s="185"/>
      <c r="K63" s="185"/>
      <c r="L63" s="185"/>
      <c r="M63" s="185"/>
      <c r="N63" s="185"/>
      <c r="O63" s="185"/>
      <c r="P63" s="185"/>
      <c r="Q63" s="185"/>
      <c r="R63" s="185"/>
      <c r="S63" s="185"/>
      <c r="T63" s="185"/>
      <c r="U63" s="185"/>
      <c r="V63" s="185"/>
      <c r="W63" s="185"/>
      <c r="X63" s="185"/>
      <c r="Y63" s="185"/>
      <c r="Z63" s="185"/>
      <c r="AA63" s="185"/>
      <c r="AB63" s="185" t="str">
        <f>IFERROR(__xludf.DUMMYFUNCTION("LET(width,COLUMN($AB$1)-COLUMN($G$1),r,INDEX($G63:$AAB63,1,SEQUENCE(1,width)),flat,TOCOL(r,1),bad,FILTER(flat,COUNTIF('リスト'!$E:$E,flat)=0),IFERROR(TEXTJOIN(""\n"",TRUE,bad),""""))"),"")</f>
        <v/>
      </c>
      <c r="AC63" s="185"/>
      <c r="AD63" s="185"/>
    </row>
    <row r="64" ht="19.5" customHeight="1">
      <c r="A64" s="202"/>
      <c r="B64" s="202"/>
      <c r="C64" s="202"/>
      <c r="D64" s="202"/>
      <c r="E64" s="203"/>
      <c r="F64" s="203"/>
      <c r="G64" s="202"/>
      <c r="H64" s="202"/>
      <c r="I64" s="185"/>
      <c r="J64" s="185"/>
      <c r="K64" s="185"/>
      <c r="L64" s="185"/>
      <c r="M64" s="185"/>
      <c r="N64" s="185"/>
      <c r="O64" s="185"/>
      <c r="P64" s="185"/>
      <c r="Q64" s="185"/>
      <c r="R64" s="185"/>
      <c r="S64" s="185"/>
      <c r="T64" s="185"/>
      <c r="U64" s="185"/>
      <c r="V64" s="185"/>
      <c r="W64" s="185"/>
      <c r="X64" s="185"/>
      <c r="Y64" s="185"/>
      <c r="Z64" s="185"/>
      <c r="AA64" s="185"/>
      <c r="AB64" s="185" t="str">
        <f>IFERROR(__xludf.DUMMYFUNCTION("LET(width,COLUMN($AB$1)-COLUMN($G$1),r,INDEX($G64:$AAB64,1,SEQUENCE(1,width)),flat,TOCOL(r,1),bad,FILTER(flat,COUNTIF('リスト'!$E:$E,flat)=0),IFERROR(TEXTJOIN(""\n"",TRUE,bad),""""))"),"")</f>
        <v/>
      </c>
      <c r="AC64" s="185"/>
      <c r="AD64" s="185"/>
    </row>
    <row r="65">
      <c r="A65" s="202"/>
      <c r="B65" s="202"/>
      <c r="C65" s="202"/>
      <c r="D65" s="202"/>
      <c r="E65" s="203"/>
      <c r="F65" s="203"/>
      <c r="G65" s="202"/>
      <c r="H65" s="202"/>
      <c r="I65" s="185"/>
      <c r="J65" s="185"/>
      <c r="K65" s="185"/>
      <c r="L65" s="185"/>
      <c r="M65" s="185"/>
      <c r="N65" s="185"/>
      <c r="O65" s="185"/>
      <c r="P65" s="185"/>
      <c r="Q65" s="185"/>
      <c r="R65" s="185"/>
      <c r="S65" s="185"/>
      <c r="T65" s="185"/>
      <c r="U65" s="185"/>
      <c r="V65" s="185"/>
      <c r="W65" s="185"/>
      <c r="X65" s="185"/>
      <c r="Y65" s="185"/>
      <c r="Z65" s="185"/>
      <c r="AA65" s="185"/>
      <c r="AB65" s="185" t="str">
        <f>IFERROR(__xludf.DUMMYFUNCTION("LET(width,COLUMN($AB$1)-COLUMN($G$1),r,INDEX($G65:$AAB65,1,SEQUENCE(1,width)),flat,TOCOL(r,1),bad,FILTER(flat,COUNTIF('リスト'!$E:$E,flat)=0),IFERROR(TEXTJOIN(""\n"",TRUE,bad),""""))"),"")</f>
        <v/>
      </c>
      <c r="AC65" s="185"/>
      <c r="AD65" s="185"/>
    </row>
    <row r="66">
      <c r="A66" s="202"/>
      <c r="B66" s="202"/>
      <c r="C66" s="202"/>
      <c r="D66" s="202"/>
      <c r="E66" s="203"/>
      <c r="F66" s="203"/>
      <c r="G66" s="202"/>
      <c r="H66" s="202"/>
      <c r="I66" s="185"/>
      <c r="J66" s="185"/>
      <c r="K66" s="185"/>
      <c r="L66" s="185"/>
      <c r="M66" s="185"/>
      <c r="N66" s="185"/>
      <c r="O66" s="185"/>
      <c r="P66" s="185"/>
      <c r="Q66" s="185"/>
      <c r="R66" s="185"/>
      <c r="S66" s="185"/>
      <c r="T66" s="185"/>
      <c r="U66" s="185"/>
      <c r="V66" s="185"/>
      <c r="W66" s="185"/>
      <c r="X66" s="185"/>
      <c r="Y66" s="185"/>
      <c r="Z66" s="185"/>
      <c r="AA66" s="185"/>
      <c r="AB66" s="185" t="str">
        <f>IFERROR(__xludf.DUMMYFUNCTION("LET(width,COLUMN($AB$1)-COLUMN($G$1),r,INDEX($G66:$AAB66,1,SEQUENCE(1,width)),flat,TOCOL(r,1),bad,FILTER(flat,COUNTIF('リスト'!$E:$E,flat)=0),IFERROR(TEXTJOIN(""\n"",TRUE,bad),""""))"),"")</f>
        <v/>
      </c>
      <c r="AC66" s="185"/>
      <c r="AD66" s="185"/>
    </row>
    <row r="67">
      <c r="A67" s="202"/>
      <c r="B67" s="202"/>
      <c r="C67" s="202"/>
      <c r="D67" s="202"/>
      <c r="E67" s="203"/>
      <c r="F67" s="203"/>
      <c r="G67" s="202"/>
      <c r="H67" s="202"/>
      <c r="I67" s="185"/>
      <c r="J67" s="185"/>
      <c r="K67" s="185"/>
      <c r="L67" s="185"/>
      <c r="M67" s="185"/>
      <c r="N67" s="185"/>
      <c r="O67" s="185"/>
      <c r="P67" s="185"/>
      <c r="Q67" s="185"/>
      <c r="R67" s="185"/>
      <c r="S67" s="185"/>
      <c r="T67" s="185"/>
      <c r="U67" s="185"/>
      <c r="V67" s="185"/>
      <c r="W67" s="185"/>
      <c r="X67" s="185"/>
      <c r="Y67" s="185"/>
      <c r="Z67" s="185"/>
      <c r="AA67" s="185"/>
      <c r="AB67" s="185" t="str">
        <f>IFERROR(__xludf.DUMMYFUNCTION("LET(width,COLUMN($AB$1)-COLUMN($G$1),r,INDEX($G67:$AAB67,1,SEQUENCE(1,width)),flat,TOCOL(r,1),bad,FILTER(flat,COUNTIF('リスト'!$E:$E,flat)=0),IFERROR(TEXTJOIN(""\n"",TRUE,bad),""""))"),"")</f>
        <v/>
      </c>
      <c r="AC67" s="185"/>
      <c r="AD67" s="185"/>
    </row>
    <row r="68">
      <c r="A68" s="202"/>
      <c r="B68" s="202"/>
      <c r="C68" s="202"/>
      <c r="D68" s="202"/>
      <c r="E68" s="203"/>
      <c r="F68" s="203"/>
      <c r="G68" s="202"/>
      <c r="H68" s="202"/>
      <c r="I68" s="185"/>
      <c r="J68" s="185"/>
      <c r="K68" s="185"/>
      <c r="L68" s="185"/>
      <c r="M68" s="185"/>
      <c r="N68" s="185"/>
      <c r="O68" s="185"/>
      <c r="P68" s="185"/>
      <c r="Q68" s="185"/>
      <c r="R68" s="185"/>
      <c r="S68" s="185"/>
      <c r="T68" s="185"/>
      <c r="U68" s="185"/>
      <c r="V68" s="185"/>
      <c r="W68" s="185"/>
      <c r="X68" s="185"/>
      <c r="Y68" s="185"/>
      <c r="Z68" s="185"/>
      <c r="AA68" s="185"/>
      <c r="AB68" s="185" t="str">
        <f>IFERROR(__xludf.DUMMYFUNCTION("LET(width,COLUMN($AB$1)-COLUMN($G$1),r,INDEX($G68:$AAB68,1,SEQUENCE(1,width)),flat,TOCOL(r,1),bad,FILTER(flat,COUNTIF('リスト'!$E:$E,flat)=0),IFERROR(TEXTJOIN(""\n"",TRUE,bad),""""))"),"")</f>
        <v/>
      </c>
      <c r="AC68" s="185"/>
      <c r="AD68" s="185"/>
    </row>
    <row r="69">
      <c r="A69" s="202"/>
      <c r="B69" s="202"/>
      <c r="C69" s="202"/>
      <c r="D69" s="202"/>
      <c r="E69" s="203"/>
      <c r="F69" s="203"/>
      <c r="G69" s="202"/>
      <c r="H69" s="202"/>
      <c r="I69" s="185"/>
      <c r="J69" s="185"/>
      <c r="K69" s="185"/>
      <c r="L69" s="185"/>
      <c r="M69" s="185"/>
      <c r="N69" s="185"/>
      <c r="O69" s="185"/>
      <c r="P69" s="185"/>
      <c r="Q69" s="185"/>
      <c r="R69" s="185"/>
      <c r="S69" s="185"/>
      <c r="T69" s="185"/>
      <c r="U69" s="185"/>
      <c r="V69" s="185"/>
      <c r="W69" s="185"/>
      <c r="X69" s="185"/>
      <c r="Y69" s="185"/>
      <c r="Z69" s="185"/>
      <c r="AA69" s="185"/>
      <c r="AB69" s="185" t="str">
        <f>IFERROR(__xludf.DUMMYFUNCTION("LET(width,COLUMN($AB$1)-COLUMN($G$1),r,INDEX($G69:$AAB69,1,SEQUENCE(1,width)),flat,TOCOL(r,1),bad,FILTER(flat,COUNTIF('リスト'!$E:$E,flat)=0),IFERROR(TEXTJOIN(""\n"",TRUE,bad),""""))"),"")</f>
        <v/>
      </c>
      <c r="AC69" s="185"/>
      <c r="AD69" s="185"/>
    </row>
    <row r="70">
      <c r="A70" s="202"/>
      <c r="B70" s="202"/>
      <c r="C70" s="202"/>
      <c r="D70" s="202"/>
      <c r="E70" s="203"/>
      <c r="F70" s="203"/>
      <c r="G70" s="202"/>
      <c r="H70" s="202"/>
      <c r="I70" s="185"/>
      <c r="J70" s="185"/>
      <c r="K70" s="185"/>
      <c r="L70" s="185"/>
      <c r="M70" s="185"/>
      <c r="N70" s="185"/>
      <c r="O70" s="185"/>
      <c r="P70" s="185"/>
      <c r="Q70" s="185"/>
      <c r="R70" s="185"/>
      <c r="S70" s="185"/>
      <c r="T70" s="185"/>
      <c r="U70" s="185"/>
      <c r="V70" s="185"/>
      <c r="W70" s="185"/>
      <c r="X70" s="185"/>
      <c r="Y70" s="185"/>
      <c r="Z70" s="185"/>
      <c r="AA70" s="185"/>
      <c r="AB70" s="185" t="str">
        <f>IFERROR(__xludf.DUMMYFUNCTION("LET(width,COLUMN($AB$1)-COLUMN($G$1),r,INDEX($G70:$AAB70,1,SEQUENCE(1,width)),flat,TOCOL(r,1),bad,FILTER(flat,COUNTIF('リスト'!$E:$E,flat)=0),IFERROR(TEXTJOIN(""\n"",TRUE,bad),""""))"),"")</f>
        <v/>
      </c>
      <c r="AC70" s="185"/>
      <c r="AD70" s="185"/>
    </row>
    <row r="71" ht="19.5" customHeight="1">
      <c r="A71" s="202"/>
      <c r="B71" s="202"/>
      <c r="C71" s="202"/>
      <c r="D71" s="202"/>
      <c r="E71" s="203"/>
      <c r="F71" s="203"/>
      <c r="G71" s="202"/>
      <c r="H71" s="202"/>
      <c r="I71" s="185"/>
      <c r="J71" s="185"/>
      <c r="K71" s="185"/>
      <c r="L71" s="185"/>
      <c r="M71" s="185"/>
      <c r="N71" s="185"/>
      <c r="O71" s="185"/>
      <c r="P71" s="185"/>
      <c r="Q71" s="185"/>
      <c r="R71" s="185"/>
      <c r="S71" s="185"/>
      <c r="T71" s="185"/>
      <c r="U71" s="185"/>
      <c r="V71" s="185"/>
      <c r="W71" s="185"/>
      <c r="X71" s="185"/>
      <c r="Y71" s="185"/>
      <c r="Z71" s="185"/>
      <c r="AA71" s="185"/>
      <c r="AB71" s="185" t="str">
        <f>IFERROR(__xludf.DUMMYFUNCTION("LET(width,COLUMN($AB$1)-COLUMN($G$1),r,INDEX($G71:$AAB71,1,SEQUENCE(1,width)),flat,TOCOL(r,1),bad,FILTER(flat,COUNTIF('リスト'!$E:$E,flat)=0),IFERROR(TEXTJOIN(""\n"",TRUE,bad),""""))"),"")</f>
        <v/>
      </c>
      <c r="AC71" s="185"/>
      <c r="AD71" s="185"/>
    </row>
    <row r="72" ht="19.5" customHeight="1">
      <c r="A72" s="202"/>
      <c r="B72" s="202"/>
      <c r="C72" s="202"/>
      <c r="D72" s="202"/>
      <c r="E72" s="203"/>
      <c r="F72" s="203"/>
      <c r="G72" s="202"/>
      <c r="H72" s="202"/>
      <c r="I72" s="185"/>
      <c r="J72" s="185"/>
      <c r="K72" s="185"/>
      <c r="L72" s="185"/>
      <c r="M72" s="185"/>
      <c r="N72" s="185"/>
      <c r="O72" s="185"/>
      <c r="P72" s="185"/>
      <c r="Q72" s="185"/>
      <c r="R72" s="185"/>
      <c r="S72" s="185"/>
      <c r="T72" s="185"/>
      <c r="U72" s="185"/>
      <c r="V72" s="185"/>
      <c r="W72" s="185"/>
      <c r="X72" s="185"/>
      <c r="Y72" s="185"/>
      <c r="Z72" s="185"/>
      <c r="AA72" s="185"/>
      <c r="AB72" s="185" t="str">
        <f>IFERROR(__xludf.DUMMYFUNCTION("LET(width,COLUMN($AB$1)-COLUMN($G$1),r,INDEX($G72:$AAB72,1,SEQUENCE(1,width)),flat,TOCOL(r,1),bad,FILTER(flat,COUNTIF('リスト'!$E:$E,flat)=0),IFERROR(TEXTJOIN(""\n"",TRUE,bad),""""))"),"")</f>
        <v/>
      </c>
      <c r="AC72" s="185"/>
      <c r="AD72" s="185"/>
    </row>
    <row r="73" ht="19.5" customHeight="1">
      <c r="A73" s="202"/>
      <c r="B73" s="202"/>
      <c r="C73" s="202"/>
      <c r="D73" s="202"/>
      <c r="E73" s="203"/>
      <c r="F73" s="203"/>
      <c r="G73" s="202"/>
      <c r="H73" s="202"/>
      <c r="I73" s="185"/>
      <c r="J73" s="185"/>
      <c r="K73" s="185"/>
      <c r="L73" s="185"/>
      <c r="M73" s="185"/>
      <c r="N73" s="185"/>
      <c r="O73" s="185"/>
      <c r="P73" s="185"/>
      <c r="Q73" s="185"/>
      <c r="R73" s="185"/>
      <c r="S73" s="185"/>
      <c r="T73" s="185"/>
      <c r="U73" s="185"/>
      <c r="V73" s="185"/>
      <c r="W73" s="185"/>
      <c r="X73" s="185"/>
      <c r="Y73" s="185"/>
      <c r="Z73" s="185"/>
      <c r="AA73" s="185"/>
      <c r="AB73" s="185" t="str">
        <f>IFERROR(__xludf.DUMMYFUNCTION("LET(width,COLUMN($AB$1)-COLUMN($G$1),r,INDEX($G73:$AAB73,1,SEQUENCE(1,width)),flat,TOCOL(r,1),bad,FILTER(flat,COUNTIF('リスト'!$E:$E,flat)=0),IFERROR(TEXTJOIN(""\n"",TRUE,bad),""""))"),"")</f>
        <v/>
      </c>
      <c r="AC73" s="185"/>
      <c r="AD73" s="185"/>
    </row>
    <row r="74" ht="19.5" customHeight="1">
      <c r="A74" s="202"/>
      <c r="B74" s="202"/>
      <c r="C74" s="202"/>
      <c r="D74" s="202"/>
      <c r="E74" s="203"/>
      <c r="F74" s="203"/>
      <c r="G74" s="202"/>
      <c r="H74" s="202"/>
      <c r="I74" s="185"/>
      <c r="J74" s="185"/>
      <c r="K74" s="185"/>
      <c r="L74" s="185"/>
      <c r="M74" s="185"/>
      <c r="N74" s="185"/>
      <c r="O74" s="185"/>
      <c r="P74" s="185"/>
      <c r="Q74" s="185"/>
      <c r="R74" s="185"/>
      <c r="S74" s="185"/>
      <c r="T74" s="185"/>
      <c r="U74" s="185"/>
      <c r="V74" s="185"/>
      <c r="W74" s="185"/>
      <c r="X74" s="185"/>
      <c r="Y74" s="185"/>
      <c r="Z74" s="185"/>
      <c r="AA74" s="185"/>
      <c r="AB74" s="185" t="str">
        <f>IFERROR(__xludf.DUMMYFUNCTION("LET(width,COLUMN($AB$1)-COLUMN($G$1),r,INDEX($G74:$AAB74,1,SEQUENCE(1,width)),flat,TOCOL(r,1),bad,FILTER(flat,COUNTIF('リスト'!$E:$E,flat)=0),IFERROR(TEXTJOIN(""\n"",TRUE,bad),""""))"),"")</f>
        <v/>
      </c>
      <c r="AC74" s="185"/>
      <c r="AD74" s="185"/>
    </row>
    <row r="75" ht="19.5" customHeight="1">
      <c r="A75" s="202"/>
      <c r="B75" s="202"/>
      <c r="C75" s="202"/>
      <c r="D75" s="202"/>
      <c r="E75" s="203"/>
      <c r="F75" s="203"/>
      <c r="G75" s="202"/>
      <c r="H75" s="202"/>
      <c r="I75" s="185"/>
      <c r="J75" s="185"/>
      <c r="K75" s="185"/>
      <c r="L75" s="185"/>
      <c r="M75" s="185"/>
      <c r="N75" s="185"/>
      <c r="O75" s="185"/>
      <c r="P75" s="185"/>
      <c r="Q75" s="185"/>
      <c r="R75" s="185"/>
      <c r="S75" s="185"/>
      <c r="T75" s="185"/>
      <c r="U75" s="185"/>
      <c r="V75" s="185"/>
      <c r="W75" s="185"/>
      <c r="X75" s="185"/>
      <c r="Y75" s="185"/>
      <c r="Z75" s="185"/>
      <c r="AA75" s="185"/>
      <c r="AB75" s="185" t="str">
        <f>IFERROR(__xludf.DUMMYFUNCTION("LET(width,COLUMN($AB$1)-COLUMN($G$1),r,INDEX($G75:$AAB75,1,SEQUENCE(1,width)),flat,TOCOL(r,1),bad,FILTER(flat,COUNTIF('リスト'!$E:$E,flat)=0),IFERROR(TEXTJOIN(""\n"",TRUE,bad),""""))"),"")</f>
        <v/>
      </c>
      <c r="AC75" s="185"/>
      <c r="AD75" s="185"/>
    </row>
    <row r="76" ht="19.5" customHeight="1">
      <c r="A76" s="202"/>
      <c r="B76" s="202"/>
      <c r="C76" s="202"/>
      <c r="D76" s="202"/>
      <c r="E76" s="203"/>
      <c r="F76" s="203"/>
      <c r="G76" s="202"/>
      <c r="H76" s="202"/>
      <c r="I76" s="185"/>
      <c r="J76" s="185"/>
      <c r="K76" s="185"/>
      <c r="L76" s="185"/>
      <c r="M76" s="185"/>
      <c r="N76" s="185"/>
      <c r="O76" s="185"/>
      <c r="P76" s="185"/>
      <c r="Q76" s="185"/>
      <c r="R76" s="185"/>
      <c r="S76" s="185"/>
      <c r="T76" s="185"/>
      <c r="U76" s="185"/>
      <c r="V76" s="185"/>
      <c r="W76" s="185"/>
      <c r="X76" s="185"/>
      <c r="Y76" s="185"/>
      <c r="Z76" s="185"/>
      <c r="AA76" s="185"/>
      <c r="AB76" s="185" t="str">
        <f>IFERROR(__xludf.DUMMYFUNCTION("LET(width,COLUMN($AB$1)-COLUMN($G$1),r,INDEX($G76:$AAB76,1,SEQUENCE(1,width)),flat,TOCOL(r,1),bad,FILTER(flat,COUNTIF('リスト'!$E:$E,flat)=0),IFERROR(TEXTJOIN(""\n"",TRUE,bad),""""))"),"")</f>
        <v/>
      </c>
      <c r="AC76" s="185"/>
      <c r="AD76" s="185"/>
    </row>
    <row r="77" ht="19.5" customHeight="1">
      <c r="A77" s="202"/>
      <c r="B77" s="202"/>
      <c r="C77" s="202"/>
      <c r="D77" s="202"/>
      <c r="E77" s="203"/>
      <c r="F77" s="203"/>
      <c r="G77" s="202"/>
      <c r="H77" s="202"/>
      <c r="I77" s="185"/>
      <c r="J77" s="185"/>
      <c r="K77" s="185"/>
      <c r="L77" s="185"/>
      <c r="M77" s="185"/>
      <c r="N77" s="185"/>
      <c r="O77" s="185"/>
      <c r="P77" s="185"/>
      <c r="Q77" s="185"/>
      <c r="R77" s="185"/>
      <c r="S77" s="185"/>
      <c r="T77" s="185"/>
      <c r="U77" s="185"/>
      <c r="V77" s="185"/>
      <c r="W77" s="185"/>
      <c r="X77" s="185"/>
      <c r="Y77" s="185"/>
      <c r="Z77" s="185"/>
      <c r="AA77" s="185"/>
      <c r="AB77" s="185" t="str">
        <f>IFERROR(__xludf.DUMMYFUNCTION("LET(width,COLUMN($AB$1)-COLUMN($G$1),r,INDEX($G77:$AAB77,1,SEQUENCE(1,width)),flat,TOCOL(r,1),bad,FILTER(flat,COUNTIF('リスト'!$E:$E,flat)=0),IFERROR(TEXTJOIN(""\n"",TRUE,bad),""""))"),"")</f>
        <v/>
      </c>
      <c r="AC77" s="185"/>
      <c r="AD77" s="185"/>
    </row>
    <row r="78" ht="19.5" customHeight="1">
      <c r="A78" s="202"/>
      <c r="B78" s="202"/>
      <c r="C78" s="202"/>
      <c r="D78" s="202"/>
      <c r="E78" s="203"/>
      <c r="F78" s="203"/>
      <c r="G78" s="202"/>
      <c r="H78" s="202"/>
      <c r="I78" s="185"/>
      <c r="J78" s="185"/>
      <c r="K78" s="185"/>
      <c r="L78" s="185"/>
      <c r="M78" s="185"/>
      <c r="N78" s="185"/>
      <c r="O78" s="185"/>
      <c r="P78" s="185"/>
      <c r="Q78" s="185"/>
      <c r="R78" s="185"/>
      <c r="S78" s="185"/>
      <c r="T78" s="185"/>
      <c r="U78" s="185"/>
      <c r="V78" s="185"/>
      <c r="W78" s="185"/>
      <c r="X78" s="185"/>
      <c r="Y78" s="185"/>
      <c r="Z78" s="185"/>
      <c r="AA78" s="185"/>
      <c r="AB78" s="185" t="str">
        <f>IFERROR(__xludf.DUMMYFUNCTION("LET(width,COLUMN($AB$1)-COLUMN($G$1),r,INDEX($G78:$AAB78,1,SEQUENCE(1,width)),flat,TOCOL(r,1),bad,FILTER(flat,COUNTIF('リスト'!$E:$E,flat)=0),IFERROR(TEXTJOIN(""\n"",TRUE,bad),""""))"),"")</f>
        <v/>
      </c>
      <c r="AC78" s="185"/>
      <c r="AD78" s="185"/>
    </row>
    <row r="79" ht="19.5" customHeight="1">
      <c r="A79" s="202"/>
      <c r="B79" s="202"/>
      <c r="C79" s="202"/>
      <c r="D79" s="202"/>
      <c r="E79" s="203"/>
      <c r="F79" s="203"/>
      <c r="G79" s="202"/>
      <c r="H79" s="202"/>
      <c r="I79" s="185"/>
      <c r="J79" s="185"/>
      <c r="K79" s="185"/>
      <c r="L79" s="185"/>
      <c r="M79" s="185"/>
      <c r="N79" s="185"/>
      <c r="O79" s="185"/>
      <c r="P79" s="185"/>
      <c r="Q79" s="185"/>
      <c r="R79" s="185"/>
      <c r="S79" s="185"/>
      <c r="T79" s="185"/>
      <c r="U79" s="185"/>
      <c r="V79" s="185"/>
      <c r="W79" s="185"/>
      <c r="X79" s="185"/>
      <c r="Y79" s="185"/>
      <c r="Z79" s="185"/>
      <c r="AA79" s="185"/>
      <c r="AB79" s="185" t="str">
        <f>IFERROR(__xludf.DUMMYFUNCTION("LET(width,COLUMN($AB$1)-COLUMN($G$1),r,INDEX($G79:$AAB79,1,SEQUENCE(1,width)),flat,TOCOL(r,1),bad,FILTER(flat,COUNTIF('リスト'!$E:$E,flat)=0),IFERROR(TEXTJOIN(""\n"",TRUE,bad),""""))"),"")</f>
        <v/>
      </c>
      <c r="AC79" s="185"/>
      <c r="AD79" s="185"/>
    </row>
    <row r="80" ht="19.5" customHeight="1">
      <c r="A80" s="202"/>
      <c r="B80" s="202"/>
      <c r="C80" s="202"/>
      <c r="D80" s="202"/>
      <c r="E80" s="203"/>
      <c r="F80" s="203"/>
      <c r="G80" s="202"/>
      <c r="H80" s="202"/>
      <c r="I80" s="185"/>
      <c r="J80" s="185"/>
      <c r="K80" s="185"/>
      <c r="L80" s="185"/>
      <c r="M80" s="185"/>
      <c r="N80" s="185"/>
      <c r="O80" s="185"/>
      <c r="P80" s="185"/>
      <c r="Q80" s="185"/>
      <c r="R80" s="185"/>
      <c r="S80" s="185"/>
      <c r="T80" s="185"/>
      <c r="U80" s="185"/>
      <c r="V80" s="185"/>
      <c r="W80" s="185"/>
      <c r="X80" s="185"/>
      <c r="Y80" s="185"/>
      <c r="Z80" s="185"/>
      <c r="AA80" s="185"/>
      <c r="AB80" s="185" t="str">
        <f>IFERROR(__xludf.DUMMYFUNCTION("LET(width,COLUMN($AB$1)-COLUMN($G$1),r,INDEX($G80:$AAB80,1,SEQUENCE(1,width)),flat,TOCOL(r,1),bad,FILTER(flat,COUNTIF('リスト'!$E:$E,flat)=0),IFERROR(TEXTJOIN(""\n"",TRUE,bad),""""))"),"")</f>
        <v/>
      </c>
      <c r="AC80" s="185"/>
      <c r="AD80" s="185"/>
    </row>
    <row r="81" ht="19.5" customHeight="1">
      <c r="A81" s="202"/>
      <c r="B81" s="202"/>
      <c r="C81" s="202"/>
      <c r="D81" s="202"/>
      <c r="E81" s="203"/>
      <c r="F81" s="203"/>
      <c r="G81" s="202"/>
      <c r="H81" s="202"/>
      <c r="I81" s="185"/>
      <c r="J81" s="185"/>
      <c r="K81" s="185"/>
      <c r="L81" s="185"/>
      <c r="M81" s="185"/>
      <c r="N81" s="185"/>
      <c r="O81" s="185"/>
      <c r="P81" s="185"/>
      <c r="Q81" s="185"/>
      <c r="R81" s="185"/>
      <c r="S81" s="185"/>
      <c r="T81" s="185"/>
      <c r="U81" s="185"/>
      <c r="V81" s="185"/>
      <c r="W81" s="185"/>
      <c r="X81" s="185"/>
      <c r="Y81" s="185"/>
      <c r="Z81" s="185"/>
      <c r="AA81" s="185"/>
      <c r="AB81" s="185" t="str">
        <f>IFERROR(__xludf.DUMMYFUNCTION("LET(width,COLUMN($AB$1)-COLUMN($G$1),r,INDEX($G81:$AAB81,1,SEQUENCE(1,width)),flat,TOCOL(r,1),bad,FILTER(flat,COUNTIF('リスト'!$E:$E,flat)=0),IFERROR(TEXTJOIN(""\n"",TRUE,bad),""""))"),"")</f>
        <v/>
      </c>
      <c r="AC81" s="185"/>
      <c r="AD81" s="185"/>
    </row>
    <row r="82" ht="19.5" customHeight="1">
      <c r="A82" s="202"/>
      <c r="B82" s="202"/>
      <c r="C82" s="202"/>
      <c r="D82" s="202"/>
      <c r="E82" s="203"/>
      <c r="F82" s="203"/>
      <c r="G82" s="202"/>
      <c r="H82" s="202"/>
      <c r="I82" s="185"/>
      <c r="J82" s="185"/>
      <c r="K82" s="185"/>
      <c r="L82" s="185"/>
      <c r="M82" s="185"/>
      <c r="N82" s="185"/>
      <c r="O82" s="185"/>
      <c r="P82" s="185"/>
      <c r="Q82" s="185"/>
      <c r="R82" s="185"/>
      <c r="S82" s="185"/>
      <c r="T82" s="185"/>
      <c r="U82" s="185"/>
      <c r="V82" s="185"/>
      <c r="W82" s="185"/>
      <c r="X82" s="185"/>
      <c r="Y82" s="185"/>
      <c r="Z82" s="185"/>
      <c r="AA82" s="185"/>
      <c r="AB82" s="185" t="str">
        <f>IFERROR(__xludf.DUMMYFUNCTION("LET(width,COLUMN($AB$1)-COLUMN($G$1),r,INDEX($G82:$AAB82,1,SEQUENCE(1,width)),flat,TOCOL(r,1),bad,FILTER(flat,COUNTIF('リスト'!$E:$E,flat)=0),IFERROR(TEXTJOIN(""\n"",TRUE,bad),""""))"),"")</f>
        <v/>
      </c>
      <c r="AC82" s="185"/>
      <c r="AD82" s="185"/>
    </row>
    <row r="83" ht="19.5" customHeight="1">
      <c r="A83" s="202"/>
      <c r="B83" s="202"/>
      <c r="C83" s="202"/>
      <c r="D83" s="202"/>
      <c r="E83" s="203"/>
      <c r="F83" s="203"/>
      <c r="G83" s="202"/>
      <c r="H83" s="202"/>
      <c r="I83" s="185"/>
      <c r="J83" s="185"/>
      <c r="K83" s="185"/>
      <c r="L83" s="185"/>
      <c r="M83" s="185"/>
      <c r="N83" s="185"/>
      <c r="O83" s="185"/>
      <c r="P83" s="185"/>
      <c r="Q83" s="185"/>
      <c r="R83" s="185"/>
      <c r="S83" s="185"/>
      <c r="T83" s="185"/>
      <c r="U83" s="185"/>
      <c r="V83" s="185"/>
      <c r="W83" s="185"/>
      <c r="X83" s="185"/>
      <c r="Y83" s="185"/>
      <c r="Z83" s="185"/>
      <c r="AA83" s="185"/>
      <c r="AB83" s="185" t="str">
        <f>IFERROR(__xludf.DUMMYFUNCTION("LET(width,COLUMN($AB$1)-COLUMN($G$1),r,INDEX($G83:$AAB83,1,SEQUENCE(1,width)),flat,TOCOL(r,1),bad,FILTER(flat,COUNTIF('リスト'!$E:$E,flat)=0),IFERROR(TEXTJOIN(""\n"",TRUE,bad),""""))"),"")</f>
        <v/>
      </c>
      <c r="AC83" s="185"/>
      <c r="AD83" s="185"/>
    </row>
    <row r="84" ht="156.0" customHeight="1">
      <c r="A84" s="202"/>
      <c r="B84" s="202"/>
      <c r="C84" s="202"/>
      <c r="D84" s="202"/>
      <c r="E84" s="203"/>
      <c r="F84" s="203"/>
      <c r="G84" s="202"/>
      <c r="H84" s="202"/>
      <c r="I84" s="185"/>
      <c r="J84" s="185"/>
      <c r="K84" s="185"/>
      <c r="L84" s="185"/>
      <c r="M84" s="185"/>
      <c r="N84" s="185"/>
      <c r="O84" s="185"/>
      <c r="P84" s="185"/>
      <c r="Q84" s="185"/>
      <c r="R84" s="185"/>
      <c r="S84" s="185"/>
      <c r="T84" s="185"/>
      <c r="U84" s="185"/>
      <c r="V84" s="185"/>
      <c r="W84" s="185"/>
      <c r="X84" s="185"/>
      <c r="Y84" s="185"/>
      <c r="Z84" s="185"/>
      <c r="AA84" s="185"/>
      <c r="AB84" s="185" t="str">
        <f>IFERROR(__xludf.DUMMYFUNCTION("LET(width,COLUMN($AB$1)-COLUMN($G$1),r,INDEX($G84:$AAB84,1,SEQUENCE(1,width)),flat,TOCOL(r,1),bad,FILTER(flat,COUNTIF('リスト'!$E:$E,flat)=0),IFERROR(TEXTJOIN(""\n"",TRUE,bad),""""))"),"")</f>
        <v/>
      </c>
      <c r="AC84" s="185"/>
      <c r="AD84" s="185"/>
    </row>
    <row r="85" ht="19.5" customHeight="1">
      <c r="A85" s="202"/>
      <c r="B85" s="202"/>
      <c r="C85" s="202"/>
      <c r="D85" s="202"/>
      <c r="E85" s="203"/>
      <c r="F85" s="203"/>
      <c r="G85" s="202"/>
      <c r="H85" s="202"/>
      <c r="I85" s="185"/>
      <c r="J85" s="185"/>
      <c r="K85" s="185"/>
      <c r="L85" s="185"/>
      <c r="M85" s="185"/>
      <c r="N85" s="185"/>
      <c r="O85" s="185"/>
      <c r="P85" s="185"/>
      <c r="Q85" s="185"/>
      <c r="R85" s="185"/>
      <c r="S85" s="185"/>
      <c r="T85" s="185"/>
      <c r="U85" s="185"/>
      <c r="V85" s="185"/>
      <c r="W85" s="185"/>
      <c r="X85" s="185"/>
      <c r="Y85" s="185"/>
      <c r="Z85" s="185"/>
      <c r="AA85" s="185"/>
      <c r="AB85" s="185" t="str">
        <f>IFERROR(__xludf.DUMMYFUNCTION("LET(width,COLUMN($AB$1)-COLUMN($G$1),r,INDEX($G85:$AAB85,1,SEQUENCE(1,width)),flat,TOCOL(r,1),bad,FILTER(flat,COUNTIF('リスト'!$E:$E,flat)=0),IFERROR(TEXTJOIN(""\n"",TRUE,bad),""""))"),"")</f>
        <v/>
      </c>
      <c r="AC85" s="185"/>
      <c r="AD85" s="185"/>
    </row>
    <row r="86" ht="19.5" customHeight="1">
      <c r="A86" s="202"/>
      <c r="B86" s="202"/>
      <c r="C86" s="202"/>
      <c r="D86" s="202"/>
      <c r="E86" s="203"/>
      <c r="F86" s="203"/>
      <c r="G86" s="202"/>
      <c r="H86" s="202"/>
      <c r="I86" s="185"/>
      <c r="J86" s="185"/>
      <c r="K86" s="185"/>
      <c r="L86" s="185"/>
      <c r="M86" s="185"/>
      <c r="N86" s="185"/>
      <c r="O86" s="185"/>
      <c r="P86" s="185"/>
      <c r="Q86" s="185"/>
      <c r="R86" s="185"/>
      <c r="S86" s="185"/>
      <c r="T86" s="185"/>
      <c r="U86" s="185"/>
      <c r="V86" s="185"/>
      <c r="W86" s="185"/>
      <c r="X86" s="185"/>
      <c r="Y86" s="185"/>
      <c r="Z86" s="185"/>
      <c r="AA86" s="185"/>
      <c r="AB86" s="185" t="str">
        <f>IFERROR(__xludf.DUMMYFUNCTION("LET(width,COLUMN($AB$1)-COLUMN($G$1),r,INDEX($G86:$AAB86,1,SEQUENCE(1,width)),flat,TOCOL(r,1),bad,FILTER(flat,COUNTIF('リスト'!$E:$E,flat)=0),IFERROR(TEXTJOIN(""\n"",TRUE,bad),""""))"),"")</f>
        <v/>
      </c>
      <c r="AC86" s="185"/>
      <c r="AD86" s="185"/>
    </row>
    <row r="87" ht="19.5" customHeight="1">
      <c r="A87" s="202"/>
      <c r="B87" s="202"/>
      <c r="C87" s="202"/>
      <c r="D87" s="202"/>
      <c r="E87" s="203"/>
      <c r="F87" s="203"/>
      <c r="G87" s="202"/>
      <c r="H87" s="202"/>
      <c r="I87" s="202"/>
      <c r="J87" s="185"/>
      <c r="K87" s="185"/>
      <c r="L87" s="185"/>
      <c r="M87" s="185"/>
      <c r="N87" s="185"/>
      <c r="O87" s="185"/>
      <c r="P87" s="185"/>
      <c r="Q87" s="185"/>
      <c r="R87" s="185"/>
      <c r="S87" s="185"/>
      <c r="T87" s="185"/>
      <c r="U87" s="185"/>
      <c r="V87" s="185"/>
      <c r="W87" s="185"/>
      <c r="X87" s="185"/>
      <c r="Y87" s="185"/>
      <c r="Z87" s="185"/>
      <c r="AA87" s="185"/>
      <c r="AB87" s="185" t="str">
        <f>IFERROR(__xludf.DUMMYFUNCTION("LET(width,COLUMN($AB$1)-COLUMN($G$1),r,INDEX($G87:$AAB87,1,SEQUENCE(1,width)),flat,TOCOL(r,1),bad,FILTER(flat,COUNTIF('リスト'!$E:$E,flat)=0),IFERROR(TEXTJOIN(""\n"",TRUE,bad),""""))"),"")</f>
        <v/>
      </c>
      <c r="AC87" s="185"/>
      <c r="AD87" s="185"/>
    </row>
    <row r="88" ht="19.5" customHeight="1">
      <c r="A88" s="202"/>
      <c r="B88" s="202"/>
      <c r="C88" s="202"/>
      <c r="D88" s="202"/>
      <c r="E88" s="203"/>
      <c r="F88" s="203"/>
      <c r="G88" s="202"/>
      <c r="H88" s="202"/>
      <c r="I88" s="185"/>
      <c r="J88" s="185"/>
      <c r="K88" s="185"/>
      <c r="L88" s="185"/>
      <c r="M88" s="185"/>
      <c r="N88" s="185"/>
      <c r="O88" s="185"/>
      <c r="P88" s="185"/>
      <c r="Q88" s="185"/>
      <c r="R88" s="185"/>
      <c r="S88" s="185"/>
      <c r="T88" s="185"/>
      <c r="U88" s="185"/>
      <c r="V88" s="185"/>
      <c r="W88" s="185"/>
      <c r="X88" s="185"/>
      <c r="Y88" s="185"/>
      <c r="Z88" s="185"/>
      <c r="AA88" s="185"/>
      <c r="AB88" s="185" t="str">
        <f>IFERROR(__xludf.DUMMYFUNCTION("LET(width,COLUMN($AB$1)-COLUMN($G$1),r,INDEX($G88:$AAB88,1,SEQUENCE(1,width)),flat,TOCOL(r,1),bad,FILTER(flat,COUNTIF('リスト'!$E:$E,flat)=0),IFERROR(TEXTJOIN(""\n"",TRUE,bad),""""))"),"")</f>
        <v/>
      </c>
      <c r="AC88" s="185"/>
      <c r="AD88" s="185"/>
    </row>
    <row r="89" ht="19.5" customHeight="1">
      <c r="A89" s="202"/>
      <c r="B89" s="202"/>
      <c r="C89" s="202"/>
      <c r="D89" s="202"/>
      <c r="E89" s="203"/>
      <c r="F89" s="203"/>
      <c r="G89" s="202"/>
      <c r="H89" s="202"/>
      <c r="I89" s="185"/>
      <c r="J89" s="185"/>
      <c r="K89" s="185"/>
      <c r="L89" s="185"/>
      <c r="M89" s="185"/>
      <c r="N89" s="185"/>
      <c r="O89" s="185"/>
      <c r="P89" s="185"/>
      <c r="Q89" s="185"/>
      <c r="R89" s="185"/>
      <c r="S89" s="185"/>
      <c r="T89" s="185"/>
      <c r="U89" s="185"/>
      <c r="V89" s="185"/>
      <c r="W89" s="185"/>
      <c r="X89" s="185"/>
      <c r="Y89" s="185"/>
      <c r="Z89" s="185"/>
      <c r="AA89" s="185"/>
      <c r="AB89" s="185" t="str">
        <f>IFERROR(__xludf.DUMMYFUNCTION("LET(width,COLUMN($AB$1)-COLUMN($G$1),r,INDEX($G89:$AAB89,1,SEQUENCE(1,width)),flat,TOCOL(r,1),bad,FILTER(flat,COUNTIF('リスト'!$E:$E,flat)=0),IFERROR(TEXTJOIN(""\n"",TRUE,bad),""""))"),"")</f>
        <v/>
      </c>
      <c r="AC89" s="185"/>
      <c r="AD89" s="185"/>
    </row>
    <row r="90" ht="19.5" customHeight="1">
      <c r="A90" s="202"/>
      <c r="B90" s="202"/>
      <c r="C90" s="202"/>
      <c r="D90" s="202"/>
      <c r="E90" s="203"/>
      <c r="F90" s="203"/>
      <c r="G90" s="202"/>
      <c r="H90" s="202"/>
      <c r="I90" s="185"/>
      <c r="J90" s="185"/>
      <c r="K90" s="185"/>
      <c r="L90" s="185"/>
      <c r="M90" s="185"/>
      <c r="N90" s="185"/>
      <c r="O90" s="185"/>
      <c r="P90" s="185"/>
      <c r="Q90" s="185"/>
      <c r="R90" s="185"/>
      <c r="S90" s="185"/>
      <c r="T90" s="185"/>
      <c r="U90" s="185"/>
      <c r="V90" s="185"/>
      <c r="W90" s="185"/>
      <c r="X90" s="185"/>
      <c r="Y90" s="185"/>
      <c r="Z90" s="185"/>
      <c r="AA90" s="185"/>
      <c r="AB90" s="185" t="str">
        <f>IFERROR(__xludf.DUMMYFUNCTION("LET(width,COLUMN($AB$1)-COLUMN($G$1),r,INDEX($G90:$AAB90,1,SEQUENCE(1,width)),flat,TOCOL(r,1),bad,FILTER(flat,COUNTIF('リスト'!$E:$E,flat)=0),IFERROR(TEXTJOIN(""\n"",TRUE,bad),""""))"),"")</f>
        <v/>
      </c>
      <c r="AC90" s="185"/>
      <c r="AD90" s="185"/>
    </row>
    <row r="91" ht="19.5" customHeight="1">
      <c r="A91" s="202"/>
      <c r="B91" s="202"/>
      <c r="C91" s="202"/>
      <c r="D91" s="202"/>
      <c r="E91" s="203"/>
      <c r="F91" s="203"/>
      <c r="G91" s="202"/>
      <c r="H91" s="202"/>
      <c r="I91" s="185"/>
      <c r="J91" s="185"/>
      <c r="K91" s="185"/>
      <c r="L91" s="185"/>
      <c r="M91" s="185"/>
      <c r="N91" s="185"/>
      <c r="O91" s="185"/>
      <c r="P91" s="185"/>
      <c r="Q91" s="185"/>
      <c r="R91" s="185"/>
      <c r="S91" s="185"/>
      <c r="T91" s="185"/>
      <c r="U91" s="185"/>
      <c r="V91" s="185"/>
      <c r="W91" s="185"/>
      <c r="X91" s="185"/>
      <c r="Y91" s="185"/>
      <c r="Z91" s="185"/>
      <c r="AA91" s="185"/>
      <c r="AB91" s="185" t="str">
        <f>IFERROR(__xludf.DUMMYFUNCTION("LET(width,COLUMN($AB$1)-COLUMN($G$1),r,INDEX($G91:$AAB91,1,SEQUENCE(1,width)),flat,TOCOL(r,1),bad,FILTER(flat,COUNTIF('リスト'!$E:$E,flat)=0),IFERROR(TEXTJOIN(""\n"",TRUE,bad),""""))"),"")</f>
        <v/>
      </c>
      <c r="AC91" s="185"/>
      <c r="AD91" s="185"/>
    </row>
    <row r="92" ht="19.5" customHeight="1">
      <c r="A92" s="202"/>
      <c r="B92" s="202"/>
      <c r="C92" s="202"/>
      <c r="D92" s="202"/>
      <c r="E92" s="203"/>
      <c r="F92" s="203"/>
      <c r="G92" s="202"/>
      <c r="H92" s="202"/>
      <c r="I92" s="185"/>
      <c r="J92" s="185"/>
      <c r="K92" s="185"/>
      <c r="L92" s="185"/>
      <c r="M92" s="185"/>
      <c r="N92" s="185"/>
      <c r="O92" s="185"/>
      <c r="P92" s="185"/>
      <c r="Q92" s="185"/>
      <c r="R92" s="185"/>
      <c r="S92" s="185"/>
      <c r="T92" s="185"/>
      <c r="U92" s="185"/>
      <c r="V92" s="185"/>
      <c r="W92" s="185"/>
      <c r="X92" s="185"/>
      <c r="Y92" s="185"/>
      <c r="Z92" s="185"/>
      <c r="AA92" s="185"/>
      <c r="AB92" s="185" t="str">
        <f>IFERROR(__xludf.DUMMYFUNCTION("LET(width,COLUMN($AB$1)-COLUMN($G$1),r,INDEX($G92:$AAB92,1,SEQUENCE(1,width)),flat,TOCOL(r,1),bad,FILTER(flat,COUNTIF('リスト'!$E:$E,flat)=0),IFERROR(TEXTJOIN(""\n"",TRUE,bad),""""))"),"")</f>
        <v/>
      </c>
      <c r="AC92" s="185"/>
      <c r="AD92" s="185"/>
    </row>
    <row r="93" ht="19.5" customHeight="1">
      <c r="A93" s="202"/>
      <c r="B93" s="202"/>
      <c r="C93" s="202"/>
      <c r="D93" s="202"/>
      <c r="E93" s="203"/>
      <c r="F93" s="203"/>
      <c r="G93" s="202"/>
      <c r="H93" s="202"/>
      <c r="I93" s="185"/>
      <c r="J93" s="185"/>
      <c r="K93" s="185"/>
      <c r="L93" s="185"/>
      <c r="M93" s="185"/>
      <c r="N93" s="185"/>
      <c r="O93" s="185"/>
      <c r="P93" s="185"/>
      <c r="Q93" s="185"/>
      <c r="R93" s="185"/>
      <c r="S93" s="185"/>
      <c r="T93" s="185"/>
      <c r="U93" s="185"/>
      <c r="V93" s="185"/>
      <c r="W93" s="185"/>
      <c r="X93" s="185"/>
      <c r="Y93" s="185"/>
      <c r="Z93" s="185"/>
      <c r="AA93" s="185"/>
      <c r="AB93" s="185" t="str">
        <f>IFERROR(__xludf.DUMMYFUNCTION("LET(width,COLUMN($AB$1)-COLUMN($G$1),r,INDEX($G93:$AAB93,1,SEQUENCE(1,width)),flat,TOCOL(r,1),bad,FILTER(flat,COUNTIF('リスト'!$E:$E,flat)=0),IFERROR(TEXTJOIN(""\n"",TRUE,bad),""""))"),"")</f>
        <v/>
      </c>
      <c r="AC93" s="185"/>
      <c r="AD93" s="185"/>
    </row>
    <row r="94" ht="19.5" customHeight="1">
      <c r="A94" s="202"/>
      <c r="B94" s="202"/>
      <c r="C94" s="202"/>
      <c r="D94" s="202"/>
      <c r="E94" s="203"/>
      <c r="F94" s="203"/>
      <c r="G94" s="202"/>
      <c r="H94" s="202"/>
      <c r="I94" s="185"/>
      <c r="J94" s="185"/>
      <c r="K94" s="185"/>
      <c r="L94" s="185"/>
      <c r="M94" s="185"/>
      <c r="N94" s="185"/>
      <c r="O94" s="185"/>
      <c r="P94" s="185"/>
      <c r="Q94" s="185"/>
      <c r="R94" s="185"/>
      <c r="S94" s="185"/>
      <c r="T94" s="185"/>
      <c r="U94" s="185"/>
      <c r="V94" s="185"/>
      <c r="W94" s="185"/>
      <c r="X94" s="185"/>
      <c r="Y94" s="185"/>
      <c r="Z94" s="185"/>
      <c r="AA94" s="185"/>
      <c r="AB94" s="185" t="str">
        <f>IFERROR(__xludf.DUMMYFUNCTION("LET(width,COLUMN($AB$1)-COLUMN($G$1),r,INDEX($G94:$AAB94,1,SEQUENCE(1,width)),flat,TOCOL(r,1),bad,FILTER(flat,COUNTIF('リスト'!$E:$E,flat)=0),IFERROR(TEXTJOIN(""\n"",TRUE,bad),""""))"),"")</f>
        <v/>
      </c>
      <c r="AC94" s="185"/>
      <c r="AD94" s="185"/>
    </row>
    <row r="95" ht="19.5" customHeight="1">
      <c r="A95" s="202"/>
      <c r="B95" s="202"/>
      <c r="C95" s="202"/>
      <c r="D95" s="202"/>
      <c r="E95" s="203"/>
      <c r="F95" s="203"/>
      <c r="G95" s="202"/>
      <c r="H95" s="202"/>
      <c r="I95" s="185"/>
      <c r="J95" s="185"/>
      <c r="K95" s="185"/>
      <c r="L95" s="185"/>
      <c r="M95" s="185"/>
      <c r="N95" s="185"/>
      <c r="O95" s="185"/>
      <c r="P95" s="185"/>
      <c r="Q95" s="185"/>
      <c r="R95" s="185"/>
      <c r="S95" s="185"/>
      <c r="T95" s="185"/>
      <c r="U95" s="185"/>
      <c r="V95" s="185"/>
      <c r="W95" s="185"/>
      <c r="X95" s="185"/>
      <c r="Y95" s="185"/>
      <c r="Z95" s="185"/>
      <c r="AA95" s="185"/>
      <c r="AB95" s="185" t="str">
        <f>IFERROR(__xludf.DUMMYFUNCTION("LET(width,COLUMN($AB$1)-COLUMN($G$1),r,INDEX($G95:$AAB95,1,SEQUENCE(1,width)),flat,TOCOL(r,1),bad,FILTER(flat,COUNTIF('リスト'!$E:$E,flat)=0),IFERROR(TEXTJOIN(""\n"",TRUE,bad),""""))"),"")</f>
        <v/>
      </c>
      <c r="AC95" s="185"/>
      <c r="AD95" s="185"/>
    </row>
    <row r="96" ht="19.5" customHeight="1">
      <c r="A96" s="202"/>
      <c r="B96" s="202"/>
      <c r="C96" s="202"/>
      <c r="D96" s="202"/>
      <c r="E96" s="203"/>
      <c r="F96" s="203"/>
      <c r="G96" s="202"/>
      <c r="H96" s="202"/>
      <c r="I96" s="185"/>
      <c r="J96" s="185"/>
      <c r="K96" s="185"/>
      <c r="L96" s="185"/>
      <c r="M96" s="185"/>
      <c r="N96" s="185"/>
      <c r="O96" s="185"/>
      <c r="P96" s="185"/>
      <c r="Q96" s="185"/>
      <c r="R96" s="185"/>
      <c r="S96" s="185"/>
      <c r="T96" s="185"/>
      <c r="U96" s="185"/>
      <c r="V96" s="185"/>
      <c r="W96" s="185"/>
      <c r="X96" s="185"/>
      <c r="Y96" s="185"/>
      <c r="Z96" s="185"/>
      <c r="AA96" s="185"/>
      <c r="AB96" s="185" t="str">
        <f>IFERROR(__xludf.DUMMYFUNCTION("LET(width,COLUMN($AB$1)-COLUMN($G$1),r,INDEX($G96:$AAB96,1,SEQUENCE(1,width)),flat,TOCOL(r,1),bad,FILTER(flat,COUNTIF('リスト'!$E:$E,flat)=0),IFERROR(TEXTJOIN(""\n"",TRUE,bad),""""))"),"")</f>
        <v/>
      </c>
      <c r="AC96" s="185"/>
      <c r="AD96" s="185"/>
    </row>
    <row r="97" ht="19.5" customHeight="1">
      <c r="A97" s="202"/>
      <c r="B97" s="202"/>
      <c r="C97" s="202"/>
      <c r="D97" s="202"/>
      <c r="E97" s="203"/>
      <c r="F97" s="203"/>
      <c r="G97" s="202"/>
      <c r="H97" s="202"/>
      <c r="I97" s="185"/>
      <c r="J97" s="185"/>
      <c r="K97" s="185"/>
      <c r="L97" s="185"/>
      <c r="M97" s="185"/>
      <c r="N97" s="185"/>
      <c r="O97" s="185"/>
      <c r="P97" s="185"/>
      <c r="Q97" s="185"/>
      <c r="R97" s="185"/>
      <c r="S97" s="185"/>
      <c r="T97" s="185"/>
      <c r="U97" s="185"/>
      <c r="V97" s="185"/>
      <c r="W97" s="185"/>
      <c r="X97" s="185"/>
      <c r="Y97" s="185"/>
      <c r="Z97" s="185"/>
      <c r="AA97" s="185"/>
      <c r="AB97" s="185" t="str">
        <f>IFERROR(__xludf.DUMMYFUNCTION("LET(width,COLUMN($AB$1)-COLUMN($G$1),r,INDEX($G97:$AAB97,1,SEQUENCE(1,width)),flat,TOCOL(r,1),bad,FILTER(flat,COUNTIF('リスト'!$E:$E,flat)=0),IFERROR(TEXTJOIN(""\n"",TRUE,bad),""""))"),"")</f>
        <v/>
      </c>
      <c r="AC97" s="185"/>
      <c r="AD97" s="185"/>
    </row>
    <row r="98" ht="19.5" customHeight="1">
      <c r="A98" s="202"/>
      <c r="B98" s="202"/>
      <c r="C98" s="202"/>
      <c r="D98" s="202"/>
      <c r="E98" s="203"/>
      <c r="F98" s="203"/>
      <c r="G98" s="202"/>
      <c r="H98" s="202"/>
      <c r="I98" s="185"/>
      <c r="J98" s="185"/>
      <c r="K98" s="185"/>
      <c r="L98" s="185"/>
      <c r="M98" s="185"/>
      <c r="N98" s="185"/>
      <c r="O98" s="185"/>
      <c r="P98" s="185"/>
      <c r="Q98" s="185"/>
      <c r="R98" s="185"/>
      <c r="S98" s="185"/>
      <c r="T98" s="185"/>
      <c r="U98" s="185"/>
      <c r="V98" s="185"/>
      <c r="W98" s="185"/>
      <c r="X98" s="185"/>
      <c r="Y98" s="185"/>
      <c r="Z98" s="185"/>
      <c r="AA98" s="185"/>
      <c r="AB98" s="185" t="str">
        <f>IFERROR(__xludf.DUMMYFUNCTION("LET(width,COLUMN($AB$1)-COLUMN($G$1),r,INDEX($G98:$AAB98,1,SEQUENCE(1,width)),flat,TOCOL(r,1),bad,FILTER(flat,COUNTIF('リスト'!$E:$E,flat)=0),IFERROR(TEXTJOIN(""\n"",TRUE,bad),""""))"),"")</f>
        <v/>
      </c>
      <c r="AC98" s="185"/>
      <c r="AD98" s="185"/>
    </row>
    <row r="99" ht="19.5" customHeight="1">
      <c r="A99" s="202"/>
      <c r="B99" s="202"/>
      <c r="C99" s="202"/>
      <c r="D99" s="202"/>
      <c r="E99" s="203"/>
      <c r="F99" s="203"/>
      <c r="G99" s="202"/>
      <c r="H99" s="202"/>
      <c r="I99" s="185"/>
      <c r="J99" s="185"/>
      <c r="K99" s="185"/>
      <c r="L99" s="185"/>
      <c r="M99" s="185"/>
      <c r="N99" s="185"/>
      <c r="O99" s="185"/>
      <c r="P99" s="185"/>
      <c r="Q99" s="185"/>
      <c r="R99" s="185"/>
      <c r="S99" s="185"/>
      <c r="T99" s="185"/>
      <c r="U99" s="185"/>
      <c r="V99" s="185"/>
      <c r="W99" s="185"/>
      <c r="X99" s="185"/>
      <c r="Y99" s="185"/>
      <c r="Z99" s="185"/>
      <c r="AA99" s="185"/>
      <c r="AB99" s="185" t="str">
        <f>IFERROR(__xludf.DUMMYFUNCTION("LET(width,COLUMN($AB$1)-COLUMN($G$1),r,INDEX($G99:$AAB99,1,SEQUENCE(1,width)),flat,TOCOL(r,1),bad,FILTER(flat,COUNTIF('リスト'!$E:$E,flat)=0),IFERROR(TEXTJOIN(""\n"",TRUE,bad),""""))"),"")</f>
        <v/>
      </c>
      <c r="AC99" s="185"/>
      <c r="AD99" s="185"/>
    </row>
    <row r="100" ht="19.5" customHeight="1">
      <c r="A100" s="202"/>
      <c r="B100" s="202"/>
      <c r="C100" s="202"/>
      <c r="D100" s="202"/>
      <c r="E100" s="203"/>
      <c r="F100" s="203"/>
      <c r="G100" s="202"/>
      <c r="H100" s="202"/>
      <c r="I100" s="185"/>
      <c r="J100" s="185"/>
      <c r="K100" s="185"/>
      <c r="L100" s="185"/>
      <c r="M100" s="185"/>
      <c r="N100" s="185"/>
      <c r="O100" s="185"/>
      <c r="P100" s="185"/>
      <c r="Q100" s="185"/>
      <c r="R100" s="185"/>
      <c r="S100" s="185"/>
      <c r="T100" s="185"/>
      <c r="U100" s="185"/>
      <c r="V100" s="185"/>
      <c r="W100" s="185"/>
      <c r="X100" s="185"/>
      <c r="Y100" s="185"/>
      <c r="Z100" s="185"/>
      <c r="AA100" s="185"/>
      <c r="AB100" s="185" t="str">
        <f>IFERROR(__xludf.DUMMYFUNCTION("LET(width,COLUMN($AB$1)-COLUMN($G$1),r,INDEX($G100:$AAB100,1,SEQUENCE(1,width)),flat,TOCOL(r,1),bad,FILTER(flat,COUNTIF('リスト'!$E:$E,flat)=0),IFERROR(TEXTJOIN(""\n"",TRUE,bad),""""))"),"")</f>
        <v/>
      </c>
      <c r="AC100" s="185"/>
      <c r="AD100" s="185"/>
    </row>
    <row r="101" ht="19.5" customHeight="1">
      <c r="A101" s="202"/>
      <c r="B101" s="202"/>
      <c r="C101" s="202"/>
      <c r="D101" s="202"/>
      <c r="E101" s="203"/>
      <c r="F101" s="203"/>
      <c r="G101" s="202"/>
      <c r="H101" s="202"/>
      <c r="I101" s="185"/>
      <c r="J101" s="185"/>
      <c r="K101" s="185"/>
      <c r="L101" s="185"/>
      <c r="M101" s="185"/>
      <c r="N101" s="185"/>
      <c r="O101" s="185"/>
      <c r="P101" s="185"/>
      <c r="Q101" s="185"/>
      <c r="R101" s="185"/>
      <c r="S101" s="185"/>
      <c r="T101" s="185"/>
      <c r="U101" s="185"/>
      <c r="V101" s="185"/>
      <c r="W101" s="185"/>
      <c r="X101" s="185"/>
      <c r="Y101" s="185"/>
      <c r="Z101" s="185"/>
      <c r="AA101" s="185"/>
      <c r="AB101" s="185" t="str">
        <f>IFERROR(__xludf.DUMMYFUNCTION("LET(width,COLUMN($AB$1)-COLUMN($G$1),r,INDEX($G101:$AAB101,1,SEQUENCE(1,width)),flat,TOCOL(r,1),bad,FILTER(flat,COUNTIF('リスト'!$E:$E,flat)=0),IFERROR(TEXTJOIN(""\n"",TRUE,bad),""""))"),"")</f>
        <v/>
      </c>
      <c r="AC101" s="185"/>
      <c r="AD101" s="185"/>
    </row>
    <row r="102" ht="19.5" customHeight="1">
      <c r="A102" s="202"/>
      <c r="B102" s="202"/>
      <c r="C102" s="202"/>
      <c r="D102" s="202"/>
      <c r="E102" s="203"/>
      <c r="F102" s="203"/>
      <c r="G102" s="202"/>
      <c r="H102" s="202"/>
      <c r="I102" s="185"/>
      <c r="J102" s="185"/>
      <c r="K102" s="185"/>
      <c r="L102" s="185"/>
      <c r="M102" s="185"/>
      <c r="N102" s="185"/>
      <c r="O102" s="185"/>
      <c r="P102" s="185"/>
      <c r="Q102" s="185"/>
      <c r="R102" s="185"/>
      <c r="S102" s="185"/>
      <c r="T102" s="185"/>
      <c r="U102" s="185"/>
      <c r="V102" s="185"/>
      <c r="W102" s="185"/>
      <c r="X102" s="185"/>
      <c r="Y102" s="185"/>
      <c r="Z102" s="185"/>
      <c r="AA102" s="185"/>
      <c r="AB102" s="185" t="str">
        <f>IFERROR(__xludf.DUMMYFUNCTION("LET(width,COLUMN($AB$1)-COLUMN($G$1),r,INDEX($G102:$AAB102,1,SEQUENCE(1,width)),flat,TOCOL(r,1),bad,FILTER(flat,COUNTIF('リスト'!$E:$E,flat)=0),IFERROR(TEXTJOIN(""\n"",TRUE,bad),""""))"),"")</f>
        <v/>
      </c>
      <c r="AC102" s="185"/>
      <c r="AD102" s="185"/>
    </row>
    <row r="103" ht="19.5" customHeight="1">
      <c r="A103" s="202"/>
      <c r="B103" s="202"/>
      <c r="C103" s="202"/>
      <c r="D103" s="202"/>
      <c r="E103" s="203"/>
      <c r="F103" s="203"/>
      <c r="G103" s="202"/>
      <c r="H103" s="202"/>
      <c r="I103" s="185"/>
      <c r="J103" s="185"/>
      <c r="K103" s="185"/>
      <c r="L103" s="185"/>
      <c r="M103" s="185"/>
      <c r="N103" s="185"/>
      <c r="O103" s="185"/>
      <c r="P103" s="185"/>
      <c r="Q103" s="185"/>
      <c r="R103" s="185"/>
      <c r="S103" s="185"/>
      <c r="T103" s="185"/>
      <c r="U103" s="185"/>
      <c r="V103" s="185"/>
      <c r="W103" s="185"/>
      <c r="X103" s="185"/>
      <c r="Y103" s="185"/>
      <c r="Z103" s="185"/>
      <c r="AA103" s="185"/>
      <c r="AB103" s="185" t="str">
        <f>IFERROR(__xludf.DUMMYFUNCTION("LET(width,COLUMN($AB$1)-COLUMN($G$1),r,INDEX($G103:$AAB103,1,SEQUENCE(1,width)),flat,TOCOL(r,1),bad,FILTER(flat,COUNTIF('リスト'!$E:$E,flat)=0),IFERROR(TEXTJOIN(""\n"",TRUE,bad),""""))"),"")</f>
        <v/>
      </c>
      <c r="AC103" s="185"/>
      <c r="AD103" s="185"/>
    </row>
    <row r="104" ht="19.5" customHeight="1">
      <c r="A104" s="202"/>
      <c r="B104" s="202"/>
      <c r="C104" s="202"/>
      <c r="D104" s="202"/>
      <c r="E104" s="203"/>
      <c r="F104" s="203"/>
      <c r="G104" s="202"/>
      <c r="H104" s="202"/>
      <c r="I104" s="185"/>
      <c r="J104" s="185"/>
      <c r="K104" s="185"/>
      <c r="L104" s="185"/>
      <c r="M104" s="185"/>
      <c r="N104" s="185"/>
      <c r="O104" s="185"/>
      <c r="P104" s="185"/>
      <c r="Q104" s="185"/>
      <c r="R104" s="185"/>
      <c r="S104" s="185"/>
      <c r="T104" s="185"/>
      <c r="U104" s="185"/>
      <c r="V104" s="185"/>
      <c r="W104" s="185"/>
      <c r="X104" s="185"/>
      <c r="Y104" s="185"/>
      <c r="Z104" s="185"/>
      <c r="AA104" s="185"/>
      <c r="AB104" s="185" t="str">
        <f>IFERROR(__xludf.DUMMYFUNCTION("LET(width,COLUMN($AB$1)-COLUMN($G$1),r,INDEX($G104:$AAB104,1,SEQUENCE(1,width)),flat,TOCOL(r,1),bad,FILTER(flat,COUNTIF('リスト'!$E:$E,flat)=0),IFERROR(TEXTJOIN(""\n"",TRUE,bad),""""))"),"")</f>
        <v/>
      </c>
      <c r="AC104" s="185"/>
      <c r="AD104" s="185"/>
    </row>
    <row r="105" ht="19.5" customHeight="1">
      <c r="A105" s="202"/>
      <c r="B105" s="202"/>
      <c r="C105" s="202"/>
      <c r="D105" s="202"/>
      <c r="E105" s="203"/>
      <c r="F105" s="203"/>
      <c r="G105" s="202"/>
      <c r="H105" s="202"/>
      <c r="I105" s="185"/>
      <c r="J105" s="185"/>
      <c r="K105" s="185"/>
      <c r="L105" s="185"/>
      <c r="M105" s="185"/>
      <c r="N105" s="185"/>
      <c r="O105" s="185"/>
      <c r="P105" s="185"/>
      <c r="Q105" s="185"/>
      <c r="R105" s="185"/>
      <c r="S105" s="185"/>
      <c r="T105" s="185"/>
      <c r="U105" s="185"/>
      <c r="V105" s="185"/>
      <c r="W105" s="185"/>
      <c r="X105" s="185"/>
      <c r="Y105" s="185"/>
      <c r="Z105" s="185"/>
      <c r="AA105" s="185"/>
      <c r="AB105" s="185" t="str">
        <f>IFERROR(__xludf.DUMMYFUNCTION("LET(width,COLUMN($AB$1)-COLUMN($G$1),r,INDEX($G105:$AAB105,1,SEQUENCE(1,width)),flat,TOCOL(r,1),bad,FILTER(flat,COUNTIF('リスト'!$E:$E,flat)=0),IFERROR(TEXTJOIN(""\n"",TRUE,bad),""""))"),"")</f>
        <v/>
      </c>
      <c r="AC105" s="185"/>
      <c r="AD105" s="185"/>
    </row>
    <row r="106" ht="19.5" customHeight="1">
      <c r="A106" s="202"/>
      <c r="B106" s="202"/>
      <c r="C106" s="202"/>
      <c r="D106" s="202"/>
      <c r="E106" s="203"/>
      <c r="F106" s="203"/>
      <c r="G106" s="202"/>
      <c r="H106" s="202"/>
      <c r="I106" s="185"/>
      <c r="J106" s="185"/>
      <c r="K106" s="185"/>
      <c r="L106" s="185"/>
      <c r="M106" s="185"/>
      <c r="N106" s="185"/>
      <c r="O106" s="185"/>
      <c r="P106" s="185"/>
      <c r="Q106" s="185"/>
      <c r="R106" s="185"/>
      <c r="S106" s="185"/>
      <c r="T106" s="185"/>
      <c r="U106" s="185"/>
      <c r="V106" s="185"/>
      <c r="W106" s="185"/>
      <c r="X106" s="185"/>
      <c r="Y106" s="185"/>
      <c r="Z106" s="185"/>
      <c r="AA106" s="185"/>
      <c r="AB106" s="185" t="str">
        <f>IFERROR(__xludf.DUMMYFUNCTION("LET(width,COLUMN($AB$1)-COLUMN($G$1),r,INDEX($G106:$AAB106,1,SEQUENCE(1,width)),flat,TOCOL(r,1),bad,FILTER(flat,COUNTIF('リスト'!$E:$E,flat)=0),IFERROR(TEXTJOIN(""\n"",TRUE,bad),""""))"),"")</f>
        <v/>
      </c>
      <c r="AC106" s="185"/>
      <c r="AD106" s="185"/>
    </row>
    <row r="107" ht="19.5" customHeight="1">
      <c r="A107" s="202"/>
      <c r="B107" s="202"/>
      <c r="C107" s="202"/>
      <c r="D107" s="202"/>
      <c r="E107" s="203"/>
      <c r="F107" s="203"/>
      <c r="G107" s="202"/>
      <c r="H107" s="202"/>
      <c r="I107" s="185"/>
      <c r="J107" s="185"/>
      <c r="K107" s="185"/>
      <c r="L107" s="185"/>
      <c r="M107" s="185"/>
      <c r="N107" s="185"/>
      <c r="O107" s="185"/>
      <c r="P107" s="185"/>
      <c r="Q107" s="185"/>
      <c r="R107" s="185"/>
      <c r="S107" s="185"/>
      <c r="T107" s="185"/>
      <c r="U107" s="185"/>
      <c r="V107" s="185"/>
      <c r="W107" s="185"/>
      <c r="X107" s="185"/>
      <c r="Y107" s="185"/>
      <c r="Z107" s="185"/>
      <c r="AA107" s="185"/>
      <c r="AB107" s="185" t="str">
        <f>IFERROR(__xludf.DUMMYFUNCTION("LET(width,COLUMN($AB$1)-COLUMN($G$1),r,INDEX($G107:$AAB107,1,SEQUENCE(1,width)),flat,TOCOL(r,1),bad,FILTER(flat,COUNTIF('リスト'!$E:$E,flat)=0),IFERROR(TEXTJOIN(""\n"",TRUE,bad),""""))"),"")</f>
        <v/>
      </c>
      <c r="AC107" s="185"/>
      <c r="AD107" s="185"/>
    </row>
    <row r="108" ht="19.5" customHeight="1">
      <c r="A108" s="202"/>
      <c r="B108" s="202"/>
      <c r="C108" s="202"/>
      <c r="D108" s="202"/>
      <c r="E108" s="203"/>
      <c r="F108" s="203"/>
      <c r="G108" s="202"/>
      <c r="H108" s="202"/>
      <c r="I108" s="185"/>
      <c r="J108" s="185"/>
      <c r="K108" s="185"/>
      <c r="L108" s="185"/>
      <c r="M108" s="185"/>
      <c r="N108" s="185"/>
      <c r="O108" s="185"/>
      <c r="P108" s="185"/>
      <c r="Q108" s="185"/>
      <c r="R108" s="185"/>
      <c r="S108" s="185"/>
      <c r="T108" s="185"/>
      <c r="U108" s="185"/>
      <c r="V108" s="185"/>
      <c r="W108" s="185"/>
      <c r="X108" s="185"/>
      <c r="Y108" s="185"/>
      <c r="Z108" s="185"/>
      <c r="AA108" s="185"/>
      <c r="AB108" s="185" t="str">
        <f>IFERROR(__xludf.DUMMYFUNCTION("LET(width,COLUMN($AB$1)-COLUMN($G$1),r,INDEX($G108:$AAB108,1,SEQUENCE(1,width)),flat,TOCOL(r,1),bad,FILTER(flat,COUNTIF('リスト'!$E:$E,flat)=0),IFERROR(TEXTJOIN(""\n"",TRUE,bad),""""))"),"")</f>
        <v/>
      </c>
      <c r="AC108" s="185"/>
      <c r="AD108" s="185"/>
    </row>
    <row r="109" ht="19.5" customHeight="1">
      <c r="A109" s="202"/>
      <c r="B109" s="202"/>
      <c r="C109" s="202"/>
      <c r="D109" s="202"/>
      <c r="E109" s="203"/>
      <c r="F109" s="203"/>
      <c r="G109" s="202"/>
      <c r="H109" s="202"/>
      <c r="I109" s="185"/>
      <c r="J109" s="185"/>
      <c r="K109" s="185"/>
      <c r="L109" s="185"/>
      <c r="M109" s="185"/>
      <c r="N109" s="185"/>
      <c r="O109" s="185"/>
      <c r="P109" s="185"/>
      <c r="Q109" s="185"/>
      <c r="R109" s="185"/>
      <c r="S109" s="185"/>
      <c r="T109" s="185"/>
      <c r="U109" s="185"/>
      <c r="V109" s="185"/>
      <c r="W109" s="185"/>
      <c r="X109" s="185"/>
      <c r="Y109" s="185"/>
      <c r="Z109" s="185"/>
      <c r="AA109" s="185"/>
      <c r="AB109" s="185" t="str">
        <f>IFERROR(__xludf.DUMMYFUNCTION("LET(width,COLUMN($AB$1)-COLUMN($G$1),r,INDEX($G109:$AAB109,1,SEQUENCE(1,width)),flat,TOCOL(r,1),bad,FILTER(flat,COUNTIF('リスト'!$E:$E,flat)=0),IFERROR(TEXTJOIN(""\n"",TRUE,bad),""""))"),"")</f>
        <v/>
      </c>
      <c r="AC109" s="185"/>
      <c r="AD109" s="185"/>
    </row>
    <row r="110" ht="19.5" customHeight="1">
      <c r="A110" s="202"/>
      <c r="B110" s="202"/>
      <c r="C110" s="202"/>
      <c r="D110" s="202"/>
      <c r="E110" s="203"/>
      <c r="F110" s="203"/>
      <c r="G110" s="202"/>
      <c r="H110" s="202"/>
      <c r="I110" s="185"/>
      <c r="J110" s="185"/>
      <c r="K110" s="185"/>
      <c r="L110" s="185"/>
      <c r="M110" s="185"/>
      <c r="N110" s="185"/>
      <c r="O110" s="185"/>
      <c r="P110" s="185"/>
      <c r="Q110" s="185"/>
      <c r="R110" s="185"/>
      <c r="S110" s="185"/>
      <c r="T110" s="185"/>
      <c r="U110" s="185"/>
      <c r="V110" s="185"/>
      <c r="W110" s="185"/>
      <c r="X110" s="185"/>
      <c r="Y110" s="185"/>
      <c r="Z110" s="185"/>
      <c r="AA110" s="185"/>
      <c r="AB110" s="185" t="str">
        <f>IFERROR(__xludf.DUMMYFUNCTION("LET(width,COLUMN($AB$1)-COLUMN($G$1),r,INDEX($G110:$AAB110,1,SEQUENCE(1,width)),flat,TOCOL(r,1),bad,FILTER(flat,COUNTIF('リスト'!$E:$E,flat)=0),IFERROR(TEXTJOIN(""\n"",TRUE,bad),""""))"),"")</f>
        <v/>
      </c>
      <c r="AC110" s="185"/>
      <c r="AD110" s="185"/>
    </row>
    <row r="111" ht="19.5" customHeight="1">
      <c r="A111" s="202"/>
      <c r="B111" s="202"/>
      <c r="C111" s="202"/>
      <c r="D111" s="202"/>
      <c r="E111" s="203"/>
      <c r="F111" s="203"/>
      <c r="G111" s="202"/>
      <c r="H111" s="202"/>
      <c r="I111" s="185"/>
      <c r="J111" s="185"/>
      <c r="K111" s="185"/>
      <c r="L111" s="185"/>
      <c r="M111" s="185"/>
      <c r="N111" s="185"/>
      <c r="O111" s="185"/>
      <c r="P111" s="185"/>
      <c r="Q111" s="185"/>
      <c r="R111" s="185"/>
      <c r="S111" s="185"/>
      <c r="T111" s="185"/>
      <c r="U111" s="185"/>
      <c r="V111" s="185"/>
      <c r="W111" s="185"/>
      <c r="X111" s="185"/>
      <c r="Y111" s="185"/>
      <c r="Z111" s="185"/>
      <c r="AA111" s="185"/>
      <c r="AB111" s="185" t="str">
        <f>IFERROR(__xludf.DUMMYFUNCTION("LET(width,COLUMN($AB$1)-COLUMN($G$1),r,INDEX($G111:$AAB111,1,SEQUENCE(1,width)),flat,TOCOL(r,1),bad,FILTER(flat,COUNTIF('リスト'!$E:$E,flat)=0),IFERROR(TEXTJOIN(""\n"",TRUE,bad),""""))"),"")</f>
        <v/>
      </c>
      <c r="AC111" s="185"/>
      <c r="AD111" s="185"/>
    </row>
    <row r="112" ht="19.5" customHeight="1">
      <c r="A112" s="202"/>
      <c r="B112" s="202"/>
      <c r="C112" s="202"/>
      <c r="D112" s="202"/>
      <c r="E112" s="203"/>
      <c r="F112" s="203"/>
      <c r="G112" s="202"/>
      <c r="H112" s="202"/>
      <c r="I112" s="185"/>
      <c r="J112" s="185"/>
      <c r="K112" s="185"/>
      <c r="L112" s="185"/>
      <c r="M112" s="185"/>
      <c r="N112" s="185"/>
      <c r="O112" s="185"/>
      <c r="P112" s="185"/>
      <c r="Q112" s="185"/>
      <c r="R112" s="185"/>
      <c r="S112" s="185"/>
      <c r="T112" s="185"/>
      <c r="U112" s="185"/>
      <c r="V112" s="185"/>
      <c r="W112" s="185"/>
      <c r="X112" s="185"/>
      <c r="Y112" s="185"/>
      <c r="Z112" s="185"/>
      <c r="AA112" s="185"/>
      <c r="AB112" s="185" t="str">
        <f>IFERROR(__xludf.DUMMYFUNCTION("LET(width,COLUMN($AB$1)-COLUMN($G$1),r,INDEX($G112:$AAB112,1,SEQUENCE(1,width)),flat,TOCOL(r,1),bad,FILTER(flat,COUNTIF('リスト'!$E:$E,flat)=0),IFERROR(TEXTJOIN(""\n"",TRUE,bad),""""))"),"")</f>
        <v/>
      </c>
      <c r="AC112" s="185"/>
      <c r="AD112" s="185"/>
    </row>
    <row r="113">
      <c r="A113" s="202"/>
      <c r="B113" s="202"/>
      <c r="C113" s="202"/>
      <c r="D113" s="202"/>
      <c r="E113" s="203"/>
      <c r="F113" s="203"/>
      <c r="G113" s="202"/>
      <c r="H113" s="202"/>
      <c r="I113" s="185"/>
      <c r="J113" s="185"/>
      <c r="K113" s="185"/>
      <c r="L113" s="185"/>
      <c r="M113" s="185"/>
      <c r="N113" s="185"/>
      <c r="O113" s="185"/>
      <c r="P113" s="185"/>
      <c r="Q113" s="185"/>
      <c r="R113" s="185"/>
      <c r="S113" s="185"/>
      <c r="T113" s="185"/>
      <c r="U113" s="185"/>
      <c r="V113" s="185"/>
      <c r="W113" s="185"/>
      <c r="X113" s="185"/>
      <c r="Y113" s="185"/>
      <c r="Z113" s="185"/>
      <c r="AA113" s="185"/>
      <c r="AB113" s="185" t="str">
        <f>IFERROR(__xludf.DUMMYFUNCTION("LET(width,COLUMN($AB$1)-COLUMN($G$1),r,INDEX($G113:$AAB113,1,SEQUENCE(1,width)),flat,TOCOL(r,1),bad,FILTER(flat,COUNTIF('リスト'!$E:$E,flat)=0),IFERROR(TEXTJOIN(""\n"",TRUE,bad),""""))"),"")</f>
        <v/>
      </c>
      <c r="AC113" s="185"/>
      <c r="AD113" s="185"/>
    </row>
    <row r="114">
      <c r="A114" s="202"/>
      <c r="B114" s="202"/>
      <c r="C114" s="202"/>
      <c r="D114" s="202"/>
      <c r="E114" s="203"/>
      <c r="F114" s="203"/>
      <c r="G114" s="202"/>
      <c r="H114" s="202"/>
      <c r="I114" s="185"/>
      <c r="J114" s="185"/>
      <c r="K114" s="185"/>
      <c r="L114" s="185"/>
      <c r="M114" s="185"/>
      <c r="N114" s="185"/>
      <c r="O114" s="185"/>
      <c r="P114" s="185"/>
      <c r="Q114" s="185"/>
      <c r="R114" s="185"/>
      <c r="S114" s="185"/>
      <c r="T114" s="185"/>
      <c r="U114" s="185"/>
      <c r="V114" s="185"/>
      <c r="W114" s="185"/>
      <c r="X114" s="185"/>
      <c r="Y114" s="185"/>
      <c r="Z114" s="185"/>
      <c r="AA114" s="185"/>
      <c r="AB114" s="185" t="str">
        <f>IFERROR(__xludf.DUMMYFUNCTION("LET(width,COLUMN($AB$1)-COLUMN($G$1),r,INDEX($G114:$AAB114,1,SEQUENCE(1,width)),flat,TOCOL(r,1),bad,FILTER(flat,COUNTIF('リスト'!$E:$E,flat)=0),IFERROR(TEXTJOIN(""\n"",TRUE,bad),""""))"),"")</f>
        <v/>
      </c>
      <c r="AC114" s="185"/>
      <c r="AD114" s="185"/>
    </row>
    <row r="115">
      <c r="A115" s="202"/>
      <c r="B115" s="202"/>
      <c r="C115" s="202"/>
      <c r="D115" s="202"/>
      <c r="E115" s="203"/>
      <c r="F115" s="203"/>
      <c r="G115" s="202"/>
      <c r="H115" s="202"/>
      <c r="I115" s="185"/>
      <c r="J115" s="185"/>
      <c r="K115" s="185"/>
      <c r="L115" s="185"/>
      <c r="M115" s="185"/>
      <c r="N115" s="185"/>
      <c r="O115" s="185"/>
      <c r="P115" s="185"/>
      <c r="Q115" s="185"/>
      <c r="R115" s="185"/>
      <c r="S115" s="185"/>
      <c r="T115" s="185"/>
      <c r="U115" s="185"/>
      <c r="V115" s="185"/>
      <c r="W115" s="185"/>
      <c r="X115" s="185"/>
      <c r="Y115" s="185"/>
      <c r="Z115" s="185"/>
      <c r="AA115" s="185"/>
      <c r="AB115" s="185" t="str">
        <f>IFERROR(__xludf.DUMMYFUNCTION("LET(width,COLUMN($AB$1)-COLUMN($G$1),r,INDEX($G115:$AAB115,1,SEQUENCE(1,width)),flat,TOCOL(r,1),bad,FILTER(flat,COUNTIF('リスト'!$E:$E,flat)=0),IFERROR(TEXTJOIN(""\n"",TRUE,bad),""""))"),"")</f>
        <v/>
      </c>
      <c r="AC115" s="185"/>
      <c r="AD115" s="185"/>
    </row>
    <row r="116">
      <c r="A116" s="202"/>
      <c r="B116" s="202"/>
      <c r="C116" s="202"/>
      <c r="D116" s="202"/>
      <c r="E116" s="203"/>
      <c r="F116" s="203"/>
      <c r="G116" s="202"/>
      <c r="H116" s="202"/>
      <c r="I116" s="185"/>
      <c r="J116" s="185"/>
      <c r="K116" s="185"/>
      <c r="L116" s="185"/>
      <c r="M116" s="185"/>
      <c r="N116" s="185"/>
      <c r="O116" s="185"/>
      <c r="P116" s="185"/>
      <c r="Q116" s="185"/>
      <c r="R116" s="185"/>
      <c r="S116" s="185"/>
      <c r="T116" s="185"/>
      <c r="U116" s="185"/>
      <c r="V116" s="185"/>
      <c r="W116" s="185"/>
      <c r="X116" s="185"/>
      <c r="Y116" s="185"/>
      <c r="Z116" s="185"/>
      <c r="AA116" s="185"/>
      <c r="AB116" s="185" t="str">
        <f>IFERROR(__xludf.DUMMYFUNCTION("LET(width,COLUMN($AB$1)-COLUMN($G$1),r,INDEX($G116:$AAB116,1,SEQUENCE(1,width)),flat,TOCOL(r,1),bad,FILTER(flat,COUNTIF('リスト'!$E:$E,flat)=0),IFERROR(TEXTJOIN(""\n"",TRUE,bad),""""))"),"")</f>
        <v/>
      </c>
      <c r="AC116" s="185"/>
      <c r="AD116" s="185"/>
    </row>
    <row r="117">
      <c r="A117" s="202"/>
      <c r="B117" s="202"/>
      <c r="C117" s="202"/>
      <c r="D117" s="202"/>
      <c r="E117" s="203"/>
      <c r="F117" s="203"/>
      <c r="G117" s="202"/>
      <c r="H117" s="202"/>
      <c r="I117" s="185"/>
      <c r="J117" s="185"/>
      <c r="K117" s="185"/>
      <c r="L117" s="185"/>
      <c r="M117" s="185"/>
      <c r="N117" s="185"/>
      <c r="O117" s="185"/>
      <c r="P117" s="185"/>
      <c r="Q117" s="185"/>
      <c r="R117" s="185"/>
      <c r="S117" s="185"/>
      <c r="T117" s="185"/>
      <c r="U117" s="185"/>
      <c r="V117" s="185"/>
      <c r="W117" s="185"/>
      <c r="X117" s="185"/>
      <c r="Y117" s="185"/>
      <c r="Z117" s="185"/>
      <c r="AA117" s="185"/>
      <c r="AB117" s="185" t="str">
        <f>IFERROR(__xludf.DUMMYFUNCTION("LET(width,COLUMN($AB$1)-COLUMN($G$1),r,INDEX($G117:$AAB117,1,SEQUENCE(1,width)),flat,TOCOL(r,1),bad,FILTER(flat,COUNTIF('リスト'!$E:$E,flat)=0),IFERROR(TEXTJOIN(""\n"",TRUE,bad),""""))"),"")</f>
        <v/>
      </c>
      <c r="AC117" s="185"/>
      <c r="AD117" s="185"/>
    </row>
    <row r="118">
      <c r="A118" s="202"/>
      <c r="B118" s="202"/>
      <c r="C118" s="202"/>
      <c r="D118" s="202"/>
      <c r="E118" s="203"/>
      <c r="F118" s="203"/>
      <c r="G118" s="202"/>
      <c r="H118" s="202"/>
      <c r="I118" s="185"/>
      <c r="J118" s="185"/>
      <c r="K118" s="185"/>
      <c r="L118" s="185"/>
      <c r="M118" s="185"/>
      <c r="N118" s="185"/>
      <c r="O118" s="185"/>
      <c r="P118" s="185"/>
      <c r="Q118" s="185"/>
      <c r="R118" s="185"/>
      <c r="S118" s="185"/>
      <c r="T118" s="185"/>
      <c r="U118" s="185"/>
      <c r="V118" s="185"/>
      <c r="W118" s="185"/>
      <c r="X118" s="185"/>
      <c r="Y118" s="185"/>
      <c r="Z118" s="185"/>
      <c r="AA118" s="185"/>
      <c r="AB118" s="185" t="str">
        <f>IFERROR(__xludf.DUMMYFUNCTION("LET(width,COLUMN($AB$1)-COLUMN($G$1),r,INDEX($G118:$AAB118,1,SEQUENCE(1,width)),flat,TOCOL(r,1),bad,FILTER(flat,COUNTIF('リスト'!$E:$E,flat)=0),IFERROR(TEXTJOIN(""\n"",TRUE,bad),""""))"),"")</f>
        <v/>
      </c>
      <c r="AC118" s="185"/>
      <c r="AD118" s="185"/>
    </row>
    <row r="119">
      <c r="A119" s="202"/>
      <c r="B119" s="202"/>
      <c r="C119" s="202"/>
      <c r="D119" s="202"/>
      <c r="E119" s="203"/>
      <c r="F119" s="203"/>
      <c r="G119" s="202"/>
      <c r="H119" s="202"/>
      <c r="I119" s="185"/>
      <c r="J119" s="185"/>
      <c r="K119" s="185"/>
      <c r="L119" s="185"/>
      <c r="M119" s="185"/>
      <c r="N119" s="185"/>
      <c r="O119" s="185"/>
      <c r="P119" s="185"/>
      <c r="Q119" s="185"/>
      <c r="R119" s="185"/>
      <c r="S119" s="185"/>
      <c r="T119" s="185"/>
      <c r="U119" s="185"/>
      <c r="V119" s="185"/>
      <c r="W119" s="185"/>
      <c r="X119" s="185"/>
      <c r="Y119" s="185"/>
      <c r="Z119" s="185"/>
      <c r="AA119" s="185"/>
      <c r="AB119" s="185" t="str">
        <f>IFERROR(__xludf.DUMMYFUNCTION("LET(width,COLUMN($AB$1)-COLUMN($G$1),r,INDEX($G119:$AAB119,1,SEQUENCE(1,width)),flat,TOCOL(r,1),bad,FILTER(flat,COUNTIF('リスト'!$E:$E,flat)=0),IFERROR(TEXTJOIN(""\n"",TRUE,bad),""""))"),"")</f>
        <v/>
      </c>
      <c r="AC119" s="185"/>
      <c r="AD119" s="185"/>
    </row>
    <row r="120">
      <c r="A120" s="202"/>
      <c r="B120" s="202"/>
      <c r="C120" s="202"/>
      <c r="D120" s="202"/>
      <c r="E120" s="203"/>
      <c r="F120" s="203"/>
      <c r="G120" s="202"/>
      <c r="H120" s="202"/>
      <c r="I120" s="185"/>
      <c r="J120" s="185"/>
      <c r="K120" s="185"/>
      <c r="L120" s="185"/>
      <c r="M120" s="185"/>
      <c r="N120" s="185"/>
      <c r="O120" s="185"/>
      <c r="P120" s="185"/>
      <c r="Q120" s="185"/>
      <c r="R120" s="185"/>
      <c r="S120" s="185"/>
      <c r="T120" s="185"/>
      <c r="U120" s="185"/>
      <c r="V120" s="185"/>
      <c r="W120" s="185"/>
      <c r="X120" s="185"/>
      <c r="Y120" s="185"/>
      <c r="Z120" s="185"/>
      <c r="AA120" s="185"/>
      <c r="AB120" s="185" t="str">
        <f>IFERROR(__xludf.DUMMYFUNCTION("LET(width,COLUMN($AB$1)-COLUMN($G$1),r,INDEX($G120:$AAB120,1,SEQUENCE(1,width)),flat,TOCOL(r,1),bad,FILTER(flat,COUNTIF('リスト'!$E:$E,flat)=0),IFERROR(TEXTJOIN(""\n"",TRUE,bad),""""))"),"")</f>
        <v/>
      </c>
      <c r="AC120" s="185"/>
      <c r="AD120" s="185"/>
    </row>
    <row r="121">
      <c r="A121" s="202"/>
      <c r="B121" s="202"/>
      <c r="C121" s="202"/>
      <c r="D121" s="202"/>
      <c r="E121" s="203"/>
      <c r="F121" s="203"/>
      <c r="G121" s="202"/>
      <c r="H121" s="202"/>
      <c r="I121" s="185"/>
      <c r="J121" s="185"/>
      <c r="K121" s="185"/>
      <c r="L121" s="185"/>
      <c r="M121" s="185"/>
      <c r="N121" s="185"/>
      <c r="O121" s="185"/>
      <c r="P121" s="185"/>
      <c r="Q121" s="185"/>
      <c r="R121" s="185"/>
      <c r="S121" s="185"/>
      <c r="T121" s="185"/>
      <c r="U121" s="185"/>
      <c r="V121" s="185"/>
      <c r="W121" s="185"/>
      <c r="X121" s="185"/>
      <c r="Y121" s="185"/>
      <c r="Z121" s="185"/>
      <c r="AA121" s="185"/>
      <c r="AB121" s="185" t="str">
        <f>IFERROR(__xludf.DUMMYFUNCTION("LET(width,COLUMN($AB$1)-COLUMN($G$1),r,INDEX($G121:$AAB121,1,SEQUENCE(1,width)),flat,TOCOL(r,1),bad,FILTER(flat,COUNTIF('リスト'!$E:$E,flat)=0),IFERROR(TEXTJOIN(""\n"",TRUE,bad),""""))"),"")</f>
        <v/>
      </c>
      <c r="AC121" s="185"/>
      <c r="AD121" s="185"/>
    </row>
    <row r="122">
      <c r="A122" s="202"/>
      <c r="B122" s="202"/>
      <c r="C122" s="202"/>
      <c r="D122" s="202"/>
      <c r="E122" s="203"/>
      <c r="F122" s="203"/>
      <c r="G122" s="202"/>
      <c r="H122" s="202"/>
      <c r="I122" s="185"/>
      <c r="J122" s="185"/>
      <c r="K122" s="185"/>
      <c r="L122" s="185"/>
      <c r="M122" s="185"/>
      <c r="N122" s="185"/>
      <c r="O122" s="185"/>
      <c r="P122" s="185"/>
      <c r="Q122" s="185"/>
      <c r="R122" s="185"/>
      <c r="S122" s="185"/>
      <c r="T122" s="185"/>
      <c r="U122" s="185"/>
      <c r="V122" s="185"/>
      <c r="W122" s="185"/>
      <c r="X122" s="185"/>
      <c r="Y122" s="185"/>
      <c r="Z122" s="185"/>
      <c r="AA122" s="185"/>
      <c r="AB122" s="185" t="str">
        <f>IFERROR(__xludf.DUMMYFUNCTION("LET(width,COLUMN($AB$1)-COLUMN($G$1),r,INDEX($G122:$AAB122,1,SEQUENCE(1,width)),flat,TOCOL(r,1),bad,FILTER(flat,COUNTIF('リスト'!$E:$E,flat)=0),IFERROR(TEXTJOIN(""\n"",TRUE,bad),""""))"),"")</f>
        <v/>
      </c>
      <c r="AC122" s="185"/>
      <c r="AD122" s="185"/>
    </row>
    <row r="123">
      <c r="A123" s="202"/>
      <c r="B123" s="202"/>
      <c r="C123" s="202"/>
      <c r="D123" s="202"/>
      <c r="E123" s="203"/>
      <c r="F123" s="203"/>
      <c r="G123" s="202"/>
      <c r="H123" s="202"/>
      <c r="I123" s="185"/>
      <c r="J123" s="185"/>
      <c r="K123" s="185"/>
      <c r="L123" s="185"/>
      <c r="M123" s="185"/>
      <c r="N123" s="185"/>
      <c r="O123" s="185"/>
      <c r="P123" s="185"/>
      <c r="Q123" s="185"/>
      <c r="R123" s="185"/>
      <c r="S123" s="185"/>
      <c r="T123" s="185"/>
      <c r="U123" s="185"/>
      <c r="V123" s="185"/>
      <c r="W123" s="185"/>
      <c r="X123" s="185"/>
      <c r="Y123" s="185"/>
      <c r="Z123" s="185"/>
      <c r="AA123" s="185"/>
      <c r="AB123" s="185" t="str">
        <f>IFERROR(__xludf.DUMMYFUNCTION("LET(width,COLUMN($AB$1)-COLUMN($G$1),r,INDEX($G123:$AAB123,1,SEQUENCE(1,width)),flat,TOCOL(r,1),bad,FILTER(flat,COUNTIF('リスト'!$E:$E,flat)=0),IFERROR(TEXTJOIN(""\n"",TRUE,bad),""""))"),"")</f>
        <v/>
      </c>
      <c r="AC123" s="185"/>
      <c r="AD123" s="185"/>
    </row>
    <row r="124">
      <c r="A124" s="202"/>
      <c r="B124" s="202"/>
      <c r="C124" s="202"/>
      <c r="D124" s="202"/>
      <c r="E124" s="203"/>
      <c r="F124" s="203"/>
      <c r="G124" s="202"/>
      <c r="H124" s="202"/>
      <c r="I124" s="185"/>
      <c r="J124" s="185"/>
      <c r="K124" s="185"/>
      <c r="L124" s="185"/>
      <c r="M124" s="185"/>
      <c r="N124" s="185"/>
      <c r="O124" s="185"/>
      <c r="P124" s="185"/>
      <c r="Q124" s="185"/>
      <c r="R124" s="185"/>
      <c r="S124" s="185"/>
      <c r="T124" s="185"/>
      <c r="U124" s="185"/>
      <c r="V124" s="185"/>
      <c r="W124" s="185"/>
      <c r="X124" s="185"/>
      <c r="Y124" s="185"/>
      <c r="Z124" s="185"/>
      <c r="AA124" s="185"/>
      <c r="AB124" s="185" t="str">
        <f>IFERROR(__xludf.DUMMYFUNCTION("LET(width,COLUMN($AB$1)-COLUMN($G$1),r,INDEX($G124:$AAB124,1,SEQUENCE(1,width)),flat,TOCOL(r,1),bad,FILTER(flat,COUNTIF('リスト'!$E:$E,flat)=0),IFERROR(TEXTJOIN(""\n"",TRUE,bad),""""))"),"")</f>
        <v/>
      </c>
      <c r="AC124" s="185"/>
      <c r="AD124" s="185"/>
    </row>
    <row r="125">
      <c r="A125" s="202"/>
      <c r="B125" s="202"/>
      <c r="C125" s="202"/>
      <c r="D125" s="202"/>
      <c r="E125" s="203"/>
      <c r="F125" s="203"/>
      <c r="G125" s="202"/>
      <c r="H125" s="202"/>
      <c r="I125" s="185"/>
      <c r="J125" s="185"/>
      <c r="K125" s="185"/>
      <c r="L125" s="185"/>
      <c r="M125" s="185"/>
      <c r="N125" s="185"/>
      <c r="O125" s="185"/>
      <c r="P125" s="185"/>
      <c r="Q125" s="185"/>
      <c r="R125" s="185"/>
      <c r="S125" s="185"/>
      <c r="T125" s="185"/>
      <c r="U125" s="185"/>
      <c r="V125" s="185"/>
      <c r="W125" s="185"/>
      <c r="X125" s="185"/>
      <c r="Y125" s="185"/>
      <c r="Z125" s="185"/>
      <c r="AA125" s="185"/>
      <c r="AB125" s="185" t="str">
        <f>IFERROR(__xludf.DUMMYFUNCTION("LET(width,COLUMN($AB$1)-COLUMN($G$1),r,INDEX($G125:$AAB125,1,SEQUENCE(1,width)),flat,TOCOL(r,1),bad,FILTER(flat,COUNTIF('リスト'!$E:$E,flat)=0),IFERROR(TEXTJOIN(""\n"",TRUE,bad),""""))"),"")</f>
        <v/>
      </c>
      <c r="AC125" s="185"/>
      <c r="AD125" s="185"/>
    </row>
    <row r="126">
      <c r="A126" s="202"/>
      <c r="B126" s="202"/>
      <c r="C126" s="202"/>
      <c r="D126" s="202"/>
      <c r="E126" s="203"/>
      <c r="F126" s="203"/>
      <c r="G126" s="202"/>
      <c r="H126" s="202"/>
      <c r="I126" s="185"/>
      <c r="J126" s="185"/>
      <c r="K126" s="185"/>
      <c r="L126" s="185"/>
      <c r="M126" s="185"/>
      <c r="N126" s="185"/>
      <c r="O126" s="185"/>
      <c r="P126" s="185"/>
      <c r="Q126" s="185"/>
      <c r="R126" s="185"/>
      <c r="S126" s="185"/>
      <c r="T126" s="185"/>
      <c r="U126" s="185"/>
      <c r="V126" s="185"/>
      <c r="W126" s="185"/>
      <c r="X126" s="185"/>
      <c r="Y126" s="185"/>
      <c r="Z126" s="185"/>
      <c r="AA126" s="185"/>
      <c r="AB126" s="185" t="str">
        <f>IFERROR(__xludf.DUMMYFUNCTION("LET(width,COLUMN($AB$1)-COLUMN($G$1),r,INDEX($G126:$AAB126,1,SEQUENCE(1,width)),flat,TOCOL(r,1),bad,FILTER(flat,COUNTIF('リスト'!$E:$E,flat)=0),IFERROR(TEXTJOIN(""\n"",TRUE,bad),""""))"),"")</f>
        <v/>
      </c>
      <c r="AC126" s="185"/>
      <c r="AD126" s="185"/>
    </row>
    <row r="127">
      <c r="A127" s="202"/>
      <c r="B127" s="202"/>
      <c r="C127" s="202"/>
      <c r="D127" s="202"/>
      <c r="E127" s="203"/>
      <c r="F127" s="203"/>
      <c r="G127" s="202"/>
      <c r="H127" s="202"/>
      <c r="I127" s="185"/>
      <c r="J127" s="185"/>
      <c r="K127" s="185"/>
      <c r="L127" s="185"/>
      <c r="M127" s="185"/>
      <c r="N127" s="185"/>
      <c r="O127" s="185"/>
      <c r="P127" s="185"/>
      <c r="Q127" s="185"/>
      <c r="R127" s="185"/>
      <c r="S127" s="185"/>
      <c r="T127" s="185"/>
      <c r="U127" s="185"/>
      <c r="V127" s="185"/>
      <c r="W127" s="185"/>
      <c r="X127" s="185"/>
      <c r="Y127" s="185"/>
      <c r="Z127" s="185"/>
      <c r="AA127" s="185"/>
      <c r="AB127" s="185" t="str">
        <f>IFERROR(__xludf.DUMMYFUNCTION("LET(width,COLUMN($AB$1)-COLUMN($G$1),r,INDEX($G127:$AAB127,1,SEQUENCE(1,width)),flat,TOCOL(r,1),bad,FILTER(flat,COUNTIF('リスト'!$E:$E,flat)=0),IFERROR(TEXTJOIN(""\n"",TRUE,bad),""""))"),"")</f>
        <v/>
      </c>
      <c r="AC127" s="185"/>
      <c r="AD127" s="185"/>
    </row>
    <row r="128">
      <c r="A128" s="202"/>
      <c r="B128" s="202"/>
      <c r="C128" s="202"/>
      <c r="D128" s="202"/>
      <c r="E128" s="203"/>
      <c r="F128" s="203"/>
      <c r="G128" s="202"/>
      <c r="H128" s="202"/>
      <c r="I128" s="185"/>
      <c r="J128" s="185"/>
      <c r="K128" s="185"/>
      <c r="L128" s="185"/>
      <c r="M128" s="185"/>
      <c r="N128" s="185"/>
      <c r="O128" s="185"/>
      <c r="P128" s="185"/>
      <c r="Q128" s="185"/>
      <c r="R128" s="185"/>
      <c r="S128" s="185"/>
      <c r="T128" s="185"/>
      <c r="U128" s="185"/>
      <c r="V128" s="185"/>
      <c r="W128" s="185"/>
      <c r="X128" s="185"/>
      <c r="Y128" s="185"/>
      <c r="Z128" s="185"/>
      <c r="AA128" s="185"/>
      <c r="AB128" s="185" t="str">
        <f>IFERROR(__xludf.DUMMYFUNCTION("LET(width,COLUMN($AB$1)-COLUMN($G$1),r,INDEX($G128:$AAB128,1,SEQUENCE(1,width)),flat,TOCOL(r,1),bad,FILTER(flat,COUNTIF('リスト'!$E:$E,flat)=0),IFERROR(TEXTJOIN(""\n"",TRUE,bad),""""))"),"")</f>
        <v/>
      </c>
      <c r="AC128" s="185"/>
      <c r="AD128" s="185"/>
    </row>
    <row r="129">
      <c r="A129" s="202"/>
      <c r="B129" s="202"/>
      <c r="C129" s="202"/>
      <c r="D129" s="202"/>
      <c r="E129" s="203"/>
      <c r="F129" s="203"/>
      <c r="G129" s="202"/>
      <c r="H129" s="202"/>
      <c r="I129" s="185"/>
      <c r="J129" s="185"/>
      <c r="K129" s="185"/>
      <c r="L129" s="185"/>
      <c r="M129" s="185"/>
      <c r="N129" s="185"/>
      <c r="O129" s="185"/>
      <c r="P129" s="185"/>
      <c r="Q129" s="185"/>
      <c r="R129" s="185"/>
      <c r="S129" s="185"/>
      <c r="T129" s="185"/>
      <c r="U129" s="185"/>
      <c r="V129" s="185"/>
      <c r="W129" s="185"/>
      <c r="X129" s="185"/>
      <c r="Y129" s="185"/>
      <c r="Z129" s="185"/>
      <c r="AA129" s="185"/>
      <c r="AB129" s="185" t="str">
        <f>IFERROR(__xludf.DUMMYFUNCTION("LET(width,COLUMN($AB$1)-COLUMN($G$1),r,INDEX($G129:$AAB129,1,SEQUENCE(1,width)),flat,TOCOL(r,1),bad,FILTER(flat,COUNTIF('リスト'!$E:$E,flat)=0),IFERROR(TEXTJOIN(""\n"",TRUE,bad),""""))"),"")</f>
        <v/>
      </c>
      <c r="AC129" s="185"/>
      <c r="AD129" s="185"/>
    </row>
    <row r="130">
      <c r="A130" s="202"/>
      <c r="B130" s="202"/>
      <c r="C130" s="202"/>
      <c r="D130" s="202"/>
      <c r="E130" s="203"/>
      <c r="F130" s="203"/>
      <c r="G130" s="202"/>
      <c r="H130" s="202"/>
      <c r="I130" s="185"/>
      <c r="J130" s="185"/>
      <c r="K130" s="185"/>
      <c r="L130" s="185"/>
      <c r="M130" s="185"/>
      <c r="N130" s="185"/>
      <c r="O130" s="185"/>
      <c r="P130" s="185"/>
      <c r="Q130" s="185"/>
      <c r="R130" s="185"/>
      <c r="S130" s="185"/>
      <c r="T130" s="185"/>
      <c r="U130" s="185"/>
      <c r="V130" s="185"/>
      <c r="W130" s="185"/>
      <c r="X130" s="185"/>
      <c r="Y130" s="185"/>
      <c r="Z130" s="185"/>
      <c r="AA130" s="185"/>
      <c r="AB130" s="185" t="str">
        <f>IFERROR(__xludf.DUMMYFUNCTION("LET(width,COLUMN($AB$1)-COLUMN($G$1),r,INDEX($G130:$AAB130,1,SEQUENCE(1,width)),flat,TOCOL(r,1),bad,FILTER(flat,COUNTIF('リスト'!$E:$E,flat)=0),IFERROR(TEXTJOIN(""\n"",TRUE,bad),""""))"),"")</f>
        <v/>
      </c>
      <c r="AC130" s="185"/>
      <c r="AD130" s="185"/>
    </row>
    <row r="131">
      <c r="A131" s="202"/>
      <c r="B131" s="202"/>
      <c r="C131" s="202"/>
      <c r="D131" s="202"/>
      <c r="E131" s="203"/>
      <c r="F131" s="203"/>
      <c r="G131" s="202"/>
      <c r="H131" s="202"/>
      <c r="I131" s="185"/>
      <c r="J131" s="185"/>
      <c r="K131" s="185"/>
      <c r="L131" s="185"/>
      <c r="M131" s="185"/>
      <c r="N131" s="185"/>
      <c r="O131" s="185"/>
      <c r="P131" s="185"/>
      <c r="Q131" s="185"/>
      <c r="R131" s="185"/>
      <c r="S131" s="185"/>
      <c r="T131" s="185"/>
      <c r="U131" s="185"/>
      <c r="V131" s="185"/>
      <c r="W131" s="185"/>
      <c r="X131" s="185"/>
      <c r="Y131" s="185"/>
      <c r="Z131" s="185"/>
      <c r="AA131" s="185"/>
      <c r="AB131" s="185" t="str">
        <f>IFERROR(__xludf.DUMMYFUNCTION("LET(width,COLUMN($AB$1)-COLUMN($G$1),r,INDEX($G131:$AAB131,1,SEQUENCE(1,width)),flat,TOCOL(r,1),bad,FILTER(flat,COUNTIF('リスト'!$E:$E,flat)=0),IFERROR(TEXTJOIN(""\n"",TRUE,bad),""""))"),"")</f>
        <v/>
      </c>
      <c r="AC131" s="185"/>
      <c r="AD131" s="185"/>
    </row>
    <row r="132">
      <c r="A132" s="202"/>
      <c r="B132" s="202"/>
      <c r="C132" s="202"/>
      <c r="D132" s="202"/>
      <c r="E132" s="203"/>
      <c r="F132" s="203"/>
      <c r="G132" s="202"/>
      <c r="H132" s="202"/>
      <c r="I132" s="185"/>
      <c r="J132" s="185"/>
      <c r="K132" s="185"/>
      <c r="L132" s="185"/>
      <c r="M132" s="185"/>
      <c r="N132" s="185"/>
      <c r="O132" s="185"/>
      <c r="P132" s="185"/>
      <c r="Q132" s="185"/>
      <c r="R132" s="185"/>
      <c r="S132" s="185"/>
      <c r="T132" s="185"/>
      <c r="U132" s="185"/>
      <c r="V132" s="185"/>
      <c r="W132" s="185"/>
      <c r="X132" s="185"/>
      <c r="Y132" s="185"/>
      <c r="Z132" s="185"/>
      <c r="AA132" s="185"/>
      <c r="AB132" s="185" t="str">
        <f>IFERROR(__xludf.DUMMYFUNCTION("LET(width,COLUMN($AB$1)-COLUMN($G$1),r,INDEX($G132:$AAB132,1,SEQUENCE(1,width)),flat,TOCOL(r,1),bad,FILTER(flat,COUNTIF('リスト'!$E:$E,flat)=0),IFERROR(TEXTJOIN(""\n"",TRUE,bad),""""))"),"")</f>
        <v/>
      </c>
      <c r="AC132" s="185"/>
      <c r="AD132" s="185"/>
    </row>
    <row r="133">
      <c r="A133" s="202"/>
      <c r="B133" s="202"/>
      <c r="C133" s="202"/>
      <c r="D133" s="202"/>
      <c r="E133" s="203"/>
      <c r="F133" s="203"/>
      <c r="G133" s="202"/>
      <c r="H133" s="202"/>
      <c r="I133" s="185"/>
      <c r="J133" s="185"/>
      <c r="K133" s="185"/>
      <c r="L133" s="185"/>
      <c r="M133" s="185"/>
      <c r="N133" s="185"/>
      <c r="O133" s="185"/>
      <c r="P133" s="185"/>
      <c r="Q133" s="185"/>
      <c r="R133" s="185"/>
      <c r="S133" s="185"/>
      <c r="T133" s="185"/>
      <c r="U133" s="185"/>
      <c r="V133" s="185"/>
      <c r="W133" s="185"/>
      <c r="X133" s="185"/>
      <c r="Y133" s="185"/>
      <c r="Z133" s="185"/>
      <c r="AA133" s="185"/>
      <c r="AB133" s="185" t="str">
        <f>IFERROR(__xludf.DUMMYFUNCTION("LET(width,COLUMN($AB$1)-COLUMN($G$1),r,INDEX($G133:$AAB133,1,SEQUENCE(1,width)),flat,TOCOL(r,1),bad,FILTER(flat,COUNTIF('リスト'!$E:$E,flat)=0),IFERROR(TEXTJOIN(""\n"",TRUE,bad),""""))"),"")</f>
        <v/>
      </c>
      <c r="AC133" s="185"/>
      <c r="AD133" s="185"/>
    </row>
    <row r="134">
      <c r="A134" s="202"/>
      <c r="B134" s="202"/>
      <c r="C134" s="202"/>
      <c r="D134" s="202"/>
      <c r="E134" s="203"/>
      <c r="F134" s="203"/>
      <c r="G134" s="202"/>
      <c r="H134" s="202"/>
      <c r="I134" s="185"/>
      <c r="J134" s="185"/>
      <c r="K134" s="185"/>
      <c r="L134" s="185"/>
      <c r="M134" s="185"/>
      <c r="N134" s="185"/>
      <c r="O134" s="185"/>
      <c r="P134" s="185"/>
      <c r="Q134" s="185"/>
      <c r="R134" s="185"/>
      <c r="S134" s="185"/>
      <c r="T134" s="185"/>
      <c r="U134" s="185"/>
      <c r="V134" s="185"/>
      <c r="W134" s="185"/>
      <c r="X134" s="185"/>
      <c r="Y134" s="185"/>
      <c r="Z134" s="185"/>
      <c r="AA134" s="185"/>
      <c r="AB134" s="185" t="str">
        <f>IFERROR(__xludf.DUMMYFUNCTION("LET(width,COLUMN($AB$1)-COLUMN($G$1),r,INDEX($G134:$AAB134,1,SEQUENCE(1,width)),flat,TOCOL(r,1),bad,FILTER(flat,COUNTIF('リスト'!$E:$E,flat)=0),IFERROR(TEXTJOIN(""\n"",TRUE,bad),""""))"),"")</f>
        <v/>
      </c>
      <c r="AC134" s="185"/>
      <c r="AD134" s="185"/>
    </row>
    <row r="135">
      <c r="A135" s="202"/>
      <c r="B135" s="202"/>
      <c r="C135" s="202"/>
      <c r="D135" s="202"/>
      <c r="E135" s="203"/>
      <c r="F135" s="203"/>
      <c r="G135" s="202"/>
      <c r="H135" s="202"/>
      <c r="I135" s="185"/>
      <c r="J135" s="185"/>
      <c r="K135" s="185"/>
      <c r="L135" s="185"/>
      <c r="M135" s="185"/>
      <c r="N135" s="185"/>
      <c r="O135" s="185"/>
      <c r="P135" s="185"/>
      <c r="Q135" s="185"/>
      <c r="R135" s="185"/>
      <c r="S135" s="185"/>
      <c r="T135" s="185"/>
      <c r="U135" s="185"/>
      <c r="V135" s="185"/>
      <c r="W135" s="185"/>
      <c r="X135" s="185"/>
      <c r="Y135" s="185"/>
      <c r="Z135" s="185"/>
      <c r="AA135" s="185"/>
      <c r="AB135" s="185" t="str">
        <f>IFERROR(__xludf.DUMMYFUNCTION("LET(width,COLUMN($AB$1)-COLUMN($G$1),r,INDEX($G135:$AAB135,1,SEQUENCE(1,width)),flat,TOCOL(r,1),bad,FILTER(flat,COUNTIF('リスト'!$E:$E,flat)=0),IFERROR(TEXTJOIN(""\n"",TRUE,bad),""""))"),"")</f>
        <v/>
      </c>
      <c r="AC135" s="185"/>
      <c r="AD135" s="185"/>
    </row>
    <row r="136">
      <c r="A136" s="202"/>
      <c r="B136" s="202"/>
      <c r="C136" s="202"/>
      <c r="D136" s="202"/>
      <c r="E136" s="203"/>
      <c r="F136" s="203"/>
      <c r="G136" s="202"/>
      <c r="H136" s="202"/>
      <c r="I136" s="185"/>
      <c r="J136" s="185"/>
      <c r="K136" s="185"/>
      <c r="L136" s="185"/>
      <c r="M136" s="185"/>
      <c r="N136" s="185"/>
      <c r="O136" s="185"/>
      <c r="P136" s="185"/>
      <c r="Q136" s="185"/>
      <c r="R136" s="185"/>
      <c r="S136" s="185"/>
      <c r="T136" s="185"/>
      <c r="U136" s="185"/>
      <c r="V136" s="185"/>
      <c r="W136" s="185"/>
      <c r="X136" s="185"/>
      <c r="Y136" s="185"/>
      <c r="Z136" s="185"/>
      <c r="AA136" s="185"/>
      <c r="AB136" s="185" t="str">
        <f>IFERROR(__xludf.DUMMYFUNCTION("LET(width,COLUMN($AB$1)-COLUMN($G$1),r,INDEX($G136:$AAB136,1,SEQUENCE(1,width)),flat,TOCOL(r,1),bad,FILTER(flat,COUNTIF('リスト'!$E:$E,flat)=0),IFERROR(TEXTJOIN(""\n"",TRUE,bad),""""))"),"")</f>
        <v/>
      </c>
      <c r="AC136" s="185"/>
      <c r="AD136" s="185"/>
    </row>
    <row r="137">
      <c r="A137" s="202"/>
      <c r="B137" s="202"/>
      <c r="C137" s="202"/>
      <c r="D137" s="202"/>
      <c r="E137" s="203"/>
      <c r="F137" s="203"/>
      <c r="G137" s="202"/>
      <c r="H137" s="202"/>
      <c r="I137" s="185"/>
      <c r="J137" s="185"/>
      <c r="K137" s="185"/>
      <c r="L137" s="185"/>
      <c r="M137" s="185"/>
      <c r="N137" s="185"/>
      <c r="O137" s="185"/>
      <c r="P137" s="185"/>
      <c r="Q137" s="185"/>
      <c r="R137" s="185"/>
      <c r="S137" s="185"/>
      <c r="T137" s="185"/>
      <c r="U137" s="185"/>
      <c r="V137" s="185"/>
      <c r="W137" s="185"/>
      <c r="X137" s="185"/>
      <c r="Y137" s="185"/>
      <c r="Z137" s="185"/>
      <c r="AA137" s="185"/>
      <c r="AB137" s="185" t="str">
        <f>IFERROR(__xludf.DUMMYFUNCTION("LET(width,COLUMN($AB$1)-COLUMN($G$1),r,INDEX($G137:$AAB137,1,SEQUENCE(1,width)),flat,TOCOL(r,1),bad,FILTER(flat,COUNTIF('リスト'!$E:$E,flat)=0),IFERROR(TEXTJOIN(""\n"",TRUE,bad),""""))"),"")</f>
        <v/>
      </c>
      <c r="AC137" s="185"/>
      <c r="AD137" s="185"/>
    </row>
    <row r="138">
      <c r="A138" s="202"/>
      <c r="B138" s="202"/>
      <c r="C138" s="202"/>
      <c r="D138" s="202"/>
      <c r="E138" s="203"/>
      <c r="F138" s="203"/>
      <c r="G138" s="202"/>
      <c r="H138" s="202"/>
      <c r="I138" s="185"/>
      <c r="J138" s="185"/>
      <c r="K138" s="185"/>
      <c r="L138" s="185"/>
      <c r="M138" s="185"/>
      <c r="N138" s="185"/>
      <c r="O138" s="185"/>
      <c r="P138" s="185"/>
      <c r="Q138" s="185"/>
      <c r="R138" s="185"/>
      <c r="S138" s="185"/>
      <c r="T138" s="185"/>
      <c r="U138" s="185"/>
      <c r="V138" s="185"/>
      <c r="W138" s="185"/>
      <c r="X138" s="185"/>
      <c r="Y138" s="185"/>
      <c r="Z138" s="185"/>
      <c r="AA138" s="185"/>
      <c r="AB138" s="185" t="str">
        <f>IFERROR(__xludf.DUMMYFUNCTION("LET(width,COLUMN($AB$1)-COLUMN($G$1),r,INDEX($G138:$AAB138,1,SEQUENCE(1,width)),flat,TOCOL(r,1),bad,FILTER(flat,COUNTIF('リスト'!$E:$E,flat)=0),IFERROR(TEXTJOIN(""\n"",TRUE,bad),""""))"),"")</f>
        <v/>
      </c>
      <c r="AC138" s="185"/>
      <c r="AD138" s="185"/>
    </row>
    <row r="139">
      <c r="A139" s="202"/>
      <c r="B139" s="202"/>
      <c r="C139" s="202"/>
      <c r="D139" s="202"/>
      <c r="E139" s="203"/>
      <c r="F139" s="203"/>
      <c r="G139" s="202"/>
      <c r="H139" s="202"/>
      <c r="I139" s="185"/>
      <c r="J139" s="185"/>
      <c r="K139" s="185"/>
      <c r="L139" s="185"/>
      <c r="M139" s="185"/>
      <c r="N139" s="185"/>
      <c r="O139" s="185"/>
      <c r="P139" s="185"/>
      <c r="Q139" s="185"/>
      <c r="R139" s="185"/>
      <c r="S139" s="185"/>
      <c r="T139" s="185"/>
      <c r="U139" s="185"/>
      <c r="V139" s="185"/>
      <c r="W139" s="185"/>
      <c r="X139" s="185"/>
      <c r="Y139" s="185"/>
      <c r="Z139" s="185"/>
      <c r="AA139" s="185"/>
      <c r="AB139" s="185" t="str">
        <f>IFERROR(__xludf.DUMMYFUNCTION("LET(width,COLUMN($AB$1)-COLUMN($G$1),r,INDEX($G139:$AAB139,1,SEQUENCE(1,width)),flat,TOCOL(r,1),bad,FILTER(flat,COUNTIF('リスト'!$E:$E,flat)=0),IFERROR(TEXTJOIN(""\n"",TRUE,bad),""""))"),"")</f>
        <v/>
      </c>
      <c r="AC139" s="185"/>
      <c r="AD139" s="185"/>
    </row>
    <row r="140">
      <c r="A140" s="202"/>
      <c r="B140" s="202"/>
      <c r="C140" s="202"/>
      <c r="D140" s="202"/>
      <c r="E140" s="203"/>
      <c r="F140" s="203"/>
      <c r="G140" s="202"/>
      <c r="H140" s="202"/>
      <c r="I140" s="185"/>
      <c r="J140" s="185"/>
      <c r="K140" s="185"/>
      <c r="L140" s="185"/>
      <c r="M140" s="185"/>
      <c r="N140" s="185"/>
      <c r="O140" s="185"/>
      <c r="P140" s="185"/>
      <c r="Q140" s="185"/>
      <c r="R140" s="185"/>
      <c r="S140" s="185"/>
      <c r="T140" s="185"/>
      <c r="U140" s="185"/>
      <c r="V140" s="185"/>
      <c r="W140" s="185"/>
      <c r="X140" s="185"/>
      <c r="Y140" s="185"/>
      <c r="Z140" s="185"/>
      <c r="AA140" s="185"/>
      <c r="AB140" s="185" t="str">
        <f>IFERROR(__xludf.DUMMYFUNCTION("LET(width,COLUMN($AB$1)-COLUMN($G$1),r,INDEX($G140:$AAB140,1,SEQUENCE(1,width)),flat,TOCOL(r,1),bad,FILTER(flat,COUNTIF('リスト'!$E:$E,flat)=0),IFERROR(TEXTJOIN(""\n"",TRUE,bad),""""))"),"")</f>
        <v/>
      </c>
      <c r="AC140" s="185"/>
      <c r="AD140" s="185"/>
    </row>
    <row r="141">
      <c r="A141" s="202"/>
      <c r="B141" s="202"/>
      <c r="C141" s="202"/>
      <c r="D141" s="202"/>
      <c r="E141" s="203"/>
      <c r="F141" s="203"/>
      <c r="G141" s="202"/>
      <c r="H141" s="202"/>
      <c r="I141" s="185"/>
      <c r="J141" s="185"/>
      <c r="K141" s="185"/>
      <c r="L141" s="185"/>
      <c r="M141" s="185"/>
      <c r="N141" s="185"/>
      <c r="O141" s="185"/>
      <c r="P141" s="185"/>
      <c r="Q141" s="185"/>
      <c r="R141" s="185"/>
      <c r="S141" s="185"/>
      <c r="T141" s="185"/>
      <c r="U141" s="185"/>
      <c r="V141" s="185"/>
      <c r="W141" s="185"/>
      <c r="X141" s="185"/>
      <c r="Y141" s="185"/>
      <c r="Z141" s="185"/>
      <c r="AA141" s="185"/>
      <c r="AB141" s="185" t="str">
        <f>IFERROR(__xludf.DUMMYFUNCTION("LET(width,COLUMN($AB$1)-COLUMN($G$1),r,INDEX($G141:$AAB141,1,SEQUENCE(1,width)),flat,TOCOL(r,1),bad,FILTER(flat,COUNTIF('リスト'!$E:$E,flat)=0),IFERROR(TEXTJOIN(""\n"",TRUE,bad),""""))"),"")</f>
        <v/>
      </c>
      <c r="AC141" s="185"/>
      <c r="AD141" s="185"/>
    </row>
    <row r="142">
      <c r="A142" s="202"/>
      <c r="B142" s="202"/>
      <c r="C142" s="202"/>
      <c r="D142" s="202"/>
      <c r="E142" s="203"/>
      <c r="F142" s="203"/>
      <c r="G142" s="202"/>
      <c r="H142" s="202"/>
      <c r="I142" s="185"/>
      <c r="J142" s="185"/>
      <c r="K142" s="185"/>
      <c r="L142" s="185"/>
      <c r="M142" s="185"/>
      <c r="N142" s="185"/>
      <c r="O142" s="185"/>
      <c r="P142" s="185"/>
      <c r="Q142" s="185"/>
      <c r="R142" s="185"/>
      <c r="S142" s="185"/>
      <c r="T142" s="185"/>
      <c r="U142" s="185"/>
      <c r="V142" s="185"/>
      <c r="W142" s="185"/>
      <c r="X142" s="185"/>
      <c r="Y142" s="185"/>
      <c r="Z142" s="185"/>
      <c r="AA142" s="185"/>
      <c r="AB142" s="185" t="str">
        <f>IFERROR(__xludf.DUMMYFUNCTION("LET(width,COLUMN($AB$1)-COLUMN($G$1),r,INDEX($G142:$AAB142,1,SEQUENCE(1,width)),flat,TOCOL(r,1),bad,FILTER(flat,COUNTIF('リスト'!$E:$E,flat)=0),IFERROR(TEXTJOIN(""\n"",TRUE,bad),""""))"),"")</f>
        <v/>
      </c>
      <c r="AC142" s="185"/>
      <c r="AD142" s="185"/>
    </row>
    <row r="143">
      <c r="A143" s="202"/>
      <c r="B143" s="202"/>
      <c r="C143" s="202"/>
      <c r="D143" s="202"/>
      <c r="E143" s="203"/>
      <c r="F143" s="203"/>
      <c r="G143" s="202"/>
      <c r="H143" s="202"/>
      <c r="I143" s="185"/>
      <c r="J143" s="185"/>
      <c r="K143" s="185"/>
      <c r="L143" s="185"/>
      <c r="M143" s="185"/>
      <c r="N143" s="185"/>
      <c r="O143" s="185"/>
      <c r="P143" s="185"/>
      <c r="Q143" s="185"/>
      <c r="R143" s="185"/>
      <c r="S143" s="185"/>
      <c r="T143" s="185"/>
      <c r="U143" s="185"/>
      <c r="V143" s="185"/>
      <c r="W143" s="185"/>
      <c r="X143" s="185"/>
      <c r="Y143" s="185"/>
      <c r="Z143" s="185"/>
      <c r="AA143" s="185"/>
      <c r="AB143" s="185" t="str">
        <f>IFERROR(__xludf.DUMMYFUNCTION("LET(width,COLUMN($AB$1)-COLUMN($G$1),r,INDEX($G143:$AAB143,1,SEQUENCE(1,width)),flat,TOCOL(r,1),bad,FILTER(flat,COUNTIF('リスト'!$E:$E,flat)=0),IFERROR(TEXTJOIN(""\n"",TRUE,bad),""""))"),"")</f>
        <v/>
      </c>
      <c r="AC143" s="185"/>
      <c r="AD143" s="185"/>
    </row>
    <row r="144">
      <c r="A144" s="202"/>
      <c r="B144" s="202"/>
      <c r="C144" s="202"/>
      <c r="D144" s="202"/>
      <c r="E144" s="203"/>
      <c r="F144" s="203"/>
      <c r="G144" s="202"/>
      <c r="H144" s="202"/>
      <c r="I144" s="185"/>
      <c r="J144" s="185"/>
      <c r="K144" s="185"/>
      <c r="L144" s="185"/>
      <c r="M144" s="185"/>
      <c r="N144" s="185"/>
      <c r="O144" s="185"/>
      <c r="P144" s="185"/>
      <c r="Q144" s="185"/>
      <c r="R144" s="185"/>
      <c r="S144" s="185"/>
      <c r="T144" s="185"/>
      <c r="U144" s="185"/>
      <c r="V144" s="185"/>
      <c r="W144" s="185"/>
      <c r="X144" s="185"/>
      <c r="Y144" s="185"/>
      <c r="Z144" s="185"/>
      <c r="AA144" s="185"/>
      <c r="AB144" s="185" t="str">
        <f>IFERROR(__xludf.DUMMYFUNCTION("LET(width,COLUMN($AB$1)-COLUMN($G$1),r,INDEX($G144:$AAB144,1,SEQUENCE(1,width)),flat,TOCOL(r,1),bad,FILTER(flat,COUNTIF('リスト'!$E:$E,flat)=0),IFERROR(TEXTJOIN(""\n"",TRUE,bad),""""))"),"")</f>
        <v/>
      </c>
      <c r="AC144" s="185"/>
      <c r="AD144" s="185"/>
    </row>
    <row r="145">
      <c r="A145" s="202"/>
      <c r="B145" s="202"/>
      <c r="C145" s="202"/>
      <c r="D145" s="202"/>
      <c r="E145" s="203"/>
      <c r="F145" s="203"/>
      <c r="G145" s="202"/>
      <c r="H145" s="202"/>
      <c r="I145" s="185"/>
      <c r="J145" s="185"/>
      <c r="K145" s="185"/>
      <c r="L145" s="185"/>
      <c r="M145" s="185"/>
      <c r="N145" s="185"/>
      <c r="O145" s="185"/>
      <c r="P145" s="185"/>
      <c r="Q145" s="185"/>
      <c r="R145" s="185"/>
      <c r="S145" s="185"/>
      <c r="T145" s="185"/>
      <c r="U145" s="185"/>
      <c r="V145" s="185"/>
      <c r="W145" s="185"/>
      <c r="X145" s="185"/>
      <c r="Y145" s="185"/>
      <c r="Z145" s="185"/>
      <c r="AA145" s="185"/>
      <c r="AB145" s="185" t="str">
        <f>IFERROR(__xludf.DUMMYFUNCTION("LET(width,COLUMN($AB$1)-COLUMN($G$1),r,INDEX($G145:$AAB145,1,SEQUENCE(1,width)),flat,TOCOL(r,1),bad,FILTER(flat,COUNTIF('リスト'!$E:$E,flat)=0),IFERROR(TEXTJOIN(""\n"",TRUE,bad),""""))"),"")</f>
        <v/>
      </c>
      <c r="AC145" s="185"/>
      <c r="AD145" s="185"/>
    </row>
    <row r="146">
      <c r="A146" s="202"/>
      <c r="B146" s="202"/>
      <c r="C146" s="202"/>
      <c r="D146" s="202"/>
      <c r="E146" s="203"/>
      <c r="F146" s="203"/>
      <c r="G146" s="202"/>
      <c r="H146" s="202"/>
      <c r="I146" s="185"/>
      <c r="J146" s="185"/>
      <c r="K146" s="185"/>
      <c r="L146" s="185"/>
      <c r="M146" s="185"/>
      <c r="N146" s="185"/>
      <c r="O146" s="185"/>
      <c r="P146" s="185"/>
      <c r="Q146" s="185"/>
      <c r="R146" s="185"/>
      <c r="S146" s="185"/>
      <c r="T146" s="185"/>
      <c r="U146" s="185"/>
      <c r="V146" s="185"/>
      <c r="W146" s="185"/>
      <c r="X146" s="185"/>
      <c r="Y146" s="185"/>
      <c r="Z146" s="185"/>
      <c r="AA146" s="185"/>
      <c r="AB146" s="185" t="str">
        <f>IFERROR(__xludf.DUMMYFUNCTION("LET(width,COLUMN($AB$1)-COLUMN($G$1),r,INDEX($G146:$AAB146,1,SEQUENCE(1,width)),flat,TOCOL(r,1),bad,FILTER(flat,COUNTIF('リスト'!$E:$E,flat)=0),IFERROR(TEXTJOIN(""\n"",TRUE,bad),""""))"),"")</f>
        <v/>
      </c>
      <c r="AC146" s="185"/>
      <c r="AD146" s="185"/>
    </row>
    <row r="147">
      <c r="A147" s="202"/>
      <c r="B147" s="202"/>
      <c r="C147" s="202"/>
      <c r="D147" s="202"/>
      <c r="E147" s="203"/>
      <c r="F147" s="203"/>
      <c r="G147" s="202"/>
      <c r="H147" s="202"/>
      <c r="I147" s="185"/>
      <c r="J147" s="185"/>
      <c r="K147" s="185"/>
      <c r="L147" s="185"/>
      <c r="M147" s="185"/>
      <c r="N147" s="185"/>
      <c r="O147" s="185"/>
      <c r="P147" s="185"/>
      <c r="Q147" s="185"/>
      <c r="R147" s="185"/>
      <c r="S147" s="185"/>
      <c r="T147" s="185"/>
      <c r="U147" s="185"/>
      <c r="V147" s="185"/>
      <c r="W147" s="185"/>
      <c r="X147" s="185"/>
      <c r="Y147" s="185"/>
      <c r="Z147" s="185"/>
      <c r="AA147" s="185"/>
      <c r="AB147" s="185" t="str">
        <f>IFERROR(__xludf.DUMMYFUNCTION("LET(width,COLUMN($AB$1)-COLUMN($G$1),r,INDEX($G147:$AAB147,1,SEQUENCE(1,width)),flat,TOCOL(r,1),bad,FILTER(flat,COUNTIF('リスト'!$E:$E,flat)=0),IFERROR(TEXTJOIN(""\n"",TRUE,bad),""""))"),"")</f>
        <v/>
      </c>
      <c r="AC147" s="185"/>
      <c r="AD147" s="185"/>
    </row>
    <row r="148">
      <c r="A148" s="202"/>
      <c r="B148" s="202"/>
      <c r="C148" s="202"/>
      <c r="D148" s="202"/>
      <c r="E148" s="203"/>
      <c r="F148" s="203"/>
      <c r="G148" s="202"/>
      <c r="H148" s="202"/>
      <c r="I148" s="185"/>
      <c r="J148" s="185"/>
      <c r="K148" s="185"/>
      <c r="L148" s="185"/>
      <c r="M148" s="185"/>
      <c r="N148" s="185"/>
      <c r="O148" s="185"/>
      <c r="P148" s="185"/>
      <c r="Q148" s="185"/>
      <c r="R148" s="185"/>
      <c r="S148" s="185"/>
      <c r="T148" s="185"/>
      <c r="U148" s="185"/>
      <c r="V148" s="185"/>
      <c r="W148" s="185"/>
      <c r="X148" s="185"/>
      <c r="Y148" s="185"/>
      <c r="Z148" s="185"/>
      <c r="AA148" s="185"/>
      <c r="AB148" s="185" t="str">
        <f>IFERROR(__xludf.DUMMYFUNCTION("LET(width,COLUMN($AB$1)-COLUMN($G$1),r,INDEX($G148:$AAB148,1,SEQUENCE(1,width)),flat,TOCOL(r,1),bad,FILTER(flat,COUNTIF('リスト'!$E:$E,flat)=0),IFERROR(TEXTJOIN(""\n"",TRUE,bad),""""))"),"")</f>
        <v/>
      </c>
      <c r="AC148" s="185"/>
      <c r="AD148" s="185"/>
    </row>
    <row r="149">
      <c r="A149" s="202"/>
      <c r="B149" s="202"/>
      <c r="C149" s="202"/>
      <c r="D149" s="202"/>
      <c r="E149" s="203"/>
      <c r="F149" s="203"/>
      <c r="G149" s="202"/>
      <c r="H149" s="202"/>
      <c r="I149" s="185"/>
      <c r="J149" s="185"/>
      <c r="K149" s="185"/>
      <c r="L149" s="185"/>
      <c r="M149" s="185"/>
      <c r="N149" s="185"/>
      <c r="O149" s="185"/>
      <c r="P149" s="185"/>
      <c r="Q149" s="185"/>
      <c r="R149" s="185"/>
      <c r="S149" s="185"/>
      <c r="T149" s="185"/>
      <c r="U149" s="185"/>
      <c r="V149" s="185"/>
      <c r="W149" s="185"/>
      <c r="X149" s="185"/>
      <c r="Y149" s="185"/>
      <c r="Z149" s="185"/>
      <c r="AA149" s="185"/>
      <c r="AB149" s="185" t="str">
        <f>IFERROR(__xludf.DUMMYFUNCTION("LET(width,COLUMN($AB$1)-COLUMN($G$1),r,INDEX($G149:$AAB149,1,SEQUENCE(1,width)),flat,TOCOL(r,1),bad,FILTER(flat,COUNTIF('リスト'!$E:$E,flat)=0),IFERROR(TEXTJOIN(""\n"",TRUE,bad),""""))"),"")</f>
        <v/>
      </c>
      <c r="AC149" s="185"/>
      <c r="AD149" s="185"/>
    </row>
    <row r="150">
      <c r="A150" s="202"/>
      <c r="B150" s="202"/>
      <c r="C150" s="202"/>
      <c r="D150" s="202"/>
      <c r="E150" s="203"/>
      <c r="F150" s="203"/>
      <c r="G150" s="202"/>
      <c r="H150" s="202"/>
      <c r="I150" s="185"/>
      <c r="J150" s="185"/>
      <c r="K150" s="185"/>
      <c r="L150" s="185"/>
      <c r="M150" s="185"/>
      <c r="N150" s="185"/>
      <c r="O150" s="185"/>
      <c r="P150" s="185"/>
      <c r="Q150" s="185"/>
      <c r="R150" s="185"/>
      <c r="S150" s="185"/>
      <c r="T150" s="185"/>
      <c r="U150" s="185"/>
      <c r="V150" s="185"/>
      <c r="W150" s="185"/>
      <c r="X150" s="185"/>
      <c r="Y150" s="185"/>
      <c r="Z150" s="185"/>
      <c r="AA150" s="185"/>
      <c r="AB150" s="185" t="str">
        <f>IFERROR(__xludf.DUMMYFUNCTION("LET(width,COLUMN($AB$1)-COLUMN($G$1),r,INDEX($G150:$AAB150,1,SEQUENCE(1,width)),flat,TOCOL(r,1),bad,FILTER(flat,COUNTIF('リスト'!$E:$E,flat)=0),IFERROR(TEXTJOIN(""\n"",TRUE,bad),""""))"),"")</f>
        <v/>
      </c>
      <c r="AC150" s="185"/>
      <c r="AD150" s="185"/>
    </row>
    <row r="151">
      <c r="A151" s="202"/>
      <c r="B151" s="202"/>
      <c r="C151" s="202"/>
      <c r="D151" s="202"/>
      <c r="E151" s="203"/>
      <c r="F151" s="203"/>
      <c r="G151" s="202"/>
      <c r="H151" s="202"/>
      <c r="I151" s="185"/>
      <c r="J151" s="185"/>
      <c r="K151" s="185"/>
      <c r="L151" s="185"/>
      <c r="M151" s="185"/>
      <c r="N151" s="185"/>
      <c r="O151" s="185"/>
      <c r="P151" s="185"/>
      <c r="Q151" s="185"/>
      <c r="R151" s="185"/>
      <c r="S151" s="185"/>
      <c r="T151" s="185"/>
      <c r="U151" s="185"/>
      <c r="V151" s="185"/>
      <c r="W151" s="185"/>
      <c r="X151" s="185"/>
      <c r="Y151" s="185"/>
      <c r="Z151" s="185"/>
      <c r="AA151" s="185"/>
      <c r="AB151" s="185" t="str">
        <f>IFERROR(__xludf.DUMMYFUNCTION("LET(width,COLUMN($AB$1)-COLUMN($G$1),r,INDEX($G151:$AAB151,1,SEQUENCE(1,width)),flat,TOCOL(r,1),bad,FILTER(flat,COUNTIF('リスト'!$E:$E,flat)=0),IFERROR(TEXTJOIN(""\n"",TRUE,bad),""""))"),"")</f>
        <v/>
      </c>
      <c r="AC151" s="185"/>
      <c r="AD151" s="185"/>
    </row>
    <row r="152">
      <c r="A152" s="202"/>
      <c r="B152" s="202"/>
      <c r="C152" s="202"/>
      <c r="D152" s="202"/>
      <c r="E152" s="203"/>
      <c r="F152" s="203"/>
      <c r="G152" s="202"/>
      <c r="H152" s="202"/>
      <c r="I152" s="185"/>
      <c r="J152" s="185"/>
      <c r="K152" s="185"/>
      <c r="L152" s="185"/>
      <c r="M152" s="185"/>
      <c r="N152" s="185"/>
      <c r="O152" s="185"/>
      <c r="P152" s="185"/>
      <c r="Q152" s="185"/>
      <c r="R152" s="185"/>
      <c r="S152" s="185"/>
      <c r="T152" s="185"/>
      <c r="U152" s="185"/>
      <c r="V152" s="185"/>
      <c r="W152" s="185"/>
      <c r="X152" s="185"/>
      <c r="Y152" s="185"/>
      <c r="Z152" s="185"/>
      <c r="AA152" s="185"/>
      <c r="AB152" s="185" t="str">
        <f>IFERROR(__xludf.DUMMYFUNCTION("LET(width,COLUMN($AB$1)-COLUMN($G$1),r,INDEX($G152:$AAB152,1,SEQUENCE(1,width)),flat,TOCOL(r,1),bad,FILTER(flat,COUNTIF('リスト'!$E:$E,flat)=0),IFERROR(TEXTJOIN(""\n"",TRUE,bad),""""))"),"")</f>
        <v/>
      </c>
      <c r="AC152" s="185"/>
      <c r="AD152" s="185"/>
    </row>
    <row r="153">
      <c r="A153" s="202"/>
      <c r="B153" s="202"/>
      <c r="C153" s="202"/>
      <c r="D153" s="202"/>
      <c r="E153" s="203"/>
      <c r="F153" s="203"/>
      <c r="G153" s="202"/>
      <c r="H153" s="202"/>
      <c r="I153" s="185"/>
      <c r="J153" s="185"/>
      <c r="K153" s="185"/>
      <c r="L153" s="185"/>
      <c r="M153" s="185"/>
      <c r="N153" s="185"/>
      <c r="O153" s="185"/>
      <c r="P153" s="185"/>
      <c r="Q153" s="185"/>
      <c r="R153" s="185"/>
      <c r="S153" s="185"/>
      <c r="T153" s="185"/>
      <c r="U153" s="185"/>
      <c r="V153" s="185"/>
      <c r="W153" s="185"/>
      <c r="X153" s="185"/>
      <c r="Y153" s="185"/>
      <c r="Z153" s="185"/>
      <c r="AA153" s="185"/>
      <c r="AB153" s="185" t="str">
        <f>IFERROR(__xludf.DUMMYFUNCTION("LET(width,COLUMN($AB$1)-COLUMN($G$1),r,INDEX($G153:$AAB153,1,SEQUENCE(1,width)),flat,TOCOL(r,1),bad,FILTER(flat,COUNTIF('リスト'!$E:$E,flat)=0),IFERROR(TEXTJOIN(""\n"",TRUE,bad),""""))"),"")</f>
        <v/>
      </c>
      <c r="AC153" s="185"/>
      <c r="AD153" s="185"/>
    </row>
    <row r="154">
      <c r="A154" s="202"/>
      <c r="B154" s="202"/>
      <c r="C154" s="202"/>
      <c r="D154" s="202"/>
      <c r="E154" s="203"/>
      <c r="F154" s="203"/>
      <c r="G154" s="202"/>
      <c r="H154" s="202"/>
      <c r="I154" s="185"/>
      <c r="J154" s="185"/>
      <c r="K154" s="185"/>
      <c r="L154" s="185"/>
      <c r="M154" s="185"/>
      <c r="N154" s="185"/>
      <c r="O154" s="185"/>
      <c r="P154" s="185"/>
      <c r="Q154" s="185"/>
      <c r="R154" s="185"/>
      <c r="S154" s="185"/>
      <c r="T154" s="185"/>
      <c r="U154" s="185"/>
      <c r="V154" s="185"/>
      <c r="W154" s="185"/>
      <c r="X154" s="185"/>
      <c r="Y154" s="185"/>
      <c r="Z154" s="185"/>
      <c r="AA154" s="185"/>
      <c r="AB154" s="185" t="str">
        <f>IFERROR(__xludf.DUMMYFUNCTION("LET(width,COLUMN($AB$1)-COLUMN($G$1),r,INDEX($G154:$AAB154,1,SEQUENCE(1,width)),flat,TOCOL(r,1),bad,FILTER(flat,COUNTIF('リスト'!$E:$E,flat)=0),IFERROR(TEXTJOIN(""\n"",TRUE,bad),""""))"),"")</f>
        <v/>
      </c>
      <c r="AC154" s="185"/>
      <c r="AD154" s="185"/>
    </row>
    <row r="155">
      <c r="A155" s="202"/>
      <c r="B155" s="202"/>
      <c r="C155" s="202"/>
      <c r="D155" s="202"/>
      <c r="E155" s="203"/>
      <c r="F155" s="203"/>
      <c r="G155" s="202"/>
      <c r="H155" s="202"/>
      <c r="I155" s="185"/>
      <c r="J155" s="185"/>
      <c r="K155" s="185"/>
      <c r="L155" s="185"/>
      <c r="M155" s="185"/>
      <c r="N155" s="185"/>
      <c r="O155" s="185"/>
      <c r="P155" s="185"/>
      <c r="Q155" s="185"/>
      <c r="R155" s="185"/>
      <c r="S155" s="185"/>
      <c r="T155" s="185"/>
      <c r="U155" s="185"/>
      <c r="V155" s="185"/>
      <c r="W155" s="185"/>
      <c r="X155" s="185"/>
      <c r="Y155" s="185"/>
      <c r="Z155" s="185"/>
      <c r="AA155" s="185"/>
      <c r="AB155" s="185" t="str">
        <f>IFERROR(__xludf.DUMMYFUNCTION("LET(width,COLUMN($AB$1)-COLUMN($G$1),r,INDEX($G155:$AAB155,1,SEQUENCE(1,width)),flat,TOCOL(r,1),bad,FILTER(flat,COUNTIF('リスト'!$E:$E,flat)=0),IFERROR(TEXTJOIN(""\n"",TRUE,bad),""""))"),"")</f>
        <v/>
      </c>
      <c r="AC155" s="185"/>
      <c r="AD155" s="185"/>
    </row>
    <row r="156">
      <c r="A156" s="202"/>
      <c r="B156" s="202"/>
      <c r="C156" s="202"/>
      <c r="D156" s="202"/>
      <c r="E156" s="203"/>
      <c r="F156" s="203"/>
      <c r="G156" s="202"/>
      <c r="H156" s="202"/>
      <c r="I156" s="185"/>
      <c r="J156" s="185"/>
      <c r="K156" s="185"/>
      <c r="L156" s="185"/>
      <c r="M156" s="185"/>
      <c r="N156" s="185"/>
      <c r="O156" s="185"/>
      <c r="P156" s="185"/>
      <c r="Q156" s="185"/>
      <c r="R156" s="185"/>
      <c r="S156" s="185"/>
      <c r="T156" s="185"/>
      <c r="U156" s="185"/>
      <c r="V156" s="185"/>
      <c r="W156" s="185"/>
      <c r="X156" s="185"/>
      <c r="Y156" s="185"/>
      <c r="Z156" s="185"/>
      <c r="AA156" s="185"/>
      <c r="AB156" s="185" t="str">
        <f>IFERROR(__xludf.DUMMYFUNCTION("LET(width,COLUMN($AB$1)-COLUMN($G$1),r,INDEX($G156:$AAB156,1,SEQUENCE(1,width)),flat,TOCOL(r,1),bad,FILTER(flat,COUNTIF('リスト'!$E:$E,flat)=0),IFERROR(TEXTJOIN(""\n"",TRUE,bad),""""))"),"")</f>
        <v/>
      </c>
      <c r="AC156" s="185"/>
      <c r="AD156" s="185"/>
    </row>
    <row r="157">
      <c r="A157" s="202"/>
      <c r="B157" s="202"/>
      <c r="C157" s="202"/>
      <c r="D157" s="202"/>
      <c r="E157" s="203"/>
      <c r="F157" s="203"/>
      <c r="G157" s="202"/>
      <c r="H157" s="202"/>
      <c r="I157" s="185"/>
      <c r="J157" s="185"/>
      <c r="K157" s="185"/>
      <c r="L157" s="185"/>
      <c r="M157" s="185"/>
      <c r="N157" s="185"/>
      <c r="O157" s="185"/>
      <c r="P157" s="185"/>
      <c r="Q157" s="185"/>
      <c r="R157" s="185"/>
      <c r="S157" s="185"/>
      <c r="T157" s="185"/>
      <c r="U157" s="185"/>
      <c r="V157" s="185"/>
      <c r="W157" s="185"/>
      <c r="X157" s="185"/>
      <c r="Y157" s="185"/>
      <c r="Z157" s="185"/>
      <c r="AA157" s="185"/>
      <c r="AB157" s="185" t="str">
        <f>IFERROR(__xludf.DUMMYFUNCTION("LET(width,COLUMN($AB$1)-COLUMN($G$1),r,INDEX($G157:$AAB157,1,SEQUENCE(1,width)),flat,TOCOL(r,1),bad,FILTER(flat,COUNTIF('リスト'!$E:$E,flat)=0),IFERROR(TEXTJOIN(""\n"",TRUE,bad),""""))"),"")</f>
        <v/>
      </c>
      <c r="AC157" s="185"/>
      <c r="AD157" s="185"/>
    </row>
    <row r="158">
      <c r="A158" s="202"/>
      <c r="B158" s="202"/>
      <c r="C158" s="202"/>
      <c r="D158" s="202"/>
      <c r="E158" s="203"/>
      <c r="F158" s="203"/>
      <c r="G158" s="202"/>
      <c r="H158" s="202"/>
      <c r="I158" s="185"/>
      <c r="J158" s="185"/>
      <c r="K158" s="185"/>
      <c r="L158" s="185"/>
      <c r="M158" s="185"/>
      <c r="N158" s="185"/>
      <c r="O158" s="185"/>
      <c r="P158" s="185"/>
      <c r="Q158" s="185"/>
      <c r="R158" s="185"/>
      <c r="S158" s="185"/>
      <c r="T158" s="185"/>
      <c r="U158" s="185"/>
      <c r="V158" s="185"/>
      <c r="W158" s="185"/>
      <c r="X158" s="185"/>
      <c r="Y158" s="185"/>
      <c r="Z158" s="185"/>
      <c r="AA158" s="185"/>
      <c r="AB158" s="185" t="str">
        <f>IFERROR(__xludf.DUMMYFUNCTION("LET(width,COLUMN($AB$1)-COLUMN($G$1),r,INDEX($G158:$AAB158,1,SEQUENCE(1,width)),flat,TOCOL(r,1),bad,FILTER(flat,COUNTIF('リスト'!$E:$E,flat)=0),IFERROR(TEXTJOIN(""\n"",TRUE,bad),""""))"),"")</f>
        <v/>
      </c>
      <c r="AC158" s="185"/>
      <c r="AD158" s="185"/>
    </row>
    <row r="159">
      <c r="A159" s="202"/>
      <c r="B159" s="202"/>
      <c r="C159" s="202"/>
      <c r="D159" s="202"/>
      <c r="E159" s="203"/>
      <c r="F159" s="203"/>
      <c r="G159" s="202"/>
      <c r="H159" s="202"/>
      <c r="I159" s="185"/>
      <c r="J159" s="185"/>
      <c r="K159" s="185"/>
      <c r="L159" s="185"/>
      <c r="M159" s="185"/>
      <c r="N159" s="185"/>
      <c r="O159" s="185"/>
      <c r="P159" s="185"/>
      <c r="Q159" s="185"/>
      <c r="R159" s="185"/>
      <c r="S159" s="185"/>
      <c r="T159" s="185"/>
      <c r="U159" s="185"/>
      <c r="V159" s="185"/>
      <c r="W159" s="185"/>
      <c r="X159" s="185"/>
      <c r="Y159" s="185"/>
      <c r="Z159" s="185"/>
      <c r="AA159" s="185"/>
      <c r="AB159" s="185" t="str">
        <f>IFERROR(__xludf.DUMMYFUNCTION("LET(width,COLUMN($AB$1)-COLUMN($G$1),r,INDEX($G159:$AAB159,1,SEQUENCE(1,width)),flat,TOCOL(r,1),bad,FILTER(flat,COUNTIF('リスト'!$E:$E,flat)=0),IFERROR(TEXTJOIN(""\n"",TRUE,bad),""""))"),"")</f>
        <v/>
      </c>
      <c r="AC159" s="185"/>
      <c r="AD159" s="185"/>
    </row>
    <row r="160">
      <c r="A160" s="202"/>
      <c r="B160" s="202"/>
      <c r="C160" s="202"/>
      <c r="D160" s="202"/>
      <c r="E160" s="203"/>
      <c r="F160" s="203"/>
      <c r="G160" s="202"/>
      <c r="H160" s="202"/>
      <c r="I160" s="185"/>
      <c r="J160" s="185"/>
      <c r="K160" s="185"/>
      <c r="L160" s="185"/>
      <c r="M160" s="185"/>
      <c r="N160" s="185"/>
      <c r="O160" s="185"/>
      <c r="P160" s="185"/>
      <c r="Q160" s="185"/>
      <c r="R160" s="185"/>
      <c r="S160" s="185"/>
      <c r="T160" s="185"/>
      <c r="U160" s="185"/>
      <c r="V160" s="185"/>
      <c r="W160" s="185"/>
      <c r="X160" s="185"/>
      <c r="Y160" s="185"/>
      <c r="Z160" s="185"/>
      <c r="AA160" s="185"/>
      <c r="AB160" s="185" t="str">
        <f>IFERROR(__xludf.DUMMYFUNCTION("LET(width,COLUMN($AB$1)-COLUMN($G$1),r,INDEX($G160:$AAB160,1,SEQUENCE(1,width)),flat,TOCOL(r,1),bad,FILTER(flat,COUNTIF('リスト'!$E:$E,flat)=0),IFERROR(TEXTJOIN(""\n"",TRUE,bad),""""))"),"")</f>
        <v/>
      </c>
      <c r="AC160" s="185"/>
      <c r="AD160" s="185"/>
    </row>
    <row r="161">
      <c r="A161" s="202"/>
      <c r="B161" s="202"/>
      <c r="C161" s="202"/>
      <c r="D161" s="202"/>
      <c r="E161" s="203"/>
      <c r="F161" s="203"/>
      <c r="G161" s="202"/>
      <c r="H161" s="202"/>
      <c r="I161" s="185"/>
      <c r="J161" s="185"/>
      <c r="K161" s="185"/>
      <c r="L161" s="185"/>
      <c r="M161" s="185"/>
      <c r="N161" s="185"/>
      <c r="O161" s="185"/>
      <c r="P161" s="185"/>
      <c r="Q161" s="185"/>
      <c r="R161" s="185"/>
      <c r="S161" s="185"/>
      <c r="T161" s="185"/>
      <c r="U161" s="185"/>
      <c r="V161" s="185"/>
      <c r="W161" s="185"/>
      <c r="X161" s="185"/>
      <c r="Y161" s="185"/>
      <c r="Z161" s="185"/>
      <c r="AA161" s="185"/>
      <c r="AB161" s="185" t="str">
        <f>IFERROR(__xludf.DUMMYFUNCTION("LET(width,COLUMN($AB$1)-COLUMN($G$1),r,INDEX($G161:$AAB161,1,SEQUENCE(1,width)),flat,TOCOL(r,1),bad,FILTER(flat,COUNTIF('リスト'!$E:$E,flat)=0),IFERROR(TEXTJOIN(""\n"",TRUE,bad),""""))"),"")</f>
        <v/>
      </c>
      <c r="AC161" s="185"/>
      <c r="AD161" s="185"/>
    </row>
    <row r="162">
      <c r="A162" s="202"/>
      <c r="B162" s="202"/>
      <c r="C162" s="202"/>
      <c r="D162" s="202"/>
      <c r="E162" s="203"/>
      <c r="F162" s="203"/>
      <c r="G162" s="202"/>
      <c r="H162" s="202"/>
      <c r="I162" s="185"/>
      <c r="J162" s="185"/>
      <c r="K162" s="185"/>
      <c r="L162" s="185"/>
      <c r="M162" s="185"/>
      <c r="N162" s="185"/>
      <c r="O162" s="185"/>
      <c r="P162" s="185"/>
      <c r="Q162" s="185"/>
      <c r="R162" s="185"/>
      <c r="S162" s="185"/>
      <c r="T162" s="185"/>
      <c r="U162" s="185"/>
      <c r="V162" s="185"/>
      <c r="W162" s="185"/>
      <c r="X162" s="185"/>
      <c r="Y162" s="185"/>
      <c r="Z162" s="185"/>
      <c r="AA162" s="185"/>
      <c r="AB162" s="185" t="str">
        <f>IFERROR(__xludf.DUMMYFUNCTION("LET(width,COLUMN($AB$1)-COLUMN($G$1),r,INDEX($G162:$AAB162,1,SEQUENCE(1,width)),flat,TOCOL(r,1),bad,FILTER(flat,COUNTIF('リスト'!$E:$E,flat)=0),IFERROR(TEXTJOIN(""\n"",TRUE,bad),""""))"),"")</f>
        <v/>
      </c>
      <c r="AC162" s="185"/>
      <c r="AD162" s="185"/>
    </row>
    <row r="163">
      <c r="A163" s="202"/>
      <c r="B163" s="202"/>
      <c r="C163" s="202"/>
      <c r="D163" s="202"/>
      <c r="E163" s="203"/>
      <c r="F163" s="203"/>
      <c r="G163" s="202"/>
      <c r="H163" s="202"/>
      <c r="I163" s="185"/>
      <c r="J163" s="185"/>
      <c r="K163" s="185"/>
      <c r="L163" s="185"/>
      <c r="M163" s="185"/>
      <c r="N163" s="185"/>
      <c r="O163" s="185"/>
      <c r="P163" s="185"/>
      <c r="Q163" s="185"/>
      <c r="R163" s="185"/>
      <c r="S163" s="185"/>
      <c r="T163" s="185"/>
      <c r="U163" s="185"/>
      <c r="V163" s="185"/>
      <c r="W163" s="185"/>
      <c r="X163" s="185"/>
      <c r="Y163" s="185"/>
      <c r="Z163" s="185"/>
      <c r="AA163" s="185"/>
      <c r="AB163" s="185" t="str">
        <f>IFERROR(__xludf.DUMMYFUNCTION("LET(width,COLUMN($AB$1)-COLUMN($G$1),r,INDEX($G163:$AAB163,1,SEQUENCE(1,width)),flat,TOCOL(r,1),bad,FILTER(flat,COUNTIF('リスト'!$E:$E,flat)=0),IFERROR(TEXTJOIN(""\n"",TRUE,bad),""""))"),"")</f>
        <v/>
      </c>
      <c r="AC163" s="185"/>
      <c r="AD163" s="185"/>
    </row>
    <row r="164">
      <c r="A164" s="202"/>
      <c r="B164" s="202"/>
      <c r="C164" s="202"/>
      <c r="D164" s="202"/>
      <c r="E164" s="203"/>
      <c r="F164" s="203"/>
      <c r="G164" s="202"/>
      <c r="H164" s="202"/>
      <c r="I164" s="185"/>
      <c r="J164" s="185"/>
      <c r="K164" s="185"/>
      <c r="L164" s="185"/>
      <c r="M164" s="185"/>
      <c r="N164" s="185"/>
      <c r="O164" s="185"/>
      <c r="P164" s="185"/>
      <c r="Q164" s="185"/>
      <c r="R164" s="185"/>
      <c r="S164" s="185"/>
      <c r="T164" s="185"/>
      <c r="U164" s="185"/>
      <c r="V164" s="185"/>
      <c r="W164" s="185"/>
      <c r="X164" s="185"/>
      <c r="Y164" s="185"/>
      <c r="Z164" s="185"/>
      <c r="AA164" s="185"/>
      <c r="AB164" s="185" t="str">
        <f>IFERROR(__xludf.DUMMYFUNCTION("LET(width,COLUMN($AB$1)-COLUMN($G$1),r,INDEX($G164:$AAB164,1,SEQUENCE(1,width)),flat,TOCOL(r,1),bad,FILTER(flat,COUNTIF('リスト'!$E:$E,flat)=0),IFERROR(TEXTJOIN(""\n"",TRUE,bad),""""))"),"")</f>
        <v/>
      </c>
      <c r="AC164" s="185"/>
      <c r="AD164" s="185"/>
    </row>
    <row r="165">
      <c r="A165" s="202"/>
      <c r="B165" s="202"/>
      <c r="C165" s="202"/>
      <c r="D165" s="202"/>
      <c r="E165" s="203"/>
      <c r="F165" s="203"/>
      <c r="G165" s="202"/>
      <c r="H165" s="202"/>
      <c r="I165" s="185"/>
      <c r="J165" s="185"/>
      <c r="K165" s="185"/>
      <c r="L165" s="185"/>
      <c r="M165" s="185"/>
      <c r="N165" s="185"/>
      <c r="O165" s="185"/>
      <c r="P165" s="185"/>
      <c r="Q165" s="185"/>
      <c r="R165" s="185"/>
      <c r="S165" s="185"/>
      <c r="T165" s="185"/>
      <c r="U165" s="185"/>
      <c r="V165" s="185"/>
      <c r="W165" s="185"/>
      <c r="X165" s="185"/>
      <c r="Y165" s="185"/>
      <c r="Z165" s="185"/>
      <c r="AA165" s="185"/>
      <c r="AB165" s="185" t="str">
        <f>IFERROR(__xludf.DUMMYFUNCTION("LET(width,COLUMN($AB$1)-COLUMN($G$1),r,INDEX($G165:$AAB165,1,SEQUENCE(1,width)),flat,TOCOL(r,1),bad,FILTER(flat,COUNTIF('リスト'!$E:$E,flat)=0),IFERROR(TEXTJOIN(""\n"",TRUE,bad),""""))"),"")</f>
        <v/>
      </c>
      <c r="AC165" s="185"/>
      <c r="AD165" s="185"/>
    </row>
    <row r="166">
      <c r="A166" s="202"/>
      <c r="B166" s="202"/>
      <c r="C166" s="202"/>
      <c r="D166" s="202"/>
      <c r="E166" s="203"/>
      <c r="F166" s="203"/>
      <c r="G166" s="202"/>
      <c r="H166" s="202"/>
      <c r="I166" s="185"/>
      <c r="J166" s="185"/>
      <c r="K166" s="185"/>
      <c r="L166" s="185"/>
      <c r="M166" s="185"/>
      <c r="N166" s="185"/>
      <c r="O166" s="185"/>
      <c r="P166" s="185"/>
      <c r="Q166" s="185"/>
      <c r="R166" s="185"/>
      <c r="S166" s="185"/>
      <c r="T166" s="185"/>
      <c r="U166" s="185"/>
      <c r="V166" s="185"/>
      <c r="W166" s="185"/>
      <c r="X166" s="185"/>
      <c r="Y166" s="185"/>
      <c r="Z166" s="185"/>
      <c r="AA166" s="185"/>
      <c r="AB166" s="185" t="str">
        <f>IFERROR(__xludf.DUMMYFUNCTION("LET(width,COLUMN($AB$1)-COLUMN($G$1),r,INDEX($G166:$AAB166,1,SEQUENCE(1,width)),flat,TOCOL(r,1),bad,FILTER(flat,COUNTIF('リスト'!$E:$E,flat)=0),IFERROR(TEXTJOIN(""\n"",TRUE,bad),""""))"),"")</f>
        <v/>
      </c>
      <c r="AC166" s="185"/>
      <c r="AD166" s="185"/>
    </row>
    <row r="167">
      <c r="A167" s="202"/>
      <c r="B167" s="202"/>
      <c r="C167" s="202"/>
      <c r="D167" s="202"/>
      <c r="E167" s="203"/>
      <c r="F167" s="203"/>
      <c r="G167" s="202"/>
      <c r="H167" s="202"/>
      <c r="I167" s="202"/>
      <c r="J167" s="185"/>
      <c r="K167" s="185"/>
      <c r="L167" s="185"/>
      <c r="M167" s="185"/>
      <c r="N167" s="185"/>
      <c r="O167" s="185"/>
      <c r="P167" s="185"/>
      <c r="Q167" s="185"/>
      <c r="R167" s="185"/>
      <c r="S167" s="185"/>
      <c r="T167" s="185"/>
      <c r="U167" s="185"/>
      <c r="V167" s="185"/>
      <c r="W167" s="185"/>
      <c r="X167" s="185"/>
      <c r="Y167" s="185"/>
      <c r="Z167" s="185"/>
      <c r="AA167" s="185"/>
      <c r="AB167" s="185" t="str">
        <f>IFERROR(__xludf.DUMMYFUNCTION("LET(width,COLUMN($AB$1)-COLUMN($G$1),r,INDEX($G167:$AAB167,1,SEQUENCE(1,width)),flat,TOCOL(r,1),bad,FILTER(flat,COUNTIF('リスト'!$E:$E,flat)=0),IFERROR(TEXTJOIN(""\n"",TRUE,bad),""""))"),"")</f>
        <v/>
      </c>
      <c r="AC167" s="185"/>
      <c r="AD167" s="185"/>
    </row>
    <row r="168">
      <c r="A168" s="202"/>
      <c r="B168" s="202"/>
      <c r="C168" s="202"/>
      <c r="D168" s="202"/>
      <c r="E168" s="203"/>
      <c r="F168" s="203"/>
      <c r="G168" s="202"/>
      <c r="H168" s="202"/>
      <c r="I168" s="185"/>
      <c r="J168" s="185"/>
      <c r="K168" s="185"/>
      <c r="L168" s="185"/>
      <c r="M168" s="185"/>
      <c r="N168" s="185"/>
      <c r="O168" s="185"/>
      <c r="P168" s="185"/>
      <c r="Q168" s="185"/>
      <c r="R168" s="185"/>
      <c r="S168" s="185"/>
      <c r="T168" s="185"/>
      <c r="U168" s="185"/>
      <c r="V168" s="185"/>
      <c r="W168" s="185"/>
      <c r="X168" s="185"/>
      <c r="Y168" s="185"/>
      <c r="Z168" s="185"/>
      <c r="AA168" s="185"/>
      <c r="AB168" s="185" t="str">
        <f>IFERROR(__xludf.DUMMYFUNCTION("LET(width,COLUMN($AB$1)-COLUMN($G$1),r,INDEX($G168:$AAB168,1,SEQUENCE(1,width)),flat,TOCOL(r,1),bad,FILTER(flat,COUNTIF('リスト'!$E:$E,flat)=0),IFERROR(TEXTJOIN(""\n"",TRUE,bad),""""))"),"")</f>
        <v/>
      </c>
      <c r="AC168" s="185"/>
      <c r="AD168" s="185"/>
    </row>
    <row r="169">
      <c r="A169" s="202"/>
      <c r="B169" s="202"/>
      <c r="C169" s="202"/>
      <c r="D169" s="202"/>
      <c r="E169" s="203"/>
      <c r="F169" s="203"/>
      <c r="G169" s="202"/>
      <c r="H169" s="202"/>
      <c r="I169" s="185"/>
      <c r="J169" s="185"/>
      <c r="K169" s="185"/>
      <c r="L169" s="185"/>
      <c r="M169" s="185"/>
      <c r="N169" s="185"/>
      <c r="O169" s="185"/>
      <c r="P169" s="185"/>
      <c r="Q169" s="185"/>
      <c r="R169" s="185"/>
      <c r="S169" s="185"/>
      <c r="T169" s="185"/>
      <c r="U169" s="185"/>
      <c r="V169" s="185"/>
      <c r="W169" s="185"/>
      <c r="X169" s="185"/>
      <c r="Y169" s="185"/>
      <c r="Z169" s="185"/>
      <c r="AA169" s="185"/>
      <c r="AB169" s="185" t="str">
        <f>IFERROR(__xludf.DUMMYFUNCTION("LET(width,COLUMN($AB$1)-COLUMN($G$1),r,INDEX($G169:$AAB169,1,SEQUENCE(1,width)),flat,TOCOL(r,1),bad,FILTER(flat,COUNTIF('リスト'!$E:$E,flat)=0),IFERROR(TEXTJOIN(""\n"",TRUE,bad),""""))"),"")</f>
        <v/>
      </c>
      <c r="AC169" s="185"/>
      <c r="AD169" s="185"/>
    </row>
    <row r="170">
      <c r="A170" s="202"/>
      <c r="B170" s="185"/>
      <c r="C170" s="202"/>
      <c r="D170" s="202"/>
      <c r="E170" s="203"/>
      <c r="F170" s="203"/>
      <c r="G170" s="202"/>
      <c r="H170" s="185"/>
      <c r="I170" s="185"/>
      <c r="J170" s="185"/>
      <c r="K170" s="185"/>
      <c r="L170" s="185"/>
      <c r="M170" s="185"/>
      <c r="N170" s="185"/>
      <c r="O170" s="185"/>
      <c r="P170" s="185"/>
      <c r="Q170" s="185"/>
      <c r="R170" s="185"/>
      <c r="S170" s="185"/>
      <c r="T170" s="185"/>
      <c r="U170" s="185"/>
      <c r="V170" s="185"/>
      <c r="W170" s="185"/>
      <c r="X170" s="185"/>
      <c r="Y170" s="185"/>
      <c r="Z170" s="185"/>
      <c r="AA170" s="185"/>
      <c r="AB170" s="185" t="str">
        <f>IFERROR(__xludf.DUMMYFUNCTION("LET(width,COLUMN($AB$1)-COLUMN($G$1),r,INDEX($G170:$AAB170,1,SEQUENCE(1,width)),flat,TOCOL(r,1),bad,FILTER(flat,COUNTIF('リスト'!$E:$E,flat)=0),IFERROR(TEXTJOIN(""\n"",TRUE,bad),""""))"),"")</f>
        <v/>
      </c>
      <c r="AC170" s="185"/>
      <c r="AD170" s="185"/>
    </row>
    <row r="171">
      <c r="A171" s="202"/>
      <c r="B171" s="202"/>
      <c r="C171" s="202"/>
      <c r="D171" s="202"/>
      <c r="E171" s="203"/>
      <c r="F171" s="203"/>
      <c r="G171" s="202"/>
      <c r="H171" s="202"/>
      <c r="I171" s="185"/>
      <c r="J171" s="185"/>
      <c r="K171" s="185"/>
      <c r="L171" s="185"/>
      <c r="M171" s="185"/>
      <c r="N171" s="185"/>
      <c r="O171" s="185"/>
      <c r="P171" s="185"/>
      <c r="Q171" s="185"/>
      <c r="R171" s="185"/>
      <c r="S171" s="185"/>
      <c r="T171" s="185"/>
      <c r="U171" s="185"/>
      <c r="V171" s="185"/>
      <c r="W171" s="185"/>
      <c r="X171" s="185"/>
      <c r="Y171" s="185"/>
      <c r="Z171" s="185"/>
      <c r="AA171" s="185"/>
      <c r="AB171" s="185" t="str">
        <f>IFERROR(__xludf.DUMMYFUNCTION("LET(width,COLUMN($AB$1)-COLUMN($G$1),r,INDEX($G171:$AAB171,1,SEQUENCE(1,width)),flat,TOCOL(r,1),bad,FILTER(flat,COUNTIF('リスト'!$E:$E,flat)=0),IFERROR(TEXTJOIN(""\n"",TRUE,bad),""""))"),"")</f>
        <v/>
      </c>
      <c r="AC171" s="185"/>
      <c r="AD171" s="185"/>
    </row>
    <row r="172">
      <c r="A172" s="202"/>
      <c r="B172" s="202"/>
      <c r="C172" s="202"/>
      <c r="D172" s="202"/>
      <c r="E172" s="203"/>
      <c r="F172" s="203"/>
      <c r="G172" s="202"/>
      <c r="H172" s="202"/>
      <c r="I172" s="185"/>
      <c r="J172" s="185"/>
      <c r="K172" s="185"/>
      <c r="L172" s="185"/>
      <c r="M172" s="185"/>
      <c r="N172" s="185"/>
      <c r="O172" s="185"/>
      <c r="P172" s="185"/>
      <c r="Q172" s="185"/>
      <c r="R172" s="185"/>
      <c r="S172" s="185"/>
      <c r="T172" s="185"/>
      <c r="U172" s="185"/>
      <c r="V172" s="185"/>
      <c r="W172" s="185"/>
      <c r="X172" s="185"/>
      <c r="Y172" s="185"/>
      <c r="Z172" s="185"/>
      <c r="AA172" s="185"/>
      <c r="AB172" s="185" t="str">
        <f>IFERROR(__xludf.DUMMYFUNCTION("LET(width,COLUMN($AB$1)-COLUMN($G$1),r,INDEX($G172:$AAB172,1,SEQUENCE(1,width)),flat,TOCOL(r,1),bad,FILTER(flat,COUNTIF('リスト'!$E:$E,flat)=0),IFERROR(TEXTJOIN(""\n"",TRUE,bad),""""))"),"")</f>
        <v/>
      </c>
      <c r="AC172" s="185"/>
      <c r="AD172" s="185"/>
    </row>
    <row r="173">
      <c r="A173" s="202"/>
      <c r="B173" s="202"/>
      <c r="C173" s="202"/>
      <c r="D173" s="202"/>
      <c r="E173" s="203"/>
      <c r="F173" s="203"/>
      <c r="G173" s="202"/>
      <c r="H173" s="185"/>
      <c r="I173" s="185"/>
      <c r="J173" s="185"/>
      <c r="K173" s="185"/>
      <c r="L173" s="185"/>
      <c r="M173" s="185"/>
      <c r="N173" s="185"/>
      <c r="O173" s="185"/>
      <c r="P173" s="185"/>
      <c r="Q173" s="185"/>
      <c r="R173" s="185"/>
      <c r="S173" s="185"/>
      <c r="T173" s="185"/>
      <c r="U173" s="185"/>
      <c r="V173" s="185"/>
      <c r="W173" s="185"/>
      <c r="X173" s="185"/>
      <c r="Y173" s="185"/>
      <c r="Z173" s="185"/>
      <c r="AA173" s="185"/>
      <c r="AB173" s="185" t="str">
        <f>IFERROR(__xludf.DUMMYFUNCTION("LET(width,COLUMN($AB$1)-COLUMN($G$1),r,INDEX($G173:$AAB173,1,SEQUENCE(1,width)),flat,TOCOL(r,1),bad,FILTER(flat,COUNTIF('リスト'!$E:$E,flat)=0),IFERROR(TEXTJOIN(""\n"",TRUE,bad),""""))"),"")</f>
        <v/>
      </c>
      <c r="AC173" s="185"/>
      <c r="AD173" s="185"/>
    </row>
    <row r="174">
      <c r="A174" s="202"/>
      <c r="B174" s="202"/>
      <c r="C174" s="202"/>
      <c r="D174" s="202"/>
      <c r="E174" s="203"/>
      <c r="F174" s="203"/>
      <c r="G174" s="202"/>
      <c r="H174" s="202"/>
      <c r="I174" s="185"/>
      <c r="J174" s="185"/>
      <c r="K174" s="185"/>
      <c r="L174" s="185"/>
      <c r="M174" s="185"/>
      <c r="N174" s="185"/>
      <c r="O174" s="185"/>
      <c r="P174" s="185"/>
      <c r="Q174" s="185"/>
      <c r="R174" s="185"/>
      <c r="S174" s="185"/>
      <c r="T174" s="185"/>
      <c r="U174" s="185"/>
      <c r="V174" s="185"/>
      <c r="W174" s="185"/>
      <c r="X174" s="185"/>
      <c r="Y174" s="185"/>
      <c r="Z174" s="185"/>
      <c r="AA174" s="185"/>
      <c r="AB174" s="185" t="str">
        <f>IFERROR(__xludf.DUMMYFUNCTION("LET(width,COLUMN($AB$1)-COLUMN($G$1),r,INDEX($G174:$AAB174,1,SEQUENCE(1,width)),flat,TOCOL(r,1),bad,FILTER(flat,COUNTIF('リスト'!$E:$E,flat)=0),IFERROR(TEXTJOIN(""\n"",TRUE,bad),""""))"),"")</f>
        <v/>
      </c>
      <c r="AC174" s="185"/>
      <c r="AD174" s="185"/>
    </row>
    <row r="175">
      <c r="A175" s="202"/>
      <c r="B175" s="202"/>
      <c r="C175" s="202"/>
      <c r="D175" s="202"/>
      <c r="E175" s="203"/>
      <c r="F175" s="203"/>
      <c r="G175" s="202"/>
      <c r="H175" s="202"/>
      <c r="I175" s="185"/>
      <c r="J175" s="185"/>
      <c r="K175" s="185"/>
      <c r="L175" s="185"/>
      <c r="M175" s="185"/>
      <c r="N175" s="185"/>
      <c r="O175" s="185"/>
      <c r="P175" s="185"/>
      <c r="Q175" s="185"/>
      <c r="R175" s="185"/>
      <c r="S175" s="185"/>
      <c r="T175" s="185"/>
      <c r="U175" s="185"/>
      <c r="V175" s="185"/>
      <c r="W175" s="185"/>
      <c r="X175" s="185"/>
      <c r="Y175" s="185"/>
      <c r="Z175" s="185"/>
      <c r="AA175" s="185"/>
      <c r="AB175" s="185" t="str">
        <f>IFERROR(__xludf.DUMMYFUNCTION("LET(width,COLUMN($AB$1)-COLUMN($G$1),r,INDEX($G175:$AAB175,1,SEQUENCE(1,width)),flat,TOCOL(r,1),bad,FILTER(flat,COUNTIF('リスト'!$E:$E,flat)=0),IFERROR(TEXTJOIN(""\n"",TRUE,bad),""""))"),"")</f>
        <v/>
      </c>
      <c r="AC175" s="185"/>
      <c r="AD175" s="185"/>
    </row>
    <row r="176">
      <c r="A176" s="202"/>
      <c r="B176" s="185"/>
      <c r="C176" s="202"/>
      <c r="D176" s="202"/>
      <c r="E176" s="203"/>
      <c r="F176" s="203"/>
      <c r="G176" s="202"/>
      <c r="H176" s="185"/>
      <c r="I176" s="185"/>
      <c r="J176" s="185"/>
      <c r="K176" s="185"/>
      <c r="L176" s="185"/>
      <c r="M176" s="185"/>
      <c r="N176" s="185"/>
      <c r="O176" s="185"/>
      <c r="P176" s="185"/>
      <c r="Q176" s="185"/>
      <c r="R176" s="185"/>
      <c r="S176" s="185"/>
      <c r="T176" s="185"/>
      <c r="U176" s="185"/>
      <c r="V176" s="185"/>
      <c r="W176" s="185"/>
      <c r="X176" s="185"/>
      <c r="Y176" s="185"/>
      <c r="Z176" s="185"/>
      <c r="AA176" s="185"/>
      <c r="AB176" s="185" t="str">
        <f>IFERROR(__xludf.DUMMYFUNCTION("LET(width,COLUMN($AB$1)-COLUMN($G$1),r,INDEX($G176:$AAB176,1,SEQUENCE(1,width)),flat,TOCOL(r,1),bad,FILTER(flat,COUNTIF('リスト'!$E:$E,flat)=0),IFERROR(TEXTJOIN(""\n"",TRUE,bad),""""))"),"")</f>
        <v/>
      </c>
      <c r="AC176" s="185"/>
      <c r="AD176" s="185"/>
    </row>
    <row r="177">
      <c r="A177" s="202"/>
      <c r="B177" s="202"/>
      <c r="C177" s="202"/>
      <c r="D177" s="202"/>
      <c r="E177" s="203"/>
      <c r="F177" s="203"/>
      <c r="G177" s="202"/>
      <c r="H177" s="202"/>
      <c r="I177" s="185"/>
      <c r="J177" s="185"/>
      <c r="K177" s="185"/>
      <c r="L177" s="185"/>
      <c r="M177" s="185"/>
      <c r="N177" s="185"/>
      <c r="O177" s="185"/>
      <c r="P177" s="185"/>
      <c r="Q177" s="185"/>
      <c r="R177" s="185"/>
      <c r="S177" s="185"/>
      <c r="T177" s="185"/>
      <c r="U177" s="185"/>
      <c r="V177" s="185"/>
      <c r="W177" s="185"/>
      <c r="X177" s="185"/>
      <c r="Y177" s="185"/>
      <c r="Z177" s="185"/>
      <c r="AA177" s="185"/>
      <c r="AB177" s="185" t="str">
        <f>IFERROR(__xludf.DUMMYFUNCTION("LET(width,COLUMN($AB$1)-COLUMN($G$1),r,INDEX($G177:$AAB177,1,SEQUENCE(1,width)),flat,TOCOL(r,1),bad,FILTER(flat,COUNTIF('リスト'!$E:$E,flat)=0),IFERROR(TEXTJOIN(""\n"",TRUE,bad),""""))"),"")</f>
        <v/>
      </c>
      <c r="AC177" s="185"/>
      <c r="AD177" s="185"/>
    </row>
    <row r="178">
      <c r="A178" s="202"/>
      <c r="B178" s="202"/>
      <c r="C178" s="202"/>
      <c r="D178" s="202"/>
      <c r="E178" s="203"/>
      <c r="F178" s="203"/>
      <c r="G178" s="202"/>
      <c r="H178" s="202"/>
      <c r="I178" s="185"/>
      <c r="J178" s="185"/>
      <c r="K178" s="185"/>
      <c r="L178" s="185"/>
      <c r="M178" s="185"/>
      <c r="N178" s="185"/>
      <c r="O178" s="185"/>
      <c r="P178" s="185"/>
      <c r="Q178" s="185"/>
      <c r="R178" s="185"/>
      <c r="S178" s="185"/>
      <c r="T178" s="185"/>
      <c r="U178" s="185"/>
      <c r="V178" s="185"/>
      <c r="W178" s="185"/>
      <c r="X178" s="185"/>
      <c r="Y178" s="185"/>
      <c r="Z178" s="185"/>
      <c r="AA178" s="185"/>
      <c r="AB178" s="185" t="str">
        <f>IFERROR(__xludf.DUMMYFUNCTION("LET(width,COLUMN($AB$1)-COLUMN($G$1),r,INDEX($G178:$AAB178,1,SEQUENCE(1,width)),flat,TOCOL(r,1),bad,FILTER(flat,COUNTIF('リスト'!$E:$E,flat)=0),IFERROR(TEXTJOIN(""\n"",TRUE,bad),""""))"),"")</f>
        <v/>
      </c>
      <c r="AC178" s="185"/>
      <c r="AD178" s="185"/>
    </row>
    <row r="179">
      <c r="A179" s="202"/>
      <c r="B179" s="202"/>
      <c r="C179" s="202"/>
      <c r="D179" s="202"/>
      <c r="E179" s="203"/>
      <c r="F179" s="203"/>
      <c r="G179" s="202"/>
      <c r="H179" s="202"/>
      <c r="I179" s="185"/>
      <c r="J179" s="185"/>
      <c r="K179" s="185"/>
      <c r="L179" s="185"/>
      <c r="M179" s="185"/>
      <c r="N179" s="185"/>
      <c r="O179" s="185"/>
      <c r="P179" s="185"/>
      <c r="Q179" s="185"/>
      <c r="R179" s="185"/>
      <c r="S179" s="185"/>
      <c r="T179" s="185"/>
      <c r="U179" s="185"/>
      <c r="V179" s="185"/>
      <c r="W179" s="185"/>
      <c r="X179" s="185"/>
      <c r="Y179" s="185"/>
      <c r="Z179" s="185"/>
      <c r="AA179" s="185"/>
      <c r="AB179" s="185" t="str">
        <f>IFERROR(__xludf.DUMMYFUNCTION("LET(width,COLUMN($AB$1)-COLUMN($G$1),r,INDEX($G179:$AAB179,1,SEQUENCE(1,width)),flat,TOCOL(r,1),bad,FILTER(flat,COUNTIF('リスト'!$E:$E,flat)=0),IFERROR(TEXTJOIN(""\n"",TRUE,bad),""""))"),"")</f>
        <v/>
      </c>
      <c r="AC179" s="185"/>
      <c r="AD179" s="185"/>
    </row>
    <row r="180">
      <c r="A180" s="202"/>
      <c r="B180" s="202"/>
      <c r="C180" s="202"/>
      <c r="D180" s="202"/>
      <c r="E180" s="203"/>
      <c r="F180" s="203"/>
      <c r="G180" s="202"/>
      <c r="H180" s="202"/>
      <c r="I180" s="185"/>
      <c r="J180" s="185"/>
      <c r="K180" s="185"/>
      <c r="L180" s="185"/>
      <c r="M180" s="185"/>
      <c r="N180" s="185"/>
      <c r="O180" s="185"/>
      <c r="P180" s="185"/>
      <c r="Q180" s="185"/>
      <c r="R180" s="185"/>
      <c r="S180" s="185"/>
      <c r="T180" s="185"/>
      <c r="U180" s="185"/>
      <c r="V180" s="185"/>
      <c r="W180" s="185"/>
      <c r="X180" s="185"/>
      <c r="Y180" s="185"/>
      <c r="Z180" s="185"/>
      <c r="AA180" s="185"/>
      <c r="AB180" s="185" t="str">
        <f>IFERROR(__xludf.DUMMYFUNCTION("LET(width,COLUMN($AB$1)-COLUMN($G$1),r,INDEX($G180:$AAB180,1,SEQUENCE(1,width)),flat,TOCOL(r,1),bad,FILTER(flat,COUNTIF('リスト'!$E:$E,flat)=0),IFERROR(TEXTJOIN(""\n"",TRUE,bad),""""))"),"")</f>
        <v/>
      </c>
      <c r="AC180" s="185"/>
      <c r="AD180" s="185"/>
    </row>
    <row r="181">
      <c r="A181" s="202"/>
      <c r="B181" s="185"/>
      <c r="C181" s="202"/>
      <c r="D181" s="202"/>
      <c r="E181" s="203"/>
      <c r="F181" s="203"/>
      <c r="G181" s="202"/>
      <c r="H181" s="185"/>
      <c r="I181" s="185"/>
      <c r="J181" s="185"/>
      <c r="K181" s="185"/>
      <c r="L181" s="185"/>
      <c r="M181" s="185"/>
      <c r="N181" s="185"/>
      <c r="O181" s="185"/>
      <c r="P181" s="185"/>
      <c r="Q181" s="185"/>
      <c r="R181" s="185"/>
      <c r="S181" s="185"/>
      <c r="T181" s="185"/>
      <c r="U181" s="185"/>
      <c r="V181" s="185"/>
      <c r="W181" s="185"/>
      <c r="X181" s="185"/>
      <c r="Y181" s="185"/>
      <c r="Z181" s="185"/>
      <c r="AA181" s="185"/>
      <c r="AB181" s="185" t="str">
        <f>IFERROR(__xludf.DUMMYFUNCTION("LET(width,COLUMN($AB$1)-COLUMN($G$1),r,INDEX($G181:$AAB181,1,SEQUENCE(1,width)),flat,TOCOL(r,1),bad,FILTER(flat,COUNTIF('リスト'!$E:$E,flat)=0),IFERROR(TEXTJOIN(""\n"",TRUE,bad),""""))"),"")</f>
        <v/>
      </c>
      <c r="AC181" s="185"/>
      <c r="AD181" s="185"/>
    </row>
    <row r="182">
      <c r="A182" s="202"/>
      <c r="B182" s="202"/>
      <c r="C182" s="202"/>
      <c r="D182" s="202"/>
      <c r="E182" s="203"/>
      <c r="F182" s="203"/>
      <c r="G182" s="202"/>
      <c r="H182" s="202"/>
      <c r="I182" s="185"/>
      <c r="J182" s="185"/>
      <c r="K182" s="185"/>
      <c r="L182" s="185"/>
      <c r="M182" s="185"/>
      <c r="N182" s="185"/>
      <c r="O182" s="185"/>
      <c r="P182" s="185"/>
      <c r="Q182" s="185"/>
      <c r="R182" s="185"/>
      <c r="S182" s="185"/>
      <c r="T182" s="185"/>
      <c r="U182" s="185"/>
      <c r="V182" s="185"/>
      <c r="W182" s="185"/>
      <c r="X182" s="185"/>
      <c r="Y182" s="185"/>
      <c r="Z182" s="185"/>
      <c r="AA182" s="185"/>
      <c r="AB182" s="185" t="str">
        <f>IFERROR(__xludf.DUMMYFUNCTION("LET(width,COLUMN($AB$1)-COLUMN($G$1),r,INDEX($G182:$AAB182,1,SEQUENCE(1,width)),flat,TOCOL(r,1),bad,FILTER(flat,COUNTIF('リスト'!$E:$E,flat)=0),IFERROR(TEXTJOIN(""\n"",TRUE,bad),""""))"),"")</f>
        <v/>
      </c>
      <c r="AC182" s="185"/>
      <c r="AD182" s="185"/>
    </row>
    <row r="183">
      <c r="A183" s="202"/>
      <c r="B183" s="202"/>
      <c r="C183" s="202"/>
      <c r="D183" s="202"/>
      <c r="E183" s="203"/>
      <c r="F183" s="203"/>
      <c r="G183" s="202"/>
      <c r="H183" s="202"/>
      <c r="I183" s="185"/>
      <c r="J183" s="185"/>
      <c r="K183" s="185"/>
      <c r="L183" s="185"/>
      <c r="M183" s="185"/>
      <c r="N183" s="185"/>
      <c r="O183" s="185"/>
      <c r="P183" s="185"/>
      <c r="Q183" s="185"/>
      <c r="R183" s="185"/>
      <c r="S183" s="185"/>
      <c r="T183" s="185"/>
      <c r="U183" s="185"/>
      <c r="V183" s="185"/>
      <c r="W183" s="185"/>
      <c r="X183" s="185"/>
      <c r="Y183" s="185"/>
      <c r="Z183" s="185"/>
      <c r="AA183" s="185"/>
      <c r="AB183" s="185" t="str">
        <f>IFERROR(__xludf.DUMMYFUNCTION("LET(width,COLUMN($AB$1)-COLUMN($G$1),r,INDEX($G183:$AAB183,1,SEQUENCE(1,width)),flat,TOCOL(r,1),bad,FILTER(flat,COUNTIF('リスト'!$E:$E,flat)=0),IFERROR(TEXTJOIN(""\n"",TRUE,bad),""""))"),"")</f>
        <v/>
      </c>
      <c r="AC183" s="185"/>
      <c r="AD183" s="185"/>
    </row>
    <row r="184">
      <c r="A184" s="202"/>
      <c r="B184" s="185"/>
      <c r="C184" s="202"/>
      <c r="D184" s="202"/>
      <c r="E184" s="203"/>
      <c r="F184" s="203"/>
      <c r="G184" s="202"/>
      <c r="H184" s="185"/>
      <c r="I184" s="185"/>
      <c r="J184" s="185"/>
      <c r="K184" s="185"/>
      <c r="L184" s="185"/>
      <c r="M184" s="185"/>
      <c r="N184" s="185"/>
      <c r="O184" s="185"/>
      <c r="P184" s="185"/>
      <c r="Q184" s="185"/>
      <c r="R184" s="185"/>
      <c r="S184" s="185"/>
      <c r="T184" s="185"/>
      <c r="U184" s="185"/>
      <c r="V184" s="185"/>
      <c r="W184" s="185"/>
      <c r="X184" s="185"/>
      <c r="Y184" s="185"/>
      <c r="Z184" s="185"/>
      <c r="AA184" s="185"/>
      <c r="AB184" s="185" t="str">
        <f>IFERROR(__xludf.DUMMYFUNCTION("LET(width,COLUMN($AB$1)-COLUMN($G$1),r,INDEX($G184:$AAB184,1,SEQUENCE(1,width)),flat,TOCOL(r,1),bad,FILTER(flat,COUNTIF('リスト'!$E:$E,flat)=0),IFERROR(TEXTJOIN(""\n"",TRUE,bad),""""))"),"")</f>
        <v/>
      </c>
      <c r="AC184" s="185"/>
      <c r="AD184" s="185"/>
    </row>
    <row r="185">
      <c r="A185" s="202"/>
      <c r="B185" s="202"/>
      <c r="C185" s="202"/>
      <c r="D185" s="202"/>
      <c r="E185" s="203"/>
      <c r="F185" s="203"/>
      <c r="G185" s="202"/>
      <c r="H185" s="202"/>
      <c r="I185" s="185"/>
      <c r="J185" s="185"/>
      <c r="K185" s="185"/>
      <c r="L185" s="185"/>
      <c r="M185" s="185"/>
      <c r="N185" s="185"/>
      <c r="O185" s="185"/>
      <c r="P185" s="185"/>
      <c r="Q185" s="185"/>
      <c r="R185" s="185"/>
      <c r="S185" s="185"/>
      <c r="T185" s="185"/>
      <c r="U185" s="185"/>
      <c r="V185" s="185"/>
      <c r="W185" s="185"/>
      <c r="X185" s="185"/>
      <c r="Y185" s="185"/>
      <c r="Z185" s="185"/>
      <c r="AA185" s="185"/>
      <c r="AB185" s="185" t="str">
        <f>IFERROR(__xludf.DUMMYFUNCTION("LET(width,COLUMN($AB$1)-COLUMN($G$1),r,INDEX($G185:$AAB185,1,SEQUENCE(1,width)),flat,TOCOL(r,1),bad,FILTER(flat,COUNTIF('リスト'!$E:$E,flat)=0),IFERROR(TEXTJOIN(""\n"",TRUE,bad),""""))"),"")</f>
        <v/>
      </c>
      <c r="AC185" s="185"/>
      <c r="AD185" s="185"/>
    </row>
    <row r="186">
      <c r="A186" s="202"/>
      <c r="B186" s="202"/>
      <c r="C186" s="202"/>
      <c r="D186" s="202"/>
      <c r="E186" s="203"/>
      <c r="F186" s="203"/>
      <c r="G186" s="202"/>
      <c r="H186" s="202"/>
      <c r="I186" s="185"/>
      <c r="J186" s="185"/>
      <c r="K186" s="185"/>
      <c r="L186" s="185"/>
      <c r="M186" s="185"/>
      <c r="N186" s="185"/>
      <c r="O186" s="185"/>
      <c r="P186" s="185"/>
      <c r="Q186" s="185"/>
      <c r="R186" s="185"/>
      <c r="S186" s="185"/>
      <c r="T186" s="185"/>
      <c r="U186" s="185"/>
      <c r="V186" s="185"/>
      <c r="W186" s="185"/>
      <c r="X186" s="185"/>
      <c r="Y186" s="185"/>
      <c r="Z186" s="185"/>
      <c r="AA186" s="185"/>
      <c r="AB186" s="185" t="str">
        <f>IFERROR(__xludf.DUMMYFUNCTION("LET(width,COLUMN($AB$1)-COLUMN($G$1),r,INDEX($G186:$AAB186,1,SEQUENCE(1,width)),flat,TOCOL(r,1),bad,FILTER(flat,COUNTIF('リスト'!$E:$E,flat)=0),IFERROR(TEXTJOIN(""\n"",TRUE,bad),""""))"),"")</f>
        <v/>
      </c>
      <c r="AC186" s="185"/>
      <c r="AD186" s="185"/>
    </row>
    <row r="187">
      <c r="A187" s="202"/>
      <c r="B187" s="202"/>
      <c r="C187" s="202"/>
      <c r="D187" s="202"/>
      <c r="E187" s="203"/>
      <c r="F187" s="203"/>
      <c r="G187" s="202"/>
      <c r="H187" s="202"/>
      <c r="I187" s="185"/>
      <c r="J187" s="185"/>
      <c r="K187" s="185"/>
      <c r="L187" s="185"/>
      <c r="M187" s="185"/>
      <c r="N187" s="185"/>
      <c r="O187" s="185"/>
      <c r="P187" s="185"/>
      <c r="Q187" s="185"/>
      <c r="R187" s="185"/>
      <c r="S187" s="185"/>
      <c r="T187" s="185"/>
      <c r="U187" s="185"/>
      <c r="V187" s="185"/>
      <c r="W187" s="185"/>
      <c r="X187" s="185"/>
      <c r="Y187" s="185"/>
      <c r="Z187" s="185"/>
      <c r="AA187" s="185"/>
      <c r="AB187" s="185" t="str">
        <f>IFERROR(__xludf.DUMMYFUNCTION("LET(width,COLUMN($AB$1)-COLUMN($G$1),r,INDEX($G187:$AAB187,1,SEQUENCE(1,width)),flat,TOCOL(r,1),bad,FILTER(flat,COUNTIF('リスト'!$E:$E,flat)=0),IFERROR(TEXTJOIN(""\n"",TRUE,bad),""""))"),"")</f>
        <v/>
      </c>
      <c r="AC187" s="185"/>
      <c r="AD187" s="185"/>
    </row>
    <row r="188">
      <c r="A188" s="202"/>
      <c r="B188" s="202"/>
      <c r="C188" s="202"/>
      <c r="D188" s="202"/>
      <c r="E188" s="203"/>
      <c r="F188" s="203"/>
      <c r="G188" s="202"/>
      <c r="H188" s="202"/>
      <c r="I188" s="185"/>
      <c r="J188" s="185"/>
      <c r="K188" s="185"/>
      <c r="L188" s="185"/>
      <c r="M188" s="185"/>
      <c r="N188" s="185"/>
      <c r="O188" s="185"/>
      <c r="P188" s="185"/>
      <c r="Q188" s="185"/>
      <c r="R188" s="185"/>
      <c r="S188" s="185"/>
      <c r="T188" s="185"/>
      <c r="U188" s="185"/>
      <c r="V188" s="185"/>
      <c r="W188" s="185"/>
      <c r="X188" s="185"/>
      <c r="Y188" s="185"/>
      <c r="Z188" s="185"/>
      <c r="AA188" s="185"/>
      <c r="AB188" s="185" t="str">
        <f>IFERROR(__xludf.DUMMYFUNCTION("LET(width,COLUMN($AB$1)-COLUMN($G$1),r,INDEX($G188:$AAB188,1,SEQUENCE(1,width)),flat,TOCOL(r,1),bad,FILTER(flat,COUNTIF('リスト'!$E:$E,flat)=0),IFERROR(TEXTJOIN(""\n"",TRUE,bad),""""))"),"")</f>
        <v/>
      </c>
      <c r="AC188" s="185"/>
      <c r="AD188" s="185"/>
    </row>
    <row r="189">
      <c r="A189" s="202"/>
      <c r="B189" s="202"/>
      <c r="C189" s="202"/>
      <c r="D189" s="202"/>
      <c r="E189" s="203"/>
      <c r="F189" s="203"/>
      <c r="G189" s="202"/>
      <c r="H189" s="202"/>
      <c r="I189" s="185"/>
      <c r="J189" s="185"/>
      <c r="K189" s="185"/>
      <c r="L189" s="185"/>
      <c r="M189" s="185"/>
      <c r="N189" s="185"/>
      <c r="O189" s="185"/>
      <c r="P189" s="185"/>
      <c r="Q189" s="185"/>
      <c r="R189" s="185"/>
      <c r="S189" s="185"/>
      <c r="T189" s="185"/>
      <c r="U189" s="185"/>
      <c r="V189" s="185"/>
      <c r="W189" s="185"/>
      <c r="X189" s="185"/>
      <c r="Y189" s="185"/>
      <c r="Z189" s="185"/>
      <c r="AA189" s="185"/>
      <c r="AB189" s="185" t="str">
        <f>IFERROR(__xludf.DUMMYFUNCTION("LET(width,COLUMN($AB$1)-COLUMN($G$1),r,INDEX($G189:$AAB189,1,SEQUENCE(1,width)),flat,TOCOL(r,1),bad,FILTER(flat,COUNTIF('リスト'!$E:$E,flat)=0),IFERROR(TEXTJOIN(""\n"",TRUE,bad),""""))"),"")</f>
        <v/>
      </c>
      <c r="AC189" s="185"/>
      <c r="AD189" s="185"/>
    </row>
    <row r="190">
      <c r="A190" s="202"/>
      <c r="B190" s="202"/>
      <c r="C190" s="202"/>
      <c r="D190" s="202"/>
      <c r="E190" s="203"/>
      <c r="F190" s="203"/>
      <c r="G190" s="202"/>
      <c r="H190" s="202"/>
      <c r="I190" s="185"/>
      <c r="J190" s="185"/>
      <c r="K190" s="185"/>
      <c r="L190" s="185"/>
      <c r="M190" s="185"/>
      <c r="N190" s="185"/>
      <c r="O190" s="185"/>
      <c r="P190" s="185"/>
      <c r="Q190" s="185"/>
      <c r="R190" s="185"/>
      <c r="S190" s="185"/>
      <c r="T190" s="185"/>
      <c r="U190" s="185"/>
      <c r="V190" s="185"/>
      <c r="W190" s="185"/>
      <c r="X190" s="185"/>
      <c r="Y190" s="185"/>
      <c r="Z190" s="185"/>
      <c r="AA190" s="185"/>
      <c r="AB190" s="185" t="str">
        <f>IFERROR(__xludf.DUMMYFUNCTION("LET(width,COLUMN($AB$1)-COLUMN($G$1),r,INDEX($G190:$AAB190,1,SEQUENCE(1,width)),flat,TOCOL(r,1),bad,FILTER(flat,COUNTIF('リスト'!$E:$E,flat)=0),IFERROR(TEXTJOIN(""\n"",TRUE,bad),""""))"),"")</f>
        <v/>
      </c>
      <c r="AC190" s="185"/>
      <c r="AD190" s="185"/>
    </row>
    <row r="191">
      <c r="A191" s="202"/>
      <c r="B191" s="202"/>
      <c r="C191" s="202"/>
      <c r="D191" s="202"/>
      <c r="E191" s="203"/>
      <c r="F191" s="203"/>
      <c r="G191" s="202"/>
      <c r="H191" s="202"/>
      <c r="I191" s="185"/>
      <c r="J191" s="185"/>
      <c r="K191" s="185"/>
      <c r="L191" s="185"/>
      <c r="M191" s="185"/>
      <c r="N191" s="185"/>
      <c r="O191" s="185"/>
      <c r="P191" s="185"/>
      <c r="Q191" s="185"/>
      <c r="R191" s="185"/>
      <c r="S191" s="185"/>
      <c r="T191" s="185"/>
      <c r="U191" s="185"/>
      <c r="V191" s="185"/>
      <c r="W191" s="185"/>
      <c r="X191" s="185"/>
      <c r="Y191" s="185"/>
      <c r="Z191" s="185"/>
      <c r="AA191" s="185"/>
      <c r="AB191" s="185" t="str">
        <f>IFERROR(__xludf.DUMMYFUNCTION("LET(width,COLUMN($AB$1)-COLUMN($G$1),r,INDEX($G191:$AAB191,1,SEQUENCE(1,width)),flat,TOCOL(r,1),bad,FILTER(flat,COUNTIF('リスト'!$E:$E,flat)=0),IFERROR(TEXTJOIN(""\n"",TRUE,bad),""""))"),"")</f>
        <v/>
      </c>
      <c r="AC191" s="185"/>
      <c r="AD191" s="185"/>
    </row>
    <row r="192">
      <c r="A192" s="202"/>
      <c r="B192" s="185"/>
      <c r="C192" s="202"/>
      <c r="D192" s="202"/>
      <c r="E192" s="203"/>
      <c r="F192" s="203"/>
      <c r="G192" s="202"/>
      <c r="H192" s="185"/>
      <c r="I192" s="185"/>
      <c r="J192" s="185"/>
      <c r="K192" s="185"/>
      <c r="L192" s="185"/>
      <c r="M192" s="185"/>
      <c r="N192" s="185"/>
      <c r="O192" s="185"/>
      <c r="P192" s="185"/>
      <c r="Q192" s="185"/>
      <c r="R192" s="185"/>
      <c r="S192" s="185"/>
      <c r="T192" s="185"/>
      <c r="U192" s="185"/>
      <c r="V192" s="185"/>
      <c r="W192" s="185"/>
      <c r="X192" s="185"/>
      <c r="Y192" s="185"/>
      <c r="Z192" s="185"/>
      <c r="AA192" s="185"/>
      <c r="AB192" s="185" t="str">
        <f>IFERROR(__xludf.DUMMYFUNCTION("LET(width,COLUMN($AB$1)-COLUMN($G$1),r,INDEX($G192:$AAB192,1,SEQUENCE(1,width)),flat,TOCOL(r,1),bad,FILTER(flat,COUNTIF('リスト'!$E:$E,flat)=0),IFERROR(TEXTJOIN(""\n"",TRUE,bad),""""))"),"")</f>
        <v/>
      </c>
      <c r="AC192" s="185"/>
      <c r="AD192" s="185"/>
    </row>
    <row r="193">
      <c r="A193" s="202"/>
      <c r="B193" s="202"/>
      <c r="C193" s="202"/>
      <c r="D193" s="202"/>
      <c r="E193" s="203"/>
      <c r="F193" s="203"/>
      <c r="G193" s="202"/>
      <c r="H193" s="185"/>
      <c r="I193" s="185"/>
      <c r="J193" s="185"/>
      <c r="K193" s="185"/>
      <c r="L193" s="185"/>
      <c r="M193" s="185"/>
      <c r="N193" s="185"/>
      <c r="O193" s="185"/>
      <c r="P193" s="185"/>
      <c r="Q193" s="185"/>
      <c r="R193" s="185"/>
      <c r="S193" s="185"/>
      <c r="T193" s="185"/>
      <c r="U193" s="185"/>
      <c r="V193" s="185"/>
      <c r="W193" s="185"/>
      <c r="X193" s="185"/>
      <c r="Y193" s="185"/>
      <c r="Z193" s="185"/>
      <c r="AA193" s="185"/>
      <c r="AB193" s="185" t="str">
        <f>IFERROR(__xludf.DUMMYFUNCTION("LET(width,COLUMN($AB$1)-COLUMN($G$1),r,INDEX($G193:$AAB193,1,SEQUENCE(1,width)),flat,TOCOL(r,1),bad,FILTER(flat,COUNTIF('リスト'!$E:$E,flat)=0),IFERROR(TEXTJOIN(""\n"",TRUE,bad),""""))"),"")</f>
        <v/>
      </c>
      <c r="AC193" s="185"/>
      <c r="AD193" s="185"/>
    </row>
    <row r="194">
      <c r="A194" s="202"/>
      <c r="B194" s="202"/>
      <c r="C194" s="202"/>
      <c r="D194" s="202"/>
      <c r="E194" s="203"/>
      <c r="F194" s="203"/>
      <c r="G194" s="202"/>
      <c r="H194" s="185"/>
      <c r="I194" s="185"/>
      <c r="J194" s="185"/>
      <c r="K194" s="185"/>
      <c r="L194" s="185"/>
      <c r="M194" s="185"/>
      <c r="N194" s="185"/>
      <c r="O194" s="185"/>
      <c r="P194" s="185"/>
      <c r="Q194" s="185"/>
      <c r="R194" s="185"/>
      <c r="S194" s="185"/>
      <c r="T194" s="185"/>
      <c r="U194" s="185"/>
      <c r="V194" s="185"/>
      <c r="W194" s="185"/>
      <c r="X194" s="185"/>
      <c r="Y194" s="185"/>
      <c r="Z194" s="185"/>
      <c r="AA194" s="185"/>
      <c r="AB194" s="185" t="str">
        <f>IFERROR(__xludf.DUMMYFUNCTION("LET(width,COLUMN($AB$1)-COLUMN($G$1),r,INDEX($G194:$AAB194,1,SEQUENCE(1,width)),flat,TOCOL(r,1),bad,FILTER(flat,COUNTIF('リスト'!$E:$E,flat)=0),IFERROR(TEXTJOIN(""\n"",TRUE,bad),""""))"),"")</f>
        <v/>
      </c>
      <c r="AC194" s="185"/>
      <c r="AD194" s="185"/>
    </row>
    <row r="195">
      <c r="A195" s="202"/>
      <c r="B195" s="202"/>
      <c r="C195" s="202"/>
      <c r="D195" s="202"/>
      <c r="E195" s="203"/>
      <c r="F195" s="203"/>
      <c r="G195" s="202"/>
      <c r="H195" s="185"/>
      <c r="I195" s="185"/>
      <c r="J195" s="185"/>
      <c r="K195" s="185"/>
      <c r="L195" s="185"/>
      <c r="M195" s="185"/>
      <c r="N195" s="185"/>
      <c r="O195" s="185"/>
      <c r="P195" s="185"/>
      <c r="Q195" s="185"/>
      <c r="R195" s="185"/>
      <c r="S195" s="185"/>
      <c r="T195" s="185"/>
      <c r="U195" s="185"/>
      <c r="V195" s="185"/>
      <c r="W195" s="185"/>
      <c r="X195" s="185"/>
      <c r="Y195" s="185"/>
      <c r="Z195" s="185"/>
      <c r="AA195" s="185"/>
      <c r="AB195" s="185" t="str">
        <f>IFERROR(__xludf.DUMMYFUNCTION("LET(width,COLUMN($AB$1)-COLUMN($G$1),r,INDEX($G195:$AAB195,1,SEQUENCE(1,width)),flat,TOCOL(r,1),bad,FILTER(flat,COUNTIF('リスト'!$E:$E,flat)=0),IFERROR(TEXTJOIN(""\n"",TRUE,bad),""""))"),"")</f>
        <v/>
      </c>
      <c r="AC195" s="185"/>
      <c r="AD195" s="185"/>
    </row>
    <row r="196">
      <c r="A196" s="202"/>
      <c r="B196" s="202"/>
      <c r="C196" s="202"/>
      <c r="D196" s="202"/>
      <c r="E196" s="203"/>
      <c r="F196" s="203"/>
      <c r="G196" s="202"/>
      <c r="H196" s="185"/>
      <c r="I196" s="185"/>
      <c r="J196" s="185"/>
      <c r="K196" s="185"/>
      <c r="L196" s="185"/>
      <c r="M196" s="185"/>
      <c r="N196" s="185"/>
      <c r="O196" s="185"/>
      <c r="P196" s="185"/>
      <c r="Q196" s="185"/>
      <c r="R196" s="185"/>
      <c r="S196" s="185"/>
      <c r="T196" s="185"/>
      <c r="U196" s="185"/>
      <c r="V196" s="185"/>
      <c r="W196" s="185"/>
      <c r="X196" s="185"/>
      <c r="Y196" s="185"/>
      <c r="Z196" s="185"/>
      <c r="AA196" s="185"/>
      <c r="AB196" s="185" t="str">
        <f>IFERROR(__xludf.DUMMYFUNCTION("LET(width,COLUMN($AB$1)-COLUMN($G$1),r,INDEX($G196:$AAB196,1,SEQUENCE(1,width)),flat,TOCOL(r,1),bad,FILTER(flat,COUNTIF('リスト'!$E:$E,flat)=0),IFERROR(TEXTJOIN(""\n"",TRUE,bad),""""))"),"")</f>
        <v/>
      </c>
      <c r="AC196" s="185"/>
      <c r="AD196" s="185"/>
    </row>
    <row r="197">
      <c r="A197" s="202"/>
      <c r="B197" s="202"/>
      <c r="C197" s="202"/>
      <c r="D197" s="202"/>
      <c r="E197" s="203"/>
      <c r="F197" s="203"/>
      <c r="G197" s="202"/>
      <c r="H197" s="202"/>
      <c r="I197" s="185"/>
      <c r="J197" s="185"/>
      <c r="K197" s="185"/>
      <c r="L197" s="185"/>
      <c r="M197" s="185"/>
      <c r="N197" s="185"/>
      <c r="O197" s="185"/>
      <c r="P197" s="185"/>
      <c r="Q197" s="185"/>
      <c r="R197" s="185"/>
      <c r="S197" s="185"/>
      <c r="T197" s="185"/>
      <c r="U197" s="185"/>
      <c r="V197" s="185"/>
      <c r="W197" s="185"/>
      <c r="X197" s="185"/>
      <c r="Y197" s="185"/>
      <c r="Z197" s="185"/>
      <c r="AA197" s="185"/>
      <c r="AB197" s="185" t="str">
        <f>IFERROR(__xludf.DUMMYFUNCTION("LET(width,COLUMN($AB$1)-COLUMN($G$1),r,INDEX($G197:$AAB197,1,SEQUENCE(1,width)),flat,TOCOL(r,1),bad,FILTER(flat,COUNTIF('リスト'!$E:$E,flat)=0),IFERROR(TEXTJOIN(""\n"",TRUE,bad),""""))"),"")</f>
        <v/>
      </c>
      <c r="AC197" s="185"/>
      <c r="AD197" s="185"/>
    </row>
    <row r="198">
      <c r="A198" s="202"/>
      <c r="B198" s="202"/>
      <c r="C198" s="202"/>
      <c r="D198" s="202"/>
      <c r="E198" s="203"/>
      <c r="F198" s="203"/>
      <c r="G198" s="202"/>
      <c r="H198" s="185"/>
      <c r="I198" s="185"/>
      <c r="J198" s="185"/>
      <c r="K198" s="185"/>
      <c r="L198" s="185"/>
      <c r="M198" s="185"/>
      <c r="N198" s="185"/>
      <c r="O198" s="185"/>
      <c r="P198" s="185"/>
      <c r="Q198" s="185"/>
      <c r="R198" s="185"/>
      <c r="S198" s="185"/>
      <c r="T198" s="185"/>
      <c r="U198" s="185"/>
      <c r="V198" s="185"/>
      <c r="W198" s="185"/>
      <c r="X198" s="185"/>
      <c r="Y198" s="185"/>
      <c r="Z198" s="185"/>
      <c r="AA198" s="185"/>
      <c r="AB198" s="185" t="str">
        <f>IFERROR(__xludf.DUMMYFUNCTION("LET(width,COLUMN($AB$1)-COLUMN($G$1),r,INDEX($G198:$AAB198,1,SEQUENCE(1,width)),flat,TOCOL(r,1),bad,FILTER(flat,COUNTIF('リスト'!$E:$E,flat)=0),IFERROR(TEXTJOIN(""\n"",TRUE,bad),""""))"),"")</f>
        <v/>
      </c>
      <c r="AC198" s="185"/>
      <c r="AD198" s="185"/>
    </row>
    <row r="199">
      <c r="A199" s="202"/>
      <c r="B199" s="185"/>
      <c r="C199" s="202"/>
      <c r="D199" s="202"/>
      <c r="E199" s="203"/>
      <c r="F199" s="203"/>
      <c r="G199" s="202"/>
      <c r="H199" s="185"/>
      <c r="I199" s="185"/>
      <c r="J199" s="185"/>
      <c r="K199" s="185"/>
      <c r="L199" s="185"/>
      <c r="M199" s="185"/>
      <c r="N199" s="185"/>
      <c r="O199" s="185"/>
      <c r="P199" s="185"/>
      <c r="Q199" s="185"/>
      <c r="R199" s="185"/>
      <c r="S199" s="185"/>
      <c r="T199" s="185"/>
      <c r="U199" s="185"/>
      <c r="V199" s="185"/>
      <c r="W199" s="185"/>
      <c r="X199" s="185"/>
      <c r="Y199" s="185"/>
      <c r="Z199" s="185"/>
      <c r="AA199" s="185"/>
      <c r="AB199" s="185" t="str">
        <f>IFERROR(__xludf.DUMMYFUNCTION("LET(width,COLUMN($AB$1)-COLUMN($G$1),r,INDEX($G199:$AAB199,1,SEQUENCE(1,width)),flat,TOCOL(r,1),bad,FILTER(flat,COUNTIF('リスト'!$E:$E,flat)=0),IFERROR(TEXTJOIN(""\n"",TRUE,bad),""""))"),"")</f>
        <v/>
      </c>
      <c r="AC199" s="185"/>
      <c r="AD199" s="185"/>
    </row>
    <row r="200">
      <c r="A200" s="202"/>
      <c r="B200" s="202"/>
      <c r="C200" s="202"/>
      <c r="D200" s="202"/>
      <c r="E200" s="203"/>
      <c r="F200" s="203"/>
      <c r="G200" s="202"/>
      <c r="H200" s="185"/>
      <c r="I200" s="185"/>
      <c r="J200" s="185"/>
      <c r="K200" s="185"/>
      <c r="L200" s="185"/>
      <c r="M200" s="185"/>
      <c r="N200" s="185"/>
      <c r="O200" s="185"/>
      <c r="P200" s="185"/>
      <c r="Q200" s="185"/>
      <c r="R200" s="185"/>
      <c r="S200" s="185"/>
      <c r="T200" s="185"/>
      <c r="U200" s="185"/>
      <c r="V200" s="185"/>
      <c r="W200" s="185"/>
      <c r="X200" s="185"/>
      <c r="Y200" s="185"/>
      <c r="Z200" s="185"/>
      <c r="AA200" s="185"/>
      <c r="AB200" s="185" t="str">
        <f>IFERROR(__xludf.DUMMYFUNCTION("LET(width,COLUMN($AB$1)-COLUMN($G$1),r,INDEX($G200:$AAB200,1,SEQUENCE(1,width)),flat,TOCOL(r,1),bad,FILTER(flat,COUNTIF('リスト'!$E:$E,flat)=0),IFERROR(TEXTJOIN(""\n"",TRUE,bad),""""))"),"")</f>
        <v/>
      </c>
      <c r="AC200" s="185"/>
      <c r="AD200" s="185"/>
    </row>
    <row r="201">
      <c r="A201" s="202"/>
      <c r="B201" s="202"/>
      <c r="C201" s="202"/>
      <c r="D201" s="202"/>
      <c r="E201" s="203"/>
      <c r="F201" s="203"/>
      <c r="G201" s="202"/>
      <c r="H201" s="185"/>
      <c r="I201" s="185"/>
      <c r="J201" s="185"/>
      <c r="K201" s="185"/>
      <c r="L201" s="185"/>
      <c r="M201" s="185"/>
      <c r="N201" s="185"/>
      <c r="O201" s="185"/>
      <c r="P201" s="185"/>
      <c r="Q201" s="185"/>
      <c r="R201" s="185"/>
      <c r="S201" s="185"/>
      <c r="T201" s="185"/>
      <c r="U201" s="185"/>
      <c r="V201" s="185"/>
      <c r="W201" s="185"/>
      <c r="X201" s="185"/>
      <c r="Y201" s="185"/>
      <c r="Z201" s="185"/>
      <c r="AA201" s="185"/>
      <c r="AB201" s="185" t="str">
        <f>IFERROR(__xludf.DUMMYFUNCTION("LET(width,COLUMN($AB$1)-COLUMN($G$1),r,INDEX($G201:$AAB201,1,SEQUENCE(1,width)),flat,TOCOL(r,1),bad,FILTER(flat,COUNTIF('リスト'!$E:$E,flat)=0),IFERROR(TEXTJOIN(""\n"",TRUE,bad),""""))"),"")</f>
        <v/>
      </c>
      <c r="AC201" s="185"/>
      <c r="AD201" s="185"/>
    </row>
    <row r="202">
      <c r="A202" s="202"/>
      <c r="B202" s="202"/>
      <c r="C202" s="202"/>
      <c r="D202" s="202"/>
      <c r="E202" s="203"/>
      <c r="F202" s="203"/>
      <c r="G202" s="202"/>
      <c r="H202" s="185"/>
      <c r="I202" s="185"/>
      <c r="J202" s="185"/>
      <c r="K202" s="185"/>
      <c r="L202" s="185"/>
      <c r="M202" s="185"/>
      <c r="N202" s="185"/>
      <c r="O202" s="185"/>
      <c r="P202" s="185"/>
      <c r="Q202" s="185"/>
      <c r="R202" s="185"/>
      <c r="S202" s="185"/>
      <c r="T202" s="185"/>
      <c r="U202" s="185"/>
      <c r="V202" s="185"/>
      <c r="W202" s="185"/>
      <c r="X202" s="185"/>
      <c r="Y202" s="185"/>
      <c r="Z202" s="185"/>
      <c r="AA202" s="185"/>
      <c r="AB202" s="185" t="str">
        <f>IFERROR(__xludf.DUMMYFUNCTION("LET(width,COLUMN($AB$1)-COLUMN($G$1),r,INDEX($G202:$AAB202,1,SEQUENCE(1,width)),flat,TOCOL(r,1),bad,FILTER(flat,COUNTIF('リスト'!$E:$E,flat)=0),IFERROR(TEXTJOIN(""\n"",TRUE,bad),""""))"),"")</f>
        <v/>
      </c>
      <c r="AC202" s="185"/>
      <c r="AD202" s="185"/>
    </row>
    <row r="203">
      <c r="A203" s="185"/>
      <c r="B203" s="185"/>
      <c r="C203" s="185"/>
      <c r="D203" s="185"/>
      <c r="E203" s="203"/>
      <c r="F203" s="203"/>
      <c r="G203" s="185"/>
      <c r="H203" s="185"/>
      <c r="I203" s="185"/>
      <c r="J203" s="185"/>
      <c r="K203" s="185"/>
      <c r="L203" s="185"/>
      <c r="M203" s="185"/>
      <c r="N203" s="185"/>
      <c r="O203" s="185"/>
      <c r="P203" s="185"/>
      <c r="Q203" s="185"/>
      <c r="R203" s="185"/>
      <c r="S203" s="185"/>
      <c r="T203" s="185"/>
      <c r="U203" s="185"/>
      <c r="V203" s="185"/>
      <c r="W203" s="185"/>
      <c r="X203" s="185"/>
      <c r="Y203" s="185"/>
      <c r="Z203" s="185"/>
      <c r="AA203" s="185"/>
      <c r="AB203" s="185" t="str">
        <f>IFERROR(__xludf.DUMMYFUNCTION("LET(width,COLUMN($AB$1)-COLUMN($G$1),r,INDEX($G203:$AAB203,1,SEQUENCE(1,width)),flat,TOCOL(r,1),bad,FILTER(flat,COUNTIF('リスト'!$E:$E,flat)=0),IFERROR(TEXTJOIN(""\n"",TRUE,bad),""""))"),"")</f>
        <v/>
      </c>
      <c r="AC203" s="185"/>
      <c r="AD203" s="185"/>
    </row>
    <row r="204">
      <c r="A204" s="185"/>
      <c r="B204" s="185"/>
      <c r="C204" s="185"/>
      <c r="D204" s="185"/>
      <c r="E204" s="203"/>
      <c r="F204" s="203"/>
      <c r="G204" s="185"/>
      <c r="H204" s="185"/>
      <c r="I204" s="185"/>
      <c r="J204" s="185"/>
      <c r="K204" s="185"/>
      <c r="L204" s="185"/>
      <c r="M204" s="185"/>
      <c r="N204" s="185"/>
      <c r="O204" s="185"/>
      <c r="P204" s="185"/>
      <c r="Q204" s="185"/>
      <c r="R204" s="185"/>
      <c r="S204" s="185"/>
      <c r="T204" s="185"/>
      <c r="U204" s="185"/>
      <c r="V204" s="185"/>
      <c r="W204" s="185"/>
      <c r="X204" s="185"/>
      <c r="Y204" s="185"/>
      <c r="Z204" s="185"/>
      <c r="AA204" s="185"/>
      <c r="AB204" s="185" t="str">
        <f>IFERROR(__xludf.DUMMYFUNCTION("LET(width,COLUMN($AB$1)-COLUMN($G$1),r,INDEX($G204:$AAB204,1,SEQUENCE(1,width)),flat,TOCOL(r,1),bad,FILTER(flat,COUNTIF('リスト'!$E:$E,flat)=0),IFERROR(TEXTJOIN(""\n"",TRUE,bad),""""))"),"")</f>
        <v/>
      </c>
      <c r="AC204" s="185"/>
      <c r="AD204" s="185"/>
    </row>
    <row r="205">
      <c r="A205" s="185"/>
      <c r="B205" s="185"/>
      <c r="C205" s="185"/>
      <c r="D205" s="185"/>
      <c r="E205" s="203"/>
      <c r="F205" s="203"/>
      <c r="G205" s="185"/>
      <c r="H205" s="185"/>
      <c r="I205" s="185"/>
      <c r="J205" s="185"/>
      <c r="K205" s="185"/>
      <c r="L205" s="185"/>
      <c r="M205" s="185"/>
      <c r="N205" s="185"/>
      <c r="O205" s="185"/>
      <c r="P205" s="185"/>
      <c r="Q205" s="185"/>
      <c r="R205" s="185"/>
      <c r="S205" s="185"/>
      <c r="T205" s="185"/>
      <c r="U205" s="185"/>
      <c r="V205" s="185"/>
      <c r="W205" s="185"/>
      <c r="X205" s="185"/>
      <c r="Y205" s="185"/>
      <c r="Z205" s="185"/>
      <c r="AA205" s="185"/>
      <c r="AB205" s="185" t="str">
        <f>IFERROR(__xludf.DUMMYFUNCTION("LET(width,COLUMN($AB$1)-COLUMN($G$1),r,INDEX($G205:$AAB205,1,SEQUENCE(1,width)),flat,TOCOL(r,1),bad,FILTER(flat,COUNTIF('リスト'!$E:$E,flat)=0),IFERROR(TEXTJOIN(""\n"",TRUE,bad),""""))"),"")</f>
        <v/>
      </c>
      <c r="AC205" s="185"/>
      <c r="AD205" s="185"/>
    </row>
    <row r="206">
      <c r="A206" s="185"/>
      <c r="B206" s="185"/>
      <c r="C206" s="185"/>
      <c r="D206" s="185"/>
      <c r="E206" s="203"/>
      <c r="F206" s="203"/>
      <c r="G206" s="185"/>
      <c r="H206" s="185"/>
      <c r="I206" s="185"/>
      <c r="J206" s="185"/>
      <c r="K206" s="185"/>
      <c r="L206" s="185"/>
      <c r="M206" s="185"/>
      <c r="N206" s="185"/>
      <c r="O206" s="185"/>
      <c r="P206" s="185"/>
      <c r="Q206" s="185"/>
      <c r="R206" s="185"/>
      <c r="S206" s="185"/>
      <c r="T206" s="185"/>
      <c r="U206" s="185"/>
      <c r="V206" s="185"/>
      <c r="W206" s="185"/>
      <c r="X206" s="185"/>
      <c r="Y206" s="185"/>
      <c r="Z206" s="185"/>
      <c r="AA206" s="185"/>
      <c r="AB206" s="185" t="str">
        <f>IFERROR(__xludf.DUMMYFUNCTION("LET(width,COLUMN($AB$1)-COLUMN($G$1),r,INDEX($G206:$AAB206,1,SEQUENCE(1,width)),flat,TOCOL(r,1),bad,FILTER(flat,COUNTIF('リスト'!$E:$E,flat)=0),IFERROR(TEXTJOIN(""\n"",TRUE,bad),""""))"),"")</f>
        <v/>
      </c>
      <c r="AC206" s="185"/>
      <c r="AD206" s="185"/>
    </row>
    <row r="207">
      <c r="A207" s="185"/>
      <c r="B207" s="185"/>
      <c r="C207" s="185"/>
      <c r="D207" s="185"/>
      <c r="E207" s="203"/>
      <c r="F207" s="203"/>
      <c r="G207" s="185"/>
      <c r="H207" s="185"/>
      <c r="I207" s="185"/>
      <c r="J207" s="185"/>
      <c r="K207" s="185"/>
      <c r="L207" s="185"/>
      <c r="M207" s="185"/>
      <c r="N207" s="185"/>
      <c r="O207" s="185"/>
      <c r="P207" s="185"/>
      <c r="Q207" s="185"/>
      <c r="R207" s="185"/>
      <c r="S207" s="185"/>
      <c r="T207" s="185"/>
      <c r="U207" s="185"/>
      <c r="V207" s="185"/>
      <c r="W207" s="185"/>
      <c r="X207" s="185"/>
      <c r="Y207" s="185"/>
      <c r="Z207" s="185"/>
      <c r="AA207" s="185"/>
      <c r="AB207" s="185" t="str">
        <f>IFERROR(__xludf.DUMMYFUNCTION("LET(width,COLUMN($AB$1)-COLUMN($G$1),r,INDEX($G207:$AAB207,1,SEQUENCE(1,width)),flat,TOCOL(r,1),bad,FILTER(flat,COUNTIF('リスト'!$E:$E,flat)=0),IFERROR(TEXTJOIN(""\n"",TRUE,bad),""""))"),"")</f>
        <v/>
      </c>
      <c r="AC207" s="185"/>
      <c r="AD207" s="185"/>
    </row>
    <row r="208">
      <c r="A208" s="185"/>
      <c r="B208" s="185"/>
      <c r="C208" s="185"/>
      <c r="D208" s="185"/>
      <c r="E208" s="203"/>
      <c r="F208" s="203"/>
      <c r="G208" s="185"/>
      <c r="H208" s="185"/>
      <c r="I208" s="185"/>
      <c r="J208" s="185"/>
      <c r="K208" s="185"/>
      <c r="L208" s="185"/>
      <c r="M208" s="185"/>
      <c r="N208" s="185"/>
      <c r="O208" s="185"/>
      <c r="P208" s="185"/>
      <c r="Q208" s="185"/>
      <c r="R208" s="185"/>
      <c r="S208" s="185"/>
      <c r="T208" s="185"/>
      <c r="U208" s="185"/>
      <c r="V208" s="185"/>
      <c r="W208" s="185"/>
      <c r="X208" s="185"/>
      <c r="Y208" s="185"/>
      <c r="Z208" s="185"/>
      <c r="AA208" s="185"/>
      <c r="AB208" s="185" t="str">
        <f>IFERROR(__xludf.DUMMYFUNCTION("LET(width,COLUMN($AB$1)-COLUMN($G$1),r,INDEX($G208:$AAB208,1,SEQUENCE(1,width)),flat,TOCOL(r,1),bad,FILTER(flat,COUNTIF('リスト'!$E:$E,flat)=0),IFERROR(TEXTJOIN(""\n"",TRUE,bad),""""))"),"")</f>
        <v/>
      </c>
      <c r="AC208" s="185"/>
      <c r="AD208" s="185"/>
    </row>
    <row r="209">
      <c r="A209" s="185"/>
      <c r="B209" s="185"/>
      <c r="C209" s="185"/>
      <c r="D209" s="185"/>
      <c r="E209" s="203"/>
      <c r="F209" s="203"/>
      <c r="G209" s="185"/>
      <c r="H209" s="185"/>
      <c r="I209" s="185"/>
      <c r="J209" s="185"/>
      <c r="K209" s="185"/>
      <c r="L209" s="185"/>
      <c r="M209" s="185"/>
      <c r="N209" s="185"/>
      <c r="O209" s="185"/>
      <c r="P209" s="185"/>
      <c r="Q209" s="185"/>
      <c r="R209" s="185"/>
      <c r="S209" s="185"/>
      <c r="T209" s="185"/>
      <c r="U209" s="185"/>
      <c r="V209" s="185"/>
      <c r="W209" s="185"/>
      <c r="X209" s="185"/>
      <c r="Y209" s="185"/>
      <c r="Z209" s="185"/>
      <c r="AA209" s="185"/>
      <c r="AB209" s="185" t="str">
        <f>IFERROR(__xludf.DUMMYFUNCTION("LET(width,COLUMN($AB$1)-COLUMN($G$1),r,INDEX($G209:$AAB209,1,SEQUENCE(1,width)),flat,TOCOL(r,1),bad,FILTER(flat,COUNTIF('リスト'!$E:$E,flat)=0),IFERROR(TEXTJOIN(""\n"",TRUE,bad),""""))"),"")</f>
        <v/>
      </c>
      <c r="AC209" s="185"/>
      <c r="AD209" s="185"/>
    </row>
    <row r="210">
      <c r="A210" s="185"/>
      <c r="B210" s="185"/>
      <c r="C210" s="185"/>
      <c r="D210" s="185"/>
      <c r="E210" s="203"/>
      <c r="F210" s="203"/>
      <c r="G210" s="185"/>
      <c r="H210" s="185"/>
      <c r="I210" s="185"/>
      <c r="J210" s="185"/>
      <c r="K210" s="185"/>
      <c r="L210" s="185"/>
      <c r="M210" s="185"/>
      <c r="N210" s="185"/>
      <c r="O210" s="185"/>
      <c r="P210" s="185"/>
      <c r="Q210" s="185"/>
      <c r="R210" s="185"/>
      <c r="S210" s="185"/>
      <c r="T210" s="185"/>
      <c r="U210" s="185"/>
      <c r="V210" s="185"/>
      <c r="W210" s="185"/>
      <c r="X210" s="185"/>
      <c r="Y210" s="185"/>
      <c r="Z210" s="185"/>
      <c r="AA210" s="185"/>
      <c r="AB210" s="185" t="str">
        <f>IFERROR(__xludf.DUMMYFUNCTION("LET(width,COLUMN($AB$1)-COLUMN($G$1),r,INDEX($G210:$AAB210,1,SEQUENCE(1,width)),flat,TOCOL(r,1),bad,FILTER(flat,COUNTIF('リスト'!$E:$E,flat)=0),IFERROR(TEXTJOIN(""\n"",TRUE,bad),""""))"),"")</f>
        <v/>
      </c>
      <c r="AC210" s="185"/>
      <c r="AD210" s="185"/>
    </row>
    <row r="211">
      <c r="A211" s="185"/>
      <c r="B211" s="185"/>
      <c r="C211" s="185"/>
      <c r="D211" s="185"/>
      <c r="E211" s="203"/>
      <c r="F211" s="203"/>
      <c r="G211" s="185"/>
      <c r="H211" s="185"/>
      <c r="I211" s="185"/>
      <c r="J211" s="185"/>
      <c r="K211" s="185"/>
      <c r="L211" s="185"/>
      <c r="M211" s="185"/>
      <c r="N211" s="185"/>
      <c r="O211" s="185"/>
      <c r="P211" s="185"/>
      <c r="Q211" s="185"/>
      <c r="R211" s="185"/>
      <c r="S211" s="185"/>
      <c r="T211" s="185"/>
      <c r="U211" s="185"/>
      <c r="V211" s="185"/>
      <c r="W211" s="185"/>
      <c r="X211" s="185"/>
      <c r="Y211" s="185"/>
      <c r="Z211" s="185"/>
      <c r="AA211" s="185"/>
      <c r="AB211" s="185" t="str">
        <f>IFERROR(__xludf.DUMMYFUNCTION("LET(width,COLUMN($AB$1)-COLUMN($G$1),r,INDEX($G211:$AAB211,1,SEQUENCE(1,width)),flat,TOCOL(r,1),bad,FILTER(flat,COUNTIF('リスト'!$E:$E,flat)=0),IFERROR(TEXTJOIN(""\n"",TRUE,bad),""""))"),"")</f>
        <v/>
      </c>
      <c r="AC211" s="185"/>
      <c r="AD211" s="185"/>
    </row>
    <row r="212">
      <c r="A212" s="185"/>
      <c r="B212" s="185"/>
      <c r="C212" s="185"/>
      <c r="D212" s="185"/>
      <c r="E212" s="203"/>
      <c r="F212" s="203"/>
      <c r="G212" s="185"/>
      <c r="H212" s="185"/>
      <c r="I212" s="185"/>
      <c r="J212" s="185"/>
      <c r="K212" s="185"/>
      <c r="L212" s="185"/>
      <c r="M212" s="185"/>
      <c r="N212" s="185"/>
      <c r="O212" s="185"/>
      <c r="P212" s="185"/>
      <c r="Q212" s="185"/>
      <c r="R212" s="185"/>
      <c r="S212" s="185"/>
      <c r="T212" s="185"/>
      <c r="U212" s="185"/>
      <c r="V212" s="185"/>
      <c r="W212" s="185"/>
      <c r="X212" s="185"/>
      <c r="Y212" s="185"/>
      <c r="Z212" s="185"/>
      <c r="AA212" s="185"/>
      <c r="AB212" s="185" t="str">
        <f>IFERROR(__xludf.DUMMYFUNCTION("LET(width,COLUMN($AB$1)-COLUMN($G$1),r,INDEX($G212:$AAB212,1,SEQUENCE(1,width)),flat,TOCOL(r,1),bad,FILTER(flat,COUNTIF('リスト'!$E:$E,flat)=0),IFERROR(TEXTJOIN(""\n"",TRUE,bad),""""))"),"")</f>
        <v/>
      </c>
      <c r="AC212" s="185"/>
      <c r="AD212" s="185"/>
    </row>
    <row r="213">
      <c r="A213" s="185"/>
      <c r="B213" s="185"/>
      <c r="C213" s="185"/>
      <c r="D213" s="185"/>
      <c r="E213" s="203"/>
      <c r="F213" s="203"/>
      <c r="G213" s="185"/>
      <c r="H213" s="185"/>
      <c r="I213" s="185"/>
      <c r="J213" s="185"/>
      <c r="K213" s="185"/>
      <c r="L213" s="185"/>
      <c r="M213" s="185"/>
      <c r="N213" s="185"/>
      <c r="O213" s="185"/>
      <c r="P213" s="185"/>
      <c r="Q213" s="185"/>
      <c r="R213" s="185"/>
      <c r="S213" s="185"/>
      <c r="T213" s="185"/>
      <c r="U213" s="185"/>
      <c r="V213" s="185"/>
      <c r="W213" s="185"/>
      <c r="X213" s="185"/>
      <c r="Y213" s="185"/>
      <c r="Z213" s="185"/>
      <c r="AA213" s="185"/>
      <c r="AB213" s="185" t="str">
        <f>IFERROR(__xludf.DUMMYFUNCTION("LET(width,COLUMN($AB$1)-COLUMN($G$1),r,INDEX($G213:$AAB213,1,SEQUENCE(1,width)),flat,TOCOL(r,1),bad,FILTER(flat,COUNTIF('リスト'!$E:$E,flat)=0),IFERROR(TEXTJOIN(""\n"",TRUE,bad),""""))"),"")</f>
        <v/>
      </c>
      <c r="AC213" s="185"/>
      <c r="AD213" s="185"/>
    </row>
    <row r="214">
      <c r="A214" s="185"/>
      <c r="B214" s="185"/>
      <c r="C214" s="185"/>
      <c r="D214" s="185"/>
      <c r="E214" s="203"/>
      <c r="F214" s="203"/>
      <c r="G214" s="185"/>
      <c r="H214" s="185"/>
      <c r="I214" s="185"/>
      <c r="J214" s="185"/>
      <c r="K214" s="185"/>
      <c r="L214" s="185"/>
      <c r="M214" s="185"/>
      <c r="N214" s="185"/>
      <c r="O214" s="185"/>
      <c r="P214" s="185"/>
      <c r="Q214" s="185"/>
      <c r="R214" s="185"/>
      <c r="S214" s="185"/>
      <c r="T214" s="185"/>
      <c r="U214" s="185"/>
      <c r="V214" s="185"/>
      <c r="W214" s="185"/>
      <c r="X214" s="185"/>
      <c r="Y214" s="185"/>
      <c r="Z214" s="185"/>
      <c r="AA214" s="185"/>
      <c r="AB214" s="185" t="str">
        <f>IFERROR(__xludf.DUMMYFUNCTION("LET(width,COLUMN($AB$1)-COLUMN($G$1),r,INDEX($G214:$AAB214,1,SEQUENCE(1,width)),flat,TOCOL(r,1),bad,FILTER(flat,COUNTIF('リスト'!$E:$E,flat)=0),IFERROR(TEXTJOIN(""\n"",TRUE,bad),""""))"),"")</f>
        <v/>
      </c>
      <c r="AC214" s="185"/>
      <c r="AD214" s="185"/>
    </row>
    <row r="215">
      <c r="A215" s="185"/>
      <c r="B215" s="185"/>
      <c r="C215" s="185"/>
      <c r="D215" s="185"/>
      <c r="E215" s="203"/>
      <c r="F215" s="203"/>
      <c r="G215" s="185"/>
      <c r="H215" s="185"/>
      <c r="I215" s="185"/>
      <c r="J215" s="185"/>
      <c r="K215" s="185"/>
      <c r="L215" s="185"/>
      <c r="M215" s="185"/>
      <c r="N215" s="185"/>
      <c r="O215" s="185"/>
      <c r="P215" s="185"/>
      <c r="Q215" s="185"/>
      <c r="R215" s="185"/>
      <c r="S215" s="185"/>
      <c r="T215" s="185"/>
      <c r="U215" s="185"/>
      <c r="V215" s="185"/>
      <c r="W215" s="185"/>
      <c r="X215" s="185"/>
      <c r="Y215" s="185"/>
      <c r="Z215" s="185"/>
      <c r="AA215" s="185"/>
      <c r="AB215" s="185" t="str">
        <f>IFERROR(__xludf.DUMMYFUNCTION("LET(width,COLUMN($AB$1)-COLUMN($G$1),r,INDEX($G215:$AAB215,1,SEQUENCE(1,width)),flat,TOCOL(r,1),bad,FILTER(flat,COUNTIF('リスト'!$E:$E,flat)=0),IFERROR(TEXTJOIN(""\n"",TRUE,bad),""""))"),"")</f>
        <v/>
      </c>
      <c r="AC215" s="185"/>
      <c r="AD215" s="185"/>
    </row>
    <row r="216">
      <c r="A216" s="185"/>
      <c r="B216" s="185"/>
      <c r="C216" s="185"/>
      <c r="D216" s="185"/>
      <c r="E216" s="203"/>
      <c r="F216" s="203"/>
      <c r="G216" s="185"/>
      <c r="H216" s="185"/>
      <c r="I216" s="185"/>
      <c r="J216" s="185"/>
      <c r="K216" s="185"/>
      <c r="L216" s="185"/>
      <c r="M216" s="185"/>
      <c r="N216" s="185"/>
      <c r="O216" s="185"/>
      <c r="P216" s="185"/>
      <c r="Q216" s="185"/>
      <c r="R216" s="185"/>
      <c r="S216" s="185"/>
      <c r="T216" s="185"/>
      <c r="U216" s="185"/>
      <c r="V216" s="185"/>
      <c r="W216" s="185"/>
      <c r="X216" s="185"/>
      <c r="Y216" s="185"/>
      <c r="Z216" s="185"/>
      <c r="AA216" s="185"/>
      <c r="AB216" s="185" t="str">
        <f>IFERROR(__xludf.DUMMYFUNCTION("LET(width,COLUMN($AB$1)-COLUMN($G$1),r,INDEX($G216:$AAB216,1,SEQUENCE(1,width)),flat,TOCOL(r,1),bad,FILTER(flat,COUNTIF('リスト'!$E:$E,flat)=0),IFERROR(TEXTJOIN(""\n"",TRUE,bad),""""))"),"")</f>
        <v/>
      </c>
      <c r="AC216" s="185"/>
      <c r="AD216" s="185"/>
    </row>
    <row r="217">
      <c r="A217" s="185"/>
      <c r="B217" s="185"/>
      <c r="C217" s="185"/>
      <c r="D217" s="185"/>
      <c r="E217" s="203"/>
      <c r="F217" s="203"/>
      <c r="G217" s="185"/>
      <c r="H217" s="185"/>
      <c r="I217" s="185"/>
      <c r="J217" s="185"/>
      <c r="K217" s="185"/>
      <c r="L217" s="185"/>
      <c r="M217" s="185"/>
      <c r="N217" s="185"/>
      <c r="O217" s="185"/>
      <c r="P217" s="185"/>
      <c r="Q217" s="185"/>
      <c r="R217" s="185"/>
      <c r="S217" s="185"/>
      <c r="T217" s="185"/>
      <c r="U217" s="185"/>
      <c r="V217" s="185"/>
      <c r="W217" s="185"/>
      <c r="X217" s="185"/>
      <c r="Y217" s="185"/>
      <c r="Z217" s="185"/>
      <c r="AA217" s="185"/>
      <c r="AB217" s="185" t="str">
        <f>IFERROR(__xludf.DUMMYFUNCTION("LET(width,COLUMN($AB$1)-COLUMN($G$1),r,INDEX($G217:$AAB217,1,SEQUENCE(1,width)),flat,TOCOL(r,1),bad,FILTER(flat,COUNTIF('リスト'!$E:$E,flat)=0),IFERROR(TEXTJOIN(""\n"",TRUE,bad),""""))"),"")</f>
        <v/>
      </c>
      <c r="AC217" s="185"/>
      <c r="AD217" s="185"/>
    </row>
    <row r="218">
      <c r="A218" s="185"/>
      <c r="B218" s="185"/>
      <c r="C218" s="185"/>
      <c r="D218" s="185"/>
      <c r="E218" s="203"/>
      <c r="F218" s="203"/>
      <c r="G218" s="185"/>
      <c r="H218" s="185"/>
      <c r="I218" s="185"/>
      <c r="J218" s="185"/>
      <c r="K218" s="185"/>
      <c r="L218" s="185"/>
      <c r="M218" s="185"/>
      <c r="N218" s="185"/>
      <c r="O218" s="185"/>
      <c r="P218" s="185"/>
      <c r="Q218" s="185"/>
      <c r="R218" s="185"/>
      <c r="S218" s="185"/>
      <c r="T218" s="185"/>
      <c r="U218" s="185"/>
      <c r="V218" s="185"/>
      <c r="W218" s="185"/>
      <c r="X218" s="185"/>
      <c r="Y218" s="185"/>
      <c r="Z218" s="185"/>
      <c r="AA218" s="185"/>
      <c r="AB218" s="185" t="str">
        <f>IFERROR(__xludf.DUMMYFUNCTION("LET(width,COLUMN($AB$1)-COLUMN($G$1),r,INDEX($G218:$AAB218,1,SEQUENCE(1,width)),flat,TOCOL(r,1),bad,FILTER(flat,COUNTIF('リスト'!$E:$E,flat)=0),IFERROR(TEXTJOIN(""\n"",TRUE,bad),""""))"),"")</f>
        <v/>
      </c>
      <c r="AC218" s="185"/>
      <c r="AD218" s="185"/>
    </row>
    <row r="219">
      <c r="A219" s="185"/>
      <c r="B219" s="185"/>
      <c r="C219" s="185"/>
      <c r="D219" s="185"/>
      <c r="E219" s="203"/>
      <c r="F219" s="203"/>
      <c r="G219" s="185"/>
      <c r="H219" s="185"/>
      <c r="I219" s="185"/>
      <c r="J219" s="185"/>
      <c r="K219" s="185"/>
      <c r="L219" s="185"/>
      <c r="M219" s="185"/>
      <c r="N219" s="185"/>
      <c r="O219" s="185"/>
      <c r="P219" s="185"/>
      <c r="Q219" s="185"/>
      <c r="R219" s="185"/>
      <c r="S219" s="185"/>
      <c r="T219" s="185"/>
      <c r="U219" s="185"/>
      <c r="V219" s="185"/>
      <c r="W219" s="185"/>
      <c r="X219" s="185"/>
      <c r="Y219" s="185"/>
      <c r="Z219" s="185"/>
      <c r="AA219" s="185"/>
      <c r="AB219" s="185" t="str">
        <f>IFERROR(__xludf.DUMMYFUNCTION("LET(width,COLUMN($AB$1)-COLUMN($G$1),r,INDEX($G219:$AAB219,1,SEQUENCE(1,width)),flat,TOCOL(r,1),bad,FILTER(flat,COUNTIF('リスト'!$E:$E,flat)=0),IFERROR(TEXTJOIN(""\n"",TRUE,bad),""""))"),"")</f>
        <v/>
      </c>
      <c r="AC219" s="185"/>
      <c r="AD219" s="185"/>
    </row>
    <row r="220">
      <c r="A220" s="185"/>
      <c r="B220" s="185"/>
      <c r="C220" s="185"/>
      <c r="D220" s="185"/>
      <c r="E220" s="203"/>
      <c r="F220" s="203"/>
      <c r="G220" s="185"/>
      <c r="H220" s="185"/>
      <c r="I220" s="185"/>
      <c r="J220" s="185"/>
      <c r="K220" s="185"/>
      <c r="L220" s="185"/>
      <c r="M220" s="185"/>
      <c r="N220" s="185"/>
      <c r="O220" s="185"/>
      <c r="P220" s="185"/>
      <c r="Q220" s="185"/>
      <c r="R220" s="185"/>
      <c r="S220" s="185"/>
      <c r="T220" s="185"/>
      <c r="U220" s="185"/>
      <c r="V220" s="185"/>
      <c r="W220" s="185"/>
      <c r="X220" s="185"/>
      <c r="Y220" s="185"/>
      <c r="Z220" s="185"/>
      <c r="AA220" s="185"/>
      <c r="AB220" s="185" t="str">
        <f>IFERROR(__xludf.DUMMYFUNCTION("LET(width,COLUMN($AB$1)-COLUMN($G$1),r,INDEX($G220:$AAB220,1,SEQUENCE(1,width)),flat,TOCOL(r,1),bad,FILTER(flat,COUNTIF('リスト'!$E:$E,flat)=0),IFERROR(TEXTJOIN(""\n"",TRUE,bad),""""))"),"")</f>
        <v/>
      </c>
      <c r="AC220" s="185"/>
      <c r="AD220" s="185"/>
    </row>
    <row r="221">
      <c r="A221" s="185"/>
      <c r="B221" s="185"/>
      <c r="C221" s="185"/>
      <c r="D221" s="185"/>
      <c r="E221" s="203"/>
      <c r="F221" s="203"/>
      <c r="G221" s="185"/>
      <c r="H221" s="185"/>
      <c r="I221" s="185"/>
      <c r="J221" s="185"/>
      <c r="K221" s="185"/>
      <c r="L221" s="185"/>
      <c r="M221" s="185"/>
      <c r="N221" s="185"/>
      <c r="O221" s="185"/>
      <c r="P221" s="185"/>
      <c r="Q221" s="185"/>
      <c r="R221" s="185"/>
      <c r="S221" s="185"/>
      <c r="T221" s="185"/>
      <c r="U221" s="185"/>
      <c r="V221" s="185"/>
      <c r="W221" s="185"/>
      <c r="X221" s="185"/>
      <c r="Y221" s="185"/>
      <c r="Z221" s="185"/>
      <c r="AA221" s="185"/>
      <c r="AB221" s="185" t="str">
        <f>IFERROR(__xludf.DUMMYFUNCTION("LET(width,COLUMN($AB$1)-COLUMN($G$1),r,INDEX($G221:$AAB221,1,SEQUENCE(1,width)),flat,TOCOL(r,1),bad,FILTER(flat,COUNTIF('リスト'!$E:$E,flat)=0),IFERROR(TEXTJOIN(""\n"",TRUE,bad),""""))"),"")</f>
        <v/>
      </c>
      <c r="AC221" s="185"/>
      <c r="AD221" s="185"/>
    </row>
    <row r="222">
      <c r="A222" s="185"/>
      <c r="B222" s="185"/>
      <c r="C222" s="185"/>
      <c r="D222" s="185"/>
      <c r="E222" s="203"/>
      <c r="F222" s="203"/>
      <c r="G222" s="185"/>
      <c r="H222" s="185"/>
      <c r="I222" s="185"/>
      <c r="J222" s="185"/>
      <c r="K222" s="185"/>
      <c r="L222" s="185"/>
      <c r="M222" s="185"/>
      <c r="N222" s="185"/>
      <c r="O222" s="185"/>
      <c r="P222" s="185"/>
      <c r="Q222" s="185"/>
      <c r="R222" s="185"/>
      <c r="S222" s="185"/>
      <c r="T222" s="185"/>
      <c r="U222" s="185"/>
      <c r="V222" s="185"/>
      <c r="W222" s="185"/>
      <c r="X222" s="185"/>
      <c r="Y222" s="185"/>
      <c r="Z222" s="185"/>
      <c r="AA222" s="185"/>
      <c r="AB222" s="185" t="str">
        <f>IFERROR(__xludf.DUMMYFUNCTION("LET(width,COLUMN($AB$1)-COLUMN($G$1),r,INDEX($G222:$AAB222,1,SEQUENCE(1,width)),flat,TOCOL(r,1),bad,FILTER(flat,COUNTIF('リスト'!$E:$E,flat)=0),IFERROR(TEXTJOIN(""\n"",TRUE,bad),""""))"),"")</f>
        <v/>
      </c>
      <c r="AC222" s="185"/>
      <c r="AD222" s="185"/>
    </row>
    <row r="223">
      <c r="A223" s="185"/>
      <c r="B223" s="185"/>
      <c r="C223" s="185"/>
      <c r="D223" s="185"/>
      <c r="E223" s="203"/>
      <c r="F223" s="203"/>
      <c r="G223" s="185"/>
      <c r="H223" s="185"/>
      <c r="I223" s="185"/>
      <c r="J223" s="185"/>
      <c r="K223" s="185"/>
      <c r="L223" s="185"/>
      <c r="M223" s="185"/>
      <c r="N223" s="185"/>
      <c r="O223" s="185"/>
      <c r="P223" s="185"/>
      <c r="Q223" s="185"/>
      <c r="R223" s="185"/>
      <c r="S223" s="185"/>
      <c r="T223" s="185"/>
      <c r="U223" s="185"/>
      <c r="V223" s="185"/>
      <c r="W223" s="185"/>
      <c r="X223" s="185"/>
      <c r="Y223" s="185"/>
      <c r="Z223" s="185"/>
      <c r="AA223" s="185"/>
      <c r="AB223" s="185" t="str">
        <f>IFERROR(__xludf.DUMMYFUNCTION("LET(width,COLUMN($AB$1)-COLUMN($G$1),r,INDEX($G223:$AAB223,1,SEQUENCE(1,width)),flat,TOCOL(r,1),bad,FILTER(flat,COUNTIF('リスト'!$E:$E,flat)=0),IFERROR(TEXTJOIN(""\n"",TRUE,bad),""""))"),"")</f>
        <v/>
      </c>
      <c r="AC223" s="185"/>
      <c r="AD223" s="185"/>
    </row>
    <row r="224">
      <c r="A224" s="185"/>
      <c r="B224" s="185"/>
      <c r="C224" s="185"/>
      <c r="D224" s="185"/>
      <c r="E224" s="203"/>
      <c r="F224" s="203"/>
      <c r="G224" s="185"/>
      <c r="H224" s="185"/>
      <c r="I224" s="185"/>
      <c r="J224" s="185"/>
      <c r="K224" s="185"/>
      <c r="L224" s="185"/>
      <c r="M224" s="185"/>
      <c r="N224" s="185"/>
      <c r="O224" s="185"/>
      <c r="P224" s="185"/>
      <c r="Q224" s="185"/>
      <c r="R224" s="185"/>
      <c r="S224" s="185"/>
      <c r="T224" s="185"/>
      <c r="U224" s="185"/>
      <c r="V224" s="185"/>
      <c r="W224" s="185"/>
      <c r="X224" s="185"/>
      <c r="Y224" s="185"/>
      <c r="Z224" s="185"/>
      <c r="AA224" s="185"/>
      <c r="AB224" s="185" t="str">
        <f>IFERROR(__xludf.DUMMYFUNCTION("LET(width,COLUMN($AB$1)-COLUMN($G$1),r,INDEX($G224:$AAB224,1,SEQUENCE(1,width)),flat,TOCOL(r,1),bad,FILTER(flat,COUNTIF('リスト'!$E:$E,flat)=0),IFERROR(TEXTJOIN(""\n"",TRUE,bad),""""))"),"")</f>
        <v/>
      </c>
      <c r="AC224" s="185"/>
      <c r="AD224" s="185"/>
    </row>
    <row r="225">
      <c r="A225" s="185"/>
      <c r="B225" s="185"/>
      <c r="C225" s="185"/>
      <c r="D225" s="185"/>
      <c r="E225" s="203"/>
      <c r="F225" s="203"/>
      <c r="G225" s="185"/>
      <c r="H225" s="185"/>
      <c r="I225" s="185"/>
      <c r="J225" s="185"/>
      <c r="K225" s="185"/>
      <c r="L225" s="185"/>
      <c r="M225" s="185"/>
      <c r="N225" s="185"/>
      <c r="O225" s="185"/>
      <c r="P225" s="185"/>
      <c r="Q225" s="185"/>
      <c r="R225" s="185"/>
      <c r="S225" s="185"/>
      <c r="T225" s="185"/>
      <c r="U225" s="185"/>
      <c r="V225" s="185"/>
      <c r="W225" s="185"/>
      <c r="X225" s="185"/>
      <c r="Y225" s="185"/>
      <c r="Z225" s="185"/>
      <c r="AA225" s="185"/>
      <c r="AB225" s="185" t="str">
        <f>IFERROR(__xludf.DUMMYFUNCTION("LET(width,COLUMN($AB$1)-COLUMN($G$1),r,INDEX($G225:$AAB225,1,SEQUENCE(1,width)),flat,TOCOL(r,1),bad,FILTER(flat,COUNTIF('リスト'!$E:$E,flat)=0),IFERROR(TEXTJOIN(""\n"",TRUE,bad),""""))"),"")</f>
        <v/>
      </c>
      <c r="AC225" s="185"/>
      <c r="AD225" s="185"/>
    </row>
    <row r="226">
      <c r="A226" s="185"/>
      <c r="B226" s="185"/>
      <c r="C226" s="185"/>
      <c r="D226" s="185"/>
      <c r="E226" s="203"/>
      <c r="F226" s="203"/>
      <c r="G226" s="185"/>
      <c r="H226" s="185"/>
      <c r="I226" s="185"/>
      <c r="J226" s="185"/>
      <c r="K226" s="185"/>
      <c r="L226" s="185"/>
      <c r="M226" s="185"/>
      <c r="N226" s="185"/>
      <c r="O226" s="185"/>
      <c r="P226" s="185"/>
      <c r="Q226" s="185"/>
      <c r="R226" s="185"/>
      <c r="S226" s="185"/>
      <c r="T226" s="185"/>
      <c r="U226" s="185"/>
      <c r="V226" s="185"/>
      <c r="W226" s="185"/>
      <c r="X226" s="185"/>
      <c r="Y226" s="185"/>
      <c r="Z226" s="185"/>
      <c r="AA226" s="185"/>
      <c r="AB226" s="185" t="str">
        <f>IFERROR(__xludf.DUMMYFUNCTION("LET(width,COLUMN($AB$1)-COLUMN($G$1),r,INDEX($G226:$AAB226,1,SEQUENCE(1,width)),flat,TOCOL(r,1),bad,FILTER(flat,COUNTIF('リスト'!$E:$E,flat)=0),IFERROR(TEXTJOIN(""\n"",TRUE,bad),""""))"),"")</f>
        <v/>
      </c>
      <c r="AC226" s="185"/>
      <c r="AD226" s="185"/>
    </row>
    <row r="227">
      <c r="A227" s="185"/>
      <c r="B227" s="185"/>
      <c r="C227" s="185"/>
      <c r="D227" s="185"/>
      <c r="E227" s="203"/>
      <c r="F227" s="203"/>
      <c r="G227" s="185"/>
      <c r="H227" s="185"/>
      <c r="I227" s="185"/>
      <c r="J227" s="185"/>
      <c r="K227" s="185"/>
      <c r="L227" s="185"/>
      <c r="M227" s="185"/>
      <c r="N227" s="185"/>
      <c r="O227" s="185"/>
      <c r="P227" s="185"/>
      <c r="Q227" s="185"/>
      <c r="R227" s="185"/>
      <c r="S227" s="185"/>
      <c r="T227" s="185"/>
      <c r="U227" s="185"/>
      <c r="V227" s="185"/>
      <c r="W227" s="185"/>
      <c r="X227" s="185"/>
      <c r="Y227" s="185"/>
      <c r="Z227" s="185"/>
      <c r="AA227" s="185"/>
      <c r="AB227" s="185" t="str">
        <f>IFERROR(__xludf.DUMMYFUNCTION("LET(width,COLUMN($AB$1)-COLUMN($G$1),r,INDEX($G227:$AAB227,1,SEQUENCE(1,width)),flat,TOCOL(r,1),bad,FILTER(flat,COUNTIF('リスト'!$E:$E,flat)=0),IFERROR(TEXTJOIN(""\n"",TRUE,bad),""""))"),"")</f>
        <v/>
      </c>
      <c r="AC227" s="185"/>
      <c r="AD227" s="185"/>
    </row>
    <row r="228">
      <c r="A228" s="185"/>
      <c r="B228" s="185"/>
      <c r="C228" s="185"/>
      <c r="D228" s="185"/>
      <c r="E228" s="203"/>
      <c r="F228" s="203"/>
      <c r="G228" s="185"/>
      <c r="H228" s="185"/>
      <c r="I228" s="185"/>
      <c r="J228" s="185"/>
      <c r="K228" s="185"/>
      <c r="L228" s="185"/>
      <c r="M228" s="185"/>
      <c r="N228" s="185"/>
      <c r="O228" s="185"/>
      <c r="P228" s="185"/>
      <c r="Q228" s="185"/>
      <c r="R228" s="185"/>
      <c r="S228" s="185"/>
      <c r="T228" s="185"/>
      <c r="U228" s="185"/>
      <c r="V228" s="185"/>
      <c r="W228" s="185"/>
      <c r="X228" s="185"/>
      <c r="Y228" s="185"/>
      <c r="Z228" s="185"/>
      <c r="AA228" s="185"/>
      <c r="AB228" s="185" t="str">
        <f>IFERROR(__xludf.DUMMYFUNCTION("LET(width,COLUMN($AB$1)-COLUMN($G$1),r,INDEX($G228:$AAB228,1,SEQUENCE(1,width)),flat,TOCOL(r,1),bad,FILTER(flat,COUNTIF('リスト'!$E:$E,flat)=0),IFERROR(TEXTJOIN(""\n"",TRUE,bad),""""))"),"")</f>
        <v/>
      </c>
      <c r="AC228" s="185"/>
      <c r="AD228" s="185"/>
    </row>
    <row r="229">
      <c r="A229" s="185"/>
      <c r="B229" s="185"/>
      <c r="C229" s="185"/>
      <c r="D229" s="185"/>
      <c r="E229" s="203"/>
      <c r="F229" s="203"/>
      <c r="G229" s="185"/>
      <c r="H229" s="185"/>
      <c r="I229" s="185"/>
      <c r="J229" s="185"/>
      <c r="K229" s="185"/>
      <c r="L229" s="185"/>
      <c r="M229" s="185"/>
      <c r="N229" s="185"/>
      <c r="O229" s="185"/>
      <c r="P229" s="185"/>
      <c r="Q229" s="185"/>
      <c r="R229" s="185"/>
      <c r="S229" s="185"/>
      <c r="T229" s="185"/>
      <c r="U229" s="185"/>
      <c r="V229" s="185"/>
      <c r="W229" s="185"/>
      <c r="X229" s="185"/>
      <c r="Y229" s="185"/>
      <c r="Z229" s="185"/>
      <c r="AA229" s="185"/>
      <c r="AB229" s="185" t="str">
        <f>IFERROR(__xludf.DUMMYFUNCTION("LET(width,COLUMN($AB$1)-COLUMN($G$1),r,INDEX($G229:$AAB229,1,SEQUENCE(1,width)),flat,TOCOL(r,1),bad,FILTER(flat,COUNTIF('リスト'!$E:$E,flat)=0),IFERROR(TEXTJOIN(""\n"",TRUE,bad),""""))"),"")</f>
        <v/>
      </c>
      <c r="AC229" s="185"/>
      <c r="AD229" s="185"/>
    </row>
    <row r="230">
      <c r="A230" s="185"/>
      <c r="B230" s="185"/>
      <c r="C230" s="185"/>
      <c r="D230" s="185"/>
      <c r="E230" s="203"/>
      <c r="F230" s="203"/>
      <c r="G230" s="185"/>
      <c r="H230" s="185"/>
      <c r="I230" s="185"/>
      <c r="J230" s="185"/>
      <c r="K230" s="185"/>
      <c r="L230" s="185"/>
      <c r="M230" s="185"/>
      <c r="N230" s="185"/>
      <c r="O230" s="185"/>
      <c r="P230" s="185"/>
      <c r="Q230" s="185"/>
      <c r="R230" s="185"/>
      <c r="S230" s="185"/>
      <c r="T230" s="185"/>
      <c r="U230" s="185"/>
      <c r="V230" s="185"/>
      <c r="W230" s="185"/>
      <c r="X230" s="185"/>
      <c r="Y230" s="185"/>
      <c r="Z230" s="185"/>
      <c r="AA230" s="185"/>
      <c r="AB230" s="185" t="str">
        <f>IFERROR(__xludf.DUMMYFUNCTION("LET(width,COLUMN($AB$1)-COLUMN($G$1),r,INDEX($G230:$AAB230,1,SEQUENCE(1,width)),flat,TOCOL(r,1),bad,FILTER(flat,COUNTIF('リスト'!$E:$E,flat)=0),IFERROR(TEXTJOIN(""\n"",TRUE,bad),""""))"),"")</f>
        <v/>
      </c>
      <c r="AC230" s="185"/>
      <c r="AD230" s="185"/>
    </row>
    <row r="231">
      <c r="A231" s="185"/>
      <c r="B231" s="185"/>
      <c r="C231" s="185"/>
      <c r="D231" s="185"/>
      <c r="E231" s="203"/>
      <c r="F231" s="203"/>
      <c r="G231" s="185"/>
      <c r="H231" s="185"/>
      <c r="I231" s="185"/>
      <c r="J231" s="185"/>
      <c r="K231" s="185"/>
      <c r="L231" s="185"/>
      <c r="M231" s="185"/>
      <c r="N231" s="185"/>
      <c r="O231" s="185"/>
      <c r="P231" s="185"/>
      <c r="Q231" s="185"/>
      <c r="R231" s="185"/>
      <c r="S231" s="185"/>
      <c r="T231" s="185"/>
      <c r="U231" s="185"/>
      <c r="V231" s="185"/>
      <c r="W231" s="185"/>
      <c r="X231" s="185"/>
      <c r="Y231" s="185"/>
      <c r="Z231" s="185"/>
      <c r="AA231" s="185"/>
      <c r="AB231" s="185" t="str">
        <f>IFERROR(__xludf.DUMMYFUNCTION("LET(width,COLUMN($AB$1)-COLUMN($G$1),r,INDEX($G231:$AAB231,1,SEQUENCE(1,width)),flat,TOCOL(r,1),bad,FILTER(flat,COUNTIF('リスト'!$E:$E,flat)=0),IFERROR(TEXTJOIN(""\n"",TRUE,bad),""""))"),"")</f>
        <v/>
      </c>
      <c r="AC231" s="185"/>
      <c r="AD231" s="185"/>
    </row>
    <row r="232">
      <c r="A232" s="185"/>
      <c r="B232" s="185"/>
      <c r="C232" s="185"/>
      <c r="D232" s="185"/>
      <c r="E232" s="203"/>
      <c r="F232" s="203"/>
      <c r="G232" s="185"/>
      <c r="H232" s="185"/>
      <c r="I232" s="185"/>
      <c r="J232" s="185"/>
      <c r="K232" s="185"/>
      <c r="L232" s="185"/>
      <c r="M232" s="185"/>
      <c r="N232" s="185"/>
      <c r="O232" s="185"/>
      <c r="P232" s="185"/>
      <c r="Q232" s="185"/>
      <c r="R232" s="185"/>
      <c r="S232" s="185"/>
      <c r="T232" s="185"/>
      <c r="U232" s="185"/>
      <c r="V232" s="185"/>
      <c r="W232" s="185"/>
      <c r="X232" s="185"/>
      <c r="Y232" s="185"/>
      <c r="Z232" s="185"/>
      <c r="AA232" s="185"/>
      <c r="AB232" s="185" t="str">
        <f>IFERROR(__xludf.DUMMYFUNCTION("LET(width,COLUMN($AB$1)-COLUMN($G$1),r,INDEX($G232:$AAB232,1,SEQUENCE(1,width)),flat,TOCOL(r,1),bad,FILTER(flat,COUNTIF('リスト'!$E:$E,flat)=0),IFERROR(TEXTJOIN(""\n"",TRUE,bad),""""))"),"")</f>
        <v/>
      </c>
      <c r="AC232" s="185"/>
      <c r="AD232" s="185"/>
    </row>
    <row r="233">
      <c r="A233" s="185"/>
      <c r="B233" s="185"/>
      <c r="C233" s="185"/>
      <c r="D233" s="185"/>
      <c r="E233" s="203"/>
      <c r="F233" s="203"/>
      <c r="G233" s="185"/>
      <c r="H233" s="185"/>
      <c r="I233" s="185"/>
      <c r="J233" s="185"/>
      <c r="K233" s="185"/>
      <c r="L233" s="185"/>
      <c r="M233" s="185"/>
      <c r="N233" s="185"/>
      <c r="O233" s="185"/>
      <c r="P233" s="185"/>
      <c r="Q233" s="185"/>
      <c r="R233" s="185"/>
      <c r="S233" s="185"/>
      <c r="T233" s="185"/>
      <c r="U233" s="185"/>
      <c r="V233" s="185"/>
      <c r="W233" s="185"/>
      <c r="X233" s="185"/>
      <c r="Y233" s="185"/>
      <c r="Z233" s="185"/>
      <c r="AA233" s="185"/>
      <c r="AB233" s="185" t="str">
        <f>IFERROR(__xludf.DUMMYFUNCTION("LET(width,COLUMN($AB$1)-COLUMN($G$1),r,INDEX($G233:$AAB233,1,SEQUENCE(1,width)),flat,TOCOL(r,1),bad,FILTER(flat,COUNTIF('リスト'!$E:$E,flat)=0),IFERROR(TEXTJOIN(""\n"",TRUE,bad),""""))"),"")</f>
        <v/>
      </c>
      <c r="AC233" s="185"/>
      <c r="AD233" s="185"/>
    </row>
    <row r="234">
      <c r="A234" s="185"/>
      <c r="B234" s="185"/>
      <c r="C234" s="185"/>
      <c r="D234" s="185"/>
      <c r="E234" s="203"/>
      <c r="F234" s="203"/>
      <c r="G234" s="185"/>
      <c r="H234" s="185"/>
      <c r="I234" s="185"/>
      <c r="J234" s="185"/>
      <c r="K234" s="185"/>
      <c r="L234" s="185"/>
      <c r="M234" s="185"/>
      <c r="N234" s="185"/>
      <c r="O234" s="185"/>
      <c r="P234" s="185"/>
      <c r="Q234" s="185"/>
      <c r="R234" s="185"/>
      <c r="S234" s="185"/>
      <c r="T234" s="185"/>
      <c r="U234" s="185"/>
      <c r="V234" s="185"/>
      <c r="W234" s="185"/>
      <c r="X234" s="185"/>
      <c r="Y234" s="185"/>
      <c r="Z234" s="185"/>
      <c r="AA234" s="185"/>
      <c r="AB234" s="185" t="str">
        <f>IFERROR(__xludf.DUMMYFUNCTION("LET(width,COLUMN($AB$1)-COLUMN($G$1),r,INDEX($G234:$AAB234,1,SEQUENCE(1,width)),flat,TOCOL(r,1),bad,FILTER(flat,COUNTIF('リスト'!$E:$E,flat)=0),IFERROR(TEXTJOIN(""\n"",TRUE,bad),""""))"),"")</f>
        <v/>
      </c>
      <c r="AC234" s="185"/>
      <c r="AD234" s="185"/>
    </row>
    <row r="235">
      <c r="A235" s="185"/>
      <c r="B235" s="185"/>
      <c r="C235" s="185"/>
      <c r="D235" s="185"/>
      <c r="E235" s="203"/>
      <c r="F235" s="203"/>
      <c r="G235" s="185"/>
      <c r="H235" s="185"/>
      <c r="I235" s="185"/>
      <c r="J235" s="185"/>
      <c r="K235" s="185"/>
      <c r="L235" s="185"/>
      <c r="M235" s="185"/>
      <c r="N235" s="185"/>
      <c r="O235" s="185"/>
      <c r="P235" s="185"/>
      <c r="Q235" s="185"/>
      <c r="R235" s="185"/>
      <c r="S235" s="185"/>
      <c r="T235" s="185"/>
      <c r="U235" s="185"/>
      <c r="V235" s="185"/>
      <c r="W235" s="185"/>
      <c r="X235" s="185"/>
      <c r="Y235" s="185"/>
      <c r="Z235" s="185"/>
      <c r="AA235" s="185"/>
      <c r="AB235" s="185" t="str">
        <f>IFERROR(__xludf.DUMMYFUNCTION("LET(width,COLUMN($AB$1)-COLUMN($G$1),r,INDEX($G235:$AAB235,1,SEQUENCE(1,width)),flat,TOCOL(r,1),bad,FILTER(flat,COUNTIF('リスト'!$E:$E,flat)=0),IFERROR(TEXTJOIN(""\n"",TRUE,bad),""""))"),"")</f>
        <v/>
      </c>
      <c r="AC235" s="185"/>
      <c r="AD235" s="185"/>
    </row>
    <row r="236">
      <c r="A236" s="185"/>
      <c r="B236" s="185"/>
      <c r="C236" s="185"/>
      <c r="D236" s="185"/>
      <c r="E236" s="203"/>
      <c r="F236" s="203"/>
      <c r="G236" s="185"/>
      <c r="H236" s="185"/>
      <c r="I236" s="185"/>
      <c r="J236" s="185"/>
      <c r="K236" s="185"/>
      <c r="L236" s="185"/>
      <c r="M236" s="185"/>
      <c r="N236" s="185"/>
      <c r="O236" s="185"/>
      <c r="P236" s="185"/>
      <c r="Q236" s="185"/>
      <c r="R236" s="185"/>
      <c r="S236" s="185"/>
      <c r="T236" s="185"/>
      <c r="U236" s="185"/>
      <c r="V236" s="185"/>
      <c r="W236" s="185"/>
      <c r="X236" s="185"/>
      <c r="Y236" s="185"/>
      <c r="Z236" s="185"/>
      <c r="AA236" s="185"/>
      <c r="AB236" s="185" t="str">
        <f>IFERROR(__xludf.DUMMYFUNCTION("LET(width,COLUMN($AB$1)-COLUMN($G$1),r,INDEX($G236:$AAB236,1,SEQUENCE(1,width)),flat,TOCOL(r,1),bad,FILTER(flat,COUNTIF('リスト'!$E:$E,flat)=0),IFERROR(TEXTJOIN(""\n"",TRUE,bad),""""))"),"")</f>
        <v/>
      </c>
      <c r="AC236" s="185"/>
      <c r="AD236" s="185"/>
    </row>
    <row r="237">
      <c r="A237" s="185"/>
      <c r="B237" s="185"/>
      <c r="C237" s="185"/>
      <c r="D237" s="185"/>
      <c r="E237" s="203"/>
      <c r="F237" s="203"/>
      <c r="G237" s="185"/>
      <c r="H237" s="185"/>
      <c r="I237" s="185"/>
      <c r="J237" s="185"/>
      <c r="K237" s="185"/>
      <c r="L237" s="185"/>
      <c r="M237" s="185"/>
      <c r="N237" s="185"/>
      <c r="O237" s="185"/>
      <c r="P237" s="185"/>
      <c r="Q237" s="185"/>
      <c r="R237" s="185"/>
      <c r="S237" s="185"/>
      <c r="T237" s="185"/>
      <c r="U237" s="185"/>
      <c r="V237" s="185"/>
      <c r="W237" s="185"/>
      <c r="X237" s="185"/>
      <c r="Y237" s="185"/>
      <c r="Z237" s="185"/>
      <c r="AA237" s="185"/>
      <c r="AB237" s="185" t="str">
        <f>IFERROR(__xludf.DUMMYFUNCTION("LET(width,COLUMN($AB$1)-COLUMN($G$1),r,INDEX($G237:$AAB237,1,SEQUENCE(1,width)),flat,TOCOL(r,1),bad,FILTER(flat,COUNTIF('リスト'!$E:$E,flat)=0),IFERROR(TEXTJOIN(""\n"",TRUE,bad),""""))"),"")</f>
        <v/>
      </c>
      <c r="AC237" s="185"/>
      <c r="AD237" s="185"/>
    </row>
    <row r="238">
      <c r="A238" s="185"/>
      <c r="B238" s="185"/>
      <c r="C238" s="185"/>
      <c r="D238" s="185"/>
      <c r="E238" s="203"/>
      <c r="F238" s="203"/>
      <c r="G238" s="185"/>
      <c r="H238" s="185"/>
      <c r="I238" s="185"/>
      <c r="J238" s="185"/>
      <c r="K238" s="185"/>
      <c r="L238" s="185"/>
      <c r="M238" s="185"/>
      <c r="N238" s="185"/>
      <c r="O238" s="185"/>
      <c r="P238" s="185"/>
      <c r="Q238" s="185"/>
      <c r="R238" s="185"/>
      <c r="S238" s="185"/>
      <c r="T238" s="185"/>
      <c r="U238" s="185"/>
      <c r="V238" s="185"/>
      <c r="W238" s="185"/>
      <c r="X238" s="185"/>
      <c r="Y238" s="185"/>
      <c r="Z238" s="185"/>
      <c r="AA238" s="185"/>
      <c r="AB238" s="185" t="str">
        <f>IFERROR(__xludf.DUMMYFUNCTION("LET(width,COLUMN($AB$1)-COLUMN($G$1),r,INDEX($G238:$AAB238,1,SEQUENCE(1,width)),flat,TOCOL(r,1),bad,FILTER(flat,COUNTIF('リスト'!$E:$E,flat)=0),IFERROR(TEXTJOIN(""\n"",TRUE,bad),""""))"),"")</f>
        <v/>
      </c>
      <c r="AC238" s="185"/>
      <c r="AD238" s="185"/>
    </row>
    <row r="239">
      <c r="A239" s="185"/>
      <c r="B239" s="185"/>
      <c r="C239" s="185"/>
      <c r="D239" s="185"/>
      <c r="E239" s="203"/>
      <c r="F239" s="203"/>
      <c r="G239" s="185"/>
      <c r="H239" s="185"/>
      <c r="I239" s="185"/>
      <c r="J239" s="185"/>
      <c r="K239" s="185"/>
      <c r="L239" s="185"/>
      <c r="M239" s="185"/>
      <c r="N239" s="185"/>
      <c r="O239" s="185"/>
      <c r="P239" s="185"/>
      <c r="Q239" s="185"/>
      <c r="R239" s="185"/>
      <c r="S239" s="185"/>
      <c r="T239" s="185"/>
      <c r="U239" s="185"/>
      <c r="V239" s="185"/>
      <c r="W239" s="185"/>
      <c r="X239" s="185"/>
      <c r="Y239" s="185"/>
      <c r="Z239" s="185"/>
      <c r="AA239" s="185"/>
      <c r="AB239" s="185" t="str">
        <f>IFERROR(__xludf.DUMMYFUNCTION("LET(width,COLUMN($AB$1)-COLUMN($G$1),r,INDEX($G239:$AAB239,1,SEQUENCE(1,width)),flat,TOCOL(r,1),bad,FILTER(flat,COUNTIF('リスト'!$E:$E,flat)=0),IFERROR(TEXTJOIN(""\n"",TRUE,bad),""""))"),"")</f>
        <v/>
      </c>
      <c r="AC239" s="185"/>
      <c r="AD239" s="185"/>
    </row>
    <row r="240">
      <c r="A240" s="185"/>
      <c r="B240" s="185"/>
      <c r="C240" s="185"/>
      <c r="D240" s="185"/>
      <c r="E240" s="203"/>
      <c r="F240" s="203"/>
      <c r="G240" s="185"/>
      <c r="H240" s="185"/>
      <c r="I240" s="185"/>
      <c r="J240" s="185"/>
      <c r="K240" s="185"/>
      <c r="L240" s="185"/>
      <c r="M240" s="185"/>
      <c r="N240" s="185"/>
      <c r="O240" s="185"/>
      <c r="P240" s="185"/>
      <c r="Q240" s="185"/>
      <c r="R240" s="185"/>
      <c r="S240" s="185"/>
      <c r="T240" s="185"/>
      <c r="U240" s="185"/>
      <c r="V240" s="185"/>
      <c r="W240" s="185"/>
      <c r="X240" s="185"/>
      <c r="Y240" s="185"/>
      <c r="Z240" s="185"/>
      <c r="AA240" s="185"/>
      <c r="AB240" s="185" t="str">
        <f>IFERROR(__xludf.DUMMYFUNCTION("LET(width,COLUMN($AB$1)-COLUMN($G$1),r,INDEX($G240:$AAB240,1,SEQUENCE(1,width)),flat,TOCOL(r,1),bad,FILTER(flat,COUNTIF('リスト'!$E:$E,flat)=0),IFERROR(TEXTJOIN(""\n"",TRUE,bad),""""))"),"")</f>
        <v/>
      </c>
      <c r="AC240" s="185"/>
      <c r="AD240" s="185"/>
    </row>
    <row r="241">
      <c r="A241" s="185"/>
      <c r="B241" s="185"/>
      <c r="C241" s="185"/>
      <c r="D241" s="185"/>
      <c r="E241" s="203"/>
      <c r="F241" s="203"/>
      <c r="G241" s="185"/>
      <c r="H241" s="185"/>
      <c r="I241" s="185"/>
      <c r="J241" s="185"/>
      <c r="K241" s="185"/>
      <c r="L241" s="185"/>
      <c r="M241" s="185"/>
      <c r="N241" s="185"/>
      <c r="O241" s="185"/>
      <c r="P241" s="185"/>
      <c r="Q241" s="185"/>
      <c r="R241" s="185"/>
      <c r="S241" s="185"/>
      <c r="T241" s="185"/>
      <c r="U241" s="185"/>
      <c r="V241" s="185"/>
      <c r="W241" s="185"/>
      <c r="X241" s="185"/>
      <c r="Y241" s="185"/>
      <c r="Z241" s="185"/>
      <c r="AA241" s="185"/>
      <c r="AB241" s="185" t="str">
        <f>IFERROR(__xludf.DUMMYFUNCTION("LET(width,COLUMN($AB$1)-COLUMN($G$1),r,INDEX($G241:$AAB241,1,SEQUENCE(1,width)),flat,TOCOL(r,1),bad,FILTER(flat,COUNTIF('リスト'!$E:$E,flat)=0),IFERROR(TEXTJOIN(""\n"",TRUE,bad),""""))"),"")</f>
        <v/>
      </c>
      <c r="AC241" s="185"/>
      <c r="AD241" s="185"/>
    </row>
    <row r="242">
      <c r="A242" s="185"/>
      <c r="B242" s="185"/>
      <c r="C242" s="185"/>
      <c r="D242" s="185"/>
      <c r="E242" s="203"/>
      <c r="F242" s="203"/>
      <c r="G242" s="185"/>
      <c r="H242" s="185"/>
      <c r="I242" s="185"/>
      <c r="J242" s="185"/>
      <c r="K242" s="185"/>
      <c r="L242" s="185"/>
      <c r="M242" s="185"/>
      <c r="N242" s="185"/>
      <c r="O242" s="185"/>
      <c r="P242" s="185"/>
      <c r="Q242" s="185"/>
      <c r="R242" s="185"/>
      <c r="S242" s="185"/>
      <c r="T242" s="185"/>
      <c r="U242" s="185"/>
      <c r="V242" s="185"/>
      <c r="W242" s="185"/>
      <c r="X242" s="185"/>
      <c r="Y242" s="185"/>
      <c r="Z242" s="185"/>
      <c r="AA242" s="185"/>
      <c r="AB242" s="185" t="str">
        <f>IFERROR(__xludf.DUMMYFUNCTION("LET(width,COLUMN($AB$1)-COLUMN($G$1),r,INDEX($G242:$AAB242,1,SEQUENCE(1,width)),flat,TOCOL(r,1),bad,FILTER(flat,COUNTIF('リスト'!$E:$E,flat)=0),IFERROR(TEXTJOIN(""\n"",TRUE,bad),""""))"),"")</f>
        <v/>
      </c>
      <c r="AC242" s="185"/>
      <c r="AD242" s="185"/>
    </row>
    <row r="243">
      <c r="A243" s="185"/>
      <c r="B243" s="185"/>
      <c r="C243" s="185"/>
      <c r="D243" s="185"/>
      <c r="E243" s="203"/>
      <c r="F243" s="203"/>
      <c r="G243" s="185"/>
      <c r="H243" s="185"/>
      <c r="I243" s="185"/>
      <c r="J243" s="185"/>
      <c r="K243" s="185"/>
      <c r="L243" s="185"/>
      <c r="M243" s="185"/>
      <c r="N243" s="185"/>
      <c r="O243" s="185"/>
      <c r="P243" s="185"/>
      <c r="Q243" s="185"/>
      <c r="R243" s="185"/>
      <c r="S243" s="185"/>
      <c r="T243" s="185"/>
      <c r="U243" s="185"/>
      <c r="V243" s="185"/>
      <c r="W243" s="185"/>
      <c r="X243" s="185"/>
      <c r="Y243" s="185"/>
      <c r="Z243" s="185"/>
      <c r="AA243" s="185"/>
      <c r="AB243" s="185" t="str">
        <f>IFERROR(__xludf.DUMMYFUNCTION("LET(width,COLUMN($AB$1)-COLUMN($G$1),r,INDEX($G243:$AAB243,1,SEQUENCE(1,width)),flat,TOCOL(r,1),bad,FILTER(flat,COUNTIF('リスト'!$E:$E,flat)=0),IFERROR(TEXTJOIN(""\n"",TRUE,bad),""""))"),"")</f>
        <v/>
      </c>
      <c r="AC243" s="185"/>
      <c r="AD243" s="185"/>
    </row>
    <row r="244">
      <c r="A244" s="185"/>
      <c r="B244" s="185"/>
      <c r="C244" s="185"/>
      <c r="D244" s="185"/>
      <c r="E244" s="203"/>
      <c r="F244" s="203"/>
      <c r="G244" s="185"/>
      <c r="H244" s="185"/>
      <c r="I244" s="185"/>
      <c r="J244" s="185"/>
      <c r="K244" s="185"/>
      <c r="L244" s="185"/>
      <c r="M244" s="185"/>
      <c r="N244" s="185"/>
      <c r="O244" s="185"/>
      <c r="P244" s="185"/>
      <c r="Q244" s="185"/>
      <c r="R244" s="185"/>
      <c r="S244" s="185"/>
      <c r="T244" s="185"/>
      <c r="U244" s="185"/>
      <c r="V244" s="185"/>
      <c r="W244" s="185"/>
      <c r="X244" s="185"/>
      <c r="Y244" s="185"/>
      <c r="Z244" s="185"/>
      <c r="AA244" s="185"/>
      <c r="AB244" s="185" t="str">
        <f>IFERROR(__xludf.DUMMYFUNCTION("LET(width,COLUMN($AB$1)-COLUMN($G$1),r,INDEX($G244:$AAB244,1,SEQUENCE(1,width)),flat,TOCOL(r,1),bad,FILTER(flat,COUNTIF('リスト'!$E:$E,flat)=0),IFERROR(TEXTJOIN(""\n"",TRUE,bad),""""))"),"")</f>
        <v/>
      </c>
      <c r="AC244" s="185"/>
      <c r="AD244" s="185"/>
    </row>
    <row r="245">
      <c r="A245" s="185"/>
      <c r="B245" s="185"/>
      <c r="C245" s="185"/>
      <c r="D245" s="185"/>
      <c r="E245" s="203"/>
      <c r="F245" s="203"/>
      <c r="G245" s="185"/>
      <c r="H245" s="185"/>
      <c r="I245" s="185"/>
      <c r="J245" s="185"/>
      <c r="K245" s="185"/>
      <c r="L245" s="185"/>
      <c r="M245" s="185"/>
      <c r="N245" s="185"/>
      <c r="O245" s="185"/>
      <c r="P245" s="185"/>
      <c r="Q245" s="185"/>
      <c r="R245" s="185"/>
      <c r="S245" s="185"/>
      <c r="T245" s="185"/>
      <c r="U245" s="185"/>
      <c r="V245" s="185"/>
      <c r="W245" s="185"/>
      <c r="X245" s="185"/>
      <c r="Y245" s="185"/>
      <c r="Z245" s="185"/>
      <c r="AA245" s="185"/>
      <c r="AB245" s="185" t="str">
        <f>IFERROR(__xludf.DUMMYFUNCTION("LET(width,COLUMN($AB$1)-COLUMN($G$1),r,INDEX($G245:$AAB245,1,SEQUENCE(1,width)),flat,TOCOL(r,1),bad,FILTER(flat,COUNTIF('リスト'!$E:$E,flat)=0),IFERROR(TEXTJOIN(""\n"",TRUE,bad),""""))"),"")</f>
        <v/>
      </c>
      <c r="AC245" s="185"/>
      <c r="AD245" s="185"/>
    </row>
    <row r="246">
      <c r="A246" s="185"/>
      <c r="B246" s="185"/>
      <c r="C246" s="185"/>
      <c r="D246" s="185"/>
      <c r="E246" s="203"/>
      <c r="F246" s="203"/>
      <c r="G246" s="185"/>
      <c r="H246" s="185"/>
      <c r="I246" s="185"/>
      <c r="J246" s="185"/>
      <c r="K246" s="185"/>
      <c r="L246" s="185"/>
      <c r="M246" s="185"/>
      <c r="N246" s="185"/>
      <c r="O246" s="185"/>
      <c r="P246" s="185"/>
      <c r="Q246" s="185"/>
      <c r="R246" s="185"/>
      <c r="S246" s="185"/>
      <c r="T246" s="185"/>
      <c r="U246" s="185"/>
      <c r="V246" s="185"/>
      <c r="W246" s="185"/>
      <c r="X246" s="185"/>
      <c r="Y246" s="185"/>
      <c r="Z246" s="185"/>
      <c r="AA246" s="185"/>
      <c r="AB246" s="185" t="str">
        <f>IFERROR(__xludf.DUMMYFUNCTION("LET(width,COLUMN($AB$1)-COLUMN($G$1),r,INDEX($G246:$AAB246,1,SEQUENCE(1,width)),flat,TOCOL(r,1),bad,FILTER(flat,COUNTIF('リスト'!$E:$E,flat)=0),IFERROR(TEXTJOIN(""\n"",TRUE,bad),""""))"),"")</f>
        <v/>
      </c>
      <c r="AC246" s="185"/>
      <c r="AD246" s="185"/>
    </row>
    <row r="247">
      <c r="A247" s="185"/>
      <c r="B247" s="185"/>
      <c r="C247" s="185"/>
      <c r="D247" s="185"/>
      <c r="E247" s="203"/>
      <c r="F247" s="203"/>
      <c r="G247" s="185"/>
      <c r="H247" s="185"/>
      <c r="I247" s="185"/>
      <c r="J247" s="185"/>
      <c r="K247" s="185"/>
      <c r="L247" s="185"/>
      <c r="M247" s="185"/>
      <c r="N247" s="185"/>
      <c r="O247" s="185"/>
      <c r="P247" s="185"/>
      <c r="Q247" s="185"/>
      <c r="R247" s="185"/>
      <c r="S247" s="185"/>
      <c r="T247" s="185"/>
      <c r="U247" s="185"/>
      <c r="V247" s="185"/>
      <c r="W247" s="185"/>
      <c r="X247" s="185"/>
      <c r="Y247" s="185"/>
      <c r="Z247" s="185"/>
      <c r="AA247" s="185"/>
      <c r="AB247" s="185" t="str">
        <f>IFERROR(__xludf.DUMMYFUNCTION("LET(width,COLUMN($AB$1)-COLUMN($G$1),r,INDEX($G247:$AAB247,1,SEQUENCE(1,width)),flat,TOCOL(r,1),bad,FILTER(flat,COUNTIF('リスト'!$E:$E,flat)=0),IFERROR(TEXTJOIN(""\n"",TRUE,bad),""""))"),"")</f>
        <v/>
      </c>
      <c r="AC247" s="185"/>
      <c r="AD247" s="185"/>
    </row>
    <row r="248">
      <c r="A248" s="185"/>
      <c r="B248" s="185"/>
      <c r="C248" s="185"/>
      <c r="D248" s="185"/>
      <c r="E248" s="203"/>
      <c r="F248" s="203"/>
      <c r="G248" s="185"/>
      <c r="H248" s="185"/>
      <c r="I248" s="185"/>
      <c r="J248" s="185"/>
      <c r="K248" s="185"/>
      <c r="L248" s="185"/>
      <c r="M248" s="185"/>
      <c r="N248" s="185"/>
      <c r="O248" s="185"/>
      <c r="P248" s="185"/>
      <c r="Q248" s="185"/>
      <c r="R248" s="185"/>
      <c r="S248" s="185"/>
      <c r="T248" s="185"/>
      <c r="U248" s="185"/>
      <c r="V248" s="185"/>
      <c r="W248" s="185"/>
      <c r="X248" s="185"/>
      <c r="Y248" s="185"/>
      <c r="Z248" s="185"/>
      <c r="AA248" s="185"/>
      <c r="AB248" s="185" t="str">
        <f>IFERROR(__xludf.DUMMYFUNCTION("LET(width,COLUMN($AB$1)-COLUMN($G$1),r,INDEX($G248:$AAB248,1,SEQUENCE(1,width)),flat,TOCOL(r,1),bad,FILTER(flat,COUNTIF('リスト'!$E:$E,flat)=0),IFERROR(TEXTJOIN(""\n"",TRUE,bad),""""))"),"")</f>
        <v/>
      </c>
      <c r="AC248" s="185"/>
      <c r="AD248" s="185"/>
    </row>
    <row r="249">
      <c r="A249" s="185"/>
      <c r="B249" s="185"/>
      <c r="C249" s="185"/>
      <c r="D249" s="185"/>
      <c r="E249" s="203"/>
      <c r="F249" s="203"/>
      <c r="G249" s="185"/>
      <c r="H249" s="185"/>
      <c r="I249" s="185"/>
      <c r="J249" s="185"/>
      <c r="K249" s="185"/>
      <c r="L249" s="185"/>
      <c r="M249" s="185"/>
      <c r="N249" s="185"/>
      <c r="O249" s="185"/>
      <c r="P249" s="185"/>
      <c r="Q249" s="185"/>
      <c r="R249" s="185"/>
      <c r="S249" s="185"/>
      <c r="T249" s="185"/>
      <c r="U249" s="185"/>
      <c r="V249" s="185"/>
      <c r="W249" s="185"/>
      <c r="X249" s="185"/>
      <c r="Y249" s="185"/>
      <c r="Z249" s="185"/>
      <c r="AA249" s="185"/>
      <c r="AB249" s="185" t="str">
        <f>IFERROR(__xludf.DUMMYFUNCTION("LET(width,COLUMN($AB$1)-COLUMN($G$1),r,INDEX($G249:$AAB249,1,SEQUENCE(1,width)),flat,TOCOL(r,1),bad,FILTER(flat,COUNTIF('リスト'!$E:$E,flat)=0),IFERROR(TEXTJOIN(""\n"",TRUE,bad),""""))"),"")</f>
        <v/>
      </c>
      <c r="AC249" s="185"/>
      <c r="AD249" s="185"/>
    </row>
    <row r="250">
      <c r="A250" s="185"/>
      <c r="B250" s="185"/>
      <c r="C250" s="185"/>
      <c r="D250" s="185"/>
      <c r="E250" s="203"/>
      <c r="F250" s="203"/>
      <c r="G250" s="185"/>
      <c r="H250" s="185"/>
      <c r="I250" s="185"/>
      <c r="J250" s="185"/>
      <c r="K250" s="185"/>
      <c r="L250" s="185"/>
      <c r="M250" s="185"/>
      <c r="N250" s="185"/>
      <c r="O250" s="185"/>
      <c r="P250" s="185"/>
      <c r="Q250" s="185"/>
      <c r="R250" s="185"/>
      <c r="S250" s="185"/>
      <c r="T250" s="185"/>
      <c r="U250" s="185"/>
      <c r="V250" s="185"/>
      <c r="W250" s="185"/>
      <c r="X250" s="185"/>
      <c r="Y250" s="185"/>
      <c r="Z250" s="185"/>
      <c r="AA250" s="185"/>
      <c r="AB250" s="185" t="str">
        <f>IFERROR(__xludf.DUMMYFUNCTION("LET(width,COLUMN($AB$1)-COLUMN($G$1),r,INDEX($G250:$AAB250,1,SEQUENCE(1,width)),flat,TOCOL(r,1),bad,FILTER(flat,COUNTIF('リスト'!$E:$E,flat)=0),IFERROR(TEXTJOIN(""\n"",TRUE,bad),""""))"),"")</f>
        <v/>
      </c>
      <c r="AC250" s="185"/>
      <c r="AD250" s="185"/>
    </row>
    <row r="251">
      <c r="A251" s="185"/>
      <c r="B251" s="185"/>
      <c r="C251" s="185"/>
      <c r="D251" s="185"/>
      <c r="E251" s="203"/>
      <c r="F251" s="203"/>
      <c r="G251" s="185"/>
      <c r="H251" s="185"/>
      <c r="I251" s="185"/>
      <c r="J251" s="185"/>
      <c r="K251" s="185"/>
      <c r="L251" s="185"/>
      <c r="M251" s="185"/>
      <c r="N251" s="185"/>
      <c r="O251" s="185"/>
      <c r="P251" s="185"/>
      <c r="Q251" s="185"/>
      <c r="R251" s="185"/>
      <c r="S251" s="185"/>
      <c r="T251" s="185"/>
      <c r="U251" s="185"/>
      <c r="V251" s="185"/>
      <c r="W251" s="185"/>
      <c r="X251" s="185"/>
      <c r="Y251" s="185"/>
      <c r="Z251" s="185"/>
      <c r="AA251" s="185"/>
      <c r="AB251" s="185" t="str">
        <f>IFERROR(__xludf.DUMMYFUNCTION("LET(width,COLUMN($AB$1)-COLUMN($G$1),r,INDEX($G251:$AAB251,1,SEQUENCE(1,width)),flat,TOCOL(r,1),bad,FILTER(flat,COUNTIF('リスト'!$E:$E,flat)=0),IFERROR(TEXTJOIN(""\n"",TRUE,bad),""""))"),"")</f>
        <v/>
      </c>
      <c r="AC251" s="185"/>
      <c r="AD251" s="185"/>
    </row>
    <row r="252">
      <c r="A252" s="185"/>
      <c r="B252" s="185"/>
      <c r="C252" s="185"/>
      <c r="D252" s="185"/>
      <c r="E252" s="203"/>
      <c r="F252" s="203"/>
      <c r="G252" s="185"/>
      <c r="H252" s="185"/>
      <c r="I252" s="185"/>
      <c r="J252" s="185"/>
      <c r="K252" s="185"/>
      <c r="L252" s="185"/>
      <c r="M252" s="185"/>
      <c r="N252" s="185"/>
      <c r="O252" s="185"/>
      <c r="P252" s="185"/>
      <c r="Q252" s="185"/>
      <c r="R252" s="185"/>
      <c r="S252" s="185"/>
      <c r="T252" s="185"/>
      <c r="U252" s="185"/>
      <c r="V252" s="185"/>
      <c r="W252" s="185"/>
      <c r="X252" s="185"/>
      <c r="Y252" s="185"/>
      <c r="Z252" s="185"/>
      <c r="AA252" s="185"/>
      <c r="AB252" s="185" t="str">
        <f>IFERROR(__xludf.DUMMYFUNCTION("LET(width,COLUMN($AB$1)-COLUMN($G$1),r,INDEX($G252:$AAB252,1,SEQUENCE(1,width)),flat,TOCOL(r,1),bad,FILTER(flat,COUNTIF('リスト'!$E:$E,flat)=0),IFERROR(TEXTJOIN(""\n"",TRUE,bad),""""))"),"")</f>
        <v/>
      </c>
      <c r="AC252" s="185"/>
      <c r="AD252" s="185"/>
    </row>
    <row r="253">
      <c r="A253" s="185"/>
      <c r="B253" s="185"/>
      <c r="C253" s="185"/>
      <c r="D253" s="185"/>
      <c r="E253" s="203"/>
      <c r="F253" s="203"/>
      <c r="G253" s="185"/>
      <c r="H253" s="185"/>
      <c r="I253" s="185"/>
      <c r="J253" s="185"/>
      <c r="K253" s="185"/>
      <c r="L253" s="185"/>
      <c r="M253" s="185"/>
      <c r="N253" s="185"/>
      <c r="O253" s="185"/>
      <c r="P253" s="185"/>
      <c r="Q253" s="185"/>
      <c r="R253" s="185"/>
      <c r="S253" s="185"/>
      <c r="T253" s="185"/>
      <c r="U253" s="185"/>
      <c r="V253" s="185"/>
      <c r="W253" s="185"/>
      <c r="X253" s="185"/>
      <c r="Y253" s="185"/>
      <c r="Z253" s="185"/>
      <c r="AA253" s="185"/>
      <c r="AB253" s="185" t="str">
        <f>IFERROR(__xludf.DUMMYFUNCTION("LET(width,COLUMN($AB$1)-COLUMN($G$1),r,INDEX($G253:$AAB253,1,SEQUENCE(1,width)),flat,TOCOL(r,1),bad,FILTER(flat,COUNTIF('リスト'!$E:$E,flat)=0),IFERROR(TEXTJOIN(""\n"",TRUE,bad),""""))"),"")</f>
        <v/>
      </c>
      <c r="AC253" s="185"/>
      <c r="AD253" s="185"/>
    </row>
    <row r="254">
      <c r="A254" s="185"/>
      <c r="B254" s="185"/>
      <c r="C254" s="185"/>
      <c r="D254" s="185"/>
      <c r="E254" s="203"/>
      <c r="F254" s="203"/>
      <c r="G254" s="185"/>
      <c r="H254" s="185"/>
      <c r="I254" s="185"/>
      <c r="J254" s="185"/>
      <c r="K254" s="185"/>
      <c r="L254" s="185"/>
      <c r="M254" s="185"/>
      <c r="N254" s="185"/>
      <c r="O254" s="185"/>
      <c r="P254" s="185"/>
      <c r="Q254" s="185"/>
      <c r="R254" s="185"/>
      <c r="S254" s="185"/>
      <c r="T254" s="185"/>
      <c r="U254" s="185"/>
      <c r="V254" s="185"/>
      <c r="W254" s="185"/>
      <c r="X254" s="185"/>
      <c r="Y254" s="185"/>
      <c r="Z254" s="185"/>
      <c r="AA254" s="185"/>
      <c r="AB254" s="185" t="str">
        <f>IFERROR(__xludf.DUMMYFUNCTION("LET(width,COLUMN($AB$1)-COLUMN($G$1),r,INDEX($G254:$AAB254,1,SEQUENCE(1,width)),flat,TOCOL(r,1),bad,FILTER(flat,COUNTIF('リスト'!$E:$E,flat)=0),IFERROR(TEXTJOIN(""\n"",TRUE,bad),""""))"),"")</f>
        <v/>
      </c>
      <c r="AC254" s="185"/>
      <c r="AD254" s="185"/>
    </row>
    <row r="255">
      <c r="A255" s="185"/>
      <c r="B255" s="185"/>
      <c r="C255" s="185"/>
      <c r="D255" s="185"/>
      <c r="E255" s="203"/>
      <c r="F255" s="203"/>
      <c r="G255" s="185"/>
      <c r="H255" s="185"/>
      <c r="I255" s="185"/>
      <c r="J255" s="185"/>
      <c r="K255" s="185"/>
      <c r="L255" s="185"/>
      <c r="M255" s="185"/>
      <c r="N255" s="185"/>
      <c r="O255" s="185"/>
      <c r="P255" s="185"/>
      <c r="Q255" s="185"/>
      <c r="R255" s="185"/>
      <c r="S255" s="185"/>
      <c r="T255" s="185"/>
      <c r="U255" s="185"/>
      <c r="V255" s="185"/>
      <c r="W255" s="185"/>
      <c r="X255" s="185"/>
      <c r="Y255" s="185"/>
      <c r="Z255" s="185"/>
      <c r="AA255" s="185"/>
      <c r="AB255" s="185" t="str">
        <f>IFERROR(__xludf.DUMMYFUNCTION("LET(width,COLUMN($AB$1)-COLUMN($G$1),r,INDEX($G255:$AAB255,1,SEQUENCE(1,width)),flat,TOCOL(r,1),bad,FILTER(flat,COUNTIF('リスト'!$E:$E,flat)=0),IFERROR(TEXTJOIN(""\n"",TRUE,bad),""""))"),"")</f>
        <v/>
      </c>
      <c r="AC255" s="185"/>
      <c r="AD255" s="185"/>
    </row>
    <row r="256">
      <c r="A256" s="185"/>
      <c r="B256" s="185"/>
      <c r="C256" s="185"/>
      <c r="D256" s="185"/>
      <c r="E256" s="203"/>
      <c r="F256" s="203"/>
      <c r="G256" s="185"/>
      <c r="H256" s="185"/>
      <c r="I256" s="185"/>
      <c r="J256" s="185"/>
      <c r="K256" s="185"/>
      <c r="L256" s="185"/>
      <c r="M256" s="185"/>
      <c r="N256" s="185"/>
      <c r="O256" s="185"/>
      <c r="P256" s="185"/>
      <c r="Q256" s="185"/>
      <c r="R256" s="185"/>
      <c r="S256" s="185"/>
      <c r="T256" s="185"/>
      <c r="U256" s="185"/>
      <c r="V256" s="185"/>
      <c r="W256" s="185"/>
      <c r="X256" s="185"/>
      <c r="Y256" s="185"/>
      <c r="Z256" s="185"/>
      <c r="AA256" s="185"/>
      <c r="AB256" s="185" t="str">
        <f>IFERROR(__xludf.DUMMYFUNCTION("LET(width,COLUMN($AB$1)-COLUMN($G$1),r,INDEX($G256:$AAB256,1,SEQUENCE(1,width)),flat,TOCOL(r,1),bad,FILTER(flat,COUNTIF('リスト'!$E:$E,flat)=0),IFERROR(TEXTJOIN(""\n"",TRUE,bad),""""))"),"")</f>
        <v/>
      </c>
      <c r="AC256" s="185"/>
      <c r="AD256" s="185"/>
    </row>
    <row r="257">
      <c r="A257" s="185"/>
      <c r="B257" s="185"/>
      <c r="C257" s="185"/>
      <c r="D257" s="185"/>
      <c r="E257" s="203"/>
      <c r="F257" s="203"/>
      <c r="G257" s="185"/>
      <c r="H257" s="185"/>
      <c r="I257" s="185"/>
      <c r="J257" s="185"/>
      <c r="K257" s="185"/>
      <c r="L257" s="185"/>
      <c r="M257" s="185"/>
      <c r="N257" s="185"/>
      <c r="O257" s="185"/>
      <c r="P257" s="185"/>
      <c r="Q257" s="185"/>
      <c r="R257" s="185"/>
      <c r="S257" s="185"/>
      <c r="T257" s="185"/>
      <c r="U257" s="185"/>
      <c r="V257" s="185"/>
      <c r="W257" s="185"/>
      <c r="X257" s="185"/>
      <c r="Y257" s="185"/>
      <c r="Z257" s="185"/>
      <c r="AA257" s="185"/>
      <c r="AB257" s="185" t="str">
        <f>IFERROR(__xludf.DUMMYFUNCTION("LET(width,COLUMN($AB$1)-COLUMN($G$1),r,INDEX($G257:$AAB257,1,SEQUENCE(1,width)),flat,TOCOL(r,1),bad,FILTER(flat,COUNTIF('リスト'!$E:$E,flat)=0),IFERROR(TEXTJOIN(""\n"",TRUE,bad),""""))"),"")</f>
        <v/>
      </c>
      <c r="AC257" s="185"/>
      <c r="AD257" s="185"/>
    </row>
    <row r="258">
      <c r="A258" s="185"/>
      <c r="B258" s="185"/>
      <c r="C258" s="185"/>
      <c r="D258" s="185"/>
      <c r="E258" s="203"/>
      <c r="F258" s="203"/>
      <c r="G258" s="185"/>
      <c r="H258" s="185"/>
      <c r="I258" s="185"/>
      <c r="J258" s="185"/>
      <c r="K258" s="185"/>
      <c r="L258" s="185"/>
      <c r="M258" s="185"/>
      <c r="N258" s="185"/>
      <c r="O258" s="185"/>
      <c r="P258" s="185"/>
      <c r="Q258" s="185"/>
      <c r="R258" s="185"/>
      <c r="S258" s="185"/>
      <c r="T258" s="185"/>
      <c r="U258" s="185"/>
      <c r="V258" s="185"/>
      <c r="W258" s="185"/>
      <c r="X258" s="185"/>
      <c r="Y258" s="185"/>
      <c r="Z258" s="185"/>
      <c r="AA258" s="185"/>
      <c r="AB258" s="185" t="str">
        <f>IFERROR(__xludf.DUMMYFUNCTION("LET(width,COLUMN($AB$1)-COLUMN($G$1),r,INDEX($G258:$AAB258,1,SEQUENCE(1,width)),flat,TOCOL(r,1),bad,FILTER(flat,COUNTIF('リスト'!$E:$E,flat)=0),IFERROR(TEXTJOIN(""\n"",TRUE,bad),""""))"),"")</f>
        <v/>
      </c>
      <c r="AC258" s="185"/>
      <c r="AD258" s="185"/>
    </row>
    <row r="259">
      <c r="A259" s="185"/>
      <c r="B259" s="185"/>
      <c r="C259" s="185"/>
      <c r="D259" s="185"/>
      <c r="E259" s="203"/>
      <c r="F259" s="203"/>
      <c r="G259" s="185"/>
      <c r="H259" s="185"/>
      <c r="I259" s="185"/>
      <c r="J259" s="185"/>
      <c r="K259" s="185"/>
      <c r="L259" s="185"/>
      <c r="M259" s="185"/>
      <c r="N259" s="185"/>
      <c r="O259" s="185"/>
      <c r="P259" s="185"/>
      <c r="Q259" s="185"/>
      <c r="R259" s="185"/>
      <c r="S259" s="185"/>
      <c r="T259" s="185"/>
      <c r="U259" s="185"/>
      <c r="V259" s="185"/>
      <c r="W259" s="185"/>
      <c r="X259" s="185"/>
      <c r="Y259" s="185"/>
      <c r="Z259" s="185"/>
      <c r="AA259" s="185"/>
      <c r="AB259" s="185" t="str">
        <f>IFERROR(__xludf.DUMMYFUNCTION("LET(width,COLUMN($AB$1)-COLUMN($G$1),r,INDEX($G259:$AAB259,1,SEQUENCE(1,width)),flat,TOCOL(r,1),bad,FILTER(flat,COUNTIF('リスト'!$E:$E,flat)=0),IFERROR(TEXTJOIN(""\n"",TRUE,bad),""""))"),"")</f>
        <v/>
      </c>
      <c r="AC259" s="185"/>
      <c r="AD259" s="185"/>
    </row>
    <row r="260">
      <c r="A260" s="185"/>
      <c r="B260" s="185"/>
      <c r="C260" s="185"/>
      <c r="D260" s="185"/>
      <c r="E260" s="203"/>
      <c r="F260" s="203"/>
      <c r="G260" s="185"/>
      <c r="H260" s="185"/>
      <c r="I260" s="185"/>
      <c r="J260" s="185"/>
      <c r="K260" s="185"/>
      <c r="L260" s="185"/>
      <c r="M260" s="185"/>
      <c r="N260" s="185"/>
      <c r="O260" s="185"/>
      <c r="P260" s="185"/>
      <c r="Q260" s="185"/>
      <c r="R260" s="185"/>
      <c r="S260" s="185"/>
      <c r="T260" s="185"/>
      <c r="U260" s="185"/>
      <c r="V260" s="185"/>
      <c r="W260" s="185"/>
      <c r="X260" s="185"/>
      <c r="Y260" s="185"/>
      <c r="Z260" s="185"/>
      <c r="AA260" s="185"/>
      <c r="AB260" s="185" t="str">
        <f>IFERROR(__xludf.DUMMYFUNCTION("LET(width,COLUMN($AB$1)-COLUMN($G$1),r,INDEX($G260:$AAB260,1,SEQUENCE(1,width)),flat,TOCOL(r,1),bad,FILTER(flat,COUNTIF('リスト'!$E:$E,flat)=0),IFERROR(TEXTJOIN(""\n"",TRUE,bad),""""))"),"")</f>
        <v/>
      </c>
      <c r="AC260" s="185"/>
      <c r="AD260" s="185"/>
    </row>
    <row r="261">
      <c r="A261" s="185"/>
      <c r="B261" s="185"/>
      <c r="C261" s="185"/>
      <c r="D261" s="185"/>
      <c r="E261" s="203"/>
      <c r="F261" s="203"/>
      <c r="G261" s="185"/>
      <c r="H261" s="185"/>
      <c r="I261" s="185"/>
      <c r="J261" s="185"/>
      <c r="K261" s="185"/>
      <c r="L261" s="185"/>
      <c r="M261" s="185"/>
      <c r="N261" s="185"/>
      <c r="O261" s="185"/>
      <c r="P261" s="185"/>
      <c r="Q261" s="185"/>
      <c r="R261" s="185"/>
      <c r="S261" s="185"/>
      <c r="T261" s="185"/>
      <c r="U261" s="185"/>
      <c r="V261" s="185"/>
      <c r="W261" s="185"/>
      <c r="X261" s="185"/>
      <c r="Y261" s="185"/>
      <c r="Z261" s="185"/>
      <c r="AA261" s="185"/>
      <c r="AB261" s="185" t="str">
        <f>IFERROR(__xludf.DUMMYFUNCTION("LET(width,COLUMN($AB$1)-COLUMN($G$1),r,INDEX($G261:$AAB261,1,SEQUENCE(1,width)),flat,TOCOL(r,1),bad,FILTER(flat,COUNTIF('リスト'!$E:$E,flat)=0),IFERROR(TEXTJOIN(""\n"",TRUE,bad),""""))"),"")</f>
        <v/>
      </c>
      <c r="AC261" s="185"/>
      <c r="AD261" s="185"/>
    </row>
    <row r="262">
      <c r="A262" s="185"/>
      <c r="B262" s="185"/>
      <c r="C262" s="185"/>
      <c r="D262" s="185"/>
      <c r="E262" s="203"/>
      <c r="F262" s="203"/>
      <c r="G262" s="185"/>
      <c r="H262" s="185"/>
      <c r="I262" s="185"/>
      <c r="J262" s="185"/>
      <c r="K262" s="185"/>
      <c r="L262" s="185"/>
      <c r="M262" s="185"/>
      <c r="N262" s="185"/>
      <c r="O262" s="185"/>
      <c r="P262" s="185"/>
      <c r="Q262" s="185"/>
      <c r="R262" s="185"/>
      <c r="S262" s="185"/>
      <c r="T262" s="185"/>
      <c r="U262" s="185"/>
      <c r="V262" s="185"/>
      <c r="W262" s="185"/>
      <c r="X262" s="185"/>
      <c r="Y262" s="185"/>
      <c r="Z262" s="185"/>
      <c r="AA262" s="185"/>
      <c r="AB262" s="185" t="str">
        <f>IFERROR(__xludf.DUMMYFUNCTION("LET(width,COLUMN($AB$1)-COLUMN($G$1),r,INDEX($G262:$AAB262,1,SEQUENCE(1,width)),flat,TOCOL(r,1),bad,FILTER(flat,COUNTIF('リスト'!$E:$E,flat)=0),IFERROR(TEXTJOIN(""\n"",TRUE,bad),""""))"),"")</f>
        <v/>
      </c>
      <c r="AC262" s="185"/>
      <c r="AD262" s="185"/>
    </row>
    <row r="263">
      <c r="A263" s="185"/>
      <c r="B263" s="185"/>
      <c r="C263" s="185"/>
      <c r="D263" s="185"/>
      <c r="E263" s="203"/>
      <c r="F263" s="203"/>
      <c r="G263" s="185"/>
      <c r="H263" s="185"/>
      <c r="I263" s="185"/>
      <c r="J263" s="185"/>
      <c r="K263" s="185"/>
      <c r="L263" s="185"/>
      <c r="M263" s="185"/>
      <c r="N263" s="185"/>
      <c r="O263" s="185"/>
      <c r="P263" s="185"/>
      <c r="Q263" s="185"/>
      <c r="R263" s="185"/>
      <c r="S263" s="185"/>
      <c r="T263" s="185"/>
      <c r="U263" s="185"/>
      <c r="V263" s="185"/>
      <c r="W263" s="185"/>
      <c r="X263" s="185"/>
      <c r="Y263" s="185"/>
      <c r="Z263" s="185"/>
      <c r="AA263" s="185"/>
      <c r="AB263" s="185" t="str">
        <f>IFERROR(__xludf.DUMMYFUNCTION("LET(width,COLUMN($AB$1)-COLUMN($G$1),r,INDEX($G263:$AAB263,1,SEQUENCE(1,width)),flat,TOCOL(r,1),bad,FILTER(flat,COUNTIF('リスト'!$E:$E,flat)=0),IFERROR(TEXTJOIN(""\n"",TRUE,bad),""""))"),"")</f>
        <v/>
      </c>
      <c r="AC263" s="185"/>
      <c r="AD263" s="185"/>
    </row>
    <row r="264">
      <c r="A264" s="185"/>
      <c r="B264" s="185"/>
      <c r="C264" s="185"/>
      <c r="D264" s="185"/>
      <c r="E264" s="203"/>
      <c r="F264" s="203"/>
      <c r="G264" s="185"/>
      <c r="H264" s="185"/>
      <c r="I264" s="185"/>
      <c r="J264" s="185"/>
      <c r="K264" s="185"/>
      <c r="L264" s="185"/>
      <c r="M264" s="185"/>
      <c r="N264" s="185"/>
      <c r="O264" s="185"/>
      <c r="P264" s="185"/>
      <c r="Q264" s="185"/>
      <c r="R264" s="185"/>
      <c r="S264" s="185"/>
      <c r="T264" s="185"/>
      <c r="U264" s="185"/>
      <c r="V264" s="185"/>
      <c r="W264" s="185"/>
      <c r="X264" s="185"/>
      <c r="Y264" s="185"/>
      <c r="Z264" s="185"/>
      <c r="AA264" s="185"/>
      <c r="AB264" s="185" t="str">
        <f>IFERROR(__xludf.DUMMYFUNCTION("LET(width,COLUMN($AB$1)-COLUMN($G$1),r,INDEX($G264:$AAB264,1,SEQUENCE(1,width)),flat,TOCOL(r,1),bad,FILTER(flat,COUNTIF('リスト'!$E:$E,flat)=0),IFERROR(TEXTJOIN(""\n"",TRUE,bad),""""))"),"")</f>
        <v/>
      </c>
      <c r="AC264" s="185"/>
      <c r="AD264" s="185"/>
    </row>
    <row r="265">
      <c r="A265" s="185"/>
      <c r="B265" s="185"/>
      <c r="C265" s="185"/>
      <c r="D265" s="185"/>
      <c r="E265" s="203"/>
      <c r="F265" s="203"/>
      <c r="G265" s="185"/>
      <c r="H265" s="185"/>
      <c r="I265" s="185"/>
      <c r="J265" s="185"/>
      <c r="K265" s="185"/>
      <c r="L265" s="185"/>
      <c r="M265" s="185"/>
      <c r="N265" s="185"/>
      <c r="O265" s="185"/>
      <c r="P265" s="185"/>
      <c r="Q265" s="185"/>
      <c r="R265" s="185"/>
      <c r="S265" s="185"/>
      <c r="T265" s="185"/>
      <c r="U265" s="185"/>
      <c r="V265" s="185"/>
      <c r="W265" s="185"/>
      <c r="X265" s="185"/>
      <c r="Y265" s="185"/>
      <c r="Z265" s="185"/>
      <c r="AA265" s="185"/>
      <c r="AB265" s="185" t="str">
        <f>IFERROR(__xludf.DUMMYFUNCTION("LET(width,COLUMN($AB$1)-COLUMN($G$1),r,INDEX($G265:$AAB265,1,SEQUENCE(1,width)),flat,TOCOL(r,1),bad,FILTER(flat,COUNTIF('リスト'!$E:$E,flat)=0),IFERROR(TEXTJOIN(""\n"",TRUE,bad),""""))"),"")</f>
        <v/>
      </c>
      <c r="AC265" s="185"/>
      <c r="AD265" s="185"/>
    </row>
    <row r="266">
      <c r="A266" s="185"/>
      <c r="B266" s="185"/>
      <c r="C266" s="185"/>
      <c r="D266" s="185"/>
      <c r="E266" s="203"/>
      <c r="F266" s="203"/>
      <c r="G266" s="185"/>
      <c r="H266" s="185"/>
      <c r="I266" s="185"/>
      <c r="J266" s="185"/>
      <c r="K266" s="185"/>
      <c r="L266" s="185"/>
      <c r="M266" s="185"/>
      <c r="N266" s="185"/>
      <c r="O266" s="185"/>
      <c r="P266" s="185"/>
      <c r="Q266" s="185"/>
      <c r="R266" s="185"/>
      <c r="S266" s="185"/>
      <c r="T266" s="185"/>
      <c r="U266" s="185"/>
      <c r="V266" s="185"/>
      <c r="W266" s="185"/>
      <c r="X266" s="185"/>
      <c r="Y266" s="185"/>
      <c r="Z266" s="185"/>
      <c r="AA266" s="185"/>
      <c r="AB266" s="185" t="str">
        <f>IFERROR(__xludf.DUMMYFUNCTION("LET(width,COLUMN($AB$1)-COLUMN($G$1),r,INDEX($G266:$AAB266,1,SEQUENCE(1,width)),flat,TOCOL(r,1),bad,FILTER(flat,COUNTIF('リスト'!$E:$E,flat)=0),IFERROR(TEXTJOIN(""\n"",TRUE,bad),""""))"),"")</f>
        <v/>
      </c>
      <c r="AC266" s="185"/>
      <c r="AD266" s="185"/>
    </row>
    <row r="267">
      <c r="A267" s="185"/>
      <c r="B267" s="185"/>
      <c r="C267" s="185"/>
      <c r="D267" s="185"/>
      <c r="E267" s="203"/>
      <c r="F267" s="203"/>
      <c r="G267" s="185"/>
      <c r="H267" s="185"/>
      <c r="I267" s="185"/>
      <c r="J267" s="185"/>
      <c r="K267" s="185"/>
      <c r="L267" s="185"/>
      <c r="M267" s="185"/>
      <c r="N267" s="185"/>
      <c r="O267" s="185"/>
      <c r="P267" s="185"/>
      <c r="Q267" s="185"/>
      <c r="R267" s="185"/>
      <c r="S267" s="185"/>
      <c r="T267" s="185"/>
      <c r="U267" s="185"/>
      <c r="V267" s="185"/>
      <c r="W267" s="185"/>
      <c r="X267" s="185"/>
      <c r="Y267" s="185"/>
      <c r="Z267" s="185"/>
      <c r="AA267" s="185"/>
      <c r="AB267" s="185" t="str">
        <f>IFERROR(__xludf.DUMMYFUNCTION("LET(width,COLUMN($AB$1)-COLUMN($G$1),r,INDEX($G267:$AAB267,1,SEQUENCE(1,width)),flat,TOCOL(r,1),bad,FILTER(flat,COUNTIF('リスト'!$E:$E,flat)=0),IFERROR(TEXTJOIN(""\n"",TRUE,bad),""""))"),"")</f>
        <v/>
      </c>
      <c r="AC267" s="185"/>
      <c r="AD267" s="185"/>
    </row>
    <row r="268">
      <c r="A268" s="185"/>
      <c r="B268" s="185"/>
      <c r="C268" s="185"/>
      <c r="D268" s="185"/>
      <c r="E268" s="203"/>
      <c r="F268" s="203"/>
      <c r="G268" s="185"/>
      <c r="H268" s="185"/>
      <c r="I268" s="185"/>
      <c r="J268" s="185"/>
      <c r="K268" s="185"/>
      <c r="L268" s="185"/>
      <c r="M268" s="185"/>
      <c r="N268" s="185"/>
      <c r="O268" s="185"/>
      <c r="P268" s="185"/>
      <c r="Q268" s="185"/>
      <c r="R268" s="185"/>
      <c r="S268" s="185"/>
      <c r="T268" s="185"/>
      <c r="U268" s="185"/>
      <c r="V268" s="185"/>
      <c r="W268" s="185"/>
      <c r="X268" s="185"/>
      <c r="Y268" s="185"/>
      <c r="Z268" s="185"/>
      <c r="AA268" s="185"/>
      <c r="AB268" s="185" t="str">
        <f>IFERROR(__xludf.DUMMYFUNCTION("LET(width,COLUMN($AB$1)-COLUMN($G$1),r,INDEX($G268:$AAB268,1,SEQUENCE(1,width)),flat,TOCOL(r,1),bad,FILTER(flat,COUNTIF('リスト'!$E:$E,flat)=0),IFERROR(TEXTJOIN(""\n"",TRUE,bad),""""))"),"")</f>
        <v/>
      </c>
      <c r="AC268" s="185"/>
      <c r="AD268" s="185"/>
    </row>
    <row r="269">
      <c r="A269" s="185"/>
      <c r="B269" s="185"/>
      <c r="C269" s="185"/>
      <c r="D269" s="185"/>
      <c r="E269" s="203"/>
      <c r="F269" s="203"/>
      <c r="G269" s="185"/>
      <c r="H269" s="185"/>
      <c r="I269" s="185"/>
      <c r="J269" s="185"/>
      <c r="K269" s="185"/>
      <c r="L269" s="185"/>
      <c r="M269" s="185"/>
      <c r="N269" s="185"/>
      <c r="O269" s="185"/>
      <c r="P269" s="185"/>
      <c r="Q269" s="185"/>
      <c r="R269" s="185"/>
      <c r="S269" s="185"/>
      <c r="T269" s="185"/>
      <c r="U269" s="185"/>
      <c r="V269" s="185"/>
      <c r="W269" s="185"/>
      <c r="X269" s="185"/>
      <c r="Y269" s="185"/>
      <c r="Z269" s="185"/>
      <c r="AA269" s="185"/>
      <c r="AB269" s="185" t="str">
        <f>IFERROR(__xludf.DUMMYFUNCTION("LET(width,COLUMN($AB$1)-COLUMN($G$1),r,INDEX($G269:$AAB269,1,SEQUENCE(1,width)),flat,TOCOL(r,1),bad,FILTER(flat,COUNTIF('リスト'!$E:$E,flat)=0),IFERROR(TEXTJOIN(""\n"",TRUE,bad),""""))"),"")</f>
        <v/>
      </c>
      <c r="AC269" s="185"/>
      <c r="AD269" s="185"/>
    </row>
    <row r="270">
      <c r="A270" s="185"/>
      <c r="B270" s="185"/>
      <c r="C270" s="185"/>
      <c r="D270" s="185"/>
      <c r="E270" s="203"/>
      <c r="F270" s="203"/>
      <c r="G270" s="185"/>
      <c r="H270" s="185"/>
      <c r="I270" s="185"/>
      <c r="J270" s="185"/>
      <c r="K270" s="185"/>
      <c r="L270" s="185"/>
      <c r="M270" s="185"/>
      <c r="N270" s="185"/>
      <c r="O270" s="185"/>
      <c r="P270" s="185"/>
      <c r="Q270" s="185"/>
      <c r="R270" s="185"/>
      <c r="S270" s="185"/>
      <c r="T270" s="185"/>
      <c r="U270" s="185"/>
      <c r="V270" s="185"/>
      <c r="W270" s="185"/>
      <c r="X270" s="185"/>
      <c r="Y270" s="185"/>
      <c r="Z270" s="185"/>
      <c r="AA270" s="185"/>
      <c r="AB270" s="185" t="str">
        <f>IFERROR(__xludf.DUMMYFUNCTION("LET(width,COLUMN($AB$1)-COLUMN($G$1),r,INDEX($G270:$AAB270,1,SEQUENCE(1,width)),flat,TOCOL(r,1),bad,FILTER(flat,COUNTIF('リスト'!$E:$E,flat)=0),IFERROR(TEXTJOIN(""\n"",TRUE,bad),""""))"),"")</f>
        <v/>
      </c>
      <c r="AC270" s="185"/>
      <c r="AD270" s="185"/>
    </row>
    <row r="271">
      <c r="A271" s="185"/>
      <c r="B271" s="185"/>
      <c r="C271" s="185"/>
      <c r="D271" s="185"/>
      <c r="E271" s="203"/>
      <c r="F271" s="203"/>
      <c r="G271" s="185"/>
      <c r="H271" s="185"/>
      <c r="I271" s="185"/>
      <c r="J271" s="185"/>
      <c r="K271" s="185"/>
      <c r="L271" s="185"/>
      <c r="M271" s="185"/>
      <c r="N271" s="185"/>
      <c r="O271" s="185"/>
      <c r="P271" s="185"/>
      <c r="Q271" s="185"/>
      <c r="R271" s="185"/>
      <c r="S271" s="185"/>
      <c r="T271" s="185"/>
      <c r="U271" s="185"/>
      <c r="V271" s="185"/>
      <c r="W271" s="185"/>
      <c r="X271" s="185"/>
      <c r="Y271" s="185"/>
      <c r="Z271" s="185"/>
      <c r="AA271" s="185"/>
      <c r="AB271" s="185" t="str">
        <f>IFERROR(__xludf.DUMMYFUNCTION("LET(width,COLUMN($AB$1)-COLUMN($G$1),r,INDEX($G271:$AAB271,1,SEQUENCE(1,width)),flat,TOCOL(r,1),bad,FILTER(flat,COUNTIF('リスト'!$E:$E,flat)=0),IFERROR(TEXTJOIN(""\n"",TRUE,bad),""""))"),"")</f>
        <v/>
      </c>
      <c r="AC271" s="185"/>
      <c r="AD271" s="185"/>
    </row>
    <row r="272">
      <c r="A272" s="185"/>
      <c r="B272" s="185"/>
      <c r="C272" s="185"/>
      <c r="D272" s="185"/>
      <c r="E272" s="203"/>
      <c r="F272" s="203"/>
      <c r="G272" s="185"/>
      <c r="H272" s="185"/>
      <c r="I272" s="185"/>
      <c r="J272" s="185"/>
      <c r="K272" s="185"/>
      <c r="L272" s="185"/>
      <c r="M272" s="185"/>
      <c r="N272" s="185"/>
      <c r="O272" s="185"/>
      <c r="P272" s="185"/>
      <c r="Q272" s="185"/>
      <c r="R272" s="185"/>
      <c r="S272" s="185"/>
      <c r="T272" s="185"/>
      <c r="U272" s="185"/>
      <c r="V272" s="185"/>
      <c r="W272" s="185"/>
      <c r="X272" s="185"/>
      <c r="Y272" s="185"/>
      <c r="Z272" s="185"/>
      <c r="AA272" s="185"/>
      <c r="AB272" s="185" t="str">
        <f>IFERROR(__xludf.DUMMYFUNCTION("LET(width,COLUMN($AB$1)-COLUMN($G$1),r,INDEX($G272:$AAB272,1,SEQUENCE(1,width)),flat,TOCOL(r,1),bad,FILTER(flat,COUNTIF('リスト'!$E:$E,flat)=0),IFERROR(TEXTJOIN(""\n"",TRUE,bad),""""))"),"")</f>
        <v/>
      </c>
      <c r="AC272" s="185"/>
      <c r="AD272" s="185"/>
    </row>
    <row r="273">
      <c r="A273" s="185"/>
      <c r="B273" s="185"/>
      <c r="C273" s="185"/>
      <c r="D273" s="185"/>
      <c r="E273" s="203"/>
      <c r="F273" s="203"/>
      <c r="G273" s="185"/>
      <c r="H273" s="185"/>
      <c r="I273" s="185"/>
      <c r="J273" s="185"/>
      <c r="K273" s="185"/>
      <c r="L273" s="185"/>
      <c r="M273" s="185"/>
      <c r="N273" s="185"/>
      <c r="O273" s="185"/>
      <c r="P273" s="185"/>
      <c r="Q273" s="185"/>
      <c r="R273" s="185"/>
      <c r="S273" s="185"/>
      <c r="T273" s="185"/>
      <c r="U273" s="185"/>
      <c r="V273" s="185"/>
      <c r="W273" s="185"/>
      <c r="X273" s="185"/>
      <c r="Y273" s="185"/>
      <c r="Z273" s="185"/>
      <c r="AA273" s="185"/>
      <c r="AB273" s="185" t="str">
        <f>IFERROR(__xludf.DUMMYFUNCTION("LET(width,COLUMN($AB$1)-COLUMN($G$1),r,INDEX($G273:$AAB273,1,SEQUENCE(1,width)),flat,TOCOL(r,1),bad,FILTER(flat,COUNTIF('リスト'!$E:$E,flat)=0),IFERROR(TEXTJOIN(""\n"",TRUE,bad),""""))"),"")</f>
        <v/>
      </c>
      <c r="AC273" s="185"/>
      <c r="AD273" s="185"/>
    </row>
    <row r="274">
      <c r="A274" s="185"/>
      <c r="B274" s="185"/>
      <c r="C274" s="185"/>
      <c r="D274" s="185"/>
      <c r="E274" s="203"/>
      <c r="F274" s="203"/>
      <c r="G274" s="185"/>
      <c r="H274" s="185"/>
      <c r="I274" s="185"/>
      <c r="J274" s="185"/>
      <c r="K274" s="185"/>
      <c r="L274" s="185"/>
      <c r="M274" s="185"/>
      <c r="N274" s="185"/>
      <c r="O274" s="185"/>
      <c r="P274" s="185"/>
      <c r="Q274" s="185"/>
      <c r="R274" s="185"/>
      <c r="S274" s="185"/>
      <c r="T274" s="185"/>
      <c r="U274" s="185"/>
      <c r="V274" s="185"/>
      <c r="W274" s="185"/>
      <c r="X274" s="185"/>
      <c r="Y274" s="185"/>
      <c r="Z274" s="185"/>
      <c r="AA274" s="185"/>
      <c r="AB274" s="185" t="str">
        <f>IFERROR(__xludf.DUMMYFUNCTION("LET(width,COLUMN($AB$1)-COLUMN($G$1),r,INDEX($G274:$AAB274,1,SEQUENCE(1,width)),flat,TOCOL(r,1),bad,FILTER(flat,COUNTIF('リスト'!$E:$E,flat)=0),IFERROR(TEXTJOIN(""\n"",TRUE,bad),""""))"),"")</f>
        <v/>
      </c>
      <c r="AC274" s="185"/>
      <c r="AD274" s="185"/>
    </row>
    <row r="275">
      <c r="A275" s="185"/>
      <c r="B275" s="185"/>
      <c r="C275" s="185"/>
      <c r="D275" s="185"/>
      <c r="E275" s="203"/>
      <c r="F275" s="203"/>
      <c r="G275" s="185"/>
      <c r="H275" s="185"/>
      <c r="I275" s="185"/>
      <c r="J275" s="185"/>
      <c r="K275" s="185"/>
      <c r="L275" s="185"/>
      <c r="M275" s="185"/>
      <c r="N275" s="185"/>
      <c r="O275" s="185"/>
      <c r="P275" s="185"/>
      <c r="Q275" s="185"/>
      <c r="R275" s="185"/>
      <c r="S275" s="185"/>
      <c r="T275" s="185"/>
      <c r="U275" s="185"/>
      <c r="V275" s="185"/>
      <c r="W275" s="185"/>
      <c r="X275" s="185"/>
      <c r="Y275" s="185"/>
      <c r="Z275" s="185"/>
      <c r="AA275" s="185"/>
      <c r="AB275" s="185" t="str">
        <f>IFERROR(__xludf.DUMMYFUNCTION("LET(width,COLUMN($AB$1)-COLUMN($G$1),r,INDEX($G275:$AAB275,1,SEQUENCE(1,width)),flat,TOCOL(r,1),bad,FILTER(flat,COUNTIF('リスト'!$E:$E,flat)=0),IFERROR(TEXTJOIN(""\n"",TRUE,bad),""""))"),"")</f>
        <v/>
      </c>
      <c r="AC275" s="185"/>
      <c r="AD275" s="185"/>
    </row>
    <row r="276">
      <c r="A276" s="185"/>
      <c r="B276" s="185"/>
      <c r="C276" s="185"/>
      <c r="D276" s="185"/>
      <c r="E276" s="203"/>
      <c r="F276" s="203"/>
      <c r="G276" s="185"/>
      <c r="H276" s="185"/>
      <c r="I276" s="185"/>
      <c r="J276" s="185"/>
      <c r="K276" s="185"/>
      <c r="L276" s="185"/>
      <c r="M276" s="185"/>
      <c r="N276" s="185"/>
      <c r="O276" s="185"/>
      <c r="P276" s="185"/>
      <c r="Q276" s="185"/>
      <c r="R276" s="185"/>
      <c r="S276" s="185"/>
      <c r="T276" s="185"/>
      <c r="U276" s="185"/>
      <c r="V276" s="185"/>
      <c r="W276" s="185"/>
      <c r="X276" s="185"/>
      <c r="Y276" s="185"/>
      <c r="Z276" s="185"/>
      <c r="AA276" s="185"/>
      <c r="AB276" s="185" t="str">
        <f>IFERROR(__xludf.DUMMYFUNCTION("LET(width,COLUMN($AB$1)-COLUMN($G$1),r,INDEX($G276:$AAB276,1,SEQUENCE(1,width)),flat,TOCOL(r,1),bad,FILTER(flat,COUNTIF('リスト'!$E:$E,flat)=0),IFERROR(TEXTJOIN(""\n"",TRUE,bad),""""))"),"")</f>
        <v/>
      </c>
      <c r="AC276" s="185"/>
      <c r="AD276" s="185"/>
    </row>
    <row r="277">
      <c r="A277" s="185"/>
      <c r="B277" s="185"/>
      <c r="C277" s="185"/>
      <c r="D277" s="185"/>
      <c r="E277" s="203"/>
      <c r="F277" s="203"/>
      <c r="G277" s="185"/>
      <c r="H277" s="185"/>
      <c r="I277" s="185"/>
      <c r="J277" s="185"/>
      <c r="K277" s="185"/>
      <c r="L277" s="185"/>
      <c r="M277" s="185"/>
      <c r="N277" s="185"/>
      <c r="O277" s="185"/>
      <c r="P277" s="185"/>
      <c r="Q277" s="185"/>
      <c r="R277" s="185"/>
      <c r="S277" s="185"/>
      <c r="T277" s="185"/>
      <c r="U277" s="185"/>
      <c r="V277" s="185"/>
      <c r="W277" s="185"/>
      <c r="X277" s="185"/>
      <c r="Y277" s="185"/>
      <c r="Z277" s="185"/>
      <c r="AA277" s="185"/>
      <c r="AB277" s="185" t="str">
        <f>IFERROR(__xludf.DUMMYFUNCTION("LET(width,COLUMN($AB$1)-COLUMN($G$1),r,INDEX($G277:$AAB277,1,SEQUENCE(1,width)),flat,TOCOL(r,1),bad,FILTER(flat,COUNTIF('リスト'!$E:$E,flat)=0),IFERROR(TEXTJOIN(""\n"",TRUE,bad),""""))"),"")</f>
        <v/>
      </c>
      <c r="AC277" s="185"/>
      <c r="AD277" s="185"/>
    </row>
    <row r="278">
      <c r="A278" s="185"/>
      <c r="B278" s="185"/>
      <c r="C278" s="185"/>
      <c r="D278" s="185"/>
      <c r="E278" s="203"/>
      <c r="F278" s="203"/>
      <c r="G278" s="185"/>
      <c r="H278" s="185"/>
      <c r="I278" s="185"/>
      <c r="J278" s="185"/>
      <c r="K278" s="185"/>
      <c r="L278" s="185"/>
      <c r="M278" s="185"/>
      <c r="N278" s="185"/>
      <c r="O278" s="185"/>
      <c r="P278" s="185"/>
      <c r="Q278" s="185"/>
      <c r="R278" s="185"/>
      <c r="S278" s="185"/>
      <c r="T278" s="185"/>
      <c r="U278" s="185"/>
      <c r="V278" s="185"/>
      <c r="W278" s="185"/>
      <c r="X278" s="185"/>
      <c r="Y278" s="185"/>
      <c r="Z278" s="185"/>
      <c r="AA278" s="185"/>
      <c r="AB278" s="185" t="str">
        <f>IFERROR(__xludf.DUMMYFUNCTION("LET(width,COLUMN($AB$1)-COLUMN($G$1),r,INDEX($G278:$AAB278,1,SEQUENCE(1,width)),flat,TOCOL(r,1),bad,FILTER(flat,COUNTIF('リスト'!$E:$E,flat)=0),IFERROR(TEXTJOIN(""\n"",TRUE,bad),""""))"),"")</f>
        <v/>
      </c>
      <c r="AC278" s="185"/>
      <c r="AD278" s="185"/>
    </row>
    <row r="279">
      <c r="A279" s="185"/>
      <c r="B279" s="185"/>
      <c r="C279" s="185"/>
      <c r="D279" s="185"/>
      <c r="E279" s="203"/>
      <c r="F279" s="203"/>
      <c r="G279" s="185"/>
      <c r="H279" s="185"/>
      <c r="I279" s="185"/>
      <c r="J279" s="185"/>
      <c r="K279" s="185"/>
      <c r="L279" s="185"/>
      <c r="M279" s="185"/>
      <c r="N279" s="185"/>
      <c r="O279" s="185"/>
      <c r="P279" s="185"/>
      <c r="Q279" s="185"/>
      <c r="R279" s="185"/>
      <c r="S279" s="185"/>
      <c r="T279" s="185"/>
      <c r="U279" s="185"/>
      <c r="V279" s="185"/>
      <c r="W279" s="185"/>
      <c r="X279" s="185"/>
      <c r="Y279" s="185"/>
      <c r="Z279" s="185"/>
      <c r="AA279" s="185"/>
      <c r="AB279" s="185" t="str">
        <f>IFERROR(__xludf.DUMMYFUNCTION("LET(width,COLUMN($AB$1)-COLUMN($G$1),r,INDEX($G279:$AAB279,1,SEQUENCE(1,width)),flat,TOCOL(r,1),bad,FILTER(flat,COUNTIF('リスト'!$E:$E,flat)=0),IFERROR(TEXTJOIN(""\n"",TRUE,bad),""""))"),"")</f>
        <v/>
      </c>
      <c r="AC279" s="185"/>
      <c r="AD279" s="185"/>
    </row>
    <row r="280">
      <c r="A280" s="185"/>
      <c r="B280" s="185"/>
      <c r="C280" s="185"/>
      <c r="D280" s="185"/>
      <c r="E280" s="203"/>
      <c r="F280" s="203"/>
      <c r="G280" s="185"/>
      <c r="H280" s="185"/>
      <c r="I280" s="185"/>
      <c r="J280" s="185"/>
      <c r="K280" s="185"/>
      <c r="L280" s="185"/>
      <c r="M280" s="185"/>
      <c r="N280" s="185"/>
      <c r="O280" s="185"/>
      <c r="P280" s="185"/>
      <c r="Q280" s="185"/>
      <c r="R280" s="185"/>
      <c r="S280" s="185"/>
      <c r="T280" s="185"/>
      <c r="U280" s="185"/>
      <c r="V280" s="185"/>
      <c r="W280" s="185"/>
      <c r="X280" s="185"/>
      <c r="Y280" s="185"/>
      <c r="Z280" s="185"/>
      <c r="AA280" s="185"/>
      <c r="AB280" s="185" t="str">
        <f>IFERROR(__xludf.DUMMYFUNCTION("LET(width,COLUMN($AB$1)-COLUMN($G$1),r,INDEX($G280:$AAB280,1,SEQUENCE(1,width)),flat,TOCOL(r,1),bad,FILTER(flat,COUNTIF('リスト'!$E:$E,flat)=0),IFERROR(TEXTJOIN(""\n"",TRUE,bad),""""))"),"")</f>
        <v/>
      </c>
      <c r="AC280" s="185"/>
      <c r="AD280" s="185"/>
    </row>
    <row r="281">
      <c r="A281" s="185"/>
      <c r="B281" s="185"/>
      <c r="C281" s="185"/>
      <c r="D281" s="185"/>
      <c r="E281" s="203"/>
      <c r="F281" s="203"/>
      <c r="G281" s="185"/>
      <c r="H281" s="185"/>
      <c r="I281" s="185"/>
      <c r="J281" s="185"/>
      <c r="K281" s="185"/>
      <c r="L281" s="185"/>
      <c r="M281" s="185"/>
      <c r="N281" s="185"/>
      <c r="O281" s="185"/>
      <c r="P281" s="185"/>
      <c r="Q281" s="185"/>
      <c r="R281" s="185"/>
      <c r="S281" s="185"/>
      <c r="T281" s="185"/>
      <c r="U281" s="185"/>
      <c r="V281" s="185"/>
      <c r="W281" s="185"/>
      <c r="X281" s="185"/>
      <c r="Y281" s="185"/>
      <c r="Z281" s="185"/>
      <c r="AA281" s="185"/>
      <c r="AB281" s="185" t="str">
        <f>IFERROR(__xludf.DUMMYFUNCTION("LET(width,COLUMN($AB$1)-COLUMN($G$1),r,INDEX($G281:$AAB281,1,SEQUENCE(1,width)),flat,TOCOL(r,1),bad,FILTER(flat,COUNTIF('リスト'!$E:$E,flat)=0),IFERROR(TEXTJOIN(""\n"",TRUE,bad),""""))"),"")</f>
        <v/>
      </c>
      <c r="AC281" s="185"/>
      <c r="AD281" s="185"/>
    </row>
    <row r="282">
      <c r="A282" s="185"/>
      <c r="B282" s="185"/>
      <c r="C282" s="185"/>
      <c r="D282" s="185"/>
      <c r="E282" s="203"/>
      <c r="F282" s="203"/>
      <c r="G282" s="185"/>
      <c r="H282" s="185"/>
      <c r="I282" s="185"/>
      <c r="J282" s="185"/>
      <c r="K282" s="185"/>
      <c r="L282" s="185"/>
      <c r="M282" s="185"/>
      <c r="N282" s="185"/>
      <c r="O282" s="185"/>
      <c r="P282" s="185"/>
      <c r="Q282" s="185"/>
      <c r="R282" s="185"/>
      <c r="S282" s="185"/>
      <c r="T282" s="185"/>
      <c r="U282" s="185"/>
      <c r="V282" s="185"/>
      <c r="W282" s="185"/>
      <c r="X282" s="185"/>
      <c r="Y282" s="185"/>
      <c r="Z282" s="185"/>
      <c r="AA282" s="185"/>
      <c r="AB282" s="185" t="str">
        <f>IFERROR(__xludf.DUMMYFUNCTION("LET(width,COLUMN($AB$1)-COLUMN($G$1),r,INDEX($G282:$AAB282,1,SEQUENCE(1,width)),flat,TOCOL(r,1),bad,FILTER(flat,COUNTIF('リスト'!$E:$E,flat)=0),IFERROR(TEXTJOIN(""\n"",TRUE,bad),""""))"),"")</f>
        <v/>
      </c>
      <c r="AC282" s="185"/>
      <c r="AD282" s="185"/>
    </row>
    <row r="283">
      <c r="A283" s="185"/>
      <c r="B283" s="185"/>
      <c r="C283" s="185"/>
      <c r="D283" s="185"/>
      <c r="E283" s="203"/>
      <c r="F283" s="203"/>
      <c r="G283" s="185"/>
      <c r="H283" s="185"/>
      <c r="I283" s="185"/>
      <c r="J283" s="185"/>
      <c r="K283" s="185"/>
      <c r="L283" s="185"/>
      <c r="M283" s="185"/>
      <c r="N283" s="185"/>
      <c r="O283" s="185"/>
      <c r="P283" s="185"/>
      <c r="Q283" s="185"/>
      <c r="R283" s="185"/>
      <c r="S283" s="185"/>
      <c r="T283" s="185"/>
      <c r="U283" s="185"/>
      <c r="V283" s="185"/>
      <c r="W283" s="185"/>
      <c r="X283" s="185"/>
      <c r="Y283" s="185"/>
      <c r="Z283" s="185"/>
      <c r="AA283" s="185"/>
      <c r="AB283" s="185" t="str">
        <f>IFERROR(__xludf.DUMMYFUNCTION("LET(width,COLUMN($AB$1)-COLUMN($G$1),r,INDEX($G283:$AAB283,1,SEQUENCE(1,width)),flat,TOCOL(r,1),bad,FILTER(flat,COUNTIF('リスト'!$E:$E,flat)=0),IFERROR(TEXTJOIN(""\n"",TRUE,bad),""""))"),"")</f>
        <v/>
      </c>
      <c r="AC283" s="185"/>
      <c r="AD283" s="185"/>
    </row>
    <row r="284">
      <c r="A284" s="185"/>
      <c r="B284" s="185"/>
      <c r="C284" s="185"/>
      <c r="D284" s="185"/>
      <c r="E284" s="203"/>
      <c r="F284" s="203"/>
      <c r="G284" s="185"/>
      <c r="H284" s="185"/>
      <c r="I284" s="185"/>
      <c r="J284" s="185"/>
      <c r="K284" s="185"/>
      <c r="L284" s="185"/>
      <c r="M284" s="185"/>
      <c r="N284" s="185"/>
      <c r="O284" s="185"/>
      <c r="P284" s="185"/>
      <c r="Q284" s="185"/>
      <c r="R284" s="185"/>
      <c r="S284" s="185"/>
      <c r="T284" s="185"/>
      <c r="U284" s="185"/>
      <c r="V284" s="185"/>
      <c r="W284" s="185"/>
      <c r="X284" s="185"/>
      <c r="Y284" s="185"/>
      <c r="Z284" s="185"/>
      <c r="AA284" s="185"/>
      <c r="AB284" s="185" t="str">
        <f>IFERROR(__xludf.DUMMYFUNCTION("LET(width,COLUMN($AB$1)-COLUMN($G$1),r,INDEX($G284:$AAB284,1,SEQUENCE(1,width)),flat,TOCOL(r,1),bad,FILTER(flat,COUNTIF('リスト'!$E:$E,flat)=0),IFERROR(TEXTJOIN(""\n"",TRUE,bad),""""))"),"")</f>
        <v/>
      </c>
      <c r="AC284" s="185"/>
      <c r="AD284" s="185"/>
    </row>
    <row r="285">
      <c r="A285" s="185"/>
      <c r="B285" s="185"/>
      <c r="C285" s="185"/>
      <c r="D285" s="185"/>
      <c r="E285" s="203"/>
      <c r="F285" s="203"/>
      <c r="G285" s="185"/>
      <c r="H285" s="185"/>
      <c r="I285" s="185"/>
      <c r="J285" s="185"/>
      <c r="K285" s="185"/>
      <c r="L285" s="185"/>
      <c r="M285" s="185"/>
      <c r="N285" s="185"/>
      <c r="O285" s="185"/>
      <c r="P285" s="185"/>
      <c r="Q285" s="185"/>
      <c r="R285" s="185"/>
      <c r="S285" s="185"/>
      <c r="T285" s="185"/>
      <c r="U285" s="185"/>
      <c r="V285" s="185"/>
      <c r="W285" s="185"/>
      <c r="X285" s="185"/>
      <c r="Y285" s="185"/>
      <c r="Z285" s="185"/>
      <c r="AA285" s="185"/>
      <c r="AB285" s="185" t="str">
        <f>IFERROR(__xludf.DUMMYFUNCTION("LET(width,COLUMN($AB$1)-COLUMN($G$1),r,INDEX($G285:$AAB285,1,SEQUENCE(1,width)),flat,TOCOL(r,1),bad,FILTER(flat,COUNTIF('リスト'!$E:$E,flat)=0),IFERROR(TEXTJOIN(""\n"",TRUE,bad),""""))"),"")</f>
        <v/>
      </c>
      <c r="AC285" s="185"/>
      <c r="AD285" s="185"/>
    </row>
    <row r="286">
      <c r="A286" s="185"/>
      <c r="B286" s="185"/>
      <c r="C286" s="185"/>
      <c r="D286" s="185"/>
      <c r="E286" s="203"/>
      <c r="F286" s="203"/>
      <c r="G286" s="185"/>
      <c r="H286" s="185"/>
      <c r="I286" s="185"/>
      <c r="J286" s="185"/>
      <c r="K286" s="185"/>
      <c r="L286" s="185"/>
      <c r="M286" s="185"/>
      <c r="N286" s="185"/>
      <c r="O286" s="185"/>
      <c r="P286" s="185"/>
      <c r="Q286" s="185"/>
      <c r="R286" s="185"/>
      <c r="S286" s="185"/>
      <c r="T286" s="185"/>
      <c r="U286" s="185"/>
      <c r="V286" s="185"/>
      <c r="W286" s="185"/>
      <c r="X286" s="185"/>
      <c r="Y286" s="185"/>
      <c r="Z286" s="185"/>
      <c r="AA286" s="185"/>
      <c r="AB286" s="185" t="str">
        <f>IFERROR(__xludf.DUMMYFUNCTION("LET(width,COLUMN($AB$1)-COLUMN($G$1),r,INDEX($G286:$AAB286,1,SEQUENCE(1,width)),flat,TOCOL(r,1),bad,FILTER(flat,COUNTIF('リスト'!$E:$E,flat)=0),IFERROR(TEXTJOIN(""\n"",TRUE,bad),""""))"),"")</f>
        <v/>
      </c>
      <c r="AC286" s="185"/>
      <c r="AD286" s="185"/>
    </row>
    <row r="287">
      <c r="A287" s="185"/>
      <c r="B287" s="185"/>
      <c r="C287" s="185"/>
      <c r="D287" s="185"/>
      <c r="E287" s="203"/>
      <c r="F287" s="203"/>
      <c r="G287" s="185"/>
      <c r="H287" s="185"/>
      <c r="I287" s="185"/>
      <c r="J287" s="185"/>
      <c r="K287" s="185"/>
      <c r="L287" s="185"/>
      <c r="M287" s="185"/>
      <c r="N287" s="185"/>
      <c r="O287" s="185"/>
      <c r="P287" s="185"/>
      <c r="Q287" s="185"/>
      <c r="R287" s="185"/>
      <c r="S287" s="185"/>
      <c r="T287" s="185"/>
      <c r="U287" s="185"/>
      <c r="V287" s="185"/>
      <c r="W287" s="185"/>
      <c r="X287" s="185"/>
      <c r="Y287" s="185"/>
      <c r="Z287" s="185"/>
      <c r="AA287" s="185"/>
      <c r="AB287" s="185" t="str">
        <f>IFERROR(__xludf.DUMMYFUNCTION("LET(width,COLUMN($AB$1)-COLUMN($G$1),r,INDEX($G287:$AAB287,1,SEQUENCE(1,width)),flat,TOCOL(r,1),bad,FILTER(flat,COUNTIF('リスト'!$E:$E,flat)=0),IFERROR(TEXTJOIN(""\n"",TRUE,bad),""""))"),"")</f>
        <v/>
      </c>
      <c r="AC287" s="185"/>
      <c r="AD287" s="185"/>
    </row>
    <row r="288">
      <c r="A288" s="185"/>
      <c r="B288" s="185"/>
      <c r="C288" s="185"/>
      <c r="D288" s="185"/>
      <c r="E288" s="203"/>
      <c r="F288" s="203"/>
      <c r="G288" s="185"/>
      <c r="H288" s="185"/>
      <c r="I288" s="185"/>
      <c r="J288" s="185"/>
      <c r="K288" s="185"/>
      <c r="L288" s="185"/>
      <c r="M288" s="185"/>
      <c r="N288" s="185"/>
      <c r="O288" s="185"/>
      <c r="P288" s="185"/>
      <c r="Q288" s="185"/>
      <c r="R288" s="185"/>
      <c r="S288" s="185"/>
      <c r="T288" s="185"/>
      <c r="U288" s="185"/>
      <c r="V288" s="185"/>
      <c r="W288" s="185"/>
      <c r="X288" s="185"/>
      <c r="Y288" s="185"/>
      <c r="Z288" s="185"/>
      <c r="AA288" s="185"/>
      <c r="AB288" s="185" t="str">
        <f>IFERROR(__xludf.DUMMYFUNCTION("LET(width,COLUMN($AB$1)-COLUMN($G$1),r,INDEX($G288:$AAB288,1,SEQUENCE(1,width)),flat,TOCOL(r,1),bad,FILTER(flat,COUNTIF('リスト'!$E:$E,flat)=0),IFERROR(TEXTJOIN(""\n"",TRUE,bad),""""))"),"")</f>
        <v/>
      </c>
      <c r="AC288" s="185"/>
      <c r="AD288" s="185"/>
    </row>
    <row r="289">
      <c r="A289" s="185"/>
      <c r="B289" s="185"/>
      <c r="C289" s="185"/>
      <c r="D289" s="185"/>
      <c r="E289" s="203"/>
      <c r="F289" s="203"/>
      <c r="G289" s="185"/>
      <c r="H289" s="185"/>
      <c r="I289" s="185"/>
      <c r="J289" s="185"/>
      <c r="K289" s="185"/>
      <c r="L289" s="185"/>
      <c r="M289" s="185"/>
      <c r="N289" s="185"/>
      <c r="O289" s="185"/>
      <c r="P289" s="185"/>
      <c r="Q289" s="185"/>
      <c r="R289" s="185"/>
      <c r="S289" s="185"/>
      <c r="T289" s="185"/>
      <c r="U289" s="185"/>
      <c r="V289" s="185"/>
      <c r="W289" s="185"/>
      <c r="X289" s="185"/>
      <c r="Y289" s="185"/>
      <c r="Z289" s="185"/>
      <c r="AA289" s="185"/>
      <c r="AB289" s="185" t="str">
        <f>IFERROR(__xludf.DUMMYFUNCTION("LET(width,COLUMN($AB$1)-COLUMN($G$1),r,INDEX($G289:$AAB289,1,SEQUENCE(1,width)),flat,TOCOL(r,1),bad,FILTER(flat,COUNTIF('リスト'!$E:$E,flat)=0),IFERROR(TEXTJOIN(""\n"",TRUE,bad),""""))"),"")</f>
        <v/>
      </c>
      <c r="AC289" s="185"/>
      <c r="AD289" s="185"/>
    </row>
    <row r="290">
      <c r="A290" s="185"/>
      <c r="B290" s="185"/>
      <c r="C290" s="185"/>
      <c r="D290" s="185"/>
      <c r="E290" s="203"/>
      <c r="F290" s="203"/>
      <c r="G290" s="185"/>
      <c r="H290" s="185"/>
      <c r="I290" s="185"/>
      <c r="J290" s="185"/>
      <c r="K290" s="185"/>
      <c r="L290" s="185"/>
      <c r="M290" s="185"/>
      <c r="N290" s="185"/>
      <c r="O290" s="185"/>
      <c r="P290" s="185"/>
      <c r="Q290" s="185"/>
      <c r="R290" s="185"/>
      <c r="S290" s="185"/>
      <c r="T290" s="185"/>
      <c r="U290" s="185"/>
      <c r="V290" s="185"/>
      <c r="W290" s="185"/>
      <c r="X290" s="185"/>
      <c r="Y290" s="185"/>
      <c r="Z290" s="185"/>
      <c r="AA290" s="185"/>
      <c r="AB290" s="185" t="str">
        <f>IFERROR(__xludf.DUMMYFUNCTION("LET(width,COLUMN($AB$1)-COLUMN($G$1),r,INDEX($G290:$AAB290,1,SEQUENCE(1,width)),flat,TOCOL(r,1),bad,FILTER(flat,COUNTIF('リスト'!$E:$E,flat)=0),IFERROR(TEXTJOIN(""\n"",TRUE,bad),""""))"),"")</f>
        <v/>
      </c>
      <c r="AC290" s="185"/>
      <c r="AD290" s="185"/>
    </row>
    <row r="291">
      <c r="A291" s="185"/>
      <c r="B291" s="185"/>
      <c r="C291" s="185"/>
      <c r="D291" s="185"/>
      <c r="E291" s="203"/>
      <c r="F291" s="203"/>
      <c r="G291" s="185"/>
      <c r="H291" s="185"/>
      <c r="I291" s="185"/>
      <c r="J291" s="185"/>
      <c r="K291" s="185"/>
      <c r="L291" s="185"/>
      <c r="M291" s="185"/>
      <c r="N291" s="185"/>
      <c r="O291" s="185"/>
      <c r="P291" s="185"/>
      <c r="Q291" s="185"/>
      <c r="R291" s="185"/>
      <c r="S291" s="185"/>
      <c r="T291" s="185"/>
      <c r="U291" s="185"/>
      <c r="V291" s="185"/>
      <c r="W291" s="185"/>
      <c r="X291" s="185"/>
      <c r="Y291" s="185"/>
      <c r="Z291" s="185"/>
      <c r="AA291" s="185"/>
      <c r="AB291" s="185" t="str">
        <f>IFERROR(__xludf.DUMMYFUNCTION("LET(width,COLUMN($AB$1)-COLUMN($G$1),r,INDEX($G291:$AAB291,1,SEQUENCE(1,width)),flat,TOCOL(r,1),bad,FILTER(flat,COUNTIF('リスト'!$E:$E,flat)=0),IFERROR(TEXTJOIN(""\n"",TRUE,bad),""""))"),"")</f>
        <v/>
      </c>
      <c r="AC291" s="185"/>
      <c r="AD291" s="185"/>
    </row>
    <row r="292">
      <c r="A292" s="185"/>
      <c r="B292" s="185"/>
      <c r="C292" s="185"/>
      <c r="D292" s="185"/>
      <c r="E292" s="203"/>
      <c r="F292" s="203"/>
      <c r="G292" s="185"/>
      <c r="H292" s="185"/>
      <c r="I292" s="185"/>
      <c r="J292" s="185"/>
      <c r="K292" s="185"/>
      <c r="L292" s="185"/>
      <c r="M292" s="185"/>
      <c r="N292" s="185"/>
      <c r="O292" s="185"/>
      <c r="P292" s="185"/>
      <c r="Q292" s="185"/>
      <c r="R292" s="185"/>
      <c r="S292" s="185"/>
      <c r="T292" s="185"/>
      <c r="U292" s="185"/>
      <c r="V292" s="185"/>
      <c r="W292" s="185"/>
      <c r="X292" s="185"/>
      <c r="Y292" s="185"/>
      <c r="Z292" s="185"/>
      <c r="AA292" s="185"/>
      <c r="AB292" s="185" t="str">
        <f>IFERROR(__xludf.DUMMYFUNCTION("LET(width,COLUMN($AB$1)-COLUMN($G$1),r,INDEX($G292:$AAB292,1,SEQUENCE(1,width)),flat,TOCOL(r,1),bad,FILTER(flat,COUNTIF('リスト'!$E:$E,flat)=0),IFERROR(TEXTJOIN(""\n"",TRUE,bad),""""))"),"")</f>
        <v/>
      </c>
      <c r="AC292" s="185"/>
      <c r="AD292" s="185"/>
    </row>
    <row r="293">
      <c r="A293" s="185"/>
      <c r="B293" s="185"/>
      <c r="C293" s="185"/>
      <c r="D293" s="185"/>
      <c r="E293" s="203"/>
      <c r="F293" s="203"/>
      <c r="G293" s="185"/>
      <c r="H293" s="185"/>
      <c r="I293" s="185"/>
      <c r="J293" s="185"/>
      <c r="K293" s="185"/>
      <c r="L293" s="185"/>
      <c r="M293" s="185"/>
      <c r="N293" s="185"/>
      <c r="O293" s="185"/>
      <c r="P293" s="185"/>
      <c r="Q293" s="185"/>
      <c r="R293" s="185"/>
      <c r="S293" s="185"/>
      <c r="T293" s="185"/>
      <c r="U293" s="185"/>
      <c r="V293" s="185"/>
      <c r="W293" s="185"/>
      <c r="X293" s="185"/>
      <c r="Y293" s="185"/>
      <c r="Z293" s="185"/>
      <c r="AA293" s="185"/>
      <c r="AB293" s="185" t="str">
        <f>IFERROR(__xludf.DUMMYFUNCTION("LET(width,COLUMN($AB$1)-COLUMN($G$1),r,INDEX($G293:$AAB293,1,SEQUENCE(1,width)),flat,TOCOL(r,1),bad,FILTER(flat,COUNTIF('リスト'!$E:$E,flat)=0),IFERROR(TEXTJOIN(""\n"",TRUE,bad),""""))"),"")</f>
        <v/>
      </c>
      <c r="AC293" s="185"/>
      <c r="AD293" s="185"/>
    </row>
    <row r="294">
      <c r="A294" s="185"/>
      <c r="B294" s="185"/>
      <c r="C294" s="185"/>
      <c r="D294" s="185"/>
      <c r="E294" s="203"/>
      <c r="F294" s="203"/>
      <c r="G294" s="185"/>
      <c r="H294" s="185"/>
      <c r="I294" s="185"/>
      <c r="J294" s="185"/>
      <c r="K294" s="185"/>
      <c r="L294" s="185"/>
      <c r="M294" s="185"/>
      <c r="N294" s="185"/>
      <c r="O294" s="185"/>
      <c r="P294" s="185"/>
      <c r="Q294" s="185"/>
      <c r="R294" s="185"/>
      <c r="S294" s="185"/>
      <c r="T294" s="185"/>
      <c r="U294" s="185"/>
      <c r="V294" s="185"/>
      <c r="W294" s="185"/>
      <c r="X294" s="185"/>
      <c r="Y294" s="185"/>
      <c r="Z294" s="185"/>
      <c r="AA294" s="185"/>
      <c r="AB294" s="185" t="str">
        <f>IFERROR(__xludf.DUMMYFUNCTION("LET(width,COLUMN($AB$1)-COLUMN($G$1),r,INDEX($G294:$AAB294,1,SEQUENCE(1,width)),flat,TOCOL(r,1),bad,FILTER(flat,COUNTIF('リスト'!$E:$E,flat)=0),IFERROR(TEXTJOIN(""\n"",TRUE,bad),""""))"),"")</f>
        <v/>
      </c>
      <c r="AC294" s="185"/>
      <c r="AD294" s="185"/>
    </row>
    <row r="295">
      <c r="A295" s="185"/>
      <c r="B295" s="185"/>
      <c r="C295" s="185"/>
      <c r="D295" s="185"/>
      <c r="E295" s="203"/>
      <c r="F295" s="203"/>
      <c r="G295" s="185"/>
      <c r="H295" s="185"/>
      <c r="I295" s="185"/>
      <c r="J295" s="185"/>
      <c r="K295" s="185"/>
      <c r="L295" s="185"/>
      <c r="M295" s="185"/>
      <c r="N295" s="185"/>
      <c r="O295" s="185"/>
      <c r="P295" s="185"/>
      <c r="Q295" s="185"/>
      <c r="R295" s="185"/>
      <c r="S295" s="185"/>
      <c r="T295" s="185"/>
      <c r="U295" s="185"/>
      <c r="V295" s="185"/>
      <c r="W295" s="185"/>
      <c r="X295" s="185"/>
      <c r="Y295" s="185"/>
      <c r="Z295" s="185"/>
      <c r="AA295" s="185"/>
      <c r="AB295" s="185" t="str">
        <f>IFERROR(__xludf.DUMMYFUNCTION("LET(width,COLUMN($AB$1)-COLUMN($G$1),r,INDEX($G295:$AAB295,1,SEQUENCE(1,width)),flat,TOCOL(r,1),bad,FILTER(flat,COUNTIF('リスト'!$E:$E,flat)=0),IFERROR(TEXTJOIN(""\n"",TRUE,bad),""""))"),"")</f>
        <v/>
      </c>
      <c r="AC295" s="185"/>
      <c r="AD295" s="185"/>
    </row>
    <row r="296">
      <c r="A296" s="185"/>
      <c r="B296" s="185"/>
      <c r="C296" s="185"/>
      <c r="D296" s="185"/>
      <c r="E296" s="203"/>
      <c r="F296" s="203"/>
      <c r="G296" s="185"/>
      <c r="H296" s="185"/>
      <c r="I296" s="185"/>
      <c r="J296" s="185"/>
      <c r="K296" s="185"/>
      <c r="L296" s="185"/>
      <c r="M296" s="185"/>
      <c r="N296" s="185"/>
      <c r="O296" s="185"/>
      <c r="P296" s="185"/>
      <c r="Q296" s="185"/>
      <c r="R296" s="185"/>
      <c r="S296" s="185"/>
      <c r="T296" s="185"/>
      <c r="U296" s="185"/>
      <c r="V296" s="185"/>
      <c r="W296" s="185"/>
      <c r="X296" s="185"/>
      <c r="Y296" s="185"/>
      <c r="Z296" s="185"/>
      <c r="AA296" s="185"/>
      <c r="AB296" s="185" t="str">
        <f>IFERROR(__xludf.DUMMYFUNCTION("LET(width,COLUMN($AB$1)-COLUMN($G$1),r,INDEX($G296:$AAB296,1,SEQUENCE(1,width)),flat,TOCOL(r,1),bad,FILTER(flat,COUNTIF('リスト'!$E:$E,flat)=0),IFERROR(TEXTJOIN(""\n"",TRUE,bad),""""))"),"")</f>
        <v/>
      </c>
      <c r="AC296" s="185"/>
      <c r="AD296" s="185"/>
    </row>
    <row r="297">
      <c r="A297" s="185"/>
      <c r="B297" s="185"/>
      <c r="C297" s="185"/>
      <c r="D297" s="185"/>
      <c r="E297" s="203"/>
      <c r="F297" s="203"/>
      <c r="G297" s="185"/>
      <c r="H297" s="185"/>
      <c r="I297" s="185"/>
      <c r="J297" s="185"/>
      <c r="K297" s="185"/>
      <c r="L297" s="185"/>
      <c r="M297" s="185"/>
      <c r="N297" s="185"/>
      <c r="O297" s="185"/>
      <c r="P297" s="185"/>
      <c r="Q297" s="185"/>
      <c r="R297" s="185"/>
      <c r="S297" s="185"/>
      <c r="T297" s="185"/>
      <c r="U297" s="185"/>
      <c r="V297" s="185"/>
      <c r="W297" s="185"/>
      <c r="X297" s="185"/>
      <c r="Y297" s="185"/>
      <c r="Z297" s="185"/>
      <c r="AA297" s="185"/>
      <c r="AB297" s="185" t="str">
        <f>IFERROR(__xludf.DUMMYFUNCTION("LET(width,COLUMN($AB$1)-COLUMN($G$1),r,INDEX($G297:$AAB297,1,SEQUENCE(1,width)),flat,TOCOL(r,1),bad,FILTER(flat,COUNTIF('リスト'!$E:$E,flat)=0),IFERROR(TEXTJOIN(""\n"",TRUE,bad),""""))"),"")</f>
        <v/>
      </c>
      <c r="AC297" s="185"/>
      <c r="AD297" s="185"/>
    </row>
    <row r="298">
      <c r="A298" s="185"/>
      <c r="B298" s="185"/>
      <c r="C298" s="185"/>
      <c r="D298" s="185"/>
      <c r="E298" s="203"/>
      <c r="F298" s="203"/>
      <c r="G298" s="185"/>
      <c r="H298" s="185"/>
      <c r="I298" s="185"/>
      <c r="J298" s="185"/>
      <c r="K298" s="185"/>
      <c r="L298" s="185"/>
      <c r="M298" s="185"/>
      <c r="N298" s="185"/>
      <c r="O298" s="185"/>
      <c r="P298" s="185"/>
      <c r="Q298" s="185"/>
      <c r="R298" s="185"/>
      <c r="S298" s="185"/>
      <c r="T298" s="185"/>
      <c r="U298" s="185"/>
      <c r="V298" s="185"/>
      <c r="W298" s="185"/>
      <c r="X298" s="185"/>
      <c r="Y298" s="185"/>
      <c r="Z298" s="185"/>
      <c r="AA298" s="185"/>
      <c r="AB298" s="185" t="str">
        <f>IFERROR(__xludf.DUMMYFUNCTION("LET(width,COLUMN($AB$1)-COLUMN($G$1),r,INDEX($G298:$AAB298,1,SEQUENCE(1,width)),flat,TOCOL(r,1),bad,FILTER(flat,COUNTIF('リスト'!$E:$E,flat)=0),IFERROR(TEXTJOIN(""\n"",TRUE,bad),""""))"),"")</f>
        <v/>
      </c>
      <c r="AC298" s="185"/>
      <c r="AD298" s="185"/>
    </row>
    <row r="299">
      <c r="A299" s="185"/>
      <c r="B299" s="185"/>
      <c r="C299" s="185"/>
      <c r="D299" s="185"/>
      <c r="E299" s="203"/>
      <c r="F299" s="203"/>
      <c r="G299" s="185"/>
      <c r="H299" s="185"/>
      <c r="I299" s="185"/>
      <c r="J299" s="185"/>
      <c r="K299" s="185"/>
      <c r="L299" s="185"/>
      <c r="M299" s="185"/>
      <c r="N299" s="185"/>
      <c r="O299" s="185"/>
      <c r="P299" s="185"/>
      <c r="Q299" s="185"/>
      <c r="R299" s="185"/>
      <c r="S299" s="185"/>
      <c r="T299" s="185"/>
      <c r="U299" s="185"/>
      <c r="V299" s="185"/>
      <c r="W299" s="185"/>
      <c r="X299" s="185"/>
      <c r="Y299" s="185"/>
      <c r="Z299" s="185"/>
      <c r="AA299" s="185"/>
      <c r="AB299" s="185" t="str">
        <f>IFERROR(__xludf.DUMMYFUNCTION("LET(width,COLUMN($AB$1)-COLUMN($G$1),r,INDEX($G299:$AAB299,1,SEQUENCE(1,width)),flat,TOCOL(r,1),bad,FILTER(flat,COUNTIF('リスト'!$E:$E,flat)=0),IFERROR(TEXTJOIN(""\n"",TRUE,bad),""""))"),"")</f>
        <v/>
      </c>
      <c r="AC299" s="185"/>
      <c r="AD299" s="185"/>
    </row>
    <row r="300">
      <c r="A300" s="185"/>
      <c r="B300" s="185"/>
      <c r="C300" s="185"/>
      <c r="D300" s="185"/>
      <c r="E300" s="203"/>
      <c r="F300" s="203"/>
      <c r="G300" s="185"/>
      <c r="H300" s="185"/>
      <c r="I300" s="185"/>
      <c r="J300" s="185"/>
      <c r="K300" s="185"/>
      <c r="L300" s="185"/>
      <c r="M300" s="185"/>
      <c r="N300" s="185"/>
      <c r="O300" s="185"/>
      <c r="P300" s="185"/>
      <c r="Q300" s="185"/>
      <c r="R300" s="185"/>
      <c r="S300" s="185"/>
      <c r="T300" s="185"/>
      <c r="U300" s="185"/>
      <c r="V300" s="185"/>
      <c r="W300" s="185"/>
      <c r="X300" s="185"/>
      <c r="Y300" s="185"/>
      <c r="Z300" s="185"/>
      <c r="AA300" s="185"/>
      <c r="AB300" s="185" t="str">
        <f>IFERROR(__xludf.DUMMYFUNCTION("LET(width,COLUMN($AB$1)-COLUMN($G$1),r,INDEX($G300:$AAB300,1,SEQUENCE(1,width)),flat,TOCOL(r,1),bad,FILTER(flat,COUNTIF('リスト'!$E:$E,flat)=0),IFERROR(TEXTJOIN(""\n"",TRUE,bad),""""))"),"")</f>
        <v/>
      </c>
      <c r="AC300" s="185"/>
      <c r="AD300" s="185"/>
    </row>
    <row r="301">
      <c r="A301" s="185"/>
      <c r="B301" s="185"/>
      <c r="C301" s="185"/>
      <c r="D301" s="185"/>
      <c r="E301" s="203"/>
      <c r="F301" s="203"/>
      <c r="G301" s="185"/>
      <c r="H301" s="185"/>
      <c r="I301" s="185"/>
      <c r="J301" s="185"/>
      <c r="K301" s="185"/>
      <c r="L301" s="185"/>
      <c r="M301" s="185"/>
      <c r="N301" s="185"/>
      <c r="O301" s="185"/>
      <c r="P301" s="185"/>
      <c r="Q301" s="185"/>
      <c r="R301" s="185"/>
      <c r="S301" s="185"/>
      <c r="T301" s="185"/>
      <c r="U301" s="185"/>
      <c r="V301" s="185"/>
      <c r="W301" s="185"/>
      <c r="X301" s="185"/>
      <c r="Y301" s="185"/>
      <c r="Z301" s="185"/>
      <c r="AA301" s="185"/>
      <c r="AB301" s="185" t="str">
        <f>IFERROR(__xludf.DUMMYFUNCTION("LET(width,COLUMN($AB$1)-COLUMN($G$1),r,INDEX($G301:$AAB301,1,SEQUENCE(1,width)),flat,TOCOL(r,1),bad,FILTER(flat,COUNTIF('リスト'!$E:$E,flat)=0),IFERROR(TEXTJOIN(""\n"",TRUE,bad),""""))"),"")</f>
        <v/>
      </c>
      <c r="AC301" s="185"/>
      <c r="AD301" s="185"/>
    </row>
    <row r="302">
      <c r="A302" s="185"/>
      <c r="B302" s="185"/>
      <c r="C302" s="185"/>
      <c r="D302" s="185"/>
      <c r="E302" s="203"/>
      <c r="F302" s="203"/>
      <c r="G302" s="185"/>
      <c r="H302" s="185"/>
      <c r="I302" s="185"/>
      <c r="J302" s="185"/>
      <c r="K302" s="185"/>
      <c r="L302" s="185"/>
      <c r="M302" s="185"/>
      <c r="N302" s="185"/>
      <c r="O302" s="185"/>
      <c r="P302" s="185"/>
      <c r="Q302" s="185"/>
      <c r="R302" s="185"/>
      <c r="S302" s="185"/>
      <c r="T302" s="185"/>
      <c r="U302" s="185"/>
      <c r="V302" s="185"/>
      <c r="W302" s="185"/>
      <c r="X302" s="185"/>
      <c r="Y302" s="185"/>
      <c r="Z302" s="185"/>
      <c r="AA302" s="185"/>
      <c r="AB302" s="185" t="str">
        <f>IFERROR(__xludf.DUMMYFUNCTION("LET(width,COLUMN($AB$1)-COLUMN($G$1),r,INDEX($G302:$AAB302,1,SEQUENCE(1,width)),flat,TOCOL(r,1),bad,FILTER(flat,COUNTIF('リスト'!$E:$E,flat)=0),IFERROR(TEXTJOIN(""\n"",TRUE,bad),""""))"),"")</f>
        <v/>
      </c>
      <c r="AC302" s="185"/>
      <c r="AD302" s="185"/>
    </row>
    <row r="303">
      <c r="A303" s="185"/>
      <c r="B303" s="185"/>
      <c r="C303" s="185"/>
      <c r="D303" s="185"/>
      <c r="E303" s="203"/>
      <c r="F303" s="203"/>
      <c r="G303" s="185"/>
      <c r="H303" s="185"/>
      <c r="I303" s="185"/>
      <c r="J303" s="185"/>
      <c r="K303" s="185"/>
      <c r="L303" s="185"/>
      <c r="M303" s="185"/>
      <c r="N303" s="185"/>
      <c r="O303" s="185"/>
      <c r="P303" s="185"/>
      <c r="Q303" s="185"/>
      <c r="R303" s="185"/>
      <c r="S303" s="185"/>
      <c r="T303" s="185"/>
      <c r="U303" s="185"/>
      <c r="V303" s="185"/>
      <c r="W303" s="185"/>
      <c r="X303" s="185"/>
      <c r="Y303" s="185"/>
      <c r="Z303" s="185"/>
      <c r="AA303" s="185"/>
      <c r="AB303" s="185" t="str">
        <f>IFERROR(__xludf.DUMMYFUNCTION("LET(width,COLUMN($AB$1)-COLUMN($G$1),r,INDEX($G303:$AAB303,1,SEQUENCE(1,width)),flat,TOCOL(r,1),bad,FILTER(flat,COUNTIF('リスト'!$E:$E,flat)=0),IFERROR(TEXTJOIN(""\n"",TRUE,bad),""""))"),"")</f>
        <v/>
      </c>
      <c r="AC303" s="185"/>
      <c r="AD303" s="185"/>
    </row>
    <row r="304">
      <c r="A304" s="185"/>
      <c r="B304" s="185"/>
      <c r="C304" s="185"/>
      <c r="D304" s="185"/>
      <c r="E304" s="203"/>
      <c r="F304" s="203"/>
      <c r="G304" s="185"/>
      <c r="H304" s="185"/>
      <c r="I304" s="185"/>
      <c r="J304" s="185"/>
      <c r="K304" s="185"/>
      <c r="L304" s="185"/>
      <c r="M304" s="185"/>
      <c r="N304" s="185"/>
      <c r="O304" s="185"/>
      <c r="P304" s="185"/>
      <c r="Q304" s="185"/>
      <c r="R304" s="185"/>
      <c r="S304" s="185"/>
      <c r="T304" s="185"/>
      <c r="U304" s="185"/>
      <c r="V304" s="185"/>
      <c r="W304" s="185"/>
      <c r="X304" s="185"/>
      <c r="Y304" s="185"/>
      <c r="Z304" s="185"/>
      <c r="AA304" s="185"/>
      <c r="AB304" s="185" t="str">
        <f>IFERROR(__xludf.DUMMYFUNCTION("LET(width,COLUMN($AB$1)-COLUMN($G$1),r,INDEX($G304:$AAB304,1,SEQUENCE(1,width)),flat,TOCOL(r,1),bad,FILTER(flat,COUNTIF('リスト'!$E:$E,flat)=0),IFERROR(TEXTJOIN(""\n"",TRUE,bad),""""))"),"")</f>
        <v/>
      </c>
      <c r="AC304" s="185"/>
      <c r="AD304" s="185"/>
    </row>
    <row r="305">
      <c r="A305" s="185"/>
      <c r="B305" s="185"/>
      <c r="C305" s="185"/>
      <c r="D305" s="185"/>
      <c r="E305" s="203"/>
      <c r="F305" s="203"/>
      <c r="G305" s="185"/>
      <c r="H305" s="185"/>
      <c r="I305" s="185"/>
      <c r="J305" s="185"/>
      <c r="K305" s="185"/>
      <c r="L305" s="185"/>
      <c r="M305" s="185"/>
      <c r="N305" s="185"/>
      <c r="O305" s="185"/>
      <c r="P305" s="185"/>
      <c r="Q305" s="185"/>
      <c r="R305" s="185"/>
      <c r="S305" s="185"/>
      <c r="T305" s="185"/>
      <c r="U305" s="185"/>
      <c r="V305" s="185"/>
      <c r="W305" s="185"/>
      <c r="X305" s="185"/>
      <c r="Y305" s="185"/>
      <c r="Z305" s="185"/>
      <c r="AA305" s="185"/>
      <c r="AB305" s="185" t="str">
        <f>IFERROR(__xludf.DUMMYFUNCTION("LET(width,COLUMN($AB$1)-COLUMN($G$1),r,INDEX($G305:$AAB305,1,SEQUENCE(1,width)),flat,TOCOL(r,1),bad,FILTER(flat,COUNTIF('リスト'!$E:$E,flat)=0),IFERROR(TEXTJOIN(""\n"",TRUE,bad),""""))"),"")</f>
        <v/>
      </c>
      <c r="AC305" s="185"/>
      <c r="AD305" s="185"/>
    </row>
    <row r="306">
      <c r="A306" s="185"/>
      <c r="B306" s="185"/>
      <c r="C306" s="185"/>
      <c r="D306" s="185"/>
      <c r="E306" s="203"/>
      <c r="F306" s="203"/>
      <c r="G306" s="185"/>
      <c r="H306" s="185"/>
      <c r="I306" s="185"/>
      <c r="J306" s="185"/>
      <c r="K306" s="185"/>
      <c r="L306" s="185"/>
      <c r="M306" s="185"/>
      <c r="N306" s="185"/>
      <c r="O306" s="185"/>
      <c r="P306" s="185"/>
      <c r="Q306" s="185"/>
      <c r="R306" s="185"/>
      <c r="S306" s="185"/>
      <c r="T306" s="185"/>
      <c r="U306" s="185"/>
      <c r="V306" s="185"/>
      <c r="W306" s="185"/>
      <c r="X306" s="185"/>
      <c r="Y306" s="185"/>
      <c r="Z306" s="185"/>
      <c r="AA306" s="185"/>
      <c r="AB306" s="185" t="str">
        <f>IFERROR(__xludf.DUMMYFUNCTION("LET(width,COLUMN($AB$1)-COLUMN($G$1),r,INDEX($G306:$AAB306,1,SEQUENCE(1,width)),flat,TOCOL(r,1),bad,FILTER(flat,COUNTIF('リスト'!$E:$E,flat)=0),IFERROR(TEXTJOIN(""\n"",TRUE,bad),""""))"),"")</f>
        <v/>
      </c>
      <c r="AC306" s="185"/>
      <c r="AD306" s="185"/>
    </row>
    <row r="307">
      <c r="A307" s="185"/>
      <c r="B307" s="185"/>
      <c r="C307" s="185"/>
      <c r="D307" s="185"/>
      <c r="E307" s="203"/>
      <c r="F307" s="203"/>
      <c r="G307" s="185"/>
      <c r="H307" s="185"/>
      <c r="I307" s="185"/>
      <c r="J307" s="185"/>
      <c r="K307" s="185"/>
      <c r="L307" s="185"/>
      <c r="M307" s="185"/>
      <c r="N307" s="185"/>
      <c r="O307" s="185"/>
      <c r="P307" s="185"/>
      <c r="Q307" s="185"/>
      <c r="R307" s="185"/>
      <c r="S307" s="185"/>
      <c r="T307" s="185"/>
      <c r="U307" s="185"/>
      <c r="V307" s="185"/>
      <c r="W307" s="185"/>
      <c r="X307" s="185"/>
      <c r="Y307" s="185"/>
      <c r="Z307" s="185"/>
      <c r="AA307" s="185"/>
      <c r="AB307" s="185" t="str">
        <f>IFERROR(__xludf.DUMMYFUNCTION("LET(width,COLUMN($AB$1)-COLUMN($G$1),r,INDEX($G307:$AAB307,1,SEQUENCE(1,width)),flat,TOCOL(r,1),bad,FILTER(flat,COUNTIF('リスト'!$E:$E,flat)=0),IFERROR(TEXTJOIN(""\n"",TRUE,bad),""""))"),"")</f>
        <v/>
      </c>
      <c r="AC307" s="185"/>
      <c r="AD307" s="185"/>
    </row>
    <row r="308">
      <c r="A308" s="185"/>
      <c r="B308" s="185"/>
      <c r="C308" s="185"/>
      <c r="D308" s="185"/>
      <c r="E308" s="203"/>
      <c r="F308" s="203"/>
      <c r="G308" s="185"/>
      <c r="H308" s="185"/>
      <c r="I308" s="185"/>
      <c r="J308" s="185"/>
      <c r="K308" s="185"/>
      <c r="L308" s="185"/>
      <c r="M308" s="185"/>
      <c r="N308" s="185"/>
      <c r="O308" s="185"/>
      <c r="P308" s="185"/>
      <c r="Q308" s="185"/>
      <c r="R308" s="185"/>
      <c r="S308" s="185"/>
      <c r="T308" s="185"/>
      <c r="U308" s="185"/>
      <c r="V308" s="185"/>
      <c r="W308" s="185"/>
      <c r="X308" s="185"/>
      <c r="Y308" s="185"/>
      <c r="Z308" s="185"/>
      <c r="AA308" s="185"/>
      <c r="AB308" s="185" t="str">
        <f>IFERROR(__xludf.DUMMYFUNCTION("LET(width,COLUMN($AB$1)-COLUMN($G$1),r,INDEX($G308:$AAB308,1,SEQUENCE(1,width)),flat,TOCOL(r,1),bad,FILTER(flat,COUNTIF('リスト'!$E:$E,flat)=0),IFERROR(TEXTJOIN(""\n"",TRUE,bad),""""))"),"")</f>
        <v/>
      </c>
      <c r="AC308" s="185"/>
      <c r="AD308" s="185"/>
    </row>
    <row r="309">
      <c r="A309" s="185"/>
      <c r="B309" s="185"/>
      <c r="C309" s="185"/>
      <c r="D309" s="185"/>
      <c r="E309" s="203"/>
      <c r="F309" s="203"/>
      <c r="G309" s="185"/>
      <c r="H309" s="185"/>
      <c r="I309" s="185"/>
      <c r="J309" s="185"/>
      <c r="K309" s="185"/>
      <c r="L309" s="185"/>
      <c r="M309" s="185"/>
      <c r="N309" s="185"/>
      <c r="O309" s="185"/>
      <c r="P309" s="185"/>
      <c r="Q309" s="185"/>
      <c r="R309" s="185"/>
      <c r="S309" s="185"/>
      <c r="T309" s="185"/>
      <c r="U309" s="185"/>
      <c r="V309" s="185"/>
      <c r="W309" s="185"/>
      <c r="X309" s="185"/>
      <c r="Y309" s="185"/>
      <c r="Z309" s="185"/>
      <c r="AA309" s="185"/>
      <c r="AB309" s="185" t="str">
        <f>IFERROR(__xludf.DUMMYFUNCTION("LET(width,COLUMN($AB$1)-COLUMN($G$1),r,INDEX($G309:$AAB309,1,SEQUENCE(1,width)),flat,TOCOL(r,1),bad,FILTER(flat,COUNTIF('リスト'!$E:$E,flat)=0),IFERROR(TEXTJOIN(""\n"",TRUE,bad),""""))"),"")</f>
        <v/>
      </c>
      <c r="AC309" s="185"/>
      <c r="AD309" s="185"/>
    </row>
    <row r="310">
      <c r="A310" s="185"/>
      <c r="B310" s="185"/>
      <c r="C310" s="185"/>
      <c r="D310" s="185"/>
      <c r="E310" s="203"/>
      <c r="F310" s="203"/>
      <c r="G310" s="185"/>
      <c r="H310" s="185"/>
      <c r="I310" s="185"/>
      <c r="J310" s="185"/>
      <c r="K310" s="185"/>
      <c r="L310" s="185"/>
      <c r="M310" s="185"/>
      <c r="N310" s="185"/>
      <c r="O310" s="185"/>
      <c r="P310" s="185"/>
      <c r="Q310" s="185"/>
      <c r="R310" s="185"/>
      <c r="S310" s="185"/>
      <c r="T310" s="185"/>
      <c r="U310" s="185"/>
      <c r="V310" s="185"/>
      <c r="W310" s="185"/>
      <c r="X310" s="185"/>
      <c r="Y310" s="185"/>
      <c r="Z310" s="185"/>
      <c r="AA310" s="185"/>
      <c r="AB310" s="185" t="str">
        <f>IFERROR(__xludf.DUMMYFUNCTION("LET(width,COLUMN($AB$1)-COLUMN($G$1),r,INDEX($G310:$AAB310,1,SEQUENCE(1,width)),flat,TOCOL(r,1),bad,FILTER(flat,COUNTIF('リスト'!$E:$E,flat)=0),IFERROR(TEXTJOIN(""\n"",TRUE,bad),""""))"),"")</f>
        <v/>
      </c>
      <c r="AC310" s="185"/>
      <c r="AD310" s="185"/>
    </row>
    <row r="311">
      <c r="A311" s="185"/>
      <c r="B311" s="185"/>
      <c r="C311" s="185"/>
      <c r="D311" s="185"/>
      <c r="E311" s="203"/>
      <c r="F311" s="203"/>
      <c r="G311" s="185"/>
      <c r="H311" s="185"/>
      <c r="I311" s="185"/>
      <c r="J311" s="185"/>
      <c r="K311" s="185"/>
      <c r="L311" s="185"/>
      <c r="M311" s="185"/>
      <c r="N311" s="185"/>
      <c r="O311" s="185"/>
      <c r="P311" s="185"/>
      <c r="Q311" s="185"/>
      <c r="R311" s="185"/>
      <c r="S311" s="185"/>
      <c r="T311" s="185"/>
      <c r="U311" s="185"/>
      <c r="V311" s="185"/>
      <c r="W311" s="185"/>
      <c r="X311" s="185"/>
      <c r="Y311" s="185"/>
      <c r="Z311" s="185"/>
      <c r="AA311" s="185"/>
      <c r="AB311" s="185" t="str">
        <f>IFERROR(__xludf.DUMMYFUNCTION("LET(width,COLUMN($AB$1)-COLUMN($G$1),r,INDEX($G311:$AAB311,1,SEQUENCE(1,width)),flat,TOCOL(r,1),bad,FILTER(flat,COUNTIF('リスト'!$E:$E,flat)=0),IFERROR(TEXTJOIN(""\n"",TRUE,bad),""""))"),"")</f>
        <v/>
      </c>
      <c r="AC311" s="185"/>
      <c r="AD311" s="185"/>
    </row>
    <row r="312">
      <c r="A312" s="185"/>
      <c r="B312" s="185"/>
      <c r="C312" s="185"/>
      <c r="D312" s="185"/>
      <c r="E312" s="203"/>
      <c r="F312" s="203"/>
      <c r="G312" s="185"/>
      <c r="H312" s="185"/>
      <c r="I312" s="185"/>
      <c r="J312" s="185"/>
      <c r="K312" s="185"/>
      <c r="L312" s="185"/>
      <c r="M312" s="185"/>
      <c r="N312" s="185"/>
      <c r="O312" s="185"/>
      <c r="P312" s="185"/>
      <c r="Q312" s="185"/>
      <c r="R312" s="185"/>
      <c r="S312" s="185"/>
      <c r="T312" s="185"/>
      <c r="U312" s="185"/>
      <c r="V312" s="185"/>
      <c r="W312" s="185"/>
      <c r="X312" s="185"/>
      <c r="Y312" s="185"/>
      <c r="Z312" s="185"/>
      <c r="AA312" s="185"/>
      <c r="AB312" s="185" t="str">
        <f>IFERROR(__xludf.DUMMYFUNCTION("LET(width,COLUMN($AB$1)-COLUMN($G$1),r,INDEX($G312:$AAB312,1,SEQUENCE(1,width)),flat,TOCOL(r,1),bad,FILTER(flat,COUNTIF('リスト'!$E:$E,flat)=0),IFERROR(TEXTJOIN(""\n"",TRUE,bad),""""))"),"")</f>
        <v/>
      </c>
      <c r="AC312" s="185"/>
      <c r="AD312" s="185"/>
    </row>
    <row r="313">
      <c r="A313" s="185"/>
      <c r="B313" s="185"/>
      <c r="C313" s="185"/>
      <c r="D313" s="185"/>
      <c r="E313" s="203"/>
      <c r="F313" s="203"/>
      <c r="G313" s="185"/>
      <c r="H313" s="185"/>
      <c r="I313" s="185"/>
      <c r="J313" s="185"/>
      <c r="K313" s="185"/>
      <c r="L313" s="185"/>
      <c r="M313" s="185"/>
      <c r="N313" s="185"/>
      <c r="O313" s="185"/>
      <c r="P313" s="185"/>
      <c r="Q313" s="185"/>
      <c r="R313" s="185"/>
      <c r="S313" s="185"/>
      <c r="T313" s="185"/>
      <c r="U313" s="185"/>
      <c r="V313" s="185"/>
      <c r="W313" s="185"/>
      <c r="X313" s="185"/>
      <c r="Y313" s="185"/>
      <c r="Z313" s="185"/>
      <c r="AA313" s="185"/>
      <c r="AB313" s="185" t="str">
        <f>IFERROR(__xludf.DUMMYFUNCTION("LET(width,COLUMN($AB$1)-COLUMN($G$1),r,INDEX($G313:$AAB313,1,SEQUENCE(1,width)),flat,TOCOL(r,1),bad,FILTER(flat,COUNTIF('リスト'!$E:$E,flat)=0),IFERROR(TEXTJOIN(""\n"",TRUE,bad),""""))"),"")</f>
        <v/>
      </c>
      <c r="AC313" s="185"/>
      <c r="AD313" s="185"/>
    </row>
    <row r="314">
      <c r="A314" s="185"/>
      <c r="B314" s="185"/>
      <c r="C314" s="185"/>
      <c r="D314" s="185"/>
      <c r="E314" s="203"/>
      <c r="F314" s="203"/>
      <c r="G314" s="185"/>
      <c r="H314" s="185"/>
      <c r="I314" s="185"/>
      <c r="J314" s="185"/>
      <c r="K314" s="185"/>
      <c r="L314" s="185"/>
      <c r="M314" s="185"/>
      <c r="N314" s="185"/>
      <c r="O314" s="185"/>
      <c r="P314" s="185"/>
      <c r="Q314" s="185"/>
      <c r="R314" s="185"/>
      <c r="S314" s="185"/>
      <c r="T314" s="185"/>
      <c r="U314" s="185"/>
      <c r="V314" s="185"/>
      <c r="W314" s="185"/>
      <c r="X314" s="185"/>
      <c r="Y314" s="185"/>
      <c r="Z314" s="185"/>
      <c r="AA314" s="185"/>
      <c r="AB314" s="185" t="str">
        <f>IFERROR(__xludf.DUMMYFUNCTION("LET(width,COLUMN($AB$1)-COLUMN($G$1),r,INDEX($G314:$AAB314,1,SEQUENCE(1,width)),flat,TOCOL(r,1),bad,FILTER(flat,COUNTIF('リスト'!$E:$E,flat)=0),IFERROR(TEXTJOIN(""\n"",TRUE,bad),""""))"),"")</f>
        <v/>
      </c>
      <c r="AC314" s="185"/>
      <c r="AD314" s="185"/>
    </row>
    <row r="315">
      <c r="A315" s="185"/>
      <c r="B315" s="185"/>
      <c r="C315" s="185"/>
      <c r="D315" s="185"/>
      <c r="E315" s="203"/>
      <c r="F315" s="203"/>
      <c r="G315" s="185"/>
      <c r="H315" s="185"/>
      <c r="I315" s="185"/>
      <c r="J315" s="185"/>
      <c r="K315" s="185"/>
      <c r="L315" s="185"/>
      <c r="M315" s="185"/>
      <c r="N315" s="185"/>
      <c r="O315" s="185"/>
      <c r="P315" s="185"/>
      <c r="Q315" s="185"/>
      <c r="R315" s="185"/>
      <c r="S315" s="185"/>
      <c r="T315" s="185"/>
      <c r="U315" s="185"/>
      <c r="V315" s="185"/>
      <c r="W315" s="185"/>
      <c r="X315" s="185"/>
      <c r="Y315" s="185"/>
      <c r="Z315" s="185"/>
      <c r="AA315" s="185"/>
      <c r="AB315" s="185" t="str">
        <f>IFERROR(__xludf.DUMMYFUNCTION("LET(width,COLUMN($AB$1)-COLUMN($G$1),r,INDEX($G315:$AAB315,1,SEQUENCE(1,width)),flat,TOCOL(r,1),bad,FILTER(flat,COUNTIF('リスト'!$E:$E,flat)=0),IFERROR(TEXTJOIN(""\n"",TRUE,bad),""""))"),"")</f>
        <v/>
      </c>
      <c r="AC315" s="185"/>
      <c r="AD315" s="185"/>
    </row>
    <row r="316">
      <c r="A316" s="185"/>
      <c r="B316" s="185"/>
      <c r="C316" s="185"/>
      <c r="D316" s="185"/>
      <c r="E316" s="203"/>
      <c r="F316" s="203"/>
      <c r="G316" s="185"/>
      <c r="H316" s="185"/>
      <c r="I316" s="185"/>
      <c r="J316" s="185"/>
      <c r="K316" s="185"/>
      <c r="L316" s="185"/>
      <c r="M316" s="185"/>
      <c r="N316" s="185"/>
      <c r="O316" s="185"/>
      <c r="P316" s="185"/>
      <c r="Q316" s="185"/>
      <c r="R316" s="185"/>
      <c r="S316" s="185"/>
      <c r="T316" s="185"/>
      <c r="U316" s="185"/>
      <c r="V316" s="185"/>
      <c r="W316" s="185"/>
      <c r="X316" s="185"/>
      <c r="Y316" s="185"/>
      <c r="Z316" s="185"/>
      <c r="AA316" s="185"/>
      <c r="AB316" s="185" t="str">
        <f>IFERROR(__xludf.DUMMYFUNCTION("LET(width,COLUMN($AB$1)-COLUMN($G$1),r,INDEX($G316:$AAB316,1,SEQUENCE(1,width)),flat,TOCOL(r,1),bad,FILTER(flat,COUNTIF('リスト'!$E:$E,flat)=0),IFERROR(TEXTJOIN(""\n"",TRUE,bad),""""))"),"")</f>
        <v/>
      </c>
      <c r="AC316" s="185"/>
      <c r="AD316" s="185"/>
    </row>
    <row r="317">
      <c r="A317" s="185"/>
      <c r="B317" s="185"/>
      <c r="C317" s="185"/>
      <c r="D317" s="185"/>
      <c r="E317" s="203"/>
      <c r="F317" s="203"/>
      <c r="G317" s="185"/>
      <c r="H317" s="185"/>
      <c r="I317" s="185"/>
      <c r="J317" s="185"/>
      <c r="K317" s="185"/>
      <c r="L317" s="185"/>
      <c r="M317" s="185"/>
      <c r="N317" s="185"/>
      <c r="O317" s="185"/>
      <c r="P317" s="185"/>
      <c r="Q317" s="185"/>
      <c r="R317" s="185"/>
      <c r="S317" s="185"/>
      <c r="T317" s="185"/>
      <c r="U317" s="185"/>
      <c r="V317" s="185"/>
      <c r="W317" s="185"/>
      <c r="X317" s="185"/>
      <c r="Y317" s="185"/>
      <c r="Z317" s="185"/>
      <c r="AA317" s="185"/>
      <c r="AB317" s="185" t="str">
        <f>IFERROR(__xludf.DUMMYFUNCTION("LET(width,COLUMN($AB$1)-COLUMN($G$1),r,INDEX($G317:$AAB317,1,SEQUENCE(1,width)),flat,TOCOL(r,1),bad,FILTER(flat,COUNTIF('リスト'!$E:$E,flat)=0),IFERROR(TEXTJOIN(""\n"",TRUE,bad),""""))"),"")</f>
        <v/>
      </c>
      <c r="AC317" s="185"/>
      <c r="AD317" s="185"/>
    </row>
    <row r="318">
      <c r="A318" s="185"/>
      <c r="B318" s="185"/>
      <c r="C318" s="185"/>
      <c r="D318" s="185"/>
      <c r="E318" s="203"/>
      <c r="F318" s="203"/>
      <c r="G318" s="185"/>
      <c r="H318" s="185"/>
      <c r="I318" s="185"/>
      <c r="J318" s="185"/>
      <c r="K318" s="185"/>
      <c r="L318" s="185"/>
      <c r="M318" s="185"/>
      <c r="N318" s="185"/>
      <c r="O318" s="185"/>
      <c r="P318" s="185"/>
      <c r="Q318" s="185"/>
      <c r="R318" s="185"/>
      <c r="S318" s="185"/>
      <c r="T318" s="185"/>
      <c r="U318" s="185"/>
      <c r="V318" s="185"/>
      <c r="W318" s="185"/>
      <c r="X318" s="185"/>
      <c r="Y318" s="185"/>
      <c r="Z318" s="185"/>
      <c r="AA318" s="185"/>
      <c r="AB318" s="185" t="str">
        <f>IFERROR(__xludf.DUMMYFUNCTION("LET(width,COLUMN($AB$1)-COLUMN($G$1),r,INDEX($G318:$AAB318,1,SEQUENCE(1,width)),flat,TOCOL(r,1),bad,FILTER(flat,COUNTIF('リスト'!$E:$E,flat)=0),IFERROR(TEXTJOIN(""\n"",TRUE,bad),""""))"),"")</f>
        <v/>
      </c>
      <c r="AC318" s="185"/>
      <c r="AD318" s="185"/>
    </row>
    <row r="319">
      <c r="A319" s="185"/>
      <c r="B319" s="185"/>
      <c r="C319" s="185"/>
      <c r="D319" s="185"/>
      <c r="E319" s="203"/>
      <c r="F319" s="203"/>
      <c r="G319" s="185"/>
      <c r="H319" s="185"/>
      <c r="I319" s="185"/>
      <c r="J319" s="185"/>
      <c r="K319" s="185"/>
      <c r="L319" s="185"/>
      <c r="M319" s="185"/>
      <c r="N319" s="185"/>
      <c r="O319" s="185"/>
      <c r="P319" s="185"/>
      <c r="Q319" s="185"/>
      <c r="R319" s="185"/>
      <c r="S319" s="185"/>
      <c r="T319" s="185"/>
      <c r="U319" s="185"/>
      <c r="V319" s="185"/>
      <c r="W319" s="185"/>
      <c r="X319" s="185"/>
      <c r="Y319" s="185"/>
      <c r="Z319" s="185"/>
      <c r="AA319" s="185"/>
      <c r="AB319" s="185" t="str">
        <f>IFERROR(__xludf.DUMMYFUNCTION("LET(width,COLUMN($AB$1)-COLUMN($G$1),r,INDEX($G319:$AAB319,1,SEQUENCE(1,width)),flat,TOCOL(r,1),bad,FILTER(flat,COUNTIF('リスト'!$E:$E,flat)=0),IFERROR(TEXTJOIN(""\n"",TRUE,bad),""""))"),"")</f>
        <v/>
      </c>
      <c r="AC319" s="185"/>
      <c r="AD319" s="185"/>
    </row>
    <row r="320">
      <c r="A320" s="185"/>
      <c r="B320" s="185"/>
      <c r="C320" s="185"/>
      <c r="D320" s="185"/>
      <c r="E320" s="203"/>
      <c r="F320" s="203"/>
      <c r="G320" s="185"/>
      <c r="H320" s="185"/>
      <c r="I320" s="185"/>
      <c r="J320" s="185"/>
      <c r="K320" s="185"/>
      <c r="L320" s="185"/>
      <c r="M320" s="185"/>
      <c r="N320" s="185"/>
      <c r="O320" s="185"/>
      <c r="P320" s="185"/>
      <c r="Q320" s="185"/>
      <c r="R320" s="185"/>
      <c r="S320" s="185"/>
      <c r="T320" s="185"/>
      <c r="U320" s="185"/>
      <c r="V320" s="185"/>
      <c r="W320" s="185"/>
      <c r="X320" s="185"/>
      <c r="Y320" s="185"/>
      <c r="Z320" s="185"/>
      <c r="AA320" s="185"/>
      <c r="AB320" s="185" t="str">
        <f>IFERROR(__xludf.DUMMYFUNCTION("LET(width,COLUMN($AB$1)-COLUMN($G$1),r,INDEX($G320:$AAB320,1,SEQUENCE(1,width)),flat,TOCOL(r,1),bad,FILTER(flat,COUNTIF('リスト'!$E:$E,flat)=0),IFERROR(TEXTJOIN(""\n"",TRUE,bad),""""))"),"")</f>
        <v/>
      </c>
      <c r="AC320" s="185"/>
      <c r="AD320" s="185"/>
    </row>
    <row r="321">
      <c r="A321" s="185"/>
      <c r="B321" s="185"/>
      <c r="C321" s="185"/>
      <c r="D321" s="185"/>
      <c r="E321" s="203"/>
      <c r="F321" s="203"/>
      <c r="G321" s="185"/>
      <c r="H321" s="185"/>
      <c r="I321" s="185"/>
      <c r="J321" s="185"/>
      <c r="K321" s="185"/>
      <c r="L321" s="185"/>
      <c r="M321" s="185"/>
      <c r="N321" s="185"/>
      <c r="O321" s="185"/>
      <c r="P321" s="185"/>
      <c r="Q321" s="185"/>
      <c r="R321" s="185"/>
      <c r="S321" s="185"/>
      <c r="T321" s="185"/>
      <c r="U321" s="185"/>
      <c r="V321" s="185"/>
      <c r="W321" s="185"/>
      <c r="X321" s="185"/>
      <c r="Y321" s="185"/>
      <c r="Z321" s="185"/>
      <c r="AA321" s="185"/>
      <c r="AB321" s="185" t="str">
        <f>IFERROR(__xludf.DUMMYFUNCTION("LET(width,COLUMN($AB$1)-COLUMN($G$1),r,INDEX($G321:$AAB321,1,SEQUENCE(1,width)),flat,TOCOL(r,1),bad,FILTER(flat,COUNTIF('リスト'!$E:$E,flat)=0),IFERROR(TEXTJOIN(""\n"",TRUE,bad),""""))"),"")</f>
        <v/>
      </c>
      <c r="AC321" s="185"/>
      <c r="AD321" s="185"/>
    </row>
    <row r="322">
      <c r="A322" s="185"/>
      <c r="B322" s="185"/>
      <c r="C322" s="185"/>
      <c r="D322" s="185"/>
      <c r="E322" s="203"/>
      <c r="F322" s="203"/>
      <c r="G322" s="185"/>
      <c r="H322" s="185"/>
      <c r="I322" s="185"/>
      <c r="J322" s="185"/>
      <c r="K322" s="185"/>
      <c r="L322" s="185"/>
      <c r="M322" s="185"/>
      <c r="N322" s="185"/>
      <c r="O322" s="185"/>
      <c r="P322" s="185"/>
      <c r="Q322" s="185"/>
      <c r="R322" s="185"/>
      <c r="S322" s="185"/>
      <c r="T322" s="185"/>
      <c r="U322" s="185"/>
      <c r="V322" s="185"/>
      <c r="W322" s="185"/>
      <c r="X322" s="185"/>
      <c r="Y322" s="185"/>
      <c r="Z322" s="185"/>
      <c r="AA322" s="185"/>
      <c r="AB322" s="185" t="str">
        <f>IFERROR(__xludf.DUMMYFUNCTION("LET(width,COLUMN($AB$1)-COLUMN($G$1),r,INDEX($G322:$AAB322,1,SEQUENCE(1,width)),flat,TOCOL(r,1),bad,FILTER(flat,COUNTIF('リスト'!$E:$E,flat)=0),IFERROR(TEXTJOIN(""\n"",TRUE,bad),""""))"),"")</f>
        <v/>
      </c>
      <c r="AC322" s="185"/>
      <c r="AD322" s="185"/>
    </row>
    <row r="323">
      <c r="A323" s="185"/>
      <c r="B323" s="185"/>
      <c r="C323" s="185"/>
      <c r="D323" s="185"/>
      <c r="E323" s="203"/>
      <c r="F323" s="203"/>
      <c r="G323" s="185"/>
      <c r="H323" s="185"/>
      <c r="I323" s="185"/>
      <c r="J323" s="185"/>
      <c r="K323" s="185"/>
      <c r="L323" s="185"/>
      <c r="M323" s="185"/>
      <c r="N323" s="185"/>
      <c r="O323" s="185"/>
      <c r="P323" s="185"/>
      <c r="Q323" s="185"/>
      <c r="R323" s="185"/>
      <c r="S323" s="185"/>
      <c r="T323" s="185"/>
      <c r="U323" s="185"/>
      <c r="V323" s="185"/>
      <c r="W323" s="185"/>
      <c r="X323" s="185"/>
      <c r="Y323" s="185"/>
      <c r="Z323" s="185"/>
      <c r="AA323" s="185"/>
      <c r="AB323" s="185" t="str">
        <f>IFERROR(__xludf.DUMMYFUNCTION("LET(width,COLUMN($AB$1)-COLUMN($G$1),r,INDEX($G323:$AAB323,1,SEQUENCE(1,width)),flat,TOCOL(r,1),bad,FILTER(flat,COUNTIF('リスト'!$E:$E,flat)=0),IFERROR(TEXTJOIN(""\n"",TRUE,bad),""""))"),"")</f>
        <v/>
      </c>
      <c r="AC323" s="185"/>
      <c r="AD323" s="185"/>
    </row>
    <row r="324">
      <c r="A324" s="185"/>
      <c r="B324" s="185"/>
      <c r="C324" s="185"/>
      <c r="D324" s="185"/>
      <c r="E324" s="203"/>
      <c r="F324" s="203"/>
      <c r="G324" s="185"/>
      <c r="H324" s="185"/>
      <c r="I324" s="185"/>
      <c r="J324" s="185"/>
      <c r="K324" s="185"/>
      <c r="L324" s="185"/>
      <c r="M324" s="185"/>
      <c r="N324" s="185"/>
      <c r="O324" s="185"/>
      <c r="P324" s="185"/>
      <c r="Q324" s="185"/>
      <c r="R324" s="185"/>
      <c r="S324" s="185"/>
      <c r="T324" s="185"/>
      <c r="U324" s="185"/>
      <c r="V324" s="185"/>
      <c r="W324" s="185"/>
      <c r="X324" s="185"/>
      <c r="Y324" s="185"/>
      <c r="Z324" s="185"/>
      <c r="AA324" s="185"/>
      <c r="AB324" s="185" t="str">
        <f>IFERROR(__xludf.DUMMYFUNCTION("LET(width,COLUMN($AB$1)-COLUMN($G$1),r,INDEX($G324:$AAB324,1,SEQUENCE(1,width)),flat,TOCOL(r,1),bad,FILTER(flat,COUNTIF('リスト'!$E:$E,flat)=0),IFERROR(TEXTJOIN(""\n"",TRUE,bad),""""))"),"")</f>
        <v/>
      </c>
      <c r="AC324" s="185"/>
      <c r="AD324" s="185"/>
    </row>
    <row r="325">
      <c r="A325" s="185"/>
      <c r="B325" s="185"/>
      <c r="C325" s="185"/>
      <c r="D325" s="185"/>
      <c r="E325" s="203"/>
      <c r="F325" s="203"/>
      <c r="G325" s="185"/>
      <c r="H325" s="185"/>
      <c r="I325" s="185"/>
      <c r="J325" s="185"/>
      <c r="K325" s="185"/>
      <c r="L325" s="185"/>
      <c r="M325" s="185"/>
      <c r="N325" s="185"/>
      <c r="O325" s="185"/>
      <c r="P325" s="185"/>
      <c r="Q325" s="185"/>
      <c r="R325" s="185"/>
      <c r="S325" s="185"/>
      <c r="T325" s="185"/>
      <c r="U325" s="185"/>
      <c r="V325" s="185"/>
      <c r="W325" s="185"/>
      <c r="X325" s="185"/>
      <c r="Y325" s="185"/>
      <c r="Z325" s="185"/>
      <c r="AA325" s="185"/>
      <c r="AB325" s="185" t="str">
        <f>IFERROR(__xludf.DUMMYFUNCTION("LET(width,COLUMN($AB$1)-COLUMN($G$1),r,INDEX($G325:$AAB325,1,SEQUENCE(1,width)),flat,TOCOL(r,1),bad,FILTER(flat,COUNTIF('リスト'!$E:$E,flat)=0),IFERROR(TEXTJOIN(""\n"",TRUE,bad),""""))"),"")</f>
        <v/>
      </c>
      <c r="AC325" s="185"/>
      <c r="AD325" s="185"/>
    </row>
    <row r="326">
      <c r="A326" s="185"/>
      <c r="B326" s="185"/>
      <c r="C326" s="185"/>
      <c r="D326" s="185"/>
      <c r="E326" s="203"/>
      <c r="F326" s="203"/>
      <c r="G326" s="185"/>
      <c r="H326" s="185"/>
      <c r="I326" s="185"/>
      <c r="J326" s="185"/>
      <c r="K326" s="185"/>
      <c r="L326" s="185"/>
      <c r="M326" s="185"/>
      <c r="N326" s="185"/>
      <c r="O326" s="185"/>
      <c r="P326" s="185"/>
      <c r="Q326" s="185"/>
      <c r="R326" s="185"/>
      <c r="S326" s="185"/>
      <c r="T326" s="185"/>
      <c r="U326" s="185"/>
      <c r="V326" s="185"/>
      <c r="W326" s="185"/>
      <c r="X326" s="185"/>
      <c r="Y326" s="185"/>
      <c r="Z326" s="185"/>
      <c r="AA326" s="185"/>
      <c r="AB326" s="185" t="str">
        <f>IFERROR(__xludf.DUMMYFUNCTION("LET(width,COLUMN($AB$1)-COLUMN($G$1),r,INDEX($G326:$AAB326,1,SEQUENCE(1,width)),flat,TOCOL(r,1),bad,FILTER(flat,COUNTIF('リスト'!$E:$E,flat)=0),IFERROR(TEXTJOIN(""\n"",TRUE,bad),""""))"),"")</f>
        <v/>
      </c>
      <c r="AC326" s="185"/>
      <c r="AD326" s="185"/>
    </row>
    <row r="327">
      <c r="A327" s="185"/>
      <c r="B327" s="185"/>
      <c r="C327" s="185"/>
      <c r="D327" s="185"/>
      <c r="E327" s="203"/>
      <c r="F327" s="203"/>
      <c r="G327" s="185"/>
      <c r="H327" s="185"/>
      <c r="I327" s="185"/>
      <c r="J327" s="185"/>
      <c r="K327" s="185"/>
      <c r="L327" s="185"/>
      <c r="M327" s="185"/>
      <c r="N327" s="185"/>
      <c r="O327" s="185"/>
      <c r="P327" s="185"/>
      <c r="Q327" s="185"/>
      <c r="R327" s="185"/>
      <c r="S327" s="185"/>
      <c r="T327" s="185"/>
      <c r="U327" s="185"/>
      <c r="V327" s="185"/>
      <c r="W327" s="185"/>
      <c r="X327" s="185"/>
      <c r="Y327" s="185"/>
      <c r="Z327" s="185"/>
      <c r="AA327" s="185"/>
      <c r="AB327" s="185" t="str">
        <f>IFERROR(__xludf.DUMMYFUNCTION("LET(width,COLUMN($AB$1)-COLUMN($G$1),r,INDEX($G327:$AAB327,1,SEQUENCE(1,width)),flat,TOCOL(r,1),bad,FILTER(flat,COUNTIF('リスト'!$E:$E,flat)=0),IFERROR(TEXTJOIN(""\n"",TRUE,bad),""""))"),"")</f>
        <v/>
      </c>
      <c r="AC327" s="185"/>
      <c r="AD327" s="185"/>
    </row>
    <row r="328">
      <c r="A328" s="185"/>
      <c r="B328" s="185"/>
      <c r="C328" s="185"/>
      <c r="D328" s="185"/>
      <c r="E328" s="203"/>
      <c r="F328" s="203"/>
      <c r="G328" s="185"/>
      <c r="H328" s="185"/>
      <c r="I328" s="185"/>
      <c r="J328" s="185"/>
      <c r="K328" s="185"/>
      <c r="L328" s="185"/>
      <c r="M328" s="185"/>
      <c r="N328" s="185"/>
      <c r="O328" s="185"/>
      <c r="P328" s="185"/>
      <c r="Q328" s="185"/>
      <c r="R328" s="185"/>
      <c r="S328" s="185"/>
      <c r="T328" s="185"/>
      <c r="U328" s="185"/>
      <c r="V328" s="185"/>
      <c r="W328" s="185"/>
      <c r="X328" s="185"/>
      <c r="Y328" s="185"/>
      <c r="Z328" s="185"/>
      <c r="AA328" s="185"/>
      <c r="AB328" s="185" t="str">
        <f>IFERROR(__xludf.DUMMYFUNCTION("LET(width,COLUMN($AB$1)-COLUMN($G$1),r,INDEX($G328:$AAB328,1,SEQUENCE(1,width)),flat,TOCOL(r,1),bad,FILTER(flat,COUNTIF('リスト'!$E:$E,flat)=0),IFERROR(TEXTJOIN(""\n"",TRUE,bad),""""))"),"")</f>
        <v/>
      </c>
      <c r="AC328" s="185"/>
      <c r="AD328" s="185"/>
    </row>
    <row r="329">
      <c r="A329" s="185"/>
      <c r="B329" s="185"/>
      <c r="C329" s="185"/>
      <c r="D329" s="185"/>
      <c r="E329" s="203"/>
      <c r="F329" s="203"/>
      <c r="G329" s="185"/>
      <c r="H329" s="185"/>
      <c r="I329" s="185"/>
      <c r="J329" s="185"/>
      <c r="K329" s="185"/>
      <c r="L329" s="185"/>
      <c r="M329" s="185"/>
      <c r="N329" s="185"/>
      <c r="O329" s="185"/>
      <c r="P329" s="185"/>
      <c r="Q329" s="185"/>
      <c r="R329" s="185"/>
      <c r="S329" s="185"/>
      <c r="T329" s="185"/>
      <c r="U329" s="185"/>
      <c r="V329" s="185"/>
      <c r="W329" s="185"/>
      <c r="X329" s="185"/>
      <c r="Y329" s="185"/>
      <c r="Z329" s="185"/>
      <c r="AA329" s="185"/>
      <c r="AB329" s="185" t="str">
        <f>IFERROR(__xludf.DUMMYFUNCTION("LET(width,COLUMN($AB$1)-COLUMN($G$1),r,INDEX($G329:$AAB329,1,SEQUENCE(1,width)),flat,TOCOL(r,1),bad,FILTER(flat,COUNTIF('リスト'!$E:$E,flat)=0),IFERROR(TEXTJOIN(""\n"",TRUE,bad),""""))"),"")</f>
        <v/>
      </c>
      <c r="AC329" s="185"/>
      <c r="AD329" s="185"/>
    </row>
    <row r="330">
      <c r="A330" s="185"/>
      <c r="B330" s="185"/>
      <c r="C330" s="185"/>
      <c r="D330" s="185"/>
      <c r="E330" s="203"/>
      <c r="F330" s="203"/>
      <c r="G330" s="185"/>
      <c r="H330" s="185"/>
      <c r="I330" s="185"/>
      <c r="J330" s="185"/>
      <c r="K330" s="185"/>
      <c r="L330" s="185"/>
      <c r="M330" s="185"/>
      <c r="N330" s="185"/>
      <c r="O330" s="185"/>
      <c r="P330" s="185"/>
      <c r="Q330" s="185"/>
      <c r="R330" s="185"/>
      <c r="S330" s="185"/>
      <c r="T330" s="185"/>
      <c r="U330" s="185"/>
      <c r="V330" s="185"/>
      <c r="W330" s="185"/>
      <c r="X330" s="185"/>
      <c r="Y330" s="185"/>
      <c r="Z330" s="185"/>
      <c r="AA330" s="185"/>
      <c r="AB330" s="185" t="str">
        <f>IFERROR(__xludf.DUMMYFUNCTION("LET(width,COLUMN($AB$1)-COLUMN($G$1),r,INDEX($G330:$AAB330,1,SEQUENCE(1,width)),flat,TOCOL(r,1),bad,FILTER(flat,COUNTIF('リスト'!$E:$E,flat)=0),IFERROR(TEXTJOIN(""\n"",TRUE,bad),""""))"),"")</f>
        <v/>
      </c>
      <c r="AC330" s="185"/>
      <c r="AD330" s="185"/>
    </row>
    <row r="331">
      <c r="A331" s="185"/>
      <c r="B331" s="185"/>
      <c r="C331" s="185"/>
      <c r="D331" s="185"/>
      <c r="E331" s="203"/>
      <c r="F331" s="203"/>
      <c r="G331" s="185"/>
      <c r="H331" s="185"/>
      <c r="I331" s="185"/>
      <c r="J331" s="185"/>
      <c r="K331" s="185"/>
      <c r="L331" s="185"/>
      <c r="M331" s="185"/>
      <c r="N331" s="185"/>
      <c r="O331" s="185"/>
      <c r="P331" s="185"/>
      <c r="Q331" s="185"/>
      <c r="R331" s="185"/>
      <c r="S331" s="185"/>
      <c r="T331" s="185"/>
      <c r="U331" s="185"/>
      <c r="V331" s="185"/>
      <c r="W331" s="185"/>
      <c r="X331" s="185"/>
      <c r="Y331" s="185"/>
      <c r="Z331" s="185"/>
      <c r="AA331" s="185"/>
      <c r="AB331" s="185" t="str">
        <f>IFERROR(__xludf.DUMMYFUNCTION("LET(width,COLUMN($AB$1)-COLUMN($G$1),r,INDEX($G331:$AAB331,1,SEQUENCE(1,width)),flat,TOCOL(r,1),bad,FILTER(flat,COUNTIF('リスト'!$E:$E,flat)=0),IFERROR(TEXTJOIN(""\n"",TRUE,bad),""""))"),"")</f>
        <v/>
      </c>
      <c r="AC331" s="185"/>
      <c r="AD331" s="185"/>
    </row>
    <row r="332">
      <c r="A332" s="185"/>
      <c r="B332" s="185"/>
      <c r="C332" s="185"/>
      <c r="D332" s="185"/>
      <c r="E332" s="203"/>
      <c r="F332" s="203"/>
      <c r="G332" s="185"/>
      <c r="H332" s="185"/>
      <c r="I332" s="185"/>
      <c r="J332" s="185"/>
      <c r="K332" s="185"/>
      <c r="L332" s="185"/>
      <c r="M332" s="185"/>
      <c r="N332" s="185"/>
      <c r="O332" s="185"/>
      <c r="P332" s="185"/>
      <c r="Q332" s="185"/>
      <c r="R332" s="185"/>
      <c r="S332" s="185"/>
      <c r="T332" s="185"/>
      <c r="U332" s="185"/>
      <c r="V332" s="185"/>
      <c r="W332" s="185"/>
      <c r="X332" s="185"/>
      <c r="Y332" s="185"/>
      <c r="Z332" s="185"/>
      <c r="AA332" s="185"/>
      <c r="AB332" s="185" t="str">
        <f>IFERROR(__xludf.DUMMYFUNCTION("LET(width,COLUMN($AB$1)-COLUMN($G$1),r,INDEX($G332:$AAB332,1,SEQUENCE(1,width)),flat,TOCOL(r,1),bad,FILTER(flat,COUNTIF('リスト'!$E:$E,flat)=0),IFERROR(TEXTJOIN(""\n"",TRUE,bad),""""))"),"")</f>
        <v/>
      </c>
      <c r="AC332" s="185"/>
      <c r="AD332" s="185"/>
    </row>
    <row r="333">
      <c r="A333" s="185"/>
      <c r="B333" s="185"/>
      <c r="C333" s="185"/>
      <c r="D333" s="185"/>
      <c r="E333" s="203"/>
      <c r="F333" s="203"/>
      <c r="G333" s="185"/>
      <c r="H333" s="185"/>
      <c r="I333" s="185"/>
      <c r="J333" s="185"/>
      <c r="K333" s="185"/>
      <c r="L333" s="185"/>
      <c r="M333" s="185"/>
      <c r="N333" s="185"/>
      <c r="O333" s="185"/>
      <c r="P333" s="185"/>
      <c r="Q333" s="185"/>
      <c r="R333" s="185"/>
      <c r="S333" s="185"/>
      <c r="T333" s="185"/>
      <c r="U333" s="185"/>
      <c r="V333" s="185"/>
      <c r="W333" s="185"/>
      <c r="X333" s="185"/>
      <c r="Y333" s="185"/>
      <c r="Z333" s="185"/>
      <c r="AA333" s="185"/>
      <c r="AB333" s="185" t="str">
        <f>IFERROR(__xludf.DUMMYFUNCTION("LET(width,COLUMN($AB$1)-COLUMN($G$1),r,INDEX($G333:$AAB333,1,SEQUENCE(1,width)),flat,TOCOL(r,1),bad,FILTER(flat,COUNTIF('リスト'!$E:$E,flat)=0),IFERROR(TEXTJOIN(""\n"",TRUE,bad),""""))"),"")</f>
        <v/>
      </c>
      <c r="AC333" s="185"/>
      <c r="AD333" s="185"/>
    </row>
    <row r="334">
      <c r="A334" s="185"/>
      <c r="B334" s="185"/>
      <c r="C334" s="185"/>
      <c r="D334" s="185"/>
      <c r="E334" s="203"/>
      <c r="F334" s="203"/>
      <c r="G334" s="185"/>
      <c r="H334" s="185"/>
      <c r="I334" s="185"/>
      <c r="J334" s="185"/>
      <c r="K334" s="185"/>
      <c r="L334" s="185"/>
      <c r="M334" s="185"/>
      <c r="N334" s="185"/>
      <c r="O334" s="185"/>
      <c r="P334" s="185"/>
      <c r="Q334" s="185"/>
      <c r="R334" s="185"/>
      <c r="S334" s="185"/>
      <c r="T334" s="185"/>
      <c r="U334" s="185"/>
      <c r="V334" s="185"/>
      <c r="W334" s="185"/>
      <c r="X334" s="185"/>
      <c r="Y334" s="185"/>
      <c r="Z334" s="185"/>
      <c r="AA334" s="185"/>
      <c r="AB334" s="185" t="str">
        <f>IFERROR(__xludf.DUMMYFUNCTION("LET(width,COLUMN($AB$1)-COLUMN($G$1),r,INDEX($G334:$AAB334,1,SEQUENCE(1,width)),flat,TOCOL(r,1),bad,FILTER(flat,COUNTIF('リスト'!$E:$E,flat)=0),IFERROR(TEXTJOIN(""\n"",TRUE,bad),""""))"),"")</f>
        <v/>
      </c>
      <c r="AC334" s="185"/>
      <c r="AD334" s="185"/>
    </row>
    <row r="335">
      <c r="A335" s="185"/>
      <c r="B335" s="185"/>
      <c r="C335" s="185"/>
      <c r="D335" s="185"/>
      <c r="E335" s="203"/>
      <c r="F335" s="203"/>
      <c r="G335" s="185"/>
      <c r="H335" s="185"/>
      <c r="I335" s="185"/>
      <c r="J335" s="185"/>
      <c r="K335" s="185"/>
      <c r="L335" s="185"/>
      <c r="M335" s="185"/>
      <c r="N335" s="185"/>
      <c r="O335" s="185"/>
      <c r="P335" s="185"/>
      <c r="Q335" s="185"/>
      <c r="R335" s="185"/>
      <c r="S335" s="185"/>
      <c r="T335" s="185"/>
      <c r="U335" s="185"/>
      <c r="V335" s="185"/>
      <c r="W335" s="185"/>
      <c r="X335" s="185"/>
      <c r="Y335" s="185"/>
      <c r="Z335" s="185"/>
      <c r="AA335" s="185"/>
      <c r="AB335" s="185" t="str">
        <f>IFERROR(__xludf.DUMMYFUNCTION("LET(width,COLUMN($AB$1)-COLUMN($G$1),r,INDEX($G335:$AAB335,1,SEQUENCE(1,width)),flat,TOCOL(r,1),bad,FILTER(flat,COUNTIF('リスト'!$E:$E,flat)=0),IFERROR(TEXTJOIN(""\n"",TRUE,bad),""""))"),"")</f>
        <v/>
      </c>
      <c r="AC335" s="185"/>
      <c r="AD335" s="185"/>
    </row>
    <row r="336">
      <c r="A336" s="185"/>
      <c r="B336" s="185"/>
      <c r="C336" s="185"/>
      <c r="D336" s="185"/>
      <c r="E336" s="203"/>
      <c r="F336" s="203"/>
      <c r="G336" s="185"/>
      <c r="H336" s="185"/>
      <c r="I336" s="185"/>
      <c r="J336" s="185"/>
      <c r="K336" s="185"/>
      <c r="L336" s="185"/>
      <c r="M336" s="185"/>
      <c r="N336" s="185"/>
      <c r="O336" s="185"/>
      <c r="P336" s="185"/>
      <c r="Q336" s="185"/>
      <c r="R336" s="185"/>
      <c r="S336" s="185"/>
      <c r="T336" s="185"/>
      <c r="U336" s="185"/>
      <c r="V336" s="185"/>
      <c r="W336" s="185"/>
      <c r="X336" s="185"/>
      <c r="Y336" s="185"/>
      <c r="Z336" s="185"/>
      <c r="AA336" s="185"/>
      <c r="AB336" s="185" t="str">
        <f>IFERROR(__xludf.DUMMYFUNCTION("LET(width,COLUMN($AB$1)-COLUMN($G$1),r,INDEX($G336:$AAB336,1,SEQUENCE(1,width)),flat,TOCOL(r,1),bad,FILTER(flat,COUNTIF('リスト'!$E:$E,flat)=0),IFERROR(TEXTJOIN(""\n"",TRUE,bad),""""))"),"")</f>
        <v/>
      </c>
      <c r="AC336" s="185"/>
      <c r="AD336" s="185"/>
    </row>
    <row r="337">
      <c r="A337" s="185"/>
      <c r="B337" s="185"/>
      <c r="C337" s="185"/>
      <c r="D337" s="185"/>
      <c r="E337" s="203"/>
      <c r="F337" s="203"/>
      <c r="G337" s="185"/>
      <c r="H337" s="185"/>
      <c r="I337" s="185"/>
      <c r="J337" s="185"/>
      <c r="K337" s="185"/>
      <c r="L337" s="185"/>
      <c r="M337" s="185"/>
      <c r="N337" s="185"/>
      <c r="O337" s="185"/>
      <c r="P337" s="185"/>
      <c r="Q337" s="185"/>
      <c r="R337" s="185"/>
      <c r="S337" s="185"/>
      <c r="T337" s="185"/>
      <c r="U337" s="185"/>
      <c r="V337" s="185"/>
      <c r="W337" s="185"/>
      <c r="X337" s="185"/>
      <c r="Y337" s="185"/>
      <c r="Z337" s="185"/>
      <c r="AA337" s="185"/>
      <c r="AB337" s="185" t="str">
        <f>IFERROR(__xludf.DUMMYFUNCTION("LET(width,COLUMN($AB$1)-COLUMN($G$1),r,INDEX($G337:$AAB337,1,SEQUENCE(1,width)),flat,TOCOL(r,1),bad,FILTER(flat,COUNTIF('リスト'!$E:$E,flat)=0),IFERROR(TEXTJOIN(""\n"",TRUE,bad),""""))"),"")</f>
        <v/>
      </c>
      <c r="AC337" s="185"/>
      <c r="AD337" s="185"/>
    </row>
    <row r="338">
      <c r="A338" s="185"/>
      <c r="B338" s="185"/>
      <c r="C338" s="185"/>
      <c r="D338" s="185"/>
      <c r="E338" s="203"/>
      <c r="F338" s="203"/>
      <c r="G338" s="185"/>
      <c r="H338" s="185"/>
      <c r="I338" s="185"/>
      <c r="J338" s="185"/>
      <c r="K338" s="185"/>
      <c r="L338" s="185"/>
      <c r="M338" s="185"/>
      <c r="N338" s="185"/>
      <c r="O338" s="185"/>
      <c r="P338" s="185"/>
      <c r="Q338" s="185"/>
      <c r="R338" s="185"/>
      <c r="S338" s="185"/>
      <c r="T338" s="185"/>
      <c r="U338" s="185"/>
      <c r="V338" s="185"/>
      <c r="W338" s="185"/>
      <c r="X338" s="185"/>
      <c r="Y338" s="185"/>
      <c r="Z338" s="185"/>
      <c r="AA338" s="185"/>
      <c r="AB338" s="185" t="str">
        <f>IFERROR(__xludf.DUMMYFUNCTION("LET(width,COLUMN($AB$1)-COLUMN($G$1),r,INDEX($G338:$AAB338,1,SEQUENCE(1,width)),flat,TOCOL(r,1),bad,FILTER(flat,COUNTIF('リスト'!$E:$E,flat)=0),IFERROR(TEXTJOIN(""\n"",TRUE,bad),""""))"),"")</f>
        <v/>
      </c>
      <c r="AC338" s="185"/>
      <c r="AD338" s="185"/>
    </row>
    <row r="339">
      <c r="A339" s="185"/>
      <c r="B339" s="185"/>
      <c r="C339" s="185"/>
      <c r="D339" s="185"/>
      <c r="E339" s="203"/>
      <c r="F339" s="203"/>
      <c r="G339" s="185"/>
      <c r="H339" s="185"/>
      <c r="I339" s="185"/>
      <c r="J339" s="185"/>
      <c r="K339" s="185"/>
      <c r="L339" s="185"/>
      <c r="M339" s="185"/>
      <c r="N339" s="185"/>
      <c r="O339" s="185"/>
      <c r="P339" s="185"/>
      <c r="Q339" s="185"/>
      <c r="R339" s="185"/>
      <c r="S339" s="185"/>
      <c r="T339" s="185"/>
      <c r="U339" s="185"/>
      <c r="V339" s="185"/>
      <c r="W339" s="185"/>
      <c r="X339" s="185"/>
      <c r="Y339" s="185"/>
      <c r="Z339" s="185"/>
      <c r="AA339" s="185"/>
      <c r="AB339" s="185" t="str">
        <f>IFERROR(__xludf.DUMMYFUNCTION("LET(width,COLUMN($AB$1)-COLUMN($G$1),r,INDEX($G339:$AAB339,1,SEQUENCE(1,width)),flat,TOCOL(r,1),bad,FILTER(flat,COUNTIF('リスト'!$E:$E,flat)=0),IFERROR(TEXTJOIN(""\n"",TRUE,bad),""""))"),"")</f>
        <v/>
      </c>
      <c r="AC339" s="185"/>
      <c r="AD339" s="185"/>
    </row>
    <row r="340">
      <c r="A340" s="185"/>
      <c r="B340" s="185"/>
      <c r="C340" s="185"/>
      <c r="D340" s="185"/>
      <c r="E340" s="203"/>
      <c r="F340" s="203"/>
      <c r="G340" s="185"/>
      <c r="H340" s="185"/>
      <c r="I340" s="185"/>
      <c r="J340" s="185"/>
      <c r="K340" s="185"/>
      <c r="L340" s="185"/>
      <c r="M340" s="185"/>
      <c r="N340" s="185"/>
      <c r="O340" s="185"/>
      <c r="P340" s="185"/>
      <c r="Q340" s="185"/>
      <c r="R340" s="185"/>
      <c r="S340" s="185"/>
      <c r="T340" s="185"/>
      <c r="U340" s="185"/>
      <c r="V340" s="185"/>
      <c r="W340" s="185"/>
      <c r="X340" s="185"/>
      <c r="Y340" s="185"/>
      <c r="Z340" s="185"/>
      <c r="AA340" s="185"/>
      <c r="AB340" s="185" t="str">
        <f>IFERROR(__xludf.DUMMYFUNCTION("LET(width,COLUMN($AB$1)-COLUMN($G$1),r,INDEX($G340:$AAB340,1,SEQUENCE(1,width)),flat,TOCOL(r,1),bad,FILTER(flat,COUNTIF('リスト'!$E:$E,flat)=0),IFERROR(TEXTJOIN(""\n"",TRUE,bad),""""))"),"")</f>
        <v/>
      </c>
      <c r="AC340" s="185"/>
      <c r="AD340" s="185"/>
    </row>
    <row r="341">
      <c r="A341" s="185"/>
      <c r="B341" s="185"/>
      <c r="C341" s="185"/>
      <c r="D341" s="185"/>
      <c r="E341" s="203"/>
      <c r="F341" s="203"/>
      <c r="G341" s="185"/>
      <c r="H341" s="185"/>
      <c r="I341" s="185"/>
      <c r="J341" s="185"/>
      <c r="K341" s="185"/>
      <c r="L341" s="185"/>
      <c r="M341" s="185"/>
      <c r="N341" s="185"/>
      <c r="O341" s="185"/>
      <c r="P341" s="185"/>
      <c r="Q341" s="185"/>
      <c r="R341" s="185"/>
      <c r="S341" s="185"/>
      <c r="T341" s="185"/>
      <c r="U341" s="185"/>
      <c r="V341" s="185"/>
      <c r="W341" s="185"/>
      <c r="X341" s="185"/>
      <c r="Y341" s="185"/>
      <c r="Z341" s="185"/>
      <c r="AA341" s="185"/>
      <c r="AB341" s="185" t="str">
        <f>IFERROR(__xludf.DUMMYFUNCTION("LET(width,COLUMN($AB$1)-COLUMN($G$1),r,INDEX($G341:$AAB341,1,SEQUENCE(1,width)),flat,TOCOL(r,1),bad,FILTER(flat,COUNTIF('リスト'!$E:$E,flat)=0),IFERROR(TEXTJOIN(""\n"",TRUE,bad),""""))"),"")</f>
        <v/>
      </c>
      <c r="AC341" s="185"/>
      <c r="AD341" s="185"/>
    </row>
    <row r="342">
      <c r="A342" s="185"/>
      <c r="B342" s="185"/>
      <c r="C342" s="185"/>
      <c r="D342" s="185"/>
      <c r="E342" s="203"/>
      <c r="F342" s="203"/>
      <c r="G342" s="185"/>
      <c r="H342" s="185"/>
      <c r="I342" s="185"/>
      <c r="J342" s="185"/>
      <c r="K342" s="185"/>
      <c r="L342" s="185"/>
      <c r="M342" s="185"/>
      <c r="N342" s="185"/>
      <c r="O342" s="185"/>
      <c r="P342" s="185"/>
      <c r="Q342" s="185"/>
      <c r="R342" s="185"/>
      <c r="S342" s="185"/>
      <c r="T342" s="185"/>
      <c r="U342" s="185"/>
      <c r="V342" s="185"/>
      <c r="W342" s="185"/>
      <c r="X342" s="185"/>
      <c r="Y342" s="185"/>
      <c r="Z342" s="185"/>
      <c r="AA342" s="185"/>
      <c r="AB342" s="185" t="str">
        <f>IFERROR(__xludf.DUMMYFUNCTION("LET(width,COLUMN($AB$1)-COLUMN($G$1),r,INDEX($G342:$AAB342,1,SEQUENCE(1,width)),flat,TOCOL(r,1),bad,FILTER(flat,COUNTIF('リスト'!$E:$E,flat)=0),IFERROR(TEXTJOIN(""\n"",TRUE,bad),""""))"),"")</f>
        <v/>
      </c>
      <c r="AC342" s="185"/>
      <c r="AD342" s="185"/>
    </row>
    <row r="343">
      <c r="A343" s="185"/>
      <c r="B343" s="185"/>
      <c r="C343" s="185"/>
      <c r="D343" s="185"/>
      <c r="E343" s="203"/>
      <c r="F343" s="203"/>
      <c r="G343" s="185"/>
      <c r="H343" s="185"/>
      <c r="I343" s="185"/>
      <c r="J343" s="185"/>
      <c r="K343" s="185"/>
      <c r="L343" s="185"/>
      <c r="M343" s="185"/>
      <c r="N343" s="185"/>
      <c r="O343" s="185"/>
      <c r="P343" s="185"/>
      <c r="Q343" s="185"/>
      <c r="R343" s="185"/>
      <c r="S343" s="185"/>
      <c r="T343" s="185"/>
      <c r="U343" s="185"/>
      <c r="V343" s="185"/>
      <c r="W343" s="185"/>
      <c r="X343" s="185"/>
      <c r="Y343" s="185"/>
      <c r="Z343" s="185"/>
      <c r="AA343" s="185"/>
      <c r="AB343" s="185" t="str">
        <f>IFERROR(__xludf.DUMMYFUNCTION("LET(width,COLUMN($AB$1)-COLUMN($G$1),r,INDEX($G343:$AAB343,1,SEQUENCE(1,width)),flat,TOCOL(r,1),bad,FILTER(flat,COUNTIF('リスト'!$E:$E,flat)=0),IFERROR(TEXTJOIN(""\n"",TRUE,bad),""""))"),"")</f>
        <v/>
      </c>
      <c r="AC343" s="185"/>
      <c r="AD343" s="185"/>
    </row>
    <row r="344">
      <c r="A344" s="185"/>
      <c r="B344" s="185"/>
      <c r="C344" s="185"/>
      <c r="D344" s="185"/>
      <c r="E344" s="203"/>
      <c r="F344" s="203"/>
      <c r="G344" s="185"/>
      <c r="H344" s="185"/>
      <c r="I344" s="185"/>
      <c r="J344" s="185"/>
      <c r="K344" s="185"/>
      <c r="L344" s="185"/>
      <c r="M344" s="185"/>
      <c r="N344" s="185"/>
      <c r="O344" s="185"/>
      <c r="P344" s="185"/>
      <c r="Q344" s="185"/>
      <c r="R344" s="185"/>
      <c r="S344" s="185"/>
      <c r="T344" s="185"/>
      <c r="U344" s="185"/>
      <c r="V344" s="185"/>
      <c r="W344" s="185"/>
      <c r="X344" s="185"/>
      <c r="Y344" s="185"/>
      <c r="Z344" s="185"/>
      <c r="AA344" s="185"/>
      <c r="AB344" s="185" t="str">
        <f>IFERROR(__xludf.DUMMYFUNCTION("LET(width,COLUMN($AB$1)-COLUMN($G$1),r,INDEX($G344:$AAB344,1,SEQUENCE(1,width)),flat,TOCOL(r,1),bad,FILTER(flat,COUNTIF('リスト'!$E:$E,flat)=0),IFERROR(TEXTJOIN(""\n"",TRUE,bad),""""))"),"")</f>
        <v/>
      </c>
      <c r="AC344" s="185"/>
      <c r="AD344" s="185"/>
    </row>
    <row r="345">
      <c r="A345" s="185"/>
      <c r="B345" s="185"/>
      <c r="C345" s="185"/>
      <c r="D345" s="185"/>
      <c r="E345" s="203"/>
      <c r="F345" s="203"/>
      <c r="G345" s="185"/>
      <c r="H345" s="185"/>
      <c r="I345" s="185"/>
      <c r="J345" s="185"/>
      <c r="K345" s="185"/>
      <c r="L345" s="185"/>
      <c r="M345" s="185"/>
      <c r="N345" s="185"/>
      <c r="O345" s="185"/>
      <c r="P345" s="185"/>
      <c r="Q345" s="185"/>
      <c r="R345" s="185"/>
      <c r="S345" s="185"/>
      <c r="T345" s="185"/>
      <c r="U345" s="185"/>
      <c r="V345" s="185"/>
      <c r="W345" s="185"/>
      <c r="X345" s="185"/>
      <c r="Y345" s="185"/>
      <c r="Z345" s="185"/>
      <c r="AA345" s="185"/>
      <c r="AB345" s="185" t="str">
        <f>IFERROR(__xludf.DUMMYFUNCTION("LET(width,COLUMN($AB$1)-COLUMN($G$1),r,INDEX($G345:$AAB345,1,SEQUENCE(1,width)),flat,TOCOL(r,1),bad,FILTER(flat,COUNTIF('リスト'!$E:$E,flat)=0),IFERROR(TEXTJOIN(""\n"",TRUE,bad),""""))"),"")</f>
        <v/>
      </c>
      <c r="AC345" s="185"/>
      <c r="AD345" s="185"/>
    </row>
    <row r="346">
      <c r="A346" s="185"/>
      <c r="B346" s="185"/>
      <c r="C346" s="185"/>
      <c r="D346" s="185"/>
      <c r="E346" s="203"/>
      <c r="F346" s="203"/>
      <c r="G346" s="185"/>
      <c r="H346" s="185"/>
      <c r="I346" s="185"/>
      <c r="J346" s="185"/>
      <c r="K346" s="185"/>
      <c r="L346" s="185"/>
      <c r="M346" s="185"/>
      <c r="N346" s="185"/>
      <c r="O346" s="185"/>
      <c r="P346" s="185"/>
      <c r="Q346" s="185"/>
      <c r="R346" s="185"/>
      <c r="S346" s="185"/>
      <c r="T346" s="185"/>
      <c r="U346" s="185"/>
      <c r="V346" s="185"/>
      <c r="W346" s="185"/>
      <c r="X346" s="185"/>
      <c r="Y346" s="185"/>
      <c r="Z346" s="185"/>
      <c r="AA346" s="185"/>
      <c r="AB346" s="185" t="str">
        <f>IFERROR(__xludf.DUMMYFUNCTION("LET(width,COLUMN($AB$1)-COLUMN($G$1),r,INDEX($G346:$AAB346,1,SEQUENCE(1,width)),flat,TOCOL(r,1),bad,FILTER(flat,COUNTIF('リスト'!$E:$E,flat)=0),IFERROR(TEXTJOIN(""\n"",TRUE,bad),""""))"),"")</f>
        <v/>
      </c>
      <c r="AC346" s="185"/>
      <c r="AD346" s="185"/>
    </row>
    <row r="347">
      <c r="A347" s="185"/>
      <c r="B347" s="185"/>
      <c r="C347" s="185"/>
      <c r="D347" s="185"/>
      <c r="E347" s="203"/>
      <c r="F347" s="203"/>
      <c r="G347" s="185"/>
      <c r="H347" s="185"/>
      <c r="I347" s="185"/>
      <c r="J347" s="185"/>
      <c r="K347" s="185"/>
      <c r="L347" s="185"/>
      <c r="M347" s="185"/>
      <c r="N347" s="185"/>
      <c r="O347" s="185"/>
      <c r="P347" s="185"/>
      <c r="Q347" s="185"/>
      <c r="R347" s="185"/>
      <c r="S347" s="185"/>
      <c r="T347" s="185"/>
      <c r="U347" s="185"/>
      <c r="V347" s="185"/>
      <c r="W347" s="185"/>
      <c r="X347" s="185"/>
      <c r="Y347" s="185"/>
      <c r="Z347" s="185"/>
      <c r="AA347" s="185"/>
      <c r="AB347" s="185" t="str">
        <f>IFERROR(__xludf.DUMMYFUNCTION("LET(width,COLUMN($AB$1)-COLUMN($G$1),r,INDEX($G347:$AAB347,1,SEQUENCE(1,width)),flat,TOCOL(r,1),bad,FILTER(flat,COUNTIF('リスト'!$E:$E,flat)=0),IFERROR(TEXTJOIN(""\n"",TRUE,bad),""""))"),"")</f>
        <v/>
      </c>
      <c r="AC347" s="185"/>
      <c r="AD347" s="185"/>
    </row>
    <row r="348">
      <c r="A348" s="185"/>
      <c r="B348" s="185"/>
      <c r="C348" s="185"/>
      <c r="D348" s="185"/>
      <c r="E348" s="203"/>
      <c r="F348" s="203"/>
      <c r="G348" s="185"/>
      <c r="H348" s="185"/>
      <c r="I348" s="185"/>
      <c r="J348" s="185"/>
      <c r="K348" s="185"/>
      <c r="L348" s="185"/>
      <c r="M348" s="185"/>
      <c r="N348" s="185"/>
      <c r="O348" s="185"/>
      <c r="P348" s="185"/>
      <c r="Q348" s="185"/>
      <c r="R348" s="185"/>
      <c r="S348" s="185"/>
      <c r="T348" s="185"/>
      <c r="U348" s="185"/>
      <c r="V348" s="185"/>
      <c r="W348" s="185"/>
      <c r="X348" s="185"/>
      <c r="Y348" s="185"/>
      <c r="Z348" s="185"/>
      <c r="AA348" s="185"/>
      <c r="AB348" s="185" t="str">
        <f>IFERROR(__xludf.DUMMYFUNCTION("LET(width,COLUMN($AB$1)-COLUMN($G$1),r,INDEX($G348:$AAB348,1,SEQUENCE(1,width)),flat,TOCOL(r,1),bad,FILTER(flat,COUNTIF('リスト'!$E:$E,flat)=0),IFERROR(TEXTJOIN(""\n"",TRUE,bad),""""))"),"")</f>
        <v/>
      </c>
      <c r="AC348" s="185"/>
      <c r="AD348" s="185"/>
    </row>
    <row r="349">
      <c r="A349" s="185"/>
      <c r="B349" s="185"/>
      <c r="C349" s="185"/>
      <c r="D349" s="185"/>
      <c r="E349" s="203"/>
      <c r="F349" s="203"/>
      <c r="G349" s="185"/>
      <c r="H349" s="185"/>
      <c r="I349" s="185"/>
      <c r="J349" s="185"/>
      <c r="K349" s="185"/>
      <c r="L349" s="185"/>
      <c r="M349" s="185"/>
      <c r="N349" s="185"/>
      <c r="O349" s="185"/>
      <c r="P349" s="185"/>
      <c r="Q349" s="185"/>
      <c r="R349" s="185"/>
      <c r="S349" s="185"/>
      <c r="T349" s="185"/>
      <c r="U349" s="185"/>
      <c r="V349" s="185"/>
      <c r="W349" s="185"/>
      <c r="X349" s="185"/>
      <c r="Y349" s="185"/>
      <c r="Z349" s="185"/>
      <c r="AA349" s="185"/>
      <c r="AB349" s="185" t="str">
        <f>IFERROR(__xludf.DUMMYFUNCTION("LET(width,COLUMN($AB$1)-COLUMN($G$1),r,INDEX($G349:$AAB349,1,SEQUENCE(1,width)),flat,TOCOL(r,1),bad,FILTER(flat,COUNTIF('リスト'!$E:$E,flat)=0),IFERROR(TEXTJOIN(""\n"",TRUE,bad),""""))"),"")</f>
        <v/>
      </c>
      <c r="AC349" s="185"/>
      <c r="AD349" s="185"/>
    </row>
    <row r="350">
      <c r="A350" s="185"/>
      <c r="B350" s="185"/>
      <c r="C350" s="185"/>
      <c r="D350" s="185"/>
      <c r="E350" s="203"/>
      <c r="F350" s="203"/>
      <c r="G350" s="185"/>
      <c r="H350" s="185"/>
      <c r="I350" s="185"/>
      <c r="J350" s="185"/>
      <c r="K350" s="185"/>
      <c r="L350" s="185"/>
      <c r="M350" s="185"/>
      <c r="N350" s="185"/>
      <c r="O350" s="185"/>
      <c r="P350" s="185"/>
      <c r="Q350" s="185"/>
      <c r="R350" s="185"/>
      <c r="S350" s="185"/>
      <c r="T350" s="185"/>
      <c r="U350" s="185"/>
      <c r="V350" s="185"/>
      <c r="W350" s="185"/>
      <c r="X350" s="185"/>
      <c r="Y350" s="185"/>
      <c r="Z350" s="185"/>
      <c r="AA350" s="185"/>
      <c r="AB350" s="185" t="str">
        <f>IFERROR(__xludf.DUMMYFUNCTION("LET(width,COLUMN($AB$1)-COLUMN($G$1),r,INDEX($G350:$AAB350,1,SEQUENCE(1,width)),flat,TOCOL(r,1),bad,FILTER(flat,COUNTIF('リスト'!$E:$E,flat)=0),IFERROR(TEXTJOIN(""\n"",TRUE,bad),""""))"),"")</f>
        <v/>
      </c>
      <c r="AC350" s="185"/>
      <c r="AD350" s="185"/>
    </row>
    <row r="351">
      <c r="A351" s="185"/>
      <c r="B351" s="185"/>
      <c r="C351" s="185"/>
      <c r="D351" s="185"/>
      <c r="E351" s="203"/>
      <c r="F351" s="203"/>
      <c r="G351" s="185"/>
      <c r="H351" s="185"/>
      <c r="I351" s="185"/>
      <c r="J351" s="185"/>
      <c r="K351" s="185"/>
      <c r="L351" s="185"/>
      <c r="M351" s="185"/>
      <c r="N351" s="185"/>
      <c r="O351" s="185"/>
      <c r="P351" s="185"/>
      <c r="Q351" s="185"/>
      <c r="R351" s="185"/>
      <c r="S351" s="185"/>
      <c r="T351" s="185"/>
      <c r="U351" s="185"/>
      <c r="V351" s="185"/>
      <c r="W351" s="185"/>
      <c r="X351" s="185"/>
      <c r="Y351" s="185"/>
      <c r="Z351" s="185"/>
      <c r="AA351" s="185"/>
      <c r="AB351" s="185" t="str">
        <f>IFERROR(__xludf.DUMMYFUNCTION("LET(width,COLUMN($AB$1)-COLUMN($G$1),r,INDEX($G351:$AAB351,1,SEQUENCE(1,width)),flat,TOCOL(r,1),bad,FILTER(flat,COUNTIF('リスト'!$E:$E,flat)=0),IFERROR(TEXTJOIN(""\n"",TRUE,bad),""""))"),"")</f>
        <v/>
      </c>
      <c r="AC351" s="185"/>
      <c r="AD351" s="185"/>
    </row>
    <row r="352">
      <c r="A352" s="185"/>
      <c r="B352" s="185"/>
      <c r="C352" s="185"/>
      <c r="D352" s="185"/>
      <c r="E352" s="203"/>
      <c r="F352" s="203"/>
      <c r="G352" s="185"/>
      <c r="H352" s="185"/>
      <c r="I352" s="185"/>
      <c r="J352" s="185"/>
      <c r="K352" s="185"/>
      <c r="L352" s="185"/>
      <c r="M352" s="185"/>
      <c r="N352" s="185"/>
      <c r="O352" s="185"/>
      <c r="P352" s="185"/>
      <c r="Q352" s="185"/>
      <c r="R352" s="185"/>
      <c r="S352" s="185"/>
      <c r="T352" s="185"/>
      <c r="U352" s="185"/>
      <c r="V352" s="185"/>
      <c r="W352" s="185"/>
      <c r="X352" s="185"/>
      <c r="Y352" s="185"/>
      <c r="Z352" s="185"/>
      <c r="AA352" s="185"/>
      <c r="AB352" s="185" t="str">
        <f>IFERROR(__xludf.DUMMYFUNCTION("LET(width,COLUMN($AB$1)-COLUMN($G$1),r,INDEX($G352:$AAB352,1,SEQUENCE(1,width)),flat,TOCOL(r,1),bad,FILTER(flat,COUNTIF('リスト'!$E:$E,flat)=0),IFERROR(TEXTJOIN(""\n"",TRUE,bad),""""))"),"")</f>
        <v/>
      </c>
      <c r="AC352" s="185"/>
      <c r="AD352" s="185"/>
    </row>
    <row r="353">
      <c r="A353" s="185"/>
      <c r="B353" s="185"/>
      <c r="C353" s="185"/>
      <c r="D353" s="185"/>
      <c r="E353" s="203"/>
      <c r="F353" s="203"/>
      <c r="G353" s="185"/>
      <c r="H353" s="185"/>
      <c r="I353" s="185"/>
      <c r="J353" s="185"/>
      <c r="K353" s="185"/>
      <c r="L353" s="185"/>
      <c r="M353" s="185"/>
      <c r="N353" s="185"/>
      <c r="O353" s="185"/>
      <c r="P353" s="185"/>
      <c r="Q353" s="185"/>
      <c r="R353" s="185"/>
      <c r="S353" s="185"/>
      <c r="T353" s="185"/>
      <c r="U353" s="185"/>
      <c r="V353" s="185"/>
      <c r="W353" s="185"/>
      <c r="X353" s="185"/>
      <c r="Y353" s="185"/>
      <c r="Z353" s="185"/>
      <c r="AA353" s="185"/>
      <c r="AB353" s="185" t="str">
        <f>IFERROR(__xludf.DUMMYFUNCTION("LET(width,COLUMN($AB$1)-COLUMN($G$1),r,INDEX($G353:$AAB353,1,SEQUENCE(1,width)),flat,TOCOL(r,1),bad,FILTER(flat,COUNTIF('リスト'!$E:$E,flat)=0),IFERROR(TEXTJOIN(""\n"",TRUE,bad),""""))"),"")</f>
        <v/>
      </c>
      <c r="AC353" s="185"/>
      <c r="AD353" s="185"/>
    </row>
    <row r="354">
      <c r="A354" s="185"/>
      <c r="B354" s="185"/>
      <c r="C354" s="185"/>
      <c r="D354" s="185"/>
      <c r="E354" s="203"/>
      <c r="F354" s="203"/>
      <c r="G354" s="185"/>
      <c r="H354" s="185"/>
      <c r="I354" s="185"/>
      <c r="J354" s="185"/>
      <c r="K354" s="185"/>
      <c r="L354" s="185"/>
      <c r="M354" s="185"/>
      <c r="N354" s="185"/>
      <c r="O354" s="185"/>
      <c r="P354" s="185"/>
      <c r="Q354" s="185"/>
      <c r="R354" s="185"/>
      <c r="S354" s="185"/>
      <c r="T354" s="185"/>
      <c r="U354" s="185"/>
      <c r="V354" s="185"/>
      <c r="W354" s="185"/>
      <c r="X354" s="185"/>
      <c r="Y354" s="185"/>
      <c r="Z354" s="185"/>
      <c r="AA354" s="185"/>
      <c r="AB354" s="185" t="str">
        <f>IFERROR(__xludf.DUMMYFUNCTION("LET(width,COLUMN($AB$1)-COLUMN($G$1),r,INDEX($G354:$AAB354,1,SEQUENCE(1,width)),flat,TOCOL(r,1),bad,FILTER(flat,COUNTIF('リスト'!$E:$E,flat)=0),IFERROR(TEXTJOIN(""\n"",TRUE,bad),""""))"),"")</f>
        <v/>
      </c>
      <c r="AC354" s="185"/>
      <c r="AD354" s="185"/>
    </row>
    <row r="355">
      <c r="A355" s="185"/>
      <c r="B355" s="185"/>
      <c r="C355" s="185"/>
      <c r="D355" s="185"/>
      <c r="E355" s="203"/>
      <c r="F355" s="203"/>
      <c r="G355" s="185"/>
      <c r="H355" s="185"/>
      <c r="I355" s="185"/>
      <c r="J355" s="185"/>
      <c r="K355" s="185"/>
      <c r="L355" s="185"/>
      <c r="M355" s="185"/>
      <c r="N355" s="185"/>
      <c r="O355" s="185"/>
      <c r="P355" s="185"/>
      <c r="Q355" s="185"/>
      <c r="R355" s="185"/>
      <c r="S355" s="185"/>
      <c r="T355" s="185"/>
      <c r="U355" s="185"/>
      <c r="V355" s="185"/>
      <c r="W355" s="185"/>
      <c r="X355" s="185"/>
      <c r="Y355" s="185"/>
      <c r="Z355" s="185"/>
      <c r="AA355" s="185"/>
      <c r="AB355" s="185" t="str">
        <f>IFERROR(__xludf.DUMMYFUNCTION("LET(width,COLUMN($AB$1)-COLUMN($G$1),r,INDEX($G355:$AAB355,1,SEQUENCE(1,width)),flat,TOCOL(r,1),bad,FILTER(flat,COUNTIF('リスト'!$E:$E,flat)=0),IFERROR(TEXTJOIN(""\n"",TRUE,bad),""""))"),"")</f>
        <v/>
      </c>
      <c r="AC355" s="185"/>
      <c r="AD355" s="185"/>
    </row>
    <row r="356">
      <c r="A356" s="185"/>
      <c r="B356" s="185"/>
      <c r="C356" s="185"/>
      <c r="D356" s="185"/>
      <c r="E356" s="203"/>
      <c r="F356" s="203"/>
      <c r="G356" s="185"/>
      <c r="H356" s="185"/>
      <c r="I356" s="185"/>
      <c r="J356" s="185"/>
      <c r="K356" s="185"/>
      <c r="L356" s="185"/>
      <c r="M356" s="185"/>
      <c r="N356" s="185"/>
      <c r="O356" s="185"/>
      <c r="P356" s="185"/>
      <c r="Q356" s="185"/>
      <c r="R356" s="185"/>
      <c r="S356" s="185"/>
      <c r="T356" s="185"/>
      <c r="U356" s="185"/>
      <c r="V356" s="185"/>
      <c r="W356" s="185"/>
      <c r="X356" s="185"/>
      <c r="Y356" s="185"/>
      <c r="Z356" s="185"/>
      <c r="AA356" s="185"/>
      <c r="AB356" s="185" t="str">
        <f>IFERROR(__xludf.DUMMYFUNCTION("LET(width,COLUMN($AB$1)-COLUMN($G$1),r,INDEX($G356:$AAB356,1,SEQUENCE(1,width)),flat,TOCOL(r,1),bad,FILTER(flat,COUNTIF('リスト'!$E:$E,flat)=0),IFERROR(TEXTJOIN(""\n"",TRUE,bad),""""))"),"")</f>
        <v/>
      </c>
      <c r="AC356" s="185"/>
      <c r="AD356" s="185"/>
    </row>
    <row r="357">
      <c r="A357" s="185"/>
      <c r="B357" s="185"/>
      <c r="C357" s="185"/>
      <c r="D357" s="185"/>
      <c r="E357" s="203"/>
      <c r="F357" s="203"/>
      <c r="G357" s="185"/>
      <c r="H357" s="185"/>
      <c r="I357" s="185"/>
      <c r="J357" s="185"/>
      <c r="K357" s="185"/>
      <c r="L357" s="185"/>
      <c r="M357" s="185"/>
      <c r="N357" s="185"/>
      <c r="O357" s="185"/>
      <c r="P357" s="185"/>
      <c r="Q357" s="185"/>
      <c r="R357" s="185"/>
      <c r="S357" s="185"/>
      <c r="T357" s="185"/>
      <c r="U357" s="185"/>
      <c r="V357" s="185"/>
      <c r="W357" s="185"/>
      <c r="X357" s="185"/>
      <c r="Y357" s="185"/>
      <c r="Z357" s="185"/>
      <c r="AA357" s="185"/>
      <c r="AB357" s="185" t="str">
        <f>IFERROR(__xludf.DUMMYFUNCTION("LET(width,COLUMN($AB$1)-COLUMN($G$1),r,INDEX($G357:$AAB357,1,SEQUENCE(1,width)),flat,TOCOL(r,1),bad,FILTER(flat,COUNTIF('リスト'!$E:$E,flat)=0),IFERROR(TEXTJOIN(""\n"",TRUE,bad),""""))"),"")</f>
        <v/>
      </c>
      <c r="AC357" s="185"/>
      <c r="AD357" s="185"/>
    </row>
    <row r="358">
      <c r="A358" s="185"/>
      <c r="B358" s="185"/>
      <c r="C358" s="185"/>
      <c r="D358" s="185"/>
      <c r="E358" s="203"/>
      <c r="F358" s="203"/>
      <c r="G358" s="185"/>
      <c r="H358" s="185"/>
      <c r="I358" s="185"/>
      <c r="J358" s="185"/>
      <c r="K358" s="185"/>
      <c r="L358" s="185"/>
      <c r="M358" s="185"/>
      <c r="N358" s="185"/>
      <c r="O358" s="185"/>
      <c r="P358" s="185"/>
      <c r="Q358" s="185"/>
      <c r="R358" s="185"/>
      <c r="S358" s="185"/>
      <c r="T358" s="185"/>
      <c r="U358" s="185"/>
      <c r="V358" s="185"/>
      <c r="W358" s="185"/>
      <c r="X358" s="185"/>
      <c r="Y358" s="185"/>
      <c r="Z358" s="185"/>
      <c r="AA358" s="185"/>
      <c r="AB358" s="185" t="str">
        <f>IFERROR(__xludf.DUMMYFUNCTION("LET(width,COLUMN($AB$1)-COLUMN($G$1),r,INDEX($G358:$AAB358,1,SEQUENCE(1,width)),flat,TOCOL(r,1),bad,FILTER(flat,COUNTIF('リスト'!$E:$E,flat)=0),IFERROR(TEXTJOIN(""\n"",TRUE,bad),""""))"),"")</f>
        <v/>
      </c>
      <c r="AC358" s="185"/>
      <c r="AD358" s="185"/>
    </row>
    <row r="359">
      <c r="A359" s="185"/>
      <c r="B359" s="185"/>
      <c r="C359" s="185"/>
      <c r="D359" s="185"/>
      <c r="E359" s="203"/>
      <c r="F359" s="203"/>
      <c r="G359" s="185"/>
      <c r="H359" s="185"/>
      <c r="I359" s="185"/>
      <c r="J359" s="185"/>
      <c r="K359" s="185"/>
      <c r="L359" s="185"/>
      <c r="M359" s="185"/>
      <c r="N359" s="185"/>
      <c r="O359" s="185"/>
      <c r="P359" s="185"/>
      <c r="Q359" s="185"/>
      <c r="R359" s="185"/>
      <c r="S359" s="185"/>
      <c r="T359" s="185"/>
      <c r="U359" s="185"/>
      <c r="V359" s="185"/>
      <c r="W359" s="185"/>
      <c r="X359" s="185"/>
      <c r="Y359" s="185"/>
      <c r="Z359" s="185"/>
      <c r="AA359" s="185"/>
      <c r="AB359" s="185" t="str">
        <f>IFERROR(__xludf.DUMMYFUNCTION("LET(width,COLUMN($AB$1)-COLUMN($G$1),r,INDEX($G359:$AAB359,1,SEQUENCE(1,width)),flat,TOCOL(r,1),bad,FILTER(flat,COUNTIF('リスト'!$E:$E,flat)=0),IFERROR(TEXTJOIN(""\n"",TRUE,bad),""""))"),"")</f>
        <v/>
      </c>
      <c r="AC359" s="185"/>
      <c r="AD359" s="185"/>
    </row>
    <row r="360">
      <c r="A360" s="185"/>
      <c r="B360" s="185"/>
      <c r="C360" s="185"/>
      <c r="D360" s="185"/>
      <c r="E360" s="203"/>
      <c r="F360" s="203"/>
      <c r="G360" s="185"/>
      <c r="H360" s="185"/>
      <c r="I360" s="185"/>
      <c r="J360" s="185"/>
      <c r="K360" s="185"/>
      <c r="L360" s="185"/>
      <c r="M360" s="185"/>
      <c r="N360" s="185"/>
      <c r="O360" s="185"/>
      <c r="P360" s="185"/>
      <c r="Q360" s="185"/>
      <c r="R360" s="185"/>
      <c r="S360" s="185"/>
      <c r="T360" s="185"/>
      <c r="U360" s="185"/>
      <c r="V360" s="185"/>
      <c r="W360" s="185"/>
      <c r="X360" s="185"/>
      <c r="Y360" s="185"/>
      <c r="Z360" s="185"/>
      <c r="AA360" s="185"/>
      <c r="AB360" s="185" t="str">
        <f>IFERROR(__xludf.DUMMYFUNCTION("LET(width,COLUMN($AB$1)-COLUMN($G$1),r,INDEX($G360:$AAB360,1,SEQUENCE(1,width)),flat,TOCOL(r,1),bad,FILTER(flat,COUNTIF('リスト'!$E:$E,flat)=0),IFERROR(TEXTJOIN(""\n"",TRUE,bad),""""))"),"")</f>
        <v/>
      </c>
      <c r="AC360" s="185"/>
      <c r="AD360" s="185"/>
    </row>
    <row r="361">
      <c r="A361" s="185"/>
      <c r="B361" s="185"/>
      <c r="C361" s="185"/>
      <c r="D361" s="185"/>
      <c r="E361" s="203"/>
      <c r="F361" s="203"/>
      <c r="G361" s="185"/>
      <c r="H361" s="185"/>
      <c r="I361" s="185"/>
      <c r="J361" s="185"/>
      <c r="K361" s="185"/>
      <c r="L361" s="185"/>
      <c r="M361" s="185"/>
      <c r="N361" s="185"/>
      <c r="O361" s="185"/>
      <c r="P361" s="185"/>
      <c r="Q361" s="185"/>
      <c r="R361" s="185"/>
      <c r="S361" s="185"/>
      <c r="T361" s="185"/>
      <c r="U361" s="185"/>
      <c r="V361" s="185"/>
      <c r="W361" s="185"/>
      <c r="X361" s="185"/>
      <c r="Y361" s="185"/>
      <c r="Z361" s="185"/>
      <c r="AA361" s="185"/>
      <c r="AB361" s="185" t="str">
        <f>IFERROR(__xludf.DUMMYFUNCTION("LET(width,COLUMN($AB$1)-COLUMN($G$1),r,INDEX($G361:$AAB361,1,SEQUENCE(1,width)),flat,TOCOL(r,1),bad,FILTER(flat,COUNTIF('リスト'!$E:$E,flat)=0),IFERROR(TEXTJOIN(""\n"",TRUE,bad),""""))"),"")</f>
        <v/>
      </c>
      <c r="AC361" s="185"/>
      <c r="AD361" s="185"/>
    </row>
    <row r="362">
      <c r="A362" s="185"/>
      <c r="B362" s="185"/>
      <c r="C362" s="185"/>
      <c r="D362" s="185"/>
      <c r="E362" s="203"/>
      <c r="F362" s="203"/>
      <c r="G362" s="185"/>
      <c r="H362" s="185"/>
      <c r="I362" s="185"/>
      <c r="J362" s="185"/>
      <c r="K362" s="185"/>
      <c r="L362" s="185"/>
      <c r="M362" s="185"/>
      <c r="N362" s="185"/>
      <c r="O362" s="185"/>
      <c r="P362" s="185"/>
      <c r="Q362" s="185"/>
      <c r="R362" s="185"/>
      <c r="S362" s="185"/>
      <c r="T362" s="185"/>
      <c r="U362" s="185"/>
      <c r="V362" s="185"/>
      <c r="W362" s="185"/>
      <c r="X362" s="185"/>
      <c r="Y362" s="185"/>
      <c r="Z362" s="185"/>
      <c r="AA362" s="185"/>
      <c r="AB362" s="185" t="str">
        <f>IFERROR(__xludf.DUMMYFUNCTION("LET(width,COLUMN($AB$1)-COLUMN($G$1),r,INDEX($G362:$AAB362,1,SEQUENCE(1,width)),flat,TOCOL(r,1),bad,FILTER(flat,COUNTIF('リスト'!$E:$E,flat)=0),IFERROR(TEXTJOIN(""\n"",TRUE,bad),""""))"),"")</f>
        <v/>
      </c>
      <c r="AC362" s="185"/>
      <c r="AD362" s="185"/>
    </row>
    <row r="363">
      <c r="A363" s="185"/>
      <c r="B363" s="185"/>
      <c r="C363" s="185"/>
      <c r="D363" s="185"/>
      <c r="E363" s="203"/>
      <c r="F363" s="203"/>
      <c r="G363" s="185"/>
      <c r="H363" s="185"/>
      <c r="I363" s="185"/>
      <c r="J363" s="185"/>
      <c r="K363" s="185"/>
      <c r="L363" s="185"/>
      <c r="M363" s="185"/>
      <c r="N363" s="185"/>
      <c r="O363" s="185"/>
      <c r="P363" s="185"/>
      <c r="Q363" s="185"/>
      <c r="R363" s="185"/>
      <c r="S363" s="185"/>
      <c r="T363" s="185"/>
      <c r="U363" s="185"/>
      <c r="V363" s="185"/>
      <c r="W363" s="185"/>
      <c r="X363" s="185"/>
      <c r="Y363" s="185"/>
      <c r="Z363" s="185"/>
      <c r="AA363" s="185"/>
      <c r="AB363" s="185" t="str">
        <f>IFERROR(__xludf.DUMMYFUNCTION("LET(width,COLUMN($AB$1)-COLUMN($G$1),r,INDEX($G363:$AAB363,1,SEQUENCE(1,width)),flat,TOCOL(r,1),bad,FILTER(flat,COUNTIF('リスト'!$E:$E,flat)=0),IFERROR(TEXTJOIN(""\n"",TRUE,bad),""""))"),"")</f>
        <v/>
      </c>
      <c r="AC363" s="185"/>
      <c r="AD363" s="185"/>
    </row>
    <row r="364">
      <c r="A364" s="185"/>
      <c r="B364" s="185"/>
      <c r="C364" s="185"/>
      <c r="D364" s="185"/>
      <c r="E364" s="203"/>
      <c r="F364" s="203"/>
      <c r="G364" s="185"/>
      <c r="H364" s="185"/>
      <c r="I364" s="185"/>
      <c r="J364" s="185"/>
      <c r="K364" s="185"/>
      <c r="L364" s="185"/>
      <c r="M364" s="185"/>
      <c r="N364" s="185"/>
      <c r="O364" s="185"/>
      <c r="P364" s="185"/>
      <c r="Q364" s="185"/>
      <c r="R364" s="185"/>
      <c r="S364" s="185"/>
      <c r="T364" s="185"/>
      <c r="U364" s="185"/>
      <c r="V364" s="185"/>
      <c r="W364" s="185"/>
      <c r="X364" s="185"/>
      <c r="Y364" s="185"/>
      <c r="Z364" s="185"/>
      <c r="AA364" s="185"/>
      <c r="AB364" s="185" t="str">
        <f>IFERROR(__xludf.DUMMYFUNCTION("LET(width,COLUMN($AB$1)-COLUMN($G$1),r,INDEX($G364:$AAB364,1,SEQUENCE(1,width)),flat,TOCOL(r,1),bad,FILTER(flat,COUNTIF('リスト'!$E:$E,flat)=0),IFERROR(TEXTJOIN(""\n"",TRUE,bad),""""))"),"")</f>
        <v/>
      </c>
      <c r="AC364" s="185"/>
      <c r="AD364" s="185"/>
    </row>
    <row r="365">
      <c r="A365" s="185"/>
      <c r="B365" s="185"/>
      <c r="C365" s="185"/>
      <c r="D365" s="185"/>
      <c r="E365" s="203"/>
      <c r="F365" s="203"/>
      <c r="G365" s="185"/>
      <c r="H365" s="185"/>
      <c r="I365" s="185"/>
      <c r="J365" s="185"/>
      <c r="K365" s="185"/>
      <c r="L365" s="185"/>
      <c r="M365" s="185"/>
      <c r="N365" s="185"/>
      <c r="O365" s="185"/>
      <c r="P365" s="185"/>
      <c r="Q365" s="185"/>
      <c r="R365" s="185"/>
      <c r="S365" s="185"/>
      <c r="T365" s="185"/>
      <c r="U365" s="185"/>
      <c r="V365" s="185"/>
      <c r="W365" s="185"/>
      <c r="X365" s="185"/>
      <c r="Y365" s="185"/>
      <c r="Z365" s="185"/>
      <c r="AA365" s="185"/>
      <c r="AB365" s="185" t="str">
        <f>IFERROR(__xludf.DUMMYFUNCTION("LET(width,COLUMN($AB$1)-COLUMN($G$1),r,INDEX($G365:$AAB365,1,SEQUENCE(1,width)),flat,TOCOL(r,1),bad,FILTER(flat,COUNTIF('リスト'!$E:$E,flat)=0),IFERROR(TEXTJOIN(""\n"",TRUE,bad),""""))"),"")</f>
        <v/>
      </c>
      <c r="AC365" s="185"/>
      <c r="AD365" s="185"/>
    </row>
    <row r="366">
      <c r="A366" s="185"/>
      <c r="B366" s="185"/>
      <c r="C366" s="185"/>
      <c r="D366" s="185"/>
      <c r="E366" s="203"/>
      <c r="F366" s="203"/>
      <c r="G366" s="185"/>
      <c r="H366" s="185"/>
      <c r="I366" s="185"/>
      <c r="J366" s="185"/>
      <c r="K366" s="185"/>
      <c r="L366" s="185"/>
      <c r="M366" s="185"/>
      <c r="N366" s="185"/>
      <c r="O366" s="185"/>
      <c r="P366" s="185"/>
      <c r="Q366" s="185"/>
      <c r="R366" s="185"/>
      <c r="S366" s="185"/>
      <c r="T366" s="185"/>
      <c r="U366" s="185"/>
      <c r="V366" s="185"/>
      <c r="W366" s="185"/>
      <c r="X366" s="185"/>
      <c r="Y366" s="185"/>
      <c r="Z366" s="185"/>
      <c r="AA366" s="185"/>
      <c r="AB366" s="185" t="str">
        <f>IFERROR(__xludf.DUMMYFUNCTION("LET(width,COLUMN($AB$1)-COLUMN($G$1),r,INDEX($G366:$AAB366,1,SEQUENCE(1,width)),flat,TOCOL(r,1),bad,FILTER(flat,COUNTIF('リスト'!$E:$E,flat)=0),IFERROR(TEXTJOIN(""\n"",TRUE,bad),""""))"),"")</f>
        <v/>
      </c>
      <c r="AC366" s="185"/>
      <c r="AD366" s="185"/>
    </row>
    <row r="367">
      <c r="A367" s="185"/>
      <c r="B367" s="185"/>
      <c r="C367" s="185"/>
      <c r="D367" s="185"/>
      <c r="E367" s="203"/>
      <c r="F367" s="203"/>
      <c r="G367" s="185"/>
      <c r="H367" s="185"/>
      <c r="I367" s="185"/>
      <c r="J367" s="185"/>
      <c r="K367" s="185"/>
      <c r="L367" s="185"/>
      <c r="M367" s="185"/>
      <c r="N367" s="185"/>
      <c r="O367" s="185"/>
      <c r="P367" s="185"/>
      <c r="Q367" s="185"/>
      <c r="R367" s="185"/>
      <c r="S367" s="185"/>
      <c r="T367" s="185"/>
      <c r="U367" s="185"/>
      <c r="V367" s="185"/>
      <c r="W367" s="185"/>
      <c r="X367" s="185"/>
      <c r="Y367" s="185"/>
      <c r="Z367" s="185"/>
      <c r="AA367" s="185"/>
      <c r="AB367" s="185" t="str">
        <f>IFERROR(__xludf.DUMMYFUNCTION("LET(width,COLUMN($AB$1)-COLUMN($G$1),r,INDEX($G367:$AAB367,1,SEQUENCE(1,width)),flat,TOCOL(r,1),bad,FILTER(flat,COUNTIF('リスト'!$E:$E,flat)=0),IFERROR(TEXTJOIN(""\n"",TRUE,bad),""""))"),"")</f>
        <v/>
      </c>
      <c r="AC367" s="185"/>
      <c r="AD367" s="185"/>
    </row>
    <row r="368">
      <c r="A368" s="185"/>
      <c r="B368" s="185"/>
      <c r="C368" s="185"/>
      <c r="D368" s="185"/>
      <c r="E368" s="203"/>
      <c r="F368" s="203"/>
      <c r="G368" s="185"/>
      <c r="H368" s="185"/>
      <c r="I368" s="185"/>
      <c r="J368" s="185"/>
      <c r="K368" s="185"/>
      <c r="L368" s="185"/>
      <c r="M368" s="185"/>
      <c r="N368" s="185"/>
      <c r="O368" s="185"/>
      <c r="P368" s="185"/>
      <c r="Q368" s="185"/>
      <c r="R368" s="185"/>
      <c r="S368" s="185"/>
      <c r="T368" s="185"/>
      <c r="U368" s="185"/>
      <c r="V368" s="185"/>
      <c r="W368" s="185"/>
      <c r="X368" s="185"/>
      <c r="Y368" s="185"/>
      <c r="Z368" s="185"/>
      <c r="AA368" s="185"/>
      <c r="AB368" s="185" t="str">
        <f>IFERROR(__xludf.DUMMYFUNCTION("LET(width,COLUMN($AB$1)-COLUMN($G$1),r,INDEX($G368:$AAB368,1,SEQUENCE(1,width)),flat,TOCOL(r,1),bad,FILTER(flat,COUNTIF('リスト'!$E:$E,flat)=0),IFERROR(TEXTJOIN(""\n"",TRUE,bad),""""))"),"")</f>
        <v/>
      </c>
      <c r="AC368" s="185"/>
      <c r="AD368" s="185"/>
    </row>
    <row r="369">
      <c r="A369" s="185"/>
      <c r="B369" s="185"/>
      <c r="C369" s="185"/>
      <c r="D369" s="185"/>
      <c r="E369" s="203"/>
      <c r="F369" s="203"/>
      <c r="G369" s="185"/>
      <c r="H369" s="185"/>
      <c r="I369" s="185"/>
      <c r="J369" s="185"/>
      <c r="K369" s="185"/>
      <c r="L369" s="185"/>
      <c r="M369" s="185"/>
      <c r="N369" s="185"/>
      <c r="O369" s="185"/>
      <c r="P369" s="185"/>
      <c r="Q369" s="185"/>
      <c r="R369" s="185"/>
      <c r="S369" s="185"/>
      <c r="T369" s="185"/>
      <c r="U369" s="185"/>
      <c r="V369" s="185"/>
      <c r="W369" s="185"/>
      <c r="X369" s="185"/>
      <c r="Y369" s="185"/>
      <c r="Z369" s="185"/>
      <c r="AA369" s="185"/>
      <c r="AB369" s="185" t="str">
        <f>IFERROR(__xludf.DUMMYFUNCTION("LET(width,COLUMN($AB$1)-COLUMN($G$1),r,INDEX($G369:$AAB369,1,SEQUENCE(1,width)),flat,TOCOL(r,1),bad,FILTER(flat,COUNTIF('リスト'!$E:$E,flat)=0),IFERROR(TEXTJOIN(""\n"",TRUE,bad),""""))"),"")</f>
        <v/>
      </c>
      <c r="AC369" s="185"/>
      <c r="AD369" s="185"/>
    </row>
    <row r="370">
      <c r="A370" s="185"/>
      <c r="B370" s="185"/>
      <c r="C370" s="185"/>
      <c r="D370" s="185"/>
      <c r="E370" s="203"/>
      <c r="F370" s="203"/>
      <c r="G370" s="185"/>
      <c r="H370" s="185"/>
      <c r="I370" s="185"/>
      <c r="J370" s="185"/>
      <c r="K370" s="185"/>
      <c r="L370" s="185"/>
      <c r="M370" s="185"/>
      <c r="N370" s="185"/>
      <c r="O370" s="185"/>
      <c r="P370" s="185"/>
      <c r="Q370" s="185"/>
      <c r="R370" s="185"/>
      <c r="S370" s="185"/>
      <c r="T370" s="185"/>
      <c r="U370" s="185"/>
      <c r="V370" s="185"/>
      <c r="W370" s="185"/>
      <c r="X370" s="185"/>
      <c r="Y370" s="185"/>
      <c r="Z370" s="185"/>
      <c r="AA370" s="185"/>
      <c r="AB370" s="185" t="str">
        <f>IFERROR(__xludf.DUMMYFUNCTION("LET(width,COLUMN($AB$1)-COLUMN($G$1),r,INDEX($G370:$AAB370,1,SEQUENCE(1,width)),flat,TOCOL(r,1),bad,FILTER(flat,COUNTIF('リスト'!$E:$E,flat)=0),IFERROR(TEXTJOIN(""\n"",TRUE,bad),""""))"),"")</f>
        <v/>
      </c>
      <c r="AC370" s="185"/>
      <c r="AD370" s="185"/>
    </row>
    <row r="371">
      <c r="A371" s="185"/>
      <c r="B371" s="185"/>
      <c r="C371" s="185"/>
      <c r="D371" s="185"/>
      <c r="E371" s="203"/>
      <c r="F371" s="203"/>
      <c r="G371" s="185"/>
      <c r="H371" s="185"/>
      <c r="I371" s="185"/>
      <c r="J371" s="185"/>
      <c r="K371" s="185"/>
      <c r="L371" s="185"/>
      <c r="M371" s="185"/>
      <c r="N371" s="185"/>
      <c r="O371" s="185"/>
      <c r="P371" s="185"/>
      <c r="Q371" s="185"/>
      <c r="R371" s="185"/>
      <c r="S371" s="185"/>
      <c r="T371" s="185"/>
      <c r="U371" s="185"/>
      <c r="V371" s="185"/>
      <c r="W371" s="185"/>
      <c r="X371" s="185"/>
      <c r="Y371" s="185"/>
      <c r="Z371" s="185"/>
      <c r="AA371" s="185"/>
      <c r="AB371" s="185" t="str">
        <f>IFERROR(__xludf.DUMMYFUNCTION("LET(width,COLUMN($AB$1)-COLUMN($G$1),r,INDEX($G371:$AAB371,1,SEQUENCE(1,width)),flat,TOCOL(r,1),bad,FILTER(flat,COUNTIF('リスト'!$E:$E,flat)=0),IFERROR(TEXTJOIN(""\n"",TRUE,bad),""""))"),"")</f>
        <v/>
      </c>
      <c r="AC371" s="185"/>
      <c r="AD371" s="185"/>
    </row>
    <row r="372">
      <c r="A372" s="185"/>
      <c r="B372" s="185"/>
      <c r="C372" s="185"/>
      <c r="D372" s="185"/>
      <c r="E372" s="203"/>
      <c r="F372" s="203"/>
      <c r="G372" s="185"/>
      <c r="H372" s="185"/>
      <c r="I372" s="185"/>
      <c r="J372" s="185"/>
      <c r="K372" s="185"/>
      <c r="L372" s="185"/>
      <c r="M372" s="185"/>
      <c r="N372" s="185"/>
      <c r="O372" s="185"/>
      <c r="P372" s="185"/>
      <c r="Q372" s="185"/>
      <c r="R372" s="185"/>
      <c r="S372" s="185"/>
      <c r="T372" s="185"/>
      <c r="U372" s="185"/>
      <c r="V372" s="185"/>
      <c r="W372" s="185"/>
      <c r="X372" s="185"/>
      <c r="Y372" s="185"/>
      <c r="Z372" s="185"/>
      <c r="AA372" s="185"/>
      <c r="AB372" s="185" t="str">
        <f>IFERROR(__xludf.DUMMYFUNCTION("LET(width,COLUMN($AB$1)-COLUMN($G$1),r,INDEX($G372:$AAB372,1,SEQUENCE(1,width)),flat,TOCOL(r,1),bad,FILTER(flat,COUNTIF('リスト'!$E:$E,flat)=0),IFERROR(TEXTJOIN(""\n"",TRUE,bad),""""))"),"")</f>
        <v/>
      </c>
      <c r="AC372" s="185"/>
      <c r="AD372" s="185"/>
    </row>
    <row r="373">
      <c r="A373" s="185"/>
      <c r="B373" s="185"/>
      <c r="C373" s="185"/>
      <c r="D373" s="185"/>
      <c r="E373" s="203"/>
      <c r="F373" s="203"/>
      <c r="G373" s="185"/>
      <c r="H373" s="185"/>
      <c r="I373" s="185"/>
      <c r="J373" s="185"/>
      <c r="K373" s="185"/>
      <c r="L373" s="185"/>
      <c r="M373" s="185"/>
      <c r="N373" s="185"/>
      <c r="O373" s="185"/>
      <c r="P373" s="185"/>
      <c r="Q373" s="185"/>
      <c r="R373" s="185"/>
      <c r="S373" s="185"/>
      <c r="T373" s="185"/>
      <c r="U373" s="185"/>
      <c r="V373" s="185"/>
      <c r="W373" s="185"/>
      <c r="X373" s="185"/>
      <c r="Y373" s="185"/>
      <c r="Z373" s="185"/>
      <c r="AA373" s="185"/>
      <c r="AB373" s="185" t="str">
        <f>IFERROR(__xludf.DUMMYFUNCTION("LET(width,COLUMN($AB$1)-COLUMN($G$1),r,INDEX($G373:$AAB373,1,SEQUENCE(1,width)),flat,TOCOL(r,1),bad,FILTER(flat,COUNTIF('リスト'!$E:$E,flat)=0),IFERROR(TEXTJOIN(""\n"",TRUE,bad),""""))"),"")</f>
        <v/>
      </c>
      <c r="AC373" s="185"/>
      <c r="AD373" s="185"/>
    </row>
    <row r="374">
      <c r="A374" s="185"/>
      <c r="B374" s="185"/>
      <c r="C374" s="185"/>
      <c r="D374" s="185"/>
      <c r="E374" s="203"/>
      <c r="F374" s="203"/>
      <c r="G374" s="185"/>
      <c r="H374" s="185"/>
      <c r="I374" s="185"/>
      <c r="J374" s="185"/>
      <c r="K374" s="185"/>
      <c r="L374" s="185"/>
      <c r="M374" s="185"/>
      <c r="N374" s="185"/>
      <c r="O374" s="185"/>
      <c r="P374" s="185"/>
      <c r="Q374" s="185"/>
      <c r="R374" s="185"/>
      <c r="S374" s="185"/>
      <c r="T374" s="185"/>
      <c r="U374" s="185"/>
      <c r="V374" s="185"/>
      <c r="W374" s="185"/>
      <c r="X374" s="185"/>
      <c r="Y374" s="185"/>
      <c r="Z374" s="185"/>
      <c r="AA374" s="185"/>
      <c r="AB374" s="185" t="str">
        <f>IFERROR(__xludf.DUMMYFUNCTION("LET(width,COLUMN($AB$1)-COLUMN($G$1),r,INDEX($G374:$AAB374,1,SEQUENCE(1,width)),flat,TOCOL(r,1),bad,FILTER(flat,COUNTIF('リスト'!$E:$E,flat)=0),IFERROR(TEXTJOIN(""\n"",TRUE,bad),""""))"),"")</f>
        <v/>
      </c>
      <c r="AC374" s="185"/>
      <c r="AD374" s="185"/>
    </row>
    <row r="375">
      <c r="A375" s="185"/>
      <c r="B375" s="185"/>
      <c r="C375" s="185"/>
      <c r="D375" s="185"/>
      <c r="E375" s="203"/>
      <c r="F375" s="203"/>
      <c r="G375" s="185"/>
      <c r="H375" s="185"/>
      <c r="I375" s="185"/>
      <c r="J375" s="185"/>
      <c r="K375" s="185"/>
      <c r="L375" s="185"/>
      <c r="M375" s="185"/>
      <c r="N375" s="185"/>
      <c r="O375" s="185"/>
      <c r="P375" s="185"/>
      <c r="Q375" s="185"/>
      <c r="R375" s="185"/>
      <c r="S375" s="185"/>
      <c r="T375" s="185"/>
      <c r="U375" s="185"/>
      <c r="V375" s="185"/>
      <c r="W375" s="185"/>
      <c r="X375" s="185"/>
      <c r="Y375" s="185"/>
      <c r="Z375" s="185"/>
      <c r="AA375" s="185"/>
      <c r="AB375" s="185" t="str">
        <f>IFERROR(__xludf.DUMMYFUNCTION("LET(width,COLUMN($AB$1)-COLUMN($G$1),r,INDEX($G375:$AAB375,1,SEQUENCE(1,width)),flat,TOCOL(r,1),bad,FILTER(flat,COUNTIF('リスト'!$E:$E,flat)=0),IFERROR(TEXTJOIN(""\n"",TRUE,bad),""""))"),"")</f>
        <v/>
      </c>
      <c r="AC375" s="185"/>
      <c r="AD375" s="185"/>
    </row>
    <row r="376">
      <c r="A376" s="185"/>
      <c r="B376" s="185"/>
      <c r="C376" s="185"/>
      <c r="D376" s="185"/>
      <c r="E376" s="203"/>
      <c r="F376" s="203"/>
      <c r="G376" s="185"/>
      <c r="H376" s="185"/>
      <c r="I376" s="185"/>
      <c r="J376" s="185"/>
      <c r="K376" s="185"/>
      <c r="L376" s="185"/>
      <c r="M376" s="185"/>
      <c r="N376" s="185"/>
      <c r="O376" s="185"/>
      <c r="P376" s="185"/>
      <c r="Q376" s="185"/>
      <c r="R376" s="185"/>
      <c r="S376" s="185"/>
      <c r="T376" s="185"/>
      <c r="U376" s="185"/>
      <c r="V376" s="185"/>
      <c r="W376" s="185"/>
      <c r="X376" s="185"/>
      <c r="Y376" s="185"/>
      <c r="Z376" s="185"/>
      <c r="AA376" s="185"/>
      <c r="AB376" s="185" t="str">
        <f>IFERROR(__xludf.DUMMYFUNCTION("LET(width,COLUMN($AB$1)-COLUMN($G$1),r,INDEX($G376:$AAB376,1,SEQUENCE(1,width)),flat,TOCOL(r,1),bad,FILTER(flat,COUNTIF('リスト'!$E:$E,flat)=0),IFERROR(TEXTJOIN(""\n"",TRUE,bad),""""))"),"")</f>
        <v/>
      </c>
      <c r="AC376" s="185"/>
      <c r="AD376" s="185"/>
    </row>
    <row r="377">
      <c r="A377" s="185"/>
      <c r="B377" s="185"/>
      <c r="C377" s="185"/>
      <c r="D377" s="185"/>
      <c r="E377" s="203"/>
      <c r="F377" s="203"/>
      <c r="G377" s="185"/>
      <c r="H377" s="185"/>
      <c r="I377" s="185"/>
      <c r="J377" s="185"/>
      <c r="K377" s="185"/>
      <c r="L377" s="185"/>
      <c r="M377" s="185"/>
      <c r="N377" s="185"/>
      <c r="O377" s="185"/>
      <c r="P377" s="185"/>
      <c r="Q377" s="185"/>
      <c r="R377" s="185"/>
      <c r="S377" s="185"/>
      <c r="T377" s="185"/>
      <c r="U377" s="185"/>
      <c r="V377" s="185"/>
      <c r="W377" s="185"/>
      <c r="X377" s="185"/>
      <c r="Y377" s="185"/>
      <c r="Z377" s="185"/>
      <c r="AA377" s="185"/>
      <c r="AB377" s="185" t="str">
        <f>IFERROR(__xludf.DUMMYFUNCTION("LET(width,COLUMN($AB$1)-COLUMN($G$1),r,INDEX($G377:$AAB377,1,SEQUENCE(1,width)),flat,TOCOL(r,1),bad,FILTER(flat,COUNTIF('リスト'!$E:$E,flat)=0),IFERROR(TEXTJOIN(""\n"",TRUE,bad),""""))"),"")</f>
        <v/>
      </c>
      <c r="AC377" s="185"/>
      <c r="AD377" s="185"/>
    </row>
    <row r="378">
      <c r="A378" s="185"/>
      <c r="B378" s="185"/>
      <c r="C378" s="185"/>
      <c r="D378" s="185"/>
      <c r="E378" s="203"/>
      <c r="F378" s="203"/>
      <c r="G378" s="185"/>
      <c r="H378" s="185"/>
      <c r="I378" s="185"/>
      <c r="J378" s="185"/>
      <c r="K378" s="185"/>
      <c r="L378" s="185"/>
      <c r="M378" s="185"/>
      <c r="N378" s="185"/>
      <c r="O378" s="185"/>
      <c r="P378" s="185"/>
      <c r="Q378" s="185"/>
      <c r="R378" s="185"/>
      <c r="S378" s="185"/>
      <c r="T378" s="185"/>
      <c r="U378" s="185"/>
      <c r="V378" s="185"/>
      <c r="W378" s="185"/>
      <c r="X378" s="185"/>
      <c r="Y378" s="185"/>
      <c r="Z378" s="185"/>
      <c r="AA378" s="185"/>
      <c r="AB378" s="185" t="str">
        <f>IFERROR(__xludf.DUMMYFUNCTION("LET(width,COLUMN($AB$1)-COLUMN($G$1),r,INDEX($G378:$AAB378,1,SEQUENCE(1,width)),flat,TOCOL(r,1),bad,FILTER(flat,COUNTIF('リスト'!$E:$E,flat)=0),IFERROR(TEXTJOIN(""\n"",TRUE,bad),""""))"),"")</f>
        <v/>
      </c>
      <c r="AC378" s="185"/>
      <c r="AD378" s="185"/>
    </row>
    <row r="379">
      <c r="A379" s="185"/>
      <c r="B379" s="185"/>
      <c r="C379" s="185"/>
      <c r="D379" s="185"/>
      <c r="E379" s="203"/>
      <c r="F379" s="203"/>
      <c r="G379" s="185"/>
      <c r="H379" s="185"/>
      <c r="I379" s="185"/>
      <c r="J379" s="185"/>
      <c r="K379" s="185"/>
      <c r="L379" s="185"/>
      <c r="M379" s="185"/>
      <c r="N379" s="185"/>
      <c r="O379" s="185"/>
      <c r="P379" s="185"/>
      <c r="Q379" s="185"/>
      <c r="R379" s="185"/>
      <c r="S379" s="185"/>
      <c r="T379" s="185"/>
      <c r="U379" s="185"/>
      <c r="V379" s="185"/>
      <c r="W379" s="185"/>
      <c r="X379" s="185"/>
      <c r="Y379" s="185"/>
      <c r="Z379" s="185"/>
      <c r="AA379" s="185"/>
      <c r="AB379" s="185" t="str">
        <f>IFERROR(__xludf.DUMMYFUNCTION("LET(width,COLUMN($AB$1)-COLUMN($G$1),r,INDEX($G379:$AAB379,1,SEQUENCE(1,width)),flat,TOCOL(r,1),bad,FILTER(flat,COUNTIF('リスト'!$E:$E,flat)=0),IFERROR(TEXTJOIN(""\n"",TRUE,bad),""""))"),"")</f>
        <v/>
      </c>
      <c r="AC379" s="185"/>
      <c r="AD379" s="185"/>
    </row>
    <row r="380">
      <c r="A380" s="185"/>
      <c r="B380" s="185"/>
      <c r="C380" s="185"/>
      <c r="D380" s="185"/>
      <c r="E380" s="203"/>
      <c r="F380" s="203"/>
      <c r="G380" s="185"/>
      <c r="H380" s="185"/>
      <c r="I380" s="185"/>
      <c r="J380" s="185"/>
      <c r="K380" s="185"/>
      <c r="L380" s="185"/>
      <c r="M380" s="185"/>
      <c r="N380" s="185"/>
      <c r="O380" s="185"/>
      <c r="P380" s="185"/>
      <c r="Q380" s="185"/>
      <c r="R380" s="185"/>
      <c r="S380" s="185"/>
      <c r="T380" s="185"/>
      <c r="U380" s="185"/>
      <c r="V380" s="185"/>
      <c r="W380" s="185"/>
      <c r="X380" s="185"/>
      <c r="Y380" s="185"/>
      <c r="Z380" s="185"/>
      <c r="AA380" s="185"/>
      <c r="AB380" s="185" t="str">
        <f>IFERROR(__xludf.DUMMYFUNCTION("LET(width,COLUMN($AB$1)-COLUMN($G$1),r,INDEX($G380:$AAB380,1,SEQUENCE(1,width)),flat,TOCOL(r,1),bad,FILTER(flat,COUNTIF('リスト'!$E:$E,flat)=0),IFERROR(TEXTJOIN(""\n"",TRUE,bad),""""))"),"")</f>
        <v/>
      </c>
      <c r="AC380" s="185"/>
      <c r="AD380" s="185"/>
    </row>
    <row r="381">
      <c r="A381" s="185"/>
      <c r="B381" s="185"/>
      <c r="C381" s="185"/>
      <c r="D381" s="185"/>
      <c r="E381" s="203"/>
      <c r="F381" s="203"/>
      <c r="G381" s="185"/>
      <c r="H381" s="185"/>
      <c r="I381" s="185"/>
      <c r="J381" s="185"/>
      <c r="K381" s="185"/>
      <c r="L381" s="185"/>
      <c r="M381" s="185"/>
      <c r="N381" s="185"/>
      <c r="O381" s="185"/>
      <c r="P381" s="185"/>
      <c r="Q381" s="185"/>
      <c r="R381" s="185"/>
      <c r="S381" s="185"/>
      <c r="T381" s="185"/>
      <c r="U381" s="185"/>
      <c r="V381" s="185"/>
      <c r="W381" s="185"/>
      <c r="X381" s="185"/>
      <c r="Y381" s="185"/>
      <c r="Z381" s="185"/>
      <c r="AA381" s="185"/>
      <c r="AB381" s="185" t="str">
        <f>IFERROR(__xludf.DUMMYFUNCTION("LET(width,COLUMN($AB$1)-COLUMN($G$1),r,INDEX($G381:$AAB381,1,SEQUENCE(1,width)),flat,TOCOL(r,1),bad,FILTER(flat,COUNTIF('リスト'!$E:$E,flat)=0),IFERROR(TEXTJOIN(""\n"",TRUE,bad),""""))"),"")</f>
        <v/>
      </c>
      <c r="AC381" s="185"/>
      <c r="AD381" s="185"/>
    </row>
    <row r="382">
      <c r="A382" s="185"/>
      <c r="B382" s="185"/>
      <c r="C382" s="185"/>
      <c r="D382" s="185"/>
      <c r="E382" s="203"/>
      <c r="F382" s="203"/>
      <c r="G382" s="185"/>
      <c r="H382" s="185"/>
      <c r="I382" s="185"/>
      <c r="J382" s="185"/>
      <c r="K382" s="185"/>
      <c r="L382" s="185"/>
      <c r="M382" s="185"/>
      <c r="N382" s="185"/>
      <c r="O382" s="185"/>
      <c r="P382" s="185"/>
      <c r="Q382" s="185"/>
      <c r="R382" s="185"/>
      <c r="S382" s="185"/>
      <c r="T382" s="185"/>
      <c r="U382" s="185"/>
      <c r="V382" s="185"/>
      <c r="W382" s="185"/>
      <c r="X382" s="185"/>
      <c r="Y382" s="185"/>
      <c r="Z382" s="185"/>
      <c r="AA382" s="185"/>
      <c r="AB382" s="185" t="str">
        <f>IFERROR(__xludf.DUMMYFUNCTION("LET(width,COLUMN($AB$1)-COLUMN($G$1),r,INDEX($G382:$AAB382,1,SEQUENCE(1,width)),flat,TOCOL(r,1),bad,FILTER(flat,COUNTIF('リスト'!$E:$E,flat)=0),IFERROR(TEXTJOIN(""\n"",TRUE,bad),""""))"),"")</f>
        <v/>
      </c>
      <c r="AC382" s="185"/>
      <c r="AD382" s="185"/>
    </row>
    <row r="383">
      <c r="A383" s="185"/>
      <c r="B383" s="185"/>
      <c r="C383" s="185"/>
      <c r="D383" s="185"/>
      <c r="E383" s="203"/>
      <c r="F383" s="203"/>
      <c r="G383" s="185"/>
      <c r="H383" s="185"/>
      <c r="I383" s="185"/>
      <c r="J383" s="185"/>
      <c r="K383" s="185"/>
      <c r="L383" s="185"/>
      <c r="M383" s="185"/>
      <c r="N383" s="185"/>
      <c r="O383" s="185"/>
      <c r="P383" s="185"/>
      <c r="Q383" s="185"/>
      <c r="R383" s="185"/>
      <c r="S383" s="185"/>
      <c r="T383" s="185"/>
      <c r="U383" s="185"/>
      <c r="V383" s="185"/>
      <c r="W383" s="185"/>
      <c r="X383" s="185"/>
      <c r="Y383" s="185"/>
      <c r="Z383" s="185"/>
      <c r="AA383" s="185"/>
      <c r="AB383" s="185" t="str">
        <f>IFERROR(__xludf.DUMMYFUNCTION("LET(width,COLUMN($AB$1)-COLUMN($G$1),r,INDEX($G383:$AAB383,1,SEQUENCE(1,width)),flat,TOCOL(r,1),bad,FILTER(flat,COUNTIF('リスト'!$E:$E,flat)=0),IFERROR(TEXTJOIN(""\n"",TRUE,bad),""""))"),"")</f>
        <v/>
      </c>
      <c r="AC383" s="185"/>
      <c r="AD383" s="185"/>
    </row>
    <row r="384">
      <c r="A384" s="185"/>
      <c r="B384" s="185"/>
      <c r="C384" s="185"/>
      <c r="D384" s="185"/>
      <c r="E384" s="203"/>
      <c r="F384" s="203"/>
      <c r="G384" s="185"/>
      <c r="H384" s="185"/>
      <c r="I384" s="185"/>
      <c r="J384" s="185"/>
      <c r="K384" s="185"/>
      <c r="L384" s="185"/>
      <c r="M384" s="185"/>
      <c r="N384" s="185"/>
      <c r="O384" s="185"/>
      <c r="P384" s="185"/>
      <c r="Q384" s="185"/>
      <c r="R384" s="185"/>
      <c r="S384" s="185"/>
      <c r="T384" s="185"/>
      <c r="U384" s="185"/>
      <c r="V384" s="185"/>
      <c r="W384" s="185"/>
      <c r="X384" s="185"/>
      <c r="Y384" s="185"/>
      <c r="Z384" s="185"/>
      <c r="AA384" s="185"/>
      <c r="AB384" s="185" t="str">
        <f>IFERROR(__xludf.DUMMYFUNCTION("LET(width,COLUMN($AB$1)-COLUMN($G$1),r,INDEX($G384:$AAB384,1,SEQUENCE(1,width)),flat,TOCOL(r,1),bad,FILTER(flat,COUNTIF('リスト'!$E:$E,flat)=0),IFERROR(TEXTJOIN(""\n"",TRUE,bad),""""))"),"")</f>
        <v/>
      </c>
      <c r="AC384" s="185"/>
      <c r="AD384" s="185"/>
    </row>
    <row r="385">
      <c r="A385" s="185"/>
      <c r="B385" s="185"/>
      <c r="C385" s="185"/>
      <c r="D385" s="185"/>
      <c r="E385" s="203"/>
      <c r="F385" s="203"/>
      <c r="G385" s="185"/>
      <c r="H385" s="185"/>
      <c r="I385" s="185"/>
      <c r="J385" s="185"/>
      <c r="K385" s="185"/>
      <c r="L385" s="185"/>
      <c r="M385" s="185"/>
      <c r="N385" s="185"/>
      <c r="O385" s="185"/>
      <c r="P385" s="185"/>
      <c r="Q385" s="185"/>
      <c r="R385" s="185"/>
      <c r="S385" s="185"/>
      <c r="T385" s="185"/>
      <c r="U385" s="185"/>
      <c r="V385" s="185"/>
      <c r="W385" s="185"/>
      <c r="X385" s="185"/>
      <c r="Y385" s="185"/>
      <c r="Z385" s="185"/>
      <c r="AA385" s="185"/>
      <c r="AB385" s="185" t="str">
        <f>IFERROR(__xludf.DUMMYFUNCTION("LET(width,COLUMN($AB$1)-COLUMN($G$1),r,INDEX($G385:$AAB385,1,SEQUENCE(1,width)),flat,TOCOL(r,1),bad,FILTER(flat,COUNTIF('リスト'!$E:$E,flat)=0),IFERROR(TEXTJOIN(""\n"",TRUE,bad),""""))"),"")</f>
        <v/>
      </c>
      <c r="AC385" s="185"/>
      <c r="AD385" s="185"/>
    </row>
    <row r="386">
      <c r="A386" s="185"/>
      <c r="B386" s="185"/>
      <c r="C386" s="185"/>
      <c r="D386" s="185"/>
      <c r="E386" s="203"/>
      <c r="F386" s="203"/>
      <c r="G386" s="185"/>
      <c r="H386" s="185"/>
      <c r="I386" s="185"/>
      <c r="J386" s="185"/>
      <c r="K386" s="185"/>
      <c r="L386" s="185"/>
      <c r="M386" s="185"/>
      <c r="N386" s="185"/>
      <c r="O386" s="185"/>
      <c r="P386" s="185"/>
      <c r="Q386" s="185"/>
      <c r="R386" s="185"/>
      <c r="S386" s="185"/>
      <c r="T386" s="185"/>
      <c r="U386" s="185"/>
      <c r="V386" s="185"/>
      <c r="W386" s="185"/>
      <c r="X386" s="185"/>
      <c r="Y386" s="185"/>
      <c r="Z386" s="185"/>
      <c r="AA386" s="185"/>
      <c r="AB386" s="185" t="str">
        <f>IFERROR(__xludf.DUMMYFUNCTION("LET(width,COLUMN($AB$1)-COLUMN($G$1),r,INDEX($G386:$AAB386,1,SEQUENCE(1,width)),flat,TOCOL(r,1),bad,FILTER(flat,COUNTIF('リスト'!$E:$E,flat)=0),IFERROR(TEXTJOIN(""\n"",TRUE,bad),""""))"),"")</f>
        <v/>
      </c>
      <c r="AC386" s="185"/>
      <c r="AD386" s="185"/>
    </row>
    <row r="387">
      <c r="A387" s="185"/>
      <c r="B387" s="185"/>
      <c r="C387" s="185"/>
      <c r="D387" s="185"/>
      <c r="E387" s="203"/>
      <c r="F387" s="203"/>
      <c r="G387" s="185"/>
      <c r="H387" s="185"/>
      <c r="I387" s="185"/>
      <c r="J387" s="185"/>
      <c r="K387" s="185"/>
      <c r="L387" s="185"/>
      <c r="M387" s="185"/>
      <c r="N387" s="185"/>
      <c r="O387" s="185"/>
      <c r="P387" s="185"/>
      <c r="Q387" s="185"/>
      <c r="R387" s="185"/>
      <c r="S387" s="185"/>
      <c r="T387" s="185"/>
      <c r="U387" s="185"/>
      <c r="V387" s="185"/>
      <c r="W387" s="185"/>
      <c r="X387" s="185"/>
      <c r="Y387" s="185"/>
      <c r="Z387" s="185"/>
      <c r="AA387" s="185"/>
      <c r="AB387" s="185" t="str">
        <f>IFERROR(__xludf.DUMMYFUNCTION("LET(width,COLUMN($AB$1)-COLUMN($G$1),r,INDEX($G387:$AAB387,1,SEQUENCE(1,width)),flat,TOCOL(r,1),bad,FILTER(flat,COUNTIF('リスト'!$E:$E,flat)=0),IFERROR(TEXTJOIN(""\n"",TRUE,bad),""""))"),"")</f>
        <v/>
      </c>
      <c r="AC387" s="185"/>
      <c r="AD387" s="185"/>
    </row>
    <row r="388">
      <c r="A388" s="185"/>
      <c r="B388" s="185"/>
      <c r="C388" s="185"/>
      <c r="D388" s="185"/>
      <c r="E388" s="203"/>
      <c r="F388" s="203"/>
      <c r="G388" s="185"/>
      <c r="H388" s="185"/>
      <c r="I388" s="185"/>
      <c r="J388" s="185"/>
      <c r="K388" s="185"/>
      <c r="L388" s="185"/>
      <c r="M388" s="185"/>
      <c r="N388" s="185"/>
      <c r="O388" s="185"/>
      <c r="P388" s="185"/>
      <c r="Q388" s="185"/>
      <c r="R388" s="185"/>
      <c r="S388" s="185"/>
      <c r="T388" s="185"/>
      <c r="U388" s="185"/>
      <c r="V388" s="185"/>
      <c r="W388" s="185"/>
      <c r="X388" s="185"/>
      <c r="Y388" s="185"/>
      <c r="Z388" s="185"/>
      <c r="AA388" s="185"/>
      <c r="AB388" s="185" t="str">
        <f>IFERROR(__xludf.DUMMYFUNCTION("LET(width,COLUMN($AB$1)-COLUMN($G$1),r,INDEX($G388:$AAB388,1,SEQUENCE(1,width)),flat,TOCOL(r,1),bad,FILTER(flat,COUNTIF('リスト'!$E:$E,flat)=0),IFERROR(TEXTJOIN(""\n"",TRUE,bad),""""))"),"")</f>
        <v/>
      </c>
      <c r="AC388" s="185"/>
      <c r="AD388" s="185"/>
    </row>
    <row r="389">
      <c r="A389" s="185"/>
      <c r="B389" s="185"/>
      <c r="C389" s="185"/>
      <c r="D389" s="185"/>
      <c r="E389" s="203"/>
      <c r="F389" s="203"/>
      <c r="G389" s="185"/>
      <c r="H389" s="185"/>
      <c r="I389" s="185"/>
      <c r="J389" s="185"/>
      <c r="K389" s="185"/>
      <c r="L389" s="185"/>
      <c r="M389" s="185"/>
      <c r="N389" s="185"/>
      <c r="O389" s="185"/>
      <c r="P389" s="185"/>
      <c r="Q389" s="185"/>
      <c r="R389" s="185"/>
      <c r="S389" s="185"/>
      <c r="T389" s="185"/>
      <c r="U389" s="185"/>
      <c r="V389" s="185"/>
      <c r="W389" s="185"/>
      <c r="X389" s="185"/>
      <c r="Y389" s="185"/>
      <c r="Z389" s="185"/>
      <c r="AA389" s="185"/>
      <c r="AB389" s="185" t="str">
        <f>IFERROR(__xludf.DUMMYFUNCTION("LET(width,COLUMN($AB$1)-COLUMN($G$1),r,INDEX($G389:$AAB389,1,SEQUENCE(1,width)),flat,TOCOL(r,1),bad,FILTER(flat,COUNTIF('リスト'!$E:$E,flat)=0),IFERROR(TEXTJOIN(""\n"",TRUE,bad),""""))"),"")</f>
        <v/>
      </c>
      <c r="AC389" s="185"/>
      <c r="AD389" s="185"/>
    </row>
    <row r="390">
      <c r="A390" s="185"/>
      <c r="B390" s="185"/>
      <c r="C390" s="185"/>
      <c r="D390" s="185"/>
      <c r="E390" s="203"/>
      <c r="F390" s="203"/>
      <c r="G390" s="185"/>
      <c r="H390" s="185"/>
      <c r="I390" s="185"/>
      <c r="J390" s="185"/>
      <c r="K390" s="185"/>
      <c r="L390" s="185"/>
      <c r="M390" s="185"/>
      <c r="N390" s="185"/>
      <c r="O390" s="185"/>
      <c r="P390" s="185"/>
      <c r="Q390" s="185"/>
      <c r="R390" s="185"/>
      <c r="S390" s="185"/>
      <c r="T390" s="185"/>
      <c r="U390" s="185"/>
      <c r="V390" s="185"/>
      <c r="W390" s="185"/>
      <c r="X390" s="185"/>
      <c r="Y390" s="185"/>
      <c r="Z390" s="185"/>
      <c r="AA390" s="185"/>
      <c r="AB390" s="185" t="str">
        <f>IFERROR(__xludf.DUMMYFUNCTION("LET(width,COLUMN($AB$1)-COLUMN($G$1),r,INDEX($G390:$AAB390,1,SEQUENCE(1,width)),flat,TOCOL(r,1),bad,FILTER(flat,COUNTIF('リスト'!$E:$E,flat)=0),IFERROR(TEXTJOIN(""\n"",TRUE,bad),""""))"),"")</f>
        <v/>
      </c>
      <c r="AC390" s="185"/>
      <c r="AD390" s="185"/>
    </row>
    <row r="391">
      <c r="A391" s="185"/>
      <c r="B391" s="185"/>
      <c r="C391" s="185"/>
      <c r="D391" s="185"/>
      <c r="E391" s="203"/>
      <c r="F391" s="203"/>
      <c r="G391" s="185"/>
      <c r="H391" s="185"/>
      <c r="I391" s="185"/>
      <c r="J391" s="185"/>
      <c r="K391" s="185"/>
      <c r="L391" s="185"/>
      <c r="M391" s="185"/>
      <c r="N391" s="185"/>
      <c r="O391" s="185"/>
      <c r="P391" s="185"/>
      <c r="Q391" s="185"/>
      <c r="R391" s="185"/>
      <c r="S391" s="185"/>
      <c r="T391" s="185"/>
      <c r="U391" s="185"/>
      <c r="V391" s="185"/>
      <c r="W391" s="185"/>
      <c r="X391" s="185"/>
      <c r="Y391" s="185"/>
      <c r="Z391" s="185"/>
      <c r="AA391" s="185"/>
      <c r="AB391" s="185" t="str">
        <f>IFERROR(__xludf.DUMMYFUNCTION("LET(width,COLUMN($AB$1)-COLUMN($G$1),r,INDEX($G391:$AAB391,1,SEQUENCE(1,width)),flat,TOCOL(r,1),bad,FILTER(flat,COUNTIF('リスト'!$E:$E,flat)=0),IFERROR(TEXTJOIN(""\n"",TRUE,bad),""""))"),"")</f>
        <v/>
      </c>
      <c r="AC391" s="185"/>
      <c r="AD391" s="185"/>
    </row>
    <row r="392">
      <c r="A392" s="185"/>
      <c r="B392" s="185"/>
      <c r="C392" s="185"/>
      <c r="D392" s="185"/>
      <c r="E392" s="203"/>
      <c r="F392" s="203"/>
      <c r="G392" s="185"/>
      <c r="H392" s="185"/>
      <c r="I392" s="185"/>
      <c r="J392" s="185"/>
      <c r="K392" s="185"/>
      <c r="L392" s="185"/>
      <c r="M392" s="185"/>
      <c r="N392" s="185"/>
      <c r="O392" s="185"/>
      <c r="P392" s="185"/>
      <c r="Q392" s="185"/>
      <c r="R392" s="185"/>
      <c r="S392" s="185"/>
      <c r="T392" s="185"/>
      <c r="U392" s="185"/>
      <c r="V392" s="185"/>
      <c r="W392" s="185"/>
      <c r="X392" s="185"/>
      <c r="Y392" s="185"/>
      <c r="Z392" s="185"/>
      <c r="AA392" s="185"/>
      <c r="AB392" s="185" t="str">
        <f>IFERROR(__xludf.DUMMYFUNCTION("LET(width,COLUMN($AB$1)-COLUMN($G$1),r,INDEX($G392:$AAB392,1,SEQUENCE(1,width)),flat,TOCOL(r,1),bad,FILTER(flat,COUNTIF('リスト'!$E:$E,flat)=0),IFERROR(TEXTJOIN(""\n"",TRUE,bad),""""))"),"")</f>
        <v/>
      </c>
      <c r="AC392" s="185"/>
      <c r="AD392" s="185"/>
    </row>
    <row r="393">
      <c r="A393" s="185"/>
      <c r="B393" s="185"/>
      <c r="C393" s="185"/>
      <c r="D393" s="185"/>
      <c r="E393" s="203"/>
      <c r="F393" s="203"/>
      <c r="G393" s="185"/>
      <c r="H393" s="185"/>
      <c r="I393" s="185"/>
      <c r="J393" s="185"/>
      <c r="K393" s="185"/>
      <c r="L393" s="185"/>
      <c r="M393" s="185"/>
      <c r="N393" s="185"/>
      <c r="O393" s="185"/>
      <c r="P393" s="185"/>
      <c r="Q393" s="185"/>
      <c r="R393" s="185"/>
      <c r="S393" s="185"/>
      <c r="T393" s="185"/>
      <c r="U393" s="185"/>
      <c r="V393" s="185"/>
      <c r="W393" s="185"/>
      <c r="X393" s="185"/>
      <c r="Y393" s="185"/>
      <c r="Z393" s="185"/>
      <c r="AA393" s="185"/>
      <c r="AB393" s="185" t="str">
        <f>IFERROR(__xludf.DUMMYFUNCTION("LET(width,COLUMN($AB$1)-COLUMN($G$1),r,INDEX($G393:$AAB393,1,SEQUENCE(1,width)),flat,TOCOL(r,1),bad,FILTER(flat,COUNTIF('リスト'!$E:$E,flat)=0),IFERROR(TEXTJOIN(""\n"",TRUE,bad),""""))"),"")</f>
        <v/>
      </c>
      <c r="AC393" s="185"/>
      <c r="AD393" s="185"/>
    </row>
    <row r="394">
      <c r="A394" s="185"/>
      <c r="B394" s="185"/>
      <c r="C394" s="185"/>
      <c r="D394" s="185"/>
      <c r="E394" s="203"/>
      <c r="F394" s="203"/>
      <c r="G394" s="185"/>
      <c r="H394" s="185"/>
      <c r="I394" s="185"/>
      <c r="J394" s="185"/>
      <c r="K394" s="185"/>
      <c r="L394" s="185"/>
      <c r="M394" s="185"/>
      <c r="N394" s="185"/>
      <c r="O394" s="185"/>
      <c r="P394" s="185"/>
      <c r="Q394" s="185"/>
      <c r="R394" s="185"/>
      <c r="S394" s="185"/>
      <c r="T394" s="185"/>
      <c r="U394" s="185"/>
      <c r="V394" s="185"/>
      <c r="W394" s="185"/>
      <c r="X394" s="185"/>
      <c r="Y394" s="185"/>
      <c r="Z394" s="185"/>
      <c r="AA394" s="185"/>
      <c r="AB394" s="185" t="str">
        <f>IFERROR(__xludf.DUMMYFUNCTION("LET(width,COLUMN($AB$1)-COLUMN($G$1),r,INDEX($G394:$AAB394,1,SEQUENCE(1,width)),flat,TOCOL(r,1),bad,FILTER(flat,COUNTIF('リスト'!$E:$E,flat)=0),IFERROR(TEXTJOIN(""\n"",TRUE,bad),""""))"),"")</f>
        <v/>
      </c>
      <c r="AC394" s="185"/>
      <c r="AD394" s="185"/>
    </row>
    <row r="395">
      <c r="A395" s="185"/>
      <c r="B395" s="185"/>
      <c r="C395" s="185"/>
      <c r="D395" s="185"/>
      <c r="E395" s="203"/>
      <c r="F395" s="203"/>
      <c r="G395" s="185"/>
      <c r="H395" s="185"/>
      <c r="I395" s="185"/>
      <c r="J395" s="185"/>
      <c r="K395" s="185"/>
      <c r="L395" s="185"/>
      <c r="M395" s="185"/>
      <c r="N395" s="185"/>
      <c r="O395" s="185"/>
      <c r="P395" s="185"/>
      <c r="Q395" s="185"/>
      <c r="R395" s="185"/>
      <c r="S395" s="185"/>
      <c r="T395" s="185"/>
      <c r="U395" s="185"/>
      <c r="V395" s="185"/>
      <c r="W395" s="185"/>
      <c r="X395" s="185"/>
      <c r="Y395" s="185"/>
      <c r="Z395" s="185"/>
      <c r="AA395" s="185"/>
      <c r="AB395" s="185" t="str">
        <f>IFERROR(__xludf.DUMMYFUNCTION("LET(width,COLUMN($AB$1)-COLUMN($G$1),r,INDEX($G395:$AAB395,1,SEQUENCE(1,width)),flat,TOCOL(r,1),bad,FILTER(flat,COUNTIF('リスト'!$E:$E,flat)=0),IFERROR(TEXTJOIN(""\n"",TRUE,bad),""""))"),"")</f>
        <v/>
      </c>
      <c r="AC395" s="185"/>
      <c r="AD395" s="185"/>
    </row>
    <row r="396">
      <c r="A396" s="185"/>
      <c r="B396" s="185"/>
      <c r="C396" s="185"/>
      <c r="D396" s="185"/>
      <c r="E396" s="203"/>
      <c r="F396" s="203"/>
      <c r="G396" s="185"/>
      <c r="H396" s="185"/>
      <c r="I396" s="185"/>
      <c r="J396" s="185"/>
      <c r="K396" s="185"/>
      <c r="L396" s="185"/>
      <c r="M396" s="185"/>
      <c r="N396" s="185"/>
      <c r="O396" s="185"/>
      <c r="P396" s="185"/>
      <c r="Q396" s="185"/>
      <c r="R396" s="185"/>
      <c r="S396" s="185"/>
      <c r="T396" s="185"/>
      <c r="U396" s="185"/>
      <c r="V396" s="185"/>
      <c r="W396" s="185"/>
      <c r="X396" s="185"/>
      <c r="Y396" s="185"/>
      <c r="Z396" s="185"/>
      <c r="AA396" s="185"/>
      <c r="AB396" s="185" t="str">
        <f>IFERROR(__xludf.DUMMYFUNCTION("LET(width,COLUMN($AB$1)-COLUMN($G$1),r,INDEX($G396:$AAB396,1,SEQUENCE(1,width)),flat,TOCOL(r,1),bad,FILTER(flat,COUNTIF('リスト'!$E:$E,flat)=0),IFERROR(TEXTJOIN(""\n"",TRUE,bad),""""))"),"")</f>
        <v/>
      </c>
      <c r="AC396" s="185"/>
      <c r="AD396" s="185"/>
    </row>
    <row r="397">
      <c r="A397" s="185"/>
      <c r="B397" s="185"/>
      <c r="C397" s="185"/>
      <c r="D397" s="185"/>
      <c r="E397" s="203"/>
      <c r="F397" s="203"/>
      <c r="G397" s="185"/>
      <c r="H397" s="185"/>
      <c r="I397" s="185"/>
      <c r="J397" s="185"/>
      <c r="K397" s="185"/>
      <c r="L397" s="185"/>
      <c r="M397" s="185"/>
      <c r="N397" s="185"/>
      <c r="O397" s="185"/>
      <c r="P397" s="185"/>
      <c r="Q397" s="185"/>
      <c r="R397" s="185"/>
      <c r="S397" s="185"/>
      <c r="T397" s="185"/>
      <c r="U397" s="185"/>
      <c r="V397" s="185"/>
      <c r="W397" s="185"/>
      <c r="X397" s="185"/>
      <c r="Y397" s="185"/>
      <c r="Z397" s="185"/>
      <c r="AA397" s="185"/>
      <c r="AB397" s="185" t="str">
        <f>IFERROR(__xludf.DUMMYFUNCTION("LET(width,COLUMN($AB$1)-COLUMN($G$1),r,INDEX($G397:$AAB397,1,SEQUENCE(1,width)),flat,TOCOL(r,1),bad,FILTER(flat,COUNTIF('リスト'!$E:$E,flat)=0),IFERROR(TEXTJOIN(""\n"",TRUE,bad),""""))"),"")</f>
        <v/>
      </c>
      <c r="AC397" s="185"/>
      <c r="AD397" s="185"/>
    </row>
    <row r="398">
      <c r="A398" s="185"/>
      <c r="B398" s="185"/>
      <c r="C398" s="185"/>
      <c r="D398" s="185"/>
      <c r="E398" s="203"/>
      <c r="F398" s="203"/>
      <c r="G398" s="185"/>
      <c r="H398" s="185"/>
      <c r="I398" s="185"/>
      <c r="J398" s="185"/>
      <c r="K398" s="185"/>
      <c r="L398" s="185"/>
      <c r="M398" s="185"/>
      <c r="N398" s="185"/>
      <c r="O398" s="185"/>
      <c r="P398" s="185"/>
      <c r="Q398" s="185"/>
      <c r="R398" s="185"/>
      <c r="S398" s="185"/>
      <c r="T398" s="185"/>
      <c r="U398" s="185"/>
      <c r="V398" s="185"/>
      <c r="W398" s="185"/>
      <c r="X398" s="185"/>
      <c r="Y398" s="185"/>
      <c r="Z398" s="185"/>
      <c r="AA398" s="185"/>
      <c r="AB398" s="185" t="str">
        <f>IFERROR(__xludf.DUMMYFUNCTION("LET(width,COLUMN($AB$1)-COLUMN($G$1),r,INDEX($G398:$AAB398,1,SEQUENCE(1,width)),flat,TOCOL(r,1),bad,FILTER(flat,COUNTIF('リスト'!$E:$E,flat)=0),IFERROR(TEXTJOIN(""\n"",TRUE,bad),""""))"),"")</f>
        <v/>
      </c>
      <c r="AC398" s="185"/>
      <c r="AD398" s="185"/>
    </row>
    <row r="399">
      <c r="A399" s="185"/>
      <c r="B399" s="185"/>
      <c r="C399" s="185"/>
      <c r="D399" s="185"/>
      <c r="E399" s="203"/>
      <c r="F399" s="203"/>
      <c r="G399" s="185"/>
      <c r="H399" s="185"/>
      <c r="I399" s="185"/>
      <c r="J399" s="185"/>
      <c r="K399" s="185"/>
      <c r="L399" s="185"/>
      <c r="M399" s="185"/>
      <c r="N399" s="185"/>
      <c r="O399" s="185"/>
      <c r="P399" s="185"/>
      <c r="Q399" s="185"/>
      <c r="R399" s="185"/>
      <c r="S399" s="185"/>
      <c r="T399" s="185"/>
      <c r="U399" s="185"/>
      <c r="V399" s="185"/>
      <c r="W399" s="185"/>
      <c r="X399" s="185"/>
      <c r="Y399" s="185"/>
      <c r="Z399" s="185"/>
      <c r="AA399" s="185"/>
      <c r="AB399" s="185" t="str">
        <f>IFERROR(__xludf.DUMMYFUNCTION("LET(width,COLUMN($AB$1)-COLUMN($G$1),r,INDEX($G399:$AAB399,1,SEQUENCE(1,width)),flat,TOCOL(r,1),bad,FILTER(flat,COUNTIF('リスト'!$E:$E,flat)=0),IFERROR(TEXTJOIN(""\n"",TRUE,bad),""""))"),"")</f>
        <v/>
      </c>
      <c r="AC399" s="185"/>
      <c r="AD399" s="185"/>
    </row>
    <row r="400">
      <c r="A400" s="185"/>
      <c r="B400" s="185"/>
      <c r="C400" s="185"/>
      <c r="D400" s="185"/>
      <c r="E400" s="203"/>
      <c r="F400" s="203"/>
      <c r="G400" s="185"/>
      <c r="H400" s="185"/>
      <c r="I400" s="185"/>
      <c r="J400" s="185"/>
      <c r="K400" s="185"/>
      <c r="L400" s="185"/>
      <c r="M400" s="185"/>
      <c r="N400" s="185"/>
      <c r="O400" s="185"/>
      <c r="P400" s="185"/>
      <c r="Q400" s="185"/>
      <c r="R400" s="185"/>
      <c r="S400" s="185"/>
      <c r="T400" s="185"/>
      <c r="U400" s="185"/>
      <c r="V400" s="185"/>
      <c r="W400" s="185"/>
      <c r="X400" s="185"/>
      <c r="Y400" s="185"/>
      <c r="Z400" s="185"/>
      <c r="AA400" s="185"/>
      <c r="AB400" s="185" t="str">
        <f>IFERROR(__xludf.DUMMYFUNCTION("LET(width,COLUMN($AB$1)-COLUMN($G$1),r,INDEX($G400:$AAB400,1,SEQUENCE(1,width)),flat,TOCOL(r,1),bad,FILTER(flat,COUNTIF('リスト'!$E:$E,flat)=0),IFERROR(TEXTJOIN(""\n"",TRUE,bad),""""))"),"")</f>
        <v/>
      </c>
      <c r="AC400" s="185"/>
      <c r="AD400" s="185"/>
    </row>
    <row r="401">
      <c r="A401" s="185"/>
      <c r="B401" s="185"/>
      <c r="C401" s="185"/>
      <c r="D401" s="185"/>
      <c r="E401" s="203"/>
      <c r="F401" s="203"/>
      <c r="G401" s="185"/>
      <c r="H401" s="185"/>
      <c r="I401" s="185"/>
      <c r="J401" s="185"/>
      <c r="K401" s="185"/>
      <c r="L401" s="185"/>
      <c r="M401" s="185"/>
      <c r="N401" s="185"/>
      <c r="O401" s="185"/>
      <c r="P401" s="185"/>
      <c r="Q401" s="185"/>
      <c r="R401" s="185"/>
      <c r="S401" s="185"/>
      <c r="T401" s="185"/>
      <c r="U401" s="185"/>
      <c r="V401" s="185"/>
      <c r="W401" s="185"/>
      <c r="X401" s="185"/>
      <c r="Y401" s="185"/>
      <c r="Z401" s="185"/>
      <c r="AA401" s="185"/>
      <c r="AB401" s="185" t="str">
        <f>IFERROR(__xludf.DUMMYFUNCTION("LET(width,COLUMN($AB$1)-COLUMN($G$1),r,INDEX($G401:$AAB401,1,SEQUENCE(1,width)),flat,TOCOL(r,1),bad,FILTER(flat,COUNTIF('リスト'!$E:$E,flat)=0),IFERROR(TEXTJOIN(""\n"",TRUE,bad),""""))"),"")</f>
        <v/>
      </c>
      <c r="AC401" s="185"/>
      <c r="AD401" s="185"/>
    </row>
    <row r="402">
      <c r="A402" s="185"/>
      <c r="B402" s="185"/>
      <c r="C402" s="185"/>
      <c r="D402" s="185"/>
      <c r="E402" s="203"/>
      <c r="F402" s="203"/>
      <c r="G402" s="185"/>
      <c r="H402" s="185"/>
      <c r="I402" s="185"/>
      <c r="J402" s="185"/>
      <c r="K402" s="185"/>
      <c r="L402" s="185"/>
      <c r="M402" s="185"/>
      <c r="N402" s="185"/>
      <c r="O402" s="185"/>
      <c r="P402" s="185"/>
      <c r="Q402" s="185"/>
      <c r="R402" s="185"/>
      <c r="S402" s="185"/>
      <c r="T402" s="185"/>
      <c r="U402" s="185"/>
      <c r="V402" s="185"/>
      <c r="W402" s="185"/>
      <c r="X402" s="185"/>
      <c r="Y402" s="185"/>
      <c r="Z402" s="185"/>
      <c r="AA402" s="185"/>
      <c r="AB402" s="185" t="str">
        <f>IFERROR(__xludf.DUMMYFUNCTION("LET(width,COLUMN($AB$1)-COLUMN($G$1),r,INDEX($G402:$AAB402,1,SEQUENCE(1,width)),flat,TOCOL(r,1),bad,FILTER(flat,COUNTIF('リスト'!$E:$E,flat)=0),IFERROR(TEXTJOIN(""\n"",TRUE,bad),""""))"),"")</f>
        <v/>
      </c>
      <c r="AC402" s="185"/>
      <c r="AD402" s="185"/>
    </row>
    <row r="403">
      <c r="A403" s="185"/>
      <c r="B403" s="185"/>
      <c r="C403" s="185"/>
      <c r="D403" s="185"/>
      <c r="E403" s="203"/>
      <c r="F403" s="203"/>
      <c r="G403" s="185"/>
      <c r="H403" s="185"/>
      <c r="I403" s="185"/>
      <c r="J403" s="185"/>
      <c r="K403" s="185"/>
      <c r="L403" s="185"/>
      <c r="M403" s="185"/>
      <c r="N403" s="185"/>
      <c r="O403" s="185"/>
      <c r="P403" s="185"/>
      <c r="Q403" s="185"/>
      <c r="R403" s="185"/>
      <c r="S403" s="185"/>
      <c r="T403" s="185"/>
      <c r="U403" s="185"/>
      <c r="V403" s="185"/>
      <c r="W403" s="185"/>
      <c r="X403" s="185"/>
      <c r="Y403" s="185"/>
      <c r="Z403" s="185"/>
      <c r="AA403" s="185"/>
      <c r="AB403" s="185" t="str">
        <f>IFERROR(__xludf.DUMMYFUNCTION("LET(width,COLUMN($AB$1)-COLUMN($G$1),r,INDEX($G403:$AAB403,1,SEQUENCE(1,width)),flat,TOCOL(r,1),bad,FILTER(flat,COUNTIF('リスト'!$E:$E,flat)=0),IFERROR(TEXTJOIN(""\n"",TRUE,bad),""""))"),"")</f>
        <v/>
      </c>
      <c r="AC403" s="185"/>
      <c r="AD403" s="185"/>
    </row>
    <row r="404">
      <c r="A404" s="185"/>
      <c r="B404" s="185"/>
      <c r="C404" s="185"/>
      <c r="D404" s="185"/>
      <c r="E404" s="203"/>
      <c r="F404" s="203"/>
      <c r="G404" s="185"/>
      <c r="H404" s="185"/>
      <c r="I404" s="185"/>
      <c r="J404" s="185"/>
      <c r="K404" s="185"/>
      <c r="L404" s="185"/>
      <c r="M404" s="185"/>
      <c r="N404" s="185"/>
      <c r="O404" s="185"/>
      <c r="P404" s="185"/>
      <c r="Q404" s="185"/>
      <c r="R404" s="185"/>
      <c r="S404" s="185"/>
      <c r="T404" s="185"/>
      <c r="U404" s="185"/>
      <c r="V404" s="185"/>
      <c r="W404" s="185"/>
      <c r="X404" s="185"/>
      <c r="Y404" s="185"/>
      <c r="Z404" s="185"/>
      <c r="AA404" s="185"/>
      <c r="AB404" s="185" t="str">
        <f>IFERROR(__xludf.DUMMYFUNCTION("LET(width,COLUMN($AB$1)-COLUMN($G$1),r,INDEX($G404:$AAB404,1,SEQUENCE(1,width)),flat,TOCOL(r,1),bad,FILTER(flat,COUNTIF('リスト'!$E:$E,flat)=0),IFERROR(TEXTJOIN(""\n"",TRUE,bad),""""))"),"")</f>
        <v/>
      </c>
      <c r="AC404" s="185"/>
      <c r="AD404" s="185"/>
    </row>
    <row r="405">
      <c r="A405" s="185"/>
      <c r="B405" s="185"/>
      <c r="C405" s="185"/>
      <c r="D405" s="185"/>
      <c r="E405" s="203"/>
      <c r="F405" s="203"/>
      <c r="G405" s="185"/>
      <c r="H405" s="185"/>
      <c r="I405" s="185"/>
      <c r="J405" s="185"/>
      <c r="K405" s="185"/>
      <c r="L405" s="185"/>
      <c r="M405" s="185"/>
      <c r="N405" s="185"/>
      <c r="O405" s="185"/>
      <c r="P405" s="185"/>
      <c r="Q405" s="185"/>
      <c r="R405" s="185"/>
      <c r="S405" s="185"/>
      <c r="T405" s="185"/>
      <c r="U405" s="185"/>
      <c r="V405" s="185"/>
      <c r="W405" s="185"/>
      <c r="X405" s="185"/>
      <c r="Y405" s="185"/>
      <c r="Z405" s="185"/>
      <c r="AA405" s="185"/>
      <c r="AB405" s="185" t="str">
        <f>IFERROR(__xludf.DUMMYFUNCTION("LET(width,COLUMN($AB$1)-COLUMN($G$1),r,INDEX($G405:$AAB405,1,SEQUENCE(1,width)),flat,TOCOL(r,1),bad,FILTER(flat,COUNTIF('リスト'!$E:$E,flat)=0),IFERROR(TEXTJOIN(""\n"",TRUE,bad),""""))"),"")</f>
        <v/>
      </c>
      <c r="AC405" s="185"/>
      <c r="AD405" s="185"/>
    </row>
    <row r="406">
      <c r="A406" s="185"/>
      <c r="B406" s="185"/>
      <c r="C406" s="185"/>
      <c r="D406" s="185"/>
      <c r="E406" s="203"/>
      <c r="F406" s="203"/>
      <c r="G406" s="185"/>
      <c r="H406" s="185"/>
      <c r="I406" s="185"/>
      <c r="J406" s="185"/>
      <c r="K406" s="185"/>
      <c r="L406" s="185"/>
      <c r="M406" s="185"/>
      <c r="N406" s="185"/>
      <c r="O406" s="185"/>
      <c r="P406" s="185"/>
      <c r="Q406" s="185"/>
      <c r="R406" s="185"/>
      <c r="S406" s="185"/>
      <c r="T406" s="185"/>
      <c r="U406" s="185"/>
      <c r="V406" s="185"/>
      <c r="W406" s="185"/>
      <c r="X406" s="185"/>
      <c r="Y406" s="185"/>
      <c r="Z406" s="185"/>
      <c r="AA406" s="185"/>
      <c r="AB406" s="185" t="str">
        <f>IFERROR(__xludf.DUMMYFUNCTION("LET(width,COLUMN($AB$1)-COLUMN($G$1),r,INDEX($G406:$AAB406,1,SEQUENCE(1,width)),flat,TOCOL(r,1),bad,FILTER(flat,COUNTIF('リスト'!$E:$E,flat)=0),IFERROR(TEXTJOIN(""\n"",TRUE,bad),""""))"),"")</f>
        <v/>
      </c>
      <c r="AC406" s="185"/>
      <c r="AD406" s="185"/>
    </row>
    <row r="407">
      <c r="A407" s="185"/>
      <c r="B407" s="185"/>
      <c r="C407" s="185"/>
      <c r="D407" s="185"/>
      <c r="E407" s="203"/>
      <c r="F407" s="203"/>
      <c r="G407" s="185"/>
      <c r="H407" s="185"/>
      <c r="I407" s="185"/>
      <c r="J407" s="185"/>
      <c r="K407" s="185"/>
      <c r="L407" s="185"/>
      <c r="M407" s="185"/>
      <c r="N407" s="185"/>
      <c r="O407" s="185"/>
      <c r="P407" s="185"/>
      <c r="Q407" s="185"/>
      <c r="R407" s="185"/>
      <c r="S407" s="185"/>
      <c r="T407" s="185"/>
      <c r="U407" s="185"/>
      <c r="V407" s="185"/>
      <c r="W407" s="185"/>
      <c r="X407" s="185"/>
      <c r="Y407" s="185"/>
      <c r="Z407" s="185"/>
      <c r="AA407" s="185"/>
      <c r="AB407" s="185" t="str">
        <f>IFERROR(__xludf.DUMMYFUNCTION("LET(width,COLUMN($AB$1)-COLUMN($G$1),r,INDEX($G407:$AAB407,1,SEQUENCE(1,width)),flat,TOCOL(r,1),bad,FILTER(flat,COUNTIF('リスト'!$E:$E,flat)=0),IFERROR(TEXTJOIN(""\n"",TRUE,bad),""""))"),"")</f>
        <v/>
      </c>
      <c r="AC407" s="185"/>
      <c r="AD407" s="185"/>
    </row>
    <row r="408">
      <c r="A408" s="185"/>
      <c r="B408" s="185"/>
      <c r="C408" s="185"/>
      <c r="D408" s="185"/>
      <c r="E408" s="203"/>
      <c r="F408" s="203"/>
      <c r="G408" s="185"/>
      <c r="H408" s="185"/>
      <c r="I408" s="185"/>
      <c r="J408" s="185"/>
      <c r="K408" s="185"/>
      <c r="L408" s="185"/>
      <c r="M408" s="185"/>
      <c r="N408" s="185"/>
      <c r="O408" s="185"/>
      <c r="P408" s="185"/>
      <c r="Q408" s="185"/>
      <c r="R408" s="185"/>
      <c r="S408" s="185"/>
      <c r="T408" s="185"/>
      <c r="U408" s="185"/>
      <c r="V408" s="185"/>
      <c r="W408" s="185"/>
      <c r="X408" s="185"/>
      <c r="Y408" s="185"/>
      <c r="Z408" s="185"/>
      <c r="AA408" s="185"/>
      <c r="AB408" s="185" t="str">
        <f>IFERROR(__xludf.DUMMYFUNCTION("LET(width,COLUMN($AB$1)-COLUMN($G$1),r,INDEX($G408:$AAB408,1,SEQUENCE(1,width)),flat,TOCOL(r,1),bad,FILTER(flat,COUNTIF('リスト'!$E:$E,flat)=0),IFERROR(TEXTJOIN(""\n"",TRUE,bad),""""))"),"")</f>
        <v/>
      </c>
      <c r="AC408" s="185"/>
      <c r="AD408" s="185"/>
    </row>
    <row r="409">
      <c r="A409" s="185"/>
      <c r="B409" s="185"/>
      <c r="C409" s="185"/>
      <c r="D409" s="185"/>
      <c r="E409" s="203"/>
      <c r="F409" s="203"/>
      <c r="G409" s="185"/>
      <c r="H409" s="185"/>
      <c r="I409" s="185"/>
      <c r="J409" s="185"/>
      <c r="K409" s="185"/>
      <c r="L409" s="185"/>
      <c r="M409" s="185"/>
      <c r="N409" s="185"/>
      <c r="O409" s="185"/>
      <c r="P409" s="185"/>
      <c r="Q409" s="185"/>
      <c r="R409" s="185"/>
      <c r="S409" s="185"/>
      <c r="T409" s="185"/>
      <c r="U409" s="185"/>
      <c r="V409" s="185"/>
      <c r="W409" s="185"/>
      <c r="X409" s="185"/>
      <c r="Y409" s="185"/>
      <c r="Z409" s="185"/>
      <c r="AA409" s="185"/>
      <c r="AB409" s="185" t="str">
        <f>IFERROR(__xludf.DUMMYFUNCTION("LET(width,COLUMN($AB$1)-COLUMN($G$1),r,INDEX($G409:$AAB409,1,SEQUENCE(1,width)),flat,TOCOL(r,1),bad,FILTER(flat,COUNTIF('リスト'!$E:$E,flat)=0),IFERROR(TEXTJOIN(""\n"",TRUE,bad),""""))"),"")</f>
        <v/>
      </c>
      <c r="AC409" s="185"/>
      <c r="AD409" s="185"/>
    </row>
    <row r="410">
      <c r="A410" s="185"/>
      <c r="B410" s="185"/>
      <c r="C410" s="185"/>
      <c r="D410" s="185"/>
      <c r="E410" s="203"/>
      <c r="F410" s="203"/>
      <c r="G410" s="185"/>
      <c r="H410" s="185"/>
      <c r="I410" s="185"/>
      <c r="J410" s="185"/>
      <c r="K410" s="185"/>
      <c r="L410" s="185"/>
      <c r="M410" s="185"/>
      <c r="N410" s="185"/>
      <c r="O410" s="185"/>
      <c r="P410" s="185"/>
      <c r="Q410" s="185"/>
      <c r="R410" s="185"/>
      <c r="S410" s="185"/>
      <c r="T410" s="185"/>
      <c r="U410" s="185"/>
      <c r="V410" s="185"/>
      <c r="W410" s="185"/>
      <c r="X410" s="185"/>
      <c r="Y410" s="185"/>
      <c r="Z410" s="185"/>
      <c r="AA410" s="185"/>
      <c r="AB410" s="185" t="str">
        <f>IFERROR(__xludf.DUMMYFUNCTION("LET(width,COLUMN($AB$1)-COLUMN($G$1),r,INDEX($G410:$AAB410,1,SEQUENCE(1,width)),flat,TOCOL(r,1),bad,FILTER(flat,COUNTIF('リスト'!$E:$E,flat)=0),IFERROR(TEXTJOIN(""\n"",TRUE,bad),""""))"),"")</f>
        <v/>
      </c>
      <c r="AC410" s="185"/>
      <c r="AD410" s="185"/>
    </row>
    <row r="411">
      <c r="A411" s="185"/>
      <c r="B411" s="185"/>
      <c r="C411" s="185"/>
      <c r="D411" s="185"/>
      <c r="E411" s="203"/>
      <c r="F411" s="203"/>
      <c r="G411" s="185"/>
      <c r="H411" s="185"/>
      <c r="I411" s="185"/>
      <c r="J411" s="185"/>
      <c r="K411" s="185"/>
      <c r="L411" s="185"/>
      <c r="M411" s="185"/>
      <c r="N411" s="185"/>
      <c r="O411" s="185"/>
      <c r="P411" s="185"/>
      <c r="Q411" s="185"/>
      <c r="R411" s="185"/>
      <c r="S411" s="185"/>
      <c r="T411" s="185"/>
      <c r="U411" s="185"/>
      <c r="V411" s="185"/>
      <c r="W411" s="185"/>
      <c r="X411" s="185"/>
      <c r="Y411" s="185"/>
      <c r="Z411" s="185"/>
      <c r="AA411" s="185"/>
      <c r="AB411" s="185" t="str">
        <f>IFERROR(__xludf.DUMMYFUNCTION("LET(width,COLUMN($AB$1)-COLUMN($G$1),r,INDEX($G411:$AAB411,1,SEQUENCE(1,width)),flat,TOCOL(r,1),bad,FILTER(flat,COUNTIF('リスト'!$E:$E,flat)=0),IFERROR(TEXTJOIN(""\n"",TRUE,bad),""""))"),"")</f>
        <v/>
      </c>
      <c r="AC411" s="185"/>
      <c r="AD411" s="185"/>
    </row>
    <row r="412">
      <c r="A412" s="185"/>
      <c r="B412" s="185"/>
      <c r="C412" s="185"/>
      <c r="D412" s="185"/>
      <c r="E412" s="203"/>
      <c r="F412" s="203"/>
      <c r="G412" s="185"/>
      <c r="H412" s="185"/>
      <c r="I412" s="185"/>
      <c r="J412" s="185"/>
      <c r="K412" s="185"/>
      <c r="L412" s="185"/>
      <c r="M412" s="185"/>
      <c r="N412" s="185"/>
      <c r="O412" s="185"/>
      <c r="P412" s="185"/>
      <c r="Q412" s="185"/>
      <c r="R412" s="185"/>
      <c r="S412" s="185"/>
      <c r="T412" s="185"/>
      <c r="U412" s="185"/>
      <c r="V412" s="185"/>
      <c r="W412" s="185"/>
      <c r="X412" s="185"/>
      <c r="Y412" s="185"/>
      <c r="Z412" s="185"/>
      <c r="AA412" s="185"/>
      <c r="AB412" s="185" t="str">
        <f>IFERROR(__xludf.DUMMYFUNCTION("LET(width,COLUMN($AB$1)-COLUMN($G$1),r,INDEX($G412:$AAB412,1,SEQUENCE(1,width)),flat,TOCOL(r,1),bad,FILTER(flat,COUNTIF('リスト'!$E:$E,flat)=0),IFERROR(TEXTJOIN(""\n"",TRUE,bad),""""))"),"")</f>
        <v/>
      </c>
      <c r="AC412" s="185"/>
      <c r="AD412" s="185"/>
    </row>
    <row r="413">
      <c r="A413" s="185"/>
      <c r="B413" s="185"/>
      <c r="C413" s="185"/>
      <c r="D413" s="185"/>
      <c r="E413" s="203"/>
      <c r="F413" s="203"/>
      <c r="G413" s="185"/>
      <c r="H413" s="185"/>
      <c r="I413" s="185"/>
      <c r="J413" s="185"/>
      <c r="K413" s="185"/>
      <c r="L413" s="185"/>
      <c r="M413" s="185"/>
      <c r="N413" s="185"/>
      <c r="O413" s="185"/>
      <c r="P413" s="185"/>
      <c r="Q413" s="185"/>
      <c r="R413" s="185"/>
      <c r="S413" s="185"/>
      <c r="T413" s="185"/>
      <c r="U413" s="185"/>
      <c r="V413" s="185"/>
      <c r="W413" s="185"/>
      <c r="X413" s="185"/>
      <c r="Y413" s="185"/>
      <c r="Z413" s="185"/>
      <c r="AA413" s="185"/>
      <c r="AB413" s="185" t="str">
        <f>IFERROR(__xludf.DUMMYFUNCTION("LET(width,COLUMN($AB$1)-COLUMN($G$1),r,INDEX($G413:$AAB413,1,SEQUENCE(1,width)),flat,TOCOL(r,1),bad,FILTER(flat,COUNTIF('リスト'!$E:$E,flat)=0),IFERROR(TEXTJOIN(""\n"",TRUE,bad),""""))"),"")</f>
        <v/>
      </c>
      <c r="AC413" s="185"/>
      <c r="AD413" s="185"/>
    </row>
    <row r="414">
      <c r="A414" s="185"/>
      <c r="B414" s="185"/>
      <c r="C414" s="185"/>
      <c r="D414" s="185"/>
      <c r="E414" s="203"/>
      <c r="F414" s="203"/>
      <c r="G414" s="185"/>
      <c r="H414" s="185"/>
      <c r="I414" s="185"/>
      <c r="J414" s="185"/>
      <c r="K414" s="185"/>
      <c r="L414" s="185"/>
      <c r="M414" s="185"/>
      <c r="N414" s="185"/>
      <c r="O414" s="185"/>
      <c r="P414" s="185"/>
      <c r="Q414" s="185"/>
      <c r="R414" s="185"/>
      <c r="S414" s="185"/>
      <c r="T414" s="185"/>
      <c r="U414" s="185"/>
      <c r="V414" s="185"/>
      <c r="W414" s="185"/>
      <c r="X414" s="185"/>
      <c r="Y414" s="185"/>
      <c r="Z414" s="185"/>
      <c r="AA414" s="185"/>
      <c r="AB414" s="185" t="str">
        <f>IFERROR(__xludf.DUMMYFUNCTION("LET(width,COLUMN($AB$1)-COLUMN($G$1),r,INDEX($G414:$AAB414,1,SEQUENCE(1,width)),flat,TOCOL(r,1),bad,FILTER(flat,COUNTIF('リスト'!$E:$E,flat)=0),IFERROR(TEXTJOIN(""\n"",TRUE,bad),""""))"),"")</f>
        <v/>
      </c>
      <c r="AC414" s="185"/>
      <c r="AD414" s="185"/>
    </row>
    <row r="415">
      <c r="A415" s="185"/>
      <c r="B415" s="185"/>
      <c r="C415" s="185"/>
      <c r="D415" s="185"/>
      <c r="E415" s="203"/>
      <c r="F415" s="203"/>
      <c r="G415" s="185"/>
      <c r="H415" s="185"/>
      <c r="I415" s="185"/>
      <c r="J415" s="185"/>
      <c r="K415" s="185"/>
      <c r="L415" s="185"/>
      <c r="M415" s="185"/>
      <c r="N415" s="185"/>
      <c r="O415" s="185"/>
      <c r="P415" s="185"/>
      <c r="Q415" s="185"/>
      <c r="R415" s="185"/>
      <c r="S415" s="185"/>
      <c r="T415" s="185"/>
      <c r="U415" s="185"/>
      <c r="V415" s="185"/>
      <c r="W415" s="185"/>
      <c r="X415" s="185"/>
      <c r="Y415" s="185"/>
      <c r="Z415" s="185"/>
      <c r="AA415" s="185"/>
      <c r="AB415" s="185" t="str">
        <f>IFERROR(__xludf.DUMMYFUNCTION("LET(width,COLUMN($AB$1)-COLUMN($G$1),r,INDEX($G415:$AAB415,1,SEQUENCE(1,width)),flat,TOCOL(r,1),bad,FILTER(flat,COUNTIF('リスト'!$E:$E,flat)=0),IFERROR(TEXTJOIN(""\n"",TRUE,bad),""""))"),"")</f>
        <v/>
      </c>
      <c r="AC415" s="185"/>
      <c r="AD415" s="185"/>
    </row>
    <row r="416">
      <c r="A416" s="185"/>
      <c r="B416" s="185"/>
      <c r="C416" s="185"/>
      <c r="D416" s="185"/>
      <c r="E416" s="203"/>
      <c r="F416" s="203"/>
      <c r="G416" s="185"/>
      <c r="H416" s="185"/>
      <c r="I416" s="185"/>
      <c r="J416" s="185"/>
      <c r="K416" s="185"/>
      <c r="L416" s="185"/>
      <c r="M416" s="185"/>
      <c r="N416" s="185"/>
      <c r="O416" s="185"/>
      <c r="P416" s="185"/>
      <c r="Q416" s="185"/>
      <c r="R416" s="185"/>
      <c r="S416" s="185"/>
      <c r="T416" s="185"/>
      <c r="U416" s="185"/>
      <c r="V416" s="185"/>
      <c r="W416" s="185"/>
      <c r="X416" s="185"/>
      <c r="Y416" s="185"/>
      <c r="Z416" s="185"/>
      <c r="AA416" s="185"/>
      <c r="AB416" s="185" t="str">
        <f>IFERROR(__xludf.DUMMYFUNCTION("LET(width,COLUMN($AB$1)-COLUMN($G$1),r,INDEX($G416:$AAB416,1,SEQUENCE(1,width)),flat,TOCOL(r,1),bad,FILTER(flat,COUNTIF('リスト'!$E:$E,flat)=0),IFERROR(TEXTJOIN(""\n"",TRUE,bad),""""))"),"")</f>
        <v/>
      </c>
      <c r="AC416" s="185"/>
      <c r="AD416" s="185"/>
    </row>
    <row r="417">
      <c r="A417" s="185"/>
      <c r="B417" s="185"/>
      <c r="C417" s="185"/>
      <c r="D417" s="185"/>
      <c r="E417" s="203"/>
      <c r="F417" s="203"/>
      <c r="G417" s="185"/>
      <c r="H417" s="185"/>
      <c r="I417" s="185"/>
      <c r="J417" s="185"/>
      <c r="K417" s="185"/>
      <c r="L417" s="185"/>
      <c r="M417" s="185"/>
      <c r="N417" s="185"/>
      <c r="O417" s="185"/>
      <c r="P417" s="185"/>
      <c r="Q417" s="185"/>
      <c r="R417" s="185"/>
      <c r="S417" s="185"/>
      <c r="T417" s="185"/>
      <c r="U417" s="185"/>
      <c r="V417" s="185"/>
      <c r="W417" s="185"/>
      <c r="X417" s="185"/>
      <c r="Y417" s="185"/>
      <c r="Z417" s="185"/>
      <c r="AA417" s="185"/>
      <c r="AB417" s="185" t="str">
        <f>IFERROR(__xludf.DUMMYFUNCTION("LET(width,COLUMN($AB$1)-COLUMN($G$1),r,INDEX($G417:$AAB417,1,SEQUENCE(1,width)),flat,TOCOL(r,1),bad,FILTER(flat,COUNTIF('リスト'!$E:$E,flat)=0),IFERROR(TEXTJOIN(""\n"",TRUE,bad),""""))"),"")</f>
        <v/>
      </c>
      <c r="AC417" s="185"/>
      <c r="AD417" s="185"/>
    </row>
    <row r="418">
      <c r="A418" s="185"/>
      <c r="B418" s="185"/>
      <c r="C418" s="185"/>
      <c r="D418" s="185"/>
      <c r="E418" s="203"/>
      <c r="F418" s="203"/>
      <c r="G418" s="185"/>
      <c r="H418" s="185"/>
      <c r="I418" s="185"/>
      <c r="J418" s="185"/>
      <c r="K418" s="185"/>
      <c r="L418" s="185"/>
      <c r="M418" s="185"/>
      <c r="N418" s="185"/>
      <c r="O418" s="185"/>
      <c r="P418" s="185"/>
      <c r="Q418" s="185"/>
      <c r="R418" s="185"/>
      <c r="S418" s="185"/>
      <c r="T418" s="185"/>
      <c r="U418" s="185"/>
      <c r="V418" s="185"/>
      <c r="W418" s="185"/>
      <c r="X418" s="185"/>
      <c r="Y418" s="185"/>
      <c r="Z418" s="185"/>
      <c r="AA418" s="185"/>
      <c r="AB418" s="185" t="str">
        <f>IFERROR(__xludf.DUMMYFUNCTION("LET(width,COLUMN($AB$1)-COLUMN($G$1),r,INDEX($G418:$AAB418,1,SEQUENCE(1,width)),flat,TOCOL(r,1),bad,FILTER(flat,COUNTIF('リスト'!$E:$E,flat)=0),IFERROR(TEXTJOIN(""\n"",TRUE,bad),""""))"),"")</f>
        <v/>
      </c>
      <c r="AC418" s="185"/>
      <c r="AD418" s="185"/>
    </row>
    <row r="419">
      <c r="A419" s="185"/>
      <c r="B419" s="185"/>
      <c r="C419" s="185"/>
      <c r="D419" s="185"/>
      <c r="E419" s="203"/>
      <c r="F419" s="203"/>
      <c r="G419" s="185"/>
      <c r="H419" s="185"/>
      <c r="I419" s="185"/>
      <c r="J419" s="185"/>
      <c r="K419" s="185"/>
      <c r="L419" s="185"/>
      <c r="M419" s="185"/>
      <c r="N419" s="185"/>
      <c r="O419" s="185"/>
      <c r="P419" s="185"/>
      <c r="Q419" s="185"/>
      <c r="R419" s="185"/>
      <c r="S419" s="185"/>
      <c r="T419" s="185"/>
      <c r="U419" s="185"/>
      <c r="V419" s="185"/>
      <c r="W419" s="185"/>
      <c r="X419" s="185"/>
      <c r="Y419" s="185"/>
      <c r="Z419" s="185"/>
      <c r="AA419" s="185"/>
      <c r="AB419" s="185" t="str">
        <f>IFERROR(__xludf.DUMMYFUNCTION("LET(width,COLUMN($AB$1)-COLUMN($G$1),r,INDEX($G419:$AAB419,1,SEQUENCE(1,width)),flat,TOCOL(r,1),bad,FILTER(flat,COUNTIF('リスト'!$E:$E,flat)=0),IFERROR(TEXTJOIN(""\n"",TRUE,bad),""""))"),"")</f>
        <v/>
      </c>
      <c r="AC419" s="185"/>
      <c r="AD419" s="185"/>
    </row>
    <row r="420">
      <c r="A420" s="185"/>
      <c r="B420" s="185"/>
      <c r="C420" s="185"/>
      <c r="D420" s="185"/>
      <c r="E420" s="203"/>
      <c r="F420" s="203"/>
      <c r="G420" s="185"/>
      <c r="H420" s="185"/>
      <c r="I420" s="185"/>
      <c r="J420" s="185"/>
      <c r="K420" s="185"/>
      <c r="L420" s="185"/>
      <c r="M420" s="185"/>
      <c r="N420" s="185"/>
      <c r="O420" s="185"/>
      <c r="P420" s="185"/>
      <c r="Q420" s="185"/>
      <c r="R420" s="185"/>
      <c r="S420" s="185"/>
      <c r="T420" s="185"/>
      <c r="U420" s="185"/>
      <c r="V420" s="185"/>
      <c r="W420" s="185"/>
      <c r="X420" s="185"/>
      <c r="Y420" s="185"/>
      <c r="Z420" s="185"/>
      <c r="AA420" s="185"/>
      <c r="AB420" s="185" t="str">
        <f>IFERROR(__xludf.DUMMYFUNCTION("LET(width,COLUMN($AB$1)-COLUMN($G$1),r,INDEX($G420:$AAB420,1,SEQUENCE(1,width)),flat,TOCOL(r,1),bad,FILTER(flat,COUNTIF('リスト'!$E:$E,flat)=0),IFERROR(TEXTJOIN(""\n"",TRUE,bad),""""))"),"")</f>
        <v/>
      </c>
      <c r="AC420" s="185"/>
      <c r="AD420" s="185"/>
    </row>
    <row r="421">
      <c r="A421" s="185"/>
      <c r="B421" s="185"/>
      <c r="C421" s="185"/>
      <c r="D421" s="185"/>
      <c r="E421" s="203"/>
      <c r="F421" s="203"/>
      <c r="G421" s="185"/>
      <c r="H421" s="185"/>
      <c r="I421" s="185"/>
      <c r="J421" s="185"/>
      <c r="K421" s="185"/>
      <c r="L421" s="185"/>
      <c r="M421" s="185"/>
      <c r="N421" s="185"/>
      <c r="O421" s="185"/>
      <c r="P421" s="185"/>
      <c r="Q421" s="185"/>
      <c r="R421" s="185"/>
      <c r="S421" s="185"/>
      <c r="T421" s="185"/>
      <c r="U421" s="185"/>
      <c r="V421" s="185"/>
      <c r="W421" s="185"/>
      <c r="X421" s="185"/>
      <c r="Y421" s="185"/>
      <c r="Z421" s="185"/>
      <c r="AA421" s="185"/>
      <c r="AB421" s="185" t="str">
        <f>IFERROR(__xludf.DUMMYFUNCTION("LET(width,COLUMN($AB$1)-COLUMN($G$1),r,INDEX($G421:$AAB421,1,SEQUENCE(1,width)),flat,TOCOL(r,1),bad,FILTER(flat,COUNTIF('リスト'!$E:$E,flat)=0),IFERROR(TEXTJOIN(""\n"",TRUE,bad),""""))"),"")</f>
        <v/>
      </c>
      <c r="AC421" s="185"/>
      <c r="AD421" s="185"/>
    </row>
    <row r="422">
      <c r="A422" s="185"/>
      <c r="B422" s="185"/>
      <c r="C422" s="185"/>
      <c r="D422" s="185"/>
      <c r="E422" s="203"/>
      <c r="F422" s="203"/>
      <c r="G422" s="185"/>
      <c r="H422" s="185"/>
      <c r="I422" s="185"/>
      <c r="J422" s="185"/>
      <c r="K422" s="185"/>
      <c r="L422" s="185"/>
      <c r="M422" s="185"/>
      <c r="N422" s="185"/>
      <c r="O422" s="185"/>
      <c r="P422" s="185"/>
      <c r="Q422" s="185"/>
      <c r="R422" s="185"/>
      <c r="S422" s="185"/>
      <c r="T422" s="185"/>
      <c r="U422" s="185"/>
      <c r="V422" s="185"/>
      <c r="W422" s="185"/>
      <c r="X422" s="185"/>
      <c r="Y422" s="185"/>
      <c r="Z422" s="185"/>
      <c r="AA422" s="185"/>
      <c r="AB422" s="185" t="str">
        <f>IFERROR(__xludf.DUMMYFUNCTION("LET(width,COLUMN($AB$1)-COLUMN($G$1),r,INDEX($G422:$AAB422,1,SEQUENCE(1,width)),flat,TOCOL(r,1),bad,FILTER(flat,COUNTIF('リスト'!$E:$E,flat)=0),IFERROR(TEXTJOIN(""\n"",TRUE,bad),""""))"),"")</f>
        <v/>
      </c>
      <c r="AC422" s="185"/>
      <c r="AD422" s="185"/>
    </row>
    <row r="423">
      <c r="A423" s="185"/>
      <c r="B423" s="185"/>
      <c r="C423" s="185"/>
      <c r="D423" s="185"/>
      <c r="E423" s="203"/>
      <c r="F423" s="203"/>
      <c r="G423" s="185"/>
      <c r="H423" s="185"/>
      <c r="I423" s="185"/>
      <c r="J423" s="185"/>
      <c r="K423" s="185"/>
      <c r="L423" s="185"/>
      <c r="M423" s="185"/>
      <c r="N423" s="185"/>
      <c r="O423" s="185"/>
      <c r="P423" s="185"/>
      <c r="Q423" s="185"/>
      <c r="R423" s="185"/>
      <c r="S423" s="185"/>
      <c r="T423" s="185"/>
      <c r="U423" s="185"/>
      <c r="V423" s="185"/>
      <c r="W423" s="185"/>
      <c r="X423" s="185"/>
      <c r="Y423" s="185"/>
      <c r="Z423" s="185"/>
      <c r="AA423" s="185"/>
      <c r="AB423" s="185" t="str">
        <f>IFERROR(__xludf.DUMMYFUNCTION("LET(width,COLUMN($AB$1)-COLUMN($G$1),r,INDEX($G423:$AAB423,1,SEQUENCE(1,width)),flat,TOCOL(r,1),bad,FILTER(flat,COUNTIF('リスト'!$E:$E,flat)=0),IFERROR(TEXTJOIN(""\n"",TRUE,bad),""""))"),"")</f>
        <v/>
      </c>
      <c r="AC423" s="185"/>
      <c r="AD423" s="185"/>
    </row>
    <row r="424">
      <c r="A424" s="185"/>
      <c r="B424" s="185"/>
      <c r="C424" s="185"/>
      <c r="D424" s="185"/>
      <c r="E424" s="203"/>
      <c r="F424" s="203"/>
      <c r="G424" s="185"/>
      <c r="H424" s="185"/>
      <c r="I424" s="185"/>
      <c r="J424" s="185"/>
      <c r="K424" s="185"/>
      <c r="L424" s="185"/>
      <c r="M424" s="185"/>
      <c r="N424" s="185"/>
      <c r="O424" s="185"/>
      <c r="P424" s="185"/>
      <c r="Q424" s="185"/>
      <c r="R424" s="185"/>
      <c r="S424" s="185"/>
      <c r="T424" s="185"/>
      <c r="U424" s="185"/>
      <c r="V424" s="185"/>
      <c r="W424" s="185"/>
      <c r="X424" s="185"/>
      <c r="Y424" s="185"/>
      <c r="Z424" s="185"/>
      <c r="AA424" s="185"/>
      <c r="AB424" s="185" t="str">
        <f>IFERROR(__xludf.DUMMYFUNCTION("LET(width,COLUMN($AB$1)-COLUMN($G$1),r,INDEX($G424:$AAB424,1,SEQUENCE(1,width)),flat,TOCOL(r,1),bad,FILTER(flat,COUNTIF('リスト'!$E:$E,flat)=0),IFERROR(TEXTJOIN(""\n"",TRUE,bad),""""))"),"")</f>
        <v/>
      </c>
      <c r="AC424" s="185"/>
      <c r="AD424" s="185"/>
    </row>
    <row r="425">
      <c r="A425" s="185"/>
      <c r="B425" s="185"/>
      <c r="C425" s="185"/>
      <c r="D425" s="185"/>
      <c r="E425" s="203"/>
      <c r="F425" s="203"/>
      <c r="G425" s="185"/>
      <c r="H425" s="185"/>
      <c r="I425" s="185"/>
      <c r="J425" s="185"/>
      <c r="K425" s="185"/>
      <c r="L425" s="185"/>
      <c r="M425" s="185"/>
      <c r="N425" s="185"/>
      <c r="O425" s="185"/>
      <c r="P425" s="185"/>
      <c r="Q425" s="185"/>
      <c r="R425" s="185"/>
      <c r="S425" s="185"/>
      <c r="T425" s="185"/>
      <c r="U425" s="185"/>
      <c r="V425" s="185"/>
      <c r="W425" s="185"/>
      <c r="X425" s="185"/>
      <c r="Y425" s="185"/>
      <c r="Z425" s="185"/>
      <c r="AA425" s="185"/>
      <c r="AB425" s="185" t="str">
        <f>IFERROR(__xludf.DUMMYFUNCTION("LET(width,COLUMN($AB$1)-COLUMN($G$1),r,INDEX($G425:$AAB425,1,SEQUENCE(1,width)),flat,TOCOL(r,1),bad,FILTER(flat,COUNTIF('リスト'!$E:$E,flat)=0),IFERROR(TEXTJOIN(""\n"",TRUE,bad),""""))"),"")</f>
        <v/>
      </c>
      <c r="AC425" s="185"/>
      <c r="AD425" s="185"/>
    </row>
    <row r="426">
      <c r="A426" s="185"/>
      <c r="B426" s="185"/>
      <c r="C426" s="185"/>
      <c r="D426" s="185"/>
      <c r="E426" s="203"/>
      <c r="F426" s="203"/>
      <c r="G426" s="185"/>
      <c r="H426" s="185"/>
      <c r="I426" s="185"/>
      <c r="J426" s="185"/>
      <c r="K426" s="185"/>
      <c r="L426" s="185"/>
      <c r="M426" s="185"/>
      <c r="N426" s="185"/>
      <c r="O426" s="185"/>
      <c r="P426" s="185"/>
      <c r="Q426" s="185"/>
      <c r="R426" s="185"/>
      <c r="S426" s="185"/>
      <c r="T426" s="185"/>
      <c r="U426" s="185"/>
      <c r="V426" s="185"/>
      <c r="W426" s="185"/>
      <c r="X426" s="185"/>
      <c r="Y426" s="185"/>
      <c r="Z426" s="185"/>
      <c r="AA426" s="185"/>
      <c r="AB426" s="185" t="str">
        <f>IFERROR(__xludf.DUMMYFUNCTION("LET(width,COLUMN($AB$1)-COLUMN($G$1),r,INDEX($G426:$AAB426,1,SEQUENCE(1,width)),flat,TOCOL(r,1),bad,FILTER(flat,COUNTIF('リスト'!$E:$E,flat)=0),IFERROR(TEXTJOIN(""\n"",TRUE,bad),""""))"),"")</f>
        <v/>
      </c>
      <c r="AC426" s="185"/>
      <c r="AD426" s="185"/>
    </row>
    <row r="427">
      <c r="A427" s="185"/>
      <c r="B427" s="185"/>
      <c r="C427" s="185"/>
      <c r="D427" s="185"/>
      <c r="E427" s="203"/>
      <c r="F427" s="203"/>
      <c r="G427" s="185"/>
      <c r="H427" s="185"/>
      <c r="I427" s="185"/>
      <c r="J427" s="185"/>
      <c r="K427" s="185"/>
      <c r="L427" s="185"/>
      <c r="M427" s="185"/>
      <c r="N427" s="185"/>
      <c r="O427" s="185"/>
      <c r="P427" s="185"/>
      <c r="Q427" s="185"/>
      <c r="R427" s="185"/>
      <c r="S427" s="185"/>
      <c r="T427" s="185"/>
      <c r="U427" s="185"/>
      <c r="V427" s="185"/>
      <c r="W427" s="185"/>
      <c r="X427" s="185"/>
      <c r="Y427" s="185"/>
      <c r="Z427" s="185"/>
      <c r="AA427" s="185"/>
      <c r="AB427" s="185" t="str">
        <f>IFERROR(__xludf.DUMMYFUNCTION("LET(width,COLUMN($AB$1)-COLUMN($G$1),r,INDEX($G427:$AAB427,1,SEQUENCE(1,width)),flat,TOCOL(r,1),bad,FILTER(flat,COUNTIF('リスト'!$E:$E,flat)=0),IFERROR(TEXTJOIN(""\n"",TRUE,bad),""""))"),"")</f>
        <v/>
      </c>
      <c r="AC427" s="185"/>
      <c r="AD427" s="185"/>
    </row>
    <row r="428">
      <c r="A428" s="185"/>
      <c r="B428" s="185"/>
      <c r="C428" s="185"/>
      <c r="D428" s="185"/>
      <c r="E428" s="203"/>
      <c r="F428" s="203"/>
      <c r="G428" s="185"/>
      <c r="H428" s="185"/>
      <c r="I428" s="185"/>
      <c r="J428" s="185"/>
      <c r="K428" s="185"/>
      <c r="L428" s="185"/>
      <c r="M428" s="185"/>
      <c r="N428" s="185"/>
      <c r="O428" s="185"/>
      <c r="P428" s="185"/>
      <c r="Q428" s="185"/>
      <c r="R428" s="185"/>
      <c r="S428" s="185"/>
      <c r="T428" s="185"/>
      <c r="U428" s="185"/>
      <c r="V428" s="185"/>
      <c r="W428" s="185"/>
      <c r="X428" s="185"/>
      <c r="Y428" s="185"/>
      <c r="Z428" s="185"/>
      <c r="AA428" s="185"/>
      <c r="AB428" s="185" t="str">
        <f>IFERROR(__xludf.DUMMYFUNCTION("LET(width,COLUMN($AB$1)-COLUMN($G$1),r,INDEX($G428:$AAB428,1,SEQUENCE(1,width)),flat,TOCOL(r,1),bad,FILTER(flat,COUNTIF('リスト'!$E:$E,flat)=0),IFERROR(TEXTJOIN(""\n"",TRUE,bad),""""))"),"")</f>
        <v/>
      </c>
      <c r="AC428" s="185"/>
      <c r="AD428" s="185"/>
    </row>
    <row r="429">
      <c r="A429" s="185"/>
      <c r="B429" s="185"/>
      <c r="C429" s="185"/>
      <c r="D429" s="185"/>
      <c r="E429" s="203"/>
      <c r="F429" s="203"/>
      <c r="G429" s="185"/>
      <c r="H429" s="185"/>
      <c r="I429" s="185"/>
      <c r="J429" s="185"/>
      <c r="K429" s="185"/>
      <c r="L429" s="185"/>
      <c r="M429" s="185"/>
      <c r="N429" s="185"/>
      <c r="O429" s="185"/>
      <c r="P429" s="185"/>
      <c r="Q429" s="185"/>
      <c r="R429" s="185"/>
      <c r="S429" s="185"/>
      <c r="T429" s="185"/>
      <c r="U429" s="185"/>
      <c r="V429" s="185"/>
      <c r="W429" s="185"/>
      <c r="X429" s="185"/>
      <c r="Y429" s="185"/>
      <c r="Z429" s="185"/>
      <c r="AA429" s="185"/>
      <c r="AB429" s="185" t="str">
        <f>IFERROR(__xludf.DUMMYFUNCTION("LET(width,COLUMN($AB$1)-COLUMN($G$1),r,INDEX($G429:$AAB429,1,SEQUENCE(1,width)),flat,TOCOL(r,1),bad,FILTER(flat,COUNTIF('リスト'!$E:$E,flat)=0),IFERROR(TEXTJOIN(""\n"",TRUE,bad),""""))"),"")</f>
        <v/>
      </c>
      <c r="AC429" s="185"/>
      <c r="AD429" s="185"/>
    </row>
    <row r="430">
      <c r="A430" s="185"/>
      <c r="B430" s="185"/>
      <c r="C430" s="185"/>
      <c r="D430" s="185"/>
      <c r="E430" s="203"/>
      <c r="F430" s="203"/>
      <c r="G430" s="185"/>
      <c r="H430" s="185"/>
      <c r="I430" s="185"/>
      <c r="J430" s="185"/>
      <c r="K430" s="185"/>
      <c r="L430" s="185"/>
      <c r="M430" s="185"/>
      <c r="N430" s="185"/>
      <c r="O430" s="185"/>
      <c r="P430" s="185"/>
      <c r="Q430" s="185"/>
      <c r="R430" s="185"/>
      <c r="S430" s="185"/>
      <c r="T430" s="185"/>
      <c r="U430" s="185"/>
      <c r="V430" s="185"/>
      <c r="W430" s="185"/>
      <c r="X430" s="185"/>
      <c r="Y430" s="185"/>
      <c r="Z430" s="185"/>
      <c r="AA430" s="185"/>
      <c r="AB430" s="185" t="str">
        <f>IFERROR(__xludf.DUMMYFUNCTION("LET(width,COLUMN($AB$1)-COLUMN($G$1),r,INDEX($G430:$AAB430,1,SEQUENCE(1,width)),flat,TOCOL(r,1),bad,FILTER(flat,COUNTIF('リスト'!$E:$E,flat)=0),IFERROR(TEXTJOIN(""\n"",TRUE,bad),""""))"),"")</f>
        <v/>
      </c>
      <c r="AC430" s="185"/>
      <c r="AD430" s="185"/>
    </row>
    <row r="431">
      <c r="A431" s="185"/>
      <c r="B431" s="185"/>
      <c r="C431" s="185"/>
      <c r="D431" s="185"/>
      <c r="E431" s="203"/>
      <c r="F431" s="203"/>
      <c r="G431" s="185"/>
      <c r="H431" s="185"/>
      <c r="I431" s="185"/>
      <c r="J431" s="185"/>
      <c r="K431" s="185"/>
      <c r="L431" s="185"/>
      <c r="M431" s="185"/>
      <c r="N431" s="185"/>
      <c r="O431" s="185"/>
      <c r="P431" s="185"/>
      <c r="Q431" s="185"/>
      <c r="R431" s="185"/>
      <c r="S431" s="185"/>
      <c r="T431" s="185"/>
      <c r="U431" s="185"/>
      <c r="V431" s="185"/>
      <c r="W431" s="185"/>
      <c r="X431" s="185"/>
      <c r="Y431" s="185"/>
      <c r="Z431" s="185"/>
      <c r="AA431" s="185"/>
      <c r="AB431" s="185" t="str">
        <f>IFERROR(__xludf.DUMMYFUNCTION("LET(width,COLUMN($AB$1)-COLUMN($G$1),r,INDEX($G431:$AAB431,1,SEQUENCE(1,width)),flat,TOCOL(r,1),bad,FILTER(flat,COUNTIF('リスト'!$E:$E,flat)=0),IFERROR(TEXTJOIN(""\n"",TRUE,bad),""""))"),"")</f>
        <v/>
      </c>
      <c r="AC431" s="185"/>
      <c r="AD431" s="185"/>
    </row>
    <row r="432">
      <c r="A432" s="185"/>
      <c r="B432" s="185"/>
      <c r="C432" s="185"/>
      <c r="D432" s="185"/>
      <c r="E432" s="203"/>
      <c r="F432" s="203"/>
      <c r="G432" s="185"/>
      <c r="H432" s="185"/>
      <c r="I432" s="185"/>
      <c r="J432" s="185"/>
      <c r="K432" s="185"/>
      <c r="L432" s="185"/>
      <c r="M432" s="185"/>
      <c r="N432" s="185"/>
      <c r="O432" s="185"/>
      <c r="P432" s="185"/>
      <c r="Q432" s="185"/>
      <c r="R432" s="185"/>
      <c r="S432" s="185"/>
      <c r="T432" s="185"/>
      <c r="U432" s="185"/>
      <c r="V432" s="185"/>
      <c r="W432" s="185"/>
      <c r="X432" s="185"/>
      <c r="Y432" s="185"/>
      <c r="Z432" s="185"/>
      <c r="AA432" s="185"/>
      <c r="AB432" s="185" t="str">
        <f>IFERROR(__xludf.DUMMYFUNCTION("LET(width,COLUMN($AB$1)-COLUMN($G$1),r,INDEX($G432:$AAB432,1,SEQUENCE(1,width)),flat,TOCOL(r,1),bad,FILTER(flat,COUNTIF('リスト'!$E:$E,flat)=0),IFERROR(TEXTJOIN(""\n"",TRUE,bad),""""))"),"")</f>
        <v/>
      </c>
      <c r="AC432" s="185"/>
      <c r="AD432" s="185"/>
    </row>
    <row r="433">
      <c r="A433" s="185"/>
      <c r="B433" s="185"/>
      <c r="C433" s="185"/>
      <c r="D433" s="185"/>
      <c r="E433" s="203"/>
      <c r="F433" s="203"/>
      <c r="G433" s="185"/>
      <c r="H433" s="185"/>
      <c r="I433" s="185"/>
      <c r="J433" s="185"/>
      <c r="K433" s="185"/>
      <c r="L433" s="185"/>
      <c r="M433" s="185"/>
      <c r="N433" s="185"/>
      <c r="O433" s="185"/>
      <c r="P433" s="185"/>
      <c r="Q433" s="185"/>
      <c r="R433" s="185"/>
      <c r="S433" s="185"/>
      <c r="T433" s="185"/>
      <c r="U433" s="185"/>
      <c r="V433" s="185"/>
      <c r="W433" s="185"/>
      <c r="X433" s="185"/>
      <c r="Y433" s="185"/>
      <c r="Z433" s="185"/>
      <c r="AA433" s="185"/>
      <c r="AB433" s="185" t="str">
        <f>IFERROR(__xludf.DUMMYFUNCTION("LET(width,COLUMN($AB$1)-COLUMN($G$1),r,INDEX($G433:$AAB433,1,SEQUENCE(1,width)),flat,TOCOL(r,1),bad,FILTER(flat,COUNTIF('リスト'!$E:$E,flat)=0),IFERROR(TEXTJOIN(""\n"",TRUE,bad),""""))"),"")</f>
        <v/>
      </c>
      <c r="AC433" s="185"/>
      <c r="AD433" s="185"/>
    </row>
    <row r="434">
      <c r="A434" s="185"/>
      <c r="B434" s="185"/>
      <c r="C434" s="185"/>
      <c r="D434" s="185"/>
      <c r="E434" s="203"/>
      <c r="F434" s="203"/>
      <c r="G434" s="185"/>
      <c r="H434" s="185"/>
      <c r="I434" s="185"/>
      <c r="J434" s="185"/>
      <c r="K434" s="185"/>
      <c r="L434" s="185"/>
      <c r="M434" s="185"/>
      <c r="N434" s="185"/>
      <c r="O434" s="185"/>
      <c r="P434" s="185"/>
      <c r="Q434" s="185"/>
      <c r="R434" s="185"/>
      <c r="S434" s="185"/>
      <c r="T434" s="185"/>
      <c r="U434" s="185"/>
      <c r="V434" s="185"/>
      <c r="W434" s="185"/>
      <c r="X434" s="185"/>
      <c r="Y434" s="185"/>
      <c r="Z434" s="185"/>
      <c r="AA434" s="185"/>
      <c r="AB434" s="185" t="str">
        <f>IFERROR(__xludf.DUMMYFUNCTION("LET(width,COLUMN($AB$1)-COLUMN($G$1),r,INDEX($G434:$AAB434,1,SEQUENCE(1,width)),flat,TOCOL(r,1),bad,FILTER(flat,COUNTIF('リスト'!$E:$E,flat)=0),IFERROR(TEXTJOIN(""\n"",TRUE,bad),""""))"),"")</f>
        <v/>
      </c>
      <c r="AC434" s="185"/>
      <c r="AD434" s="185"/>
    </row>
    <row r="435">
      <c r="A435" s="185"/>
      <c r="B435" s="185"/>
      <c r="C435" s="185"/>
      <c r="D435" s="185"/>
      <c r="E435" s="203"/>
      <c r="F435" s="203"/>
      <c r="G435" s="185"/>
      <c r="H435" s="185"/>
      <c r="I435" s="185"/>
      <c r="J435" s="185"/>
      <c r="K435" s="185"/>
      <c r="L435" s="185"/>
      <c r="M435" s="185"/>
      <c r="N435" s="185"/>
      <c r="O435" s="185"/>
      <c r="P435" s="185"/>
      <c r="Q435" s="185"/>
      <c r="R435" s="185"/>
      <c r="S435" s="185"/>
      <c r="T435" s="185"/>
      <c r="U435" s="185"/>
      <c r="V435" s="185"/>
      <c r="W435" s="185"/>
      <c r="X435" s="185"/>
      <c r="Y435" s="185"/>
      <c r="Z435" s="185"/>
      <c r="AA435" s="185"/>
      <c r="AB435" s="185" t="str">
        <f>IFERROR(__xludf.DUMMYFUNCTION("LET(width,COLUMN($AB$1)-COLUMN($G$1),r,INDEX($G435:$AAB435,1,SEQUENCE(1,width)),flat,TOCOL(r,1),bad,FILTER(flat,COUNTIF('リスト'!$E:$E,flat)=0),IFERROR(TEXTJOIN(""\n"",TRUE,bad),""""))"),"")</f>
        <v/>
      </c>
      <c r="AC435" s="185"/>
      <c r="AD435" s="185"/>
    </row>
    <row r="436">
      <c r="A436" s="185"/>
      <c r="B436" s="185"/>
      <c r="C436" s="185"/>
      <c r="D436" s="185"/>
      <c r="E436" s="203"/>
      <c r="F436" s="203"/>
      <c r="G436" s="185"/>
      <c r="H436" s="185"/>
      <c r="I436" s="185"/>
      <c r="J436" s="185"/>
      <c r="K436" s="185"/>
      <c r="L436" s="185"/>
      <c r="M436" s="185"/>
      <c r="N436" s="185"/>
      <c r="O436" s="185"/>
      <c r="P436" s="185"/>
      <c r="Q436" s="185"/>
      <c r="R436" s="185"/>
      <c r="S436" s="185"/>
      <c r="T436" s="185"/>
      <c r="U436" s="185"/>
      <c r="V436" s="185"/>
      <c r="W436" s="185"/>
      <c r="X436" s="185"/>
      <c r="Y436" s="185"/>
      <c r="Z436" s="185"/>
      <c r="AA436" s="185"/>
      <c r="AB436" s="185" t="str">
        <f>IFERROR(__xludf.DUMMYFUNCTION("LET(width,COLUMN($AB$1)-COLUMN($G$1),r,INDEX($G436:$AAB436,1,SEQUENCE(1,width)),flat,TOCOL(r,1),bad,FILTER(flat,COUNTIF('リスト'!$E:$E,flat)=0),IFERROR(TEXTJOIN(""\n"",TRUE,bad),""""))"),"")</f>
        <v/>
      </c>
      <c r="AC436" s="185"/>
      <c r="AD436" s="185"/>
    </row>
    <row r="437">
      <c r="A437" s="185"/>
      <c r="B437" s="185"/>
      <c r="C437" s="185"/>
      <c r="D437" s="185"/>
      <c r="E437" s="203"/>
      <c r="F437" s="203"/>
      <c r="G437" s="185"/>
      <c r="H437" s="185"/>
      <c r="I437" s="185"/>
      <c r="J437" s="185"/>
      <c r="K437" s="185"/>
      <c r="L437" s="185"/>
      <c r="M437" s="185"/>
      <c r="N437" s="185"/>
      <c r="O437" s="185"/>
      <c r="P437" s="185"/>
      <c r="Q437" s="185"/>
      <c r="R437" s="185"/>
      <c r="S437" s="185"/>
      <c r="T437" s="185"/>
      <c r="U437" s="185"/>
      <c r="V437" s="185"/>
      <c r="W437" s="185"/>
      <c r="X437" s="185"/>
      <c r="Y437" s="185"/>
      <c r="Z437" s="185"/>
      <c r="AA437" s="185"/>
      <c r="AB437" s="185" t="str">
        <f>IFERROR(__xludf.DUMMYFUNCTION("LET(width,COLUMN($AB$1)-COLUMN($G$1),r,INDEX($G437:$AAB437,1,SEQUENCE(1,width)),flat,TOCOL(r,1),bad,FILTER(flat,COUNTIF('リスト'!$E:$E,flat)=0),IFERROR(TEXTJOIN(""\n"",TRUE,bad),""""))"),"")</f>
        <v/>
      </c>
      <c r="AC437" s="185"/>
      <c r="AD437" s="185"/>
    </row>
    <row r="438">
      <c r="A438" s="185"/>
      <c r="B438" s="185"/>
      <c r="C438" s="185"/>
      <c r="D438" s="185"/>
      <c r="E438" s="203"/>
      <c r="F438" s="203"/>
      <c r="G438" s="185"/>
      <c r="H438" s="185"/>
      <c r="I438" s="185"/>
      <c r="J438" s="185"/>
      <c r="K438" s="185"/>
      <c r="L438" s="185"/>
      <c r="M438" s="185"/>
      <c r="N438" s="185"/>
      <c r="O438" s="185"/>
      <c r="P438" s="185"/>
      <c r="Q438" s="185"/>
      <c r="R438" s="185"/>
      <c r="S438" s="185"/>
      <c r="T438" s="185"/>
      <c r="U438" s="185"/>
      <c r="V438" s="185"/>
      <c r="W438" s="185"/>
      <c r="X438" s="185"/>
      <c r="Y438" s="185"/>
      <c r="Z438" s="185"/>
      <c r="AA438" s="185"/>
      <c r="AB438" s="185" t="str">
        <f>IFERROR(__xludf.DUMMYFUNCTION("LET(width,COLUMN($AB$1)-COLUMN($G$1),r,INDEX($G438:$AAB438,1,SEQUENCE(1,width)),flat,TOCOL(r,1),bad,FILTER(flat,COUNTIF('リスト'!$E:$E,flat)=0),IFERROR(TEXTJOIN(""\n"",TRUE,bad),""""))"),"")</f>
        <v/>
      </c>
      <c r="AC438" s="185"/>
      <c r="AD438" s="185"/>
    </row>
    <row r="439">
      <c r="A439" s="185"/>
      <c r="B439" s="185"/>
      <c r="C439" s="185"/>
      <c r="D439" s="185"/>
      <c r="E439" s="203"/>
      <c r="F439" s="203"/>
      <c r="G439" s="185"/>
      <c r="H439" s="185"/>
      <c r="I439" s="185"/>
      <c r="J439" s="185"/>
      <c r="K439" s="185"/>
      <c r="L439" s="185"/>
      <c r="M439" s="185"/>
      <c r="N439" s="185"/>
      <c r="O439" s="185"/>
      <c r="P439" s="185"/>
      <c r="Q439" s="185"/>
      <c r="R439" s="185"/>
      <c r="S439" s="185"/>
      <c r="T439" s="185"/>
      <c r="U439" s="185"/>
      <c r="V439" s="185"/>
      <c r="W439" s="185"/>
      <c r="X439" s="185"/>
      <c r="Y439" s="185"/>
      <c r="Z439" s="185"/>
      <c r="AA439" s="185"/>
      <c r="AB439" s="185" t="str">
        <f>IFERROR(__xludf.DUMMYFUNCTION("LET(width,COLUMN($AB$1)-COLUMN($G$1),r,INDEX($G439:$AAB439,1,SEQUENCE(1,width)),flat,TOCOL(r,1),bad,FILTER(flat,COUNTIF('リスト'!$E:$E,flat)=0),IFERROR(TEXTJOIN(""\n"",TRUE,bad),""""))"),"")</f>
        <v/>
      </c>
      <c r="AC439" s="185"/>
      <c r="AD439" s="185"/>
    </row>
    <row r="440">
      <c r="A440" s="185"/>
      <c r="B440" s="185"/>
      <c r="C440" s="185"/>
      <c r="D440" s="185"/>
      <c r="E440" s="203"/>
      <c r="F440" s="203"/>
      <c r="G440" s="185"/>
      <c r="H440" s="185"/>
      <c r="I440" s="185"/>
      <c r="J440" s="185"/>
      <c r="K440" s="185"/>
      <c r="L440" s="185"/>
      <c r="M440" s="185"/>
      <c r="N440" s="185"/>
      <c r="O440" s="185"/>
      <c r="P440" s="185"/>
      <c r="Q440" s="185"/>
      <c r="R440" s="185"/>
      <c r="S440" s="185"/>
      <c r="T440" s="185"/>
      <c r="U440" s="185"/>
      <c r="V440" s="185"/>
      <c r="W440" s="185"/>
      <c r="X440" s="185"/>
      <c r="Y440" s="185"/>
      <c r="Z440" s="185"/>
      <c r="AA440" s="185"/>
      <c r="AB440" s="185" t="str">
        <f>IFERROR(__xludf.DUMMYFUNCTION("LET(width,COLUMN($AB$1)-COLUMN($G$1),r,INDEX($G440:$AAB440,1,SEQUENCE(1,width)),flat,TOCOL(r,1),bad,FILTER(flat,COUNTIF('リスト'!$E:$E,flat)=0),IFERROR(TEXTJOIN(""\n"",TRUE,bad),""""))"),"")</f>
        <v/>
      </c>
      <c r="AC440" s="185"/>
      <c r="AD440" s="185"/>
    </row>
    <row r="441">
      <c r="A441" s="185"/>
      <c r="B441" s="185"/>
      <c r="C441" s="185"/>
      <c r="D441" s="185"/>
      <c r="E441" s="203"/>
      <c r="F441" s="203"/>
      <c r="G441" s="185"/>
      <c r="H441" s="185"/>
      <c r="I441" s="185"/>
      <c r="J441" s="185"/>
      <c r="K441" s="185"/>
      <c r="L441" s="185"/>
      <c r="M441" s="185"/>
      <c r="N441" s="185"/>
      <c r="O441" s="185"/>
      <c r="P441" s="185"/>
      <c r="Q441" s="185"/>
      <c r="R441" s="185"/>
      <c r="S441" s="185"/>
      <c r="T441" s="185"/>
      <c r="U441" s="185"/>
      <c r="V441" s="185"/>
      <c r="W441" s="185"/>
      <c r="X441" s="185"/>
      <c r="Y441" s="185"/>
      <c r="Z441" s="185"/>
      <c r="AA441" s="185"/>
      <c r="AB441" s="185" t="str">
        <f>IFERROR(__xludf.DUMMYFUNCTION("LET(width,COLUMN($AB$1)-COLUMN($G$1),r,INDEX($G441:$AAB441,1,SEQUENCE(1,width)),flat,TOCOL(r,1),bad,FILTER(flat,COUNTIF('リスト'!$E:$E,flat)=0),IFERROR(TEXTJOIN(""\n"",TRUE,bad),""""))"),"")</f>
        <v/>
      </c>
      <c r="AC441" s="185"/>
      <c r="AD441" s="185"/>
    </row>
    <row r="442">
      <c r="A442" s="185"/>
      <c r="B442" s="185"/>
      <c r="C442" s="185"/>
      <c r="D442" s="185"/>
      <c r="E442" s="203"/>
      <c r="F442" s="203"/>
      <c r="G442" s="185"/>
      <c r="H442" s="185"/>
      <c r="I442" s="185"/>
      <c r="J442" s="185"/>
      <c r="K442" s="185"/>
      <c r="L442" s="185"/>
      <c r="M442" s="185"/>
      <c r="N442" s="185"/>
      <c r="O442" s="185"/>
      <c r="P442" s="185"/>
      <c r="Q442" s="185"/>
      <c r="R442" s="185"/>
      <c r="S442" s="185"/>
      <c r="T442" s="185"/>
      <c r="U442" s="185"/>
      <c r="V442" s="185"/>
      <c r="W442" s="185"/>
      <c r="X442" s="185"/>
      <c r="Y442" s="185"/>
      <c r="Z442" s="185"/>
      <c r="AA442" s="185"/>
      <c r="AB442" s="185" t="str">
        <f>IFERROR(__xludf.DUMMYFUNCTION("LET(width,COLUMN($AB$1)-COLUMN($G$1),r,INDEX($G442:$AAB442,1,SEQUENCE(1,width)),flat,TOCOL(r,1),bad,FILTER(flat,COUNTIF('リスト'!$E:$E,flat)=0),IFERROR(TEXTJOIN(""\n"",TRUE,bad),""""))"),"")</f>
        <v/>
      </c>
      <c r="AC442" s="185"/>
      <c r="AD442" s="185"/>
    </row>
    <row r="443">
      <c r="A443" s="185"/>
      <c r="B443" s="185"/>
      <c r="C443" s="185"/>
      <c r="D443" s="185"/>
      <c r="E443" s="203"/>
      <c r="F443" s="203"/>
      <c r="G443" s="185"/>
      <c r="H443" s="185"/>
      <c r="I443" s="185"/>
      <c r="J443" s="185"/>
      <c r="K443" s="185"/>
      <c r="L443" s="185"/>
      <c r="M443" s="185"/>
      <c r="N443" s="185"/>
      <c r="O443" s="185"/>
      <c r="P443" s="185"/>
      <c r="Q443" s="185"/>
      <c r="R443" s="185"/>
      <c r="S443" s="185"/>
      <c r="T443" s="185"/>
      <c r="U443" s="185"/>
      <c r="V443" s="185"/>
      <c r="W443" s="185"/>
      <c r="X443" s="185"/>
      <c r="Y443" s="185"/>
      <c r="Z443" s="185"/>
      <c r="AA443" s="185"/>
      <c r="AB443" s="185" t="str">
        <f>IFERROR(__xludf.DUMMYFUNCTION("LET(width,COLUMN($AB$1)-COLUMN($G$1),r,INDEX($G443:$AAB443,1,SEQUENCE(1,width)),flat,TOCOL(r,1),bad,FILTER(flat,COUNTIF('リスト'!$E:$E,flat)=0),IFERROR(TEXTJOIN(""\n"",TRUE,bad),""""))"),"")</f>
        <v/>
      </c>
      <c r="AC443" s="185"/>
      <c r="AD443" s="185"/>
    </row>
    <row r="444">
      <c r="A444" s="185"/>
      <c r="B444" s="185"/>
      <c r="C444" s="185"/>
      <c r="D444" s="185"/>
      <c r="E444" s="203"/>
      <c r="F444" s="203"/>
      <c r="G444" s="185"/>
      <c r="H444" s="185"/>
      <c r="I444" s="185"/>
      <c r="J444" s="185"/>
      <c r="K444" s="185"/>
      <c r="L444" s="185"/>
      <c r="M444" s="185"/>
      <c r="N444" s="185"/>
      <c r="O444" s="185"/>
      <c r="P444" s="185"/>
      <c r="Q444" s="185"/>
      <c r="R444" s="185"/>
      <c r="S444" s="185"/>
      <c r="T444" s="185"/>
      <c r="U444" s="185"/>
      <c r="V444" s="185"/>
      <c r="W444" s="185"/>
      <c r="X444" s="185"/>
      <c r="Y444" s="185"/>
      <c r="Z444" s="185"/>
      <c r="AA444" s="185"/>
      <c r="AB444" s="185" t="str">
        <f>IFERROR(__xludf.DUMMYFUNCTION("LET(width,COLUMN($AB$1)-COLUMN($G$1),r,INDEX($G444:$AAB444,1,SEQUENCE(1,width)),flat,TOCOL(r,1),bad,FILTER(flat,COUNTIF('リスト'!$E:$E,flat)=0),IFERROR(TEXTJOIN(""\n"",TRUE,bad),""""))"),"")</f>
        <v/>
      </c>
      <c r="AC444" s="185"/>
      <c r="AD444" s="185"/>
    </row>
    <row r="445">
      <c r="A445" s="185"/>
      <c r="B445" s="185"/>
      <c r="C445" s="185"/>
      <c r="D445" s="185"/>
      <c r="E445" s="203"/>
      <c r="F445" s="203"/>
      <c r="G445" s="185"/>
      <c r="H445" s="185"/>
      <c r="I445" s="185"/>
      <c r="J445" s="185"/>
      <c r="K445" s="185"/>
      <c r="L445" s="185"/>
      <c r="M445" s="185"/>
      <c r="N445" s="185"/>
      <c r="O445" s="185"/>
      <c r="P445" s="185"/>
      <c r="Q445" s="185"/>
      <c r="R445" s="185"/>
      <c r="S445" s="185"/>
      <c r="T445" s="185"/>
      <c r="U445" s="185"/>
      <c r="V445" s="185"/>
      <c r="W445" s="185"/>
      <c r="X445" s="185"/>
      <c r="Y445" s="185"/>
      <c r="Z445" s="185"/>
      <c r="AA445" s="185"/>
      <c r="AB445" s="185" t="str">
        <f>IFERROR(__xludf.DUMMYFUNCTION("LET(width,COLUMN($AB$1)-COLUMN($G$1),r,INDEX($G445:$AAB445,1,SEQUENCE(1,width)),flat,TOCOL(r,1),bad,FILTER(flat,COUNTIF('リスト'!$E:$E,flat)=0),IFERROR(TEXTJOIN(""\n"",TRUE,bad),""""))"),"")</f>
        <v/>
      </c>
      <c r="AC445" s="185"/>
      <c r="AD445" s="185"/>
    </row>
    <row r="446">
      <c r="A446" s="185"/>
      <c r="B446" s="185"/>
      <c r="C446" s="185"/>
      <c r="D446" s="185"/>
      <c r="E446" s="203"/>
      <c r="F446" s="203"/>
      <c r="G446" s="185"/>
      <c r="H446" s="185"/>
      <c r="I446" s="185"/>
      <c r="J446" s="185"/>
      <c r="K446" s="185"/>
      <c r="L446" s="185"/>
      <c r="M446" s="185"/>
      <c r="N446" s="185"/>
      <c r="O446" s="185"/>
      <c r="P446" s="185"/>
      <c r="Q446" s="185"/>
      <c r="R446" s="185"/>
      <c r="S446" s="185"/>
      <c r="T446" s="185"/>
      <c r="U446" s="185"/>
      <c r="V446" s="185"/>
      <c r="W446" s="185"/>
      <c r="X446" s="185"/>
      <c r="Y446" s="185"/>
      <c r="Z446" s="185"/>
      <c r="AA446" s="185"/>
      <c r="AB446" s="185" t="str">
        <f>IFERROR(__xludf.DUMMYFUNCTION("LET(width,COLUMN($AB$1)-COLUMN($G$1),r,INDEX($G446:$AAB446,1,SEQUENCE(1,width)),flat,TOCOL(r,1),bad,FILTER(flat,COUNTIF('リスト'!$E:$E,flat)=0),IFERROR(TEXTJOIN(""\n"",TRUE,bad),""""))"),"")</f>
        <v/>
      </c>
      <c r="AC446" s="185"/>
      <c r="AD446" s="185"/>
    </row>
    <row r="447">
      <c r="A447" s="185"/>
      <c r="B447" s="185"/>
      <c r="C447" s="185"/>
      <c r="D447" s="185"/>
      <c r="E447" s="203"/>
      <c r="F447" s="203"/>
      <c r="G447" s="185"/>
      <c r="H447" s="185"/>
      <c r="I447" s="185"/>
      <c r="J447" s="185"/>
      <c r="K447" s="185"/>
      <c r="L447" s="185"/>
      <c r="M447" s="185"/>
      <c r="N447" s="185"/>
      <c r="O447" s="185"/>
      <c r="P447" s="185"/>
      <c r="Q447" s="185"/>
      <c r="R447" s="185"/>
      <c r="S447" s="185"/>
      <c r="T447" s="185"/>
      <c r="U447" s="185"/>
      <c r="V447" s="185"/>
      <c r="W447" s="185"/>
      <c r="X447" s="185"/>
      <c r="Y447" s="185"/>
      <c r="Z447" s="185"/>
      <c r="AA447" s="185"/>
      <c r="AB447" s="185" t="str">
        <f>IFERROR(__xludf.DUMMYFUNCTION("LET(width,COLUMN($AB$1)-COLUMN($G$1),r,INDEX($G447:$AAB447,1,SEQUENCE(1,width)),flat,TOCOL(r,1),bad,FILTER(flat,COUNTIF('リスト'!$E:$E,flat)=0),IFERROR(TEXTJOIN(""\n"",TRUE,bad),""""))"),"")</f>
        <v/>
      </c>
      <c r="AC447" s="185"/>
      <c r="AD447" s="185"/>
    </row>
    <row r="448">
      <c r="A448" s="185"/>
      <c r="B448" s="185"/>
      <c r="C448" s="185"/>
      <c r="D448" s="185"/>
      <c r="E448" s="203"/>
      <c r="F448" s="203"/>
      <c r="G448" s="185"/>
      <c r="H448" s="185"/>
      <c r="I448" s="185"/>
      <c r="J448" s="185"/>
      <c r="K448" s="185"/>
      <c r="L448" s="185"/>
      <c r="M448" s="185"/>
      <c r="N448" s="185"/>
      <c r="O448" s="185"/>
      <c r="P448" s="185"/>
      <c r="Q448" s="185"/>
      <c r="R448" s="185"/>
      <c r="S448" s="185"/>
      <c r="T448" s="185"/>
      <c r="U448" s="185"/>
      <c r="V448" s="185"/>
      <c r="W448" s="185"/>
      <c r="X448" s="185"/>
      <c r="Y448" s="185"/>
      <c r="Z448" s="185"/>
      <c r="AA448" s="185"/>
      <c r="AB448" s="185" t="str">
        <f>IFERROR(__xludf.DUMMYFUNCTION("LET(width,COLUMN($AB$1)-COLUMN($G$1),r,INDEX($G448:$AAB448,1,SEQUENCE(1,width)),flat,TOCOL(r,1),bad,FILTER(flat,COUNTIF('リスト'!$E:$E,flat)=0),IFERROR(TEXTJOIN(""\n"",TRUE,bad),""""))"),"")</f>
        <v/>
      </c>
      <c r="AC448" s="185"/>
      <c r="AD448" s="185"/>
    </row>
    <row r="449">
      <c r="A449" s="185"/>
      <c r="B449" s="185"/>
      <c r="C449" s="185"/>
      <c r="D449" s="185"/>
      <c r="E449" s="203"/>
      <c r="F449" s="203"/>
      <c r="G449" s="185"/>
      <c r="H449" s="185"/>
      <c r="I449" s="185"/>
      <c r="J449" s="185"/>
      <c r="K449" s="185"/>
      <c r="L449" s="185"/>
      <c r="M449" s="185"/>
      <c r="N449" s="185"/>
      <c r="O449" s="185"/>
      <c r="P449" s="185"/>
      <c r="Q449" s="185"/>
      <c r="R449" s="185"/>
      <c r="S449" s="185"/>
      <c r="T449" s="185"/>
      <c r="U449" s="185"/>
      <c r="V449" s="185"/>
      <c r="W449" s="185"/>
      <c r="X449" s="185"/>
      <c r="Y449" s="185"/>
      <c r="Z449" s="185"/>
      <c r="AA449" s="185"/>
      <c r="AB449" s="185" t="str">
        <f>IFERROR(__xludf.DUMMYFUNCTION("LET(width,COLUMN($AB$1)-COLUMN($G$1),r,INDEX($G449:$AAB449,1,SEQUENCE(1,width)),flat,TOCOL(r,1),bad,FILTER(flat,COUNTIF('リスト'!$E:$E,flat)=0),IFERROR(TEXTJOIN(""\n"",TRUE,bad),""""))"),"")</f>
        <v/>
      </c>
      <c r="AC449" s="185"/>
      <c r="AD449" s="185"/>
    </row>
    <row r="450">
      <c r="A450" s="185"/>
      <c r="B450" s="185"/>
      <c r="C450" s="185"/>
      <c r="D450" s="185"/>
      <c r="E450" s="203"/>
      <c r="F450" s="203"/>
      <c r="G450" s="185"/>
      <c r="H450" s="185"/>
      <c r="I450" s="185"/>
      <c r="J450" s="185"/>
      <c r="K450" s="185"/>
      <c r="L450" s="185"/>
      <c r="M450" s="185"/>
      <c r="N450" s="185"/>
      <c r="O450" s="185"/>
      <c r="P450" s="185"/>
      <c r="Q450" s="185"/>
      <c r="R450" s="185"/>
      <c r="S450" s="185"/>
      <c r="T450" s="185"/>
      <c r="U450" s="185"/>
      <c r="V450" s="185"/>
      <c r="W450" s="185"/>
      <c r="X450" s="185"/>
      <c r="Y450" s="185"/>
      <c r="Z450" s="185"/>
      <c r="AA450" s="185"/>
      <c r="AB450" s="185" t="str">
        <f>IFERROR(__xludf.DUMMYFUNCTION("LET(width,COLUMN($AB$1)-COLUMN($G$1),r,INDEX($G450:$AAB450,1,SEQUENCE(1,width)),flat,TOCOL(r,1),bad,FILTER(flat,COUNTIF('リスト'!$E:$E,flat)=0),IFERROR(TEXTJOIN(""\n"",TRUE,bad),""""))"),"")</f>
        <v/>
      </c>
      <c r="AC450" s="185"/>
      <c r="AD450" s="185"/>
    </row>
    <row r="451">
      <c r="A451" s="185"/>
      <c r="B451" s="185"/>
      <c r="C451" s="185"/>
      <c r="D451" s="185"/>
      <c r="E451" s="203"/>
      <c r="F451" s="203"/>
      <c r="G451" s="185"/>
      <c r="H451" s="185"/>
      <c r="I451" s="185"/>
      <c r="J451" s="185"/>
      <c r="K451" s="185"/>
      <c r="L451" s="185"/>
      <c r="M451" s="185"/>
      <c r="N451" s="185"/>
      <c r="O451" s="185"/>
      <c r="P451" s="185"/>
      <c r="Q451" s="185"/>
      <c r="R451" s="185"/>
      <c r="S451" s="185"/>
      <c r="T451" s="185"/>
      <c r="U451" s="185"/>
      <c r="V451" s="185"/>
      <c r="W451" s="185"/>
      <c r="X451" s="185"/>
      <c r="Y451" s="185"/>
      <c r="Z451" s="185"/>
      <c r="AA451" s="185"/>
      <c r="AB451" s="185" t="str">
        <f>IFERROR(__xludf.DUMMYFUNCTION("LET(width,COLUMN($AB$1)-COLUMN($G$1),r,INDEX($G451:$AAB451,1,SEQUENCE(1,width)),flat,TOCOL(r,1),bad,FILTER(flat,COUNTIF('リスト'!$E:$E,flat)=0),IFERROR(TEXTJOIN(""\n"",TRUE,bad),""""))"),"")</f>
        <v/>
      </c>
      <c r="AC451" s="185"/>
      <c r="AD451" s="185"/>
    </row>
    <row r="452">
      <c r="A452" s="185"/>
      <c r="B452" s="185"/>
      <c r="C452" s="185"/>
      <c r="D452" s="185"/>
      <c r="E452" s="203"/>
      <c r="F452" s="203"/>
      <c r="G452" s="185"/>
      <c r="H452" s="185"/>
      <c r="I452" s="185"/>
      <c r="J452" s="185"/>
      <c r="K452" s="185"/>
      <c r="L452" s="185"/>
      <c r="M452" s="185"/>
      <c r="N452" s="185"/>
      <c r="O452" s="185"/>
      <c r="P452" s="185"/>
      <c r="Q452" s="185"/>
      <c r="R452" s="185"/>
      <c r="S452" s="185"/>
      <c r="T452" s="185"/>
      <c r="U452" s="185"/>
      <c r="V452" s="185"/>
      <c r="W452" s="185"/>
      <c r="X452" s="185"/>
      <c r="Y452" s="185"/>
      <c r="Z452" s="185"/>
      <c r="AA452" s="185"/>
      <c r="AB452" s="185" t="str">
        <f>IFERROR(__xludf.DUMMYFUNCTION("LET(width,COLUMN($AB$1)-COLUMN($G$1),r,INDEX($G452:$AAB452,1,SEQUENCE(1,width)),flat,TOCOL(r,1),bad,FILTER(flat,COUNTIF('リスト'!$E:$E,flat)=0),IFERROR(TEXTJOIN(""\n"",TRUE,bad),""""))"),"")</f>
        <v/>
      </c>
      <c r="AC452" s="185"/>
      <c r="AD452" s="185"/>
    </row>
    <row r="453">
      <c r="A453" s="185"/>
      <c r="B453" s="185"/>
      <c r="C453" s="185"/>
      <c r="D453" s="185"/>
      <c r="E453" s="203"/>
      <c r="F453" s="203"/>
      <c r="G453" s="185"/>
      <c r="H453" s="185"/>
      <c r="I453" s="185"/>
      <c r="J453" s="185"/>
      <c r="K453" s="185"/>
      <c r="L453" s="185"/>
      <c r="M453" s="185"/>
      <c r="N453" s="185"/>
      <c r="O453" s="185"/>
      <c r="P453" s="185"/>
      <c r="Q453" s="185"/>
      <c r="R453" s="185"/>
      <c r="S453" s="185"/>
      <c r="T453" s="185"/>
      <c r="U453" s="185"/>
      <c r="V453" s="185"/>
      <c r="W453" s="185"/>
      <c r="X453" s="185"/>
      <c r="Y453" s="185"/>
      <c r="Z453" s="185"/>
      <c r="AA453" s="185"/>
      <c r="AB453" s="185" t="str">
        <f>IFERROR(__xludf.DUMMYFUNCTION("LET(width,COLUMN($AB$1)-COLUMN($G$1),r,INDEX($G453:$AAB453,1,SEQUENCE(1,width)),flat,TOCOL(r,1),bad,FILTER(flat,COUNTIF('リスト'!$E:$E,flat)=0),IFERROR(TEXTJOIN(""\n"",TRUE,bad),""""))"),"")</f>
        <v/>
      </c>
      <c r="AC453" s="185"/>
      <c r="AD453" s="185"/>
    </row>
    <row r="454">
      <c r="A454" s="185"/>
      <c r="B454" s="185"/>
      <c r="C454" s="185"/>
      <c r="D454" s="185"/>
      <c r="E454" s="203"/>
      <c r="F454" s="203"/>
      <c r="G454" s="185"/>
      <c r="H454" s="185"/>
      <c r="I454" s="185"/>
      <c r="J454" s="185"/>
      <c r="K454" s="185"/>
      <c r="L454" s="185"/>
      <c r="M454" s="185"/>
      <c r="N454" s="185"/>
      <c r="O454" s="185"/>
      <c r="P454" s="185"/>
      <c r="Q454" s="185"/>
      <c r="R454" s="185"/>
      <c r="S454" s="185"/>
      <c r="T454" s="185"/>
      <c r="U454" s="185"/>
      <c r="V454" s="185"/>
      <c r="W454" s="185"/>
      <c r="X454" s="185"/>
      <c r="Y454" s="185"/>
      <c r="Z454" s="185"/>
      <c r="AA454" s="185"/>
      <c r="AB454" s="185" t="str">
        <f>IFERROR(__xludf.DUMMYFUNCTION("LET(width,COLUMN($AB$1)-COLUMN($G$1),r,INDEX($G454:$AAB454,1,SEQUENCE(1,width)),flat,TOCOL(r,1),bad,FILTER(flat,COUNTIF('リスト'!$E:$E,flat)=0),IFERROR(TEXTJOIN(""\n"",TRUE,bad),""""))"),"")</f>
        <v/>
      </c>
      <c r="AC454" s="185"/>
      <c r="AD454" s="185"/>
    </row>
    <row r="455">
      <c r="A455" s="185"/>
      <c r="B455" s="185"/>
      <c r="C455" s="185"/>
      <c r="D455" s="185"/>
      <c r="E455" s="203"/>
      <c r="F455" s="203"/>
      <c r="G455" s="185"/>
      <c r="H455" s="185"/>
      <c r="I455" s="185"/>
      <c r="J455" s="185"/>
      <c r="K455" s="185"/>
      <c r="L455" s="185"/>
      <c r="M455" s="185"/>
      <c r="N455" s="185"/>
      <c r="O455" s="185"/>
      <c r="P455" s="185"/>
      <c r="Q455" s="185"/>
      <c r="R455" s="185"/>
      <c r="S455" s="185"/>
      <c r="T455" s="185"/>
      <c r="U455" s="185"/>
      <c r="V455" s="185"/>
      <c r="W455" s="185"/>
      <c r="X455" s="185"/>
      <c r="Y455" s="185"/>
      <c r="Z455" s="185"/>
      <c r="AA455" s="185"/>
      <c r="AB455" s="185" t="str">
        <f>IFERROR(__xludf.DUMMYFUNCTION("LET(width,COLUMN($AB$1)-COLUMN($G$1),r,INDEX($G455:$AAB455,1,SEQUENCE(1,width)),flat,TOCOL(r,1),bad,FILTER(flat,COUNTIF('リスト'!$E:$E,flat)=0),IFERROR(TEXTJOIN(""\n"",TRUE,bad),""""))"),"")</f>
        <v/>
      </c>
      <c r="AC455" s="185"/>
      <c r="AD455" s="185"/>
    </row>
    <row r="456">
      <c r="A456" s="185"/>
      <c r="B456" s="185"/>
      <c r="C456" s="185"/>
      <c r="D456" s="185"/>
      <c r="E456" s="203"/>
      <c r="F456" s="203"/>
      <c r="G456" s="185"/>
      <c r="H456" s="185"/>
      <c r="I456" s="185"/>
      <c r="J456" s="185"/>
      <c r="K456" s="185"/>
      <c r="L456" s="185"/>
      <c r="M456" s="185"/>
      <c r="N456" s="185"/>
      <c r="O456" s="185"/>
      <c r="P456" s="185"/>
      <c r="Q456" s="185"/>
      <c r="R456" s="185"/>
      <c r="S456" s="185"/>
      <c r="T456" s="185"/>
      <c r="U456" s="185"/>
      <c r="V456" s="185"/>
      <c r="W456" s="185"/>
      <c r="X456" s="185"/>
      <c r="Y456" s="185"/>
      <c r="Z456" s="185"/>
      <c r="AA456" s="185"/>
      <c r="AB456" s="185" t="str">
        <f>IFERROR(__xludf.DUMMYFUNCTION("LET(width,COLUMN($AB$1)-COLUMN($G$1),r,INDEX($G456:$AAB456,1,SEQUENCE(1,width)),flat,TOCOL(r,1),bad,FILTER(flat,COUNTIF('リスト'!$E:$E,flat)=0),IFERROR(TEXTJOIN(""\n"",TRUE,bad),""""))"),"")</f>
        <v/>
      </c>
      <c r="AC456" s="185"/>
      <c r="AD456" s="185"/>
    </row>
    <row r="457">
      <c r="A457" s="185"/>
      <c r="B457" s="185"/>
      <c r="C457" s="185"/>
      <c r="D457" s="185"/>
      <c r="E457" s="203"/>
      <c r="F457" s="203"/>
      <c r="G457" s="185"/>
      <c r="H457" s="185"/>
      <c r="I457" s="185"/>
      <c r="J457" s="185"/>
      <c r="K457" s="185"/>
      <c r="L457" s="185"/>
      <c r="M457" s="185"/>
      <c r="N457" s="185"/>
      <c r="O457" s="185"/>
      <c r="P457" s="185"/>
      <c r="Q457" s="185"/>
      <c r="R457" s="185"/>
      <c r="S457" s="185"/>
      <c r="T457" s="185"/>
      <c r="U457" s="185"/>
      <c r="V457" s="185"/>
      <c r="W457" s="185"/>
      <c r="X457" s="185"/>
      <c r="Y457" s="185"/>
      <c r="Z457" s="185"/>
      <c r="AA457" s="185"/>
      <c r="AB457" s="185" t="str">
        <f>IFERROR(__xludf.DUMMYFUNCTION("LET(width,COLUMN($AB$1)-COLUMN($G$1),r,INDEX($G457:$AAB457,1,SEQUENCE(1,width)),flat,TOCOL(r,1),bad,FILTER(flat,COUNTIF('リスト'!$E:$E,flat)=0),IFERROR(TEXTJOIN(""\n"",TRUE,bad),""""))"),"")</f>
        <v/>
      </c>
      <c r="AC457" s="185"/>
      <c r="AD457" s="185"/>
    </row>
    <row r="458">
      <c r="A458" s="185"/>
      <c r="B458" s="185"/>
      <c r="C458" s="185"/>
      <c r="D458" s="185"/>
      <c r="E458" s="203"/>
      <c r="F458" s="203"/>
      <c r="G458" s="185"/>
      <c r="H458" s="185"/>
      <c r="I458" s="185"/>
      <c r="J458" s="185"/>
      <c r="K458" s="185"/>
      <c r="L458" s="185"/>
      <c r="M458" s="185"/>
      <c r="N458" s="185"/>
      <c r="O458" s="185"/>
      <c r="P458" s="185"/>
      <c r="Q458" s="185"/>
      <c r="R458" s="185"/>
      <c r="S458" s="185"/>
      <c r="T458" s="185"/>
      <c r="U458" s="185"/>
      <c r="V458" s="185"/>
      <c r="W458" s="185"/>
      <c r="X458" s="185"/>
      <c r="Y458" s="185"/>
      <c r="Z458" s="185"/>
      <c r="AA458" s="185"/>
      <c r="AB458" s="185" t="str">
        <f>IFERROR(__xludf.DUMMYFUNCTION("LET(width,COLUMN($AB$1)-COLUMN($G$1),r,INDEX($G458:$AAB458,1,SEQUENCE(1,width)),flat,TOCOL(r,1),bad,FILTER(flat,COUNTIF('リスト'!$E:$E,flat)=0),IFERROR(TEXTJOIN(""\n"",TRUE,bad),""""))"),"")</f>
        <v/>
      </c>
      <c r="AC458" s="185"/>
      <c r="AD458" s="185"/>
    </row>
    <row r="459">
      <c r="A459" s="185"/>
      <c r="B459" s="185"/>
      <c r="C459" s="185"/>
      <c r="D459" s="185"/>
      <c r="E459" s="203"/>
      <c r="F459" s="203"/>
      <c r="G459" s="185"/>
      <c r="H459" s="185"/>
      <c r="I459" s="185"/>
      <c r="J459" s="185"/>
      <c r="K459" s="185"/>
      <c r="L459" s="185"/>
      <c r="M459" s="185"/>
      <c r="N459" s="185"/>
      <c r="O459" s="185"/>
      <c r="P459" s="185"/>
      <c r="Q459" s="185"/>
      <c r="R459" s="185"/>
      <c r="S459" s="185"/>
      <c r="T459" s="185"/>
      <c r="U459" s="185"/>
      <c r="V459" s="185"/>
      <c r="W459" s="185"/>
      <c r="X459" s="185"/>
      <c r="Y459" s="185"/>
      <c r="Z459" s="185"/>
      <c r="AA459" s="185"/>
      <c r="AB459" s="185" t="str">
        <f>IFERROR(__xludf.DUMMYFUNCTION("LET(width,COLUMN($AB$1)-COLUMN($G$1),r,INDEX($G459:$AAB459,1,SEQUENCE(1,width)),flat,TOCOL(r,1),bad,FILTER(flat,COUNTIF('リスト'!$E:$E,flat)=0),IFERROR(TEXTJOIN(""\n"",TRUE,bad),""""))"),"")</f>
        <v/>
      </c>
      <c r="AC459" s="185"/>
      <c r="AD459" s="185"/>
    </row>
    <row r="460">
      <c r="A460" s="185"/>
      <c r="B460" s="185"/>
      <c r="C460" s="185"/>
      <c r="D460" s="185"/>
      <c r="E460" s="203"/>
      <c r="F460" s="203"/>
      <c r="G460" s="185"/>
      <c r="H460" s="185"/>
      <c r="I460" s="185"/>
      <c r="J460" s="185"/>
      <c r="K460" s="185"/>
      <c r="L460" s="185"/>
      <c r="M460" s="185"/>
      <c r="N460" s="185"/>
      <c r="O460" s="185"/>
      <c r="P460" s="185"/>
      <c r="Q460" s="185"/>
      <c r="R460" s="185"/>
      <c r="S460" s="185"/>
      <c r="T460" s="185"/>
      <c r="U460" s="185"/>
      <c r="V460" s="185"/>
      <c r="W460" s="185"/>
      <c r="X460" s="185"/>
      <c r="Y460" s="185"/>
      <c r="Z460" s="185"/>
      <c r="AA460" s="185"/>
      <c r="AB460" s="185" t="str">
        <f>IFERROR(__xludf.DUMMYFUNCTION("LET(width,COLUMN($AB$1)-COLUMN($G$1),r,INDEX($G460:$AAB460,1,SEQUENCE(1,width)),flat,TOCOL(r,1),bad,FILTER(flat,COUNTIF('リスト'!$E:$E,flat)=0),IFERROR(TEXTJOIN(""\n"",TRUE,bad),""""))"),"")</f>
        <v/>
      </c>
      <c r="AC460" s="185"/>
      <c r="AD460" s="185"/>
    </row>
    <row r="461">
      <c r="A461" s="185"/>
      <c r="B461" s="185"/>
      <c r="C461" s="185"/>
      <c r="D461" s="185"/>
      <c r="E461" s="203"/>
      <c r="F461" s="203"/>
      <c r="G461" s="185"/>
      <c r="H461" s="185"/>
      <c r="I461" s="185"/>
      <c r="J461" s="185"/>
      <c r="K461" s="185"/>
      <c r="L461" s="185"/>
      <c r="M461" s="185"/>
      <c r="N461" s="185"/>
      <c r="O461" s="185"/>
      <c r="P461" s="185"/>
      <c r="Q461" s="185"/>
      <c r="R461" s="185"/>
      <c r="S461" s="185"/>
      <c r="T461" s="185"/>
      <c r="U461" s="185"/>
      <c r="V461" s="185"/>
      <c r="W461" s="185"/>
      <c r="X461" s="185"/>
      <c r="Y461" s="185"/>
      <c r="Z461" s="185"/>
      <c r="AA461" s="185"/>
      <c r="AB461" s="185" t="str">
        <f>IFERROR(__xludf.DUMMYFUNCTION("LET(width,COLUMN($AB$1)-COLUMN($G$1),r,INDEX($G461:$AAB461,1,SEQUENCE(1,width)),flat,TOCOL(r,1),bad,FILTER(flat,COUNTIF('リスト'!$E:$E,flat)=0),IFERROR(TEXTJOIN(""\n"",TRUE,bad),""""))"),"")</f>
        <v/>
      </c>
      <c r="AC461" s="185"/>
      <c r="AD461" s="185"/>
    </row>
    <row r="462">
      <c r="A462" s="185"/>
      <c r="B462" s="185"/>
      <c r="C462" s="185"/>
      <c r="D462" s="185"/>
      <c r="E462" s="203"/>
      <c r="F462" s="203"/>
      <c r="G462" s="185"/>
      <c r="H462" s="185"/>
      <c r="I462" s="185"/>
      <c r="J462" s="185"/>
      <c r="K462" s="185"/>
      <c r="L462" s="185"/>
      <c r="M462" s="185"/>
      <c r="N462" s="185"/>
      <c r="O462" s="185"/>
      <c r="P462" s="185"/>
      <c r="Q462" s="185"/>
      <c r="R462" s="185"/>
      <c r="S462" s="185"/>
      <c r="T462" s="185"/>
      <c r="U462" s="185"/>
      <c r="V462" s="185"/>
      <c r="W462" s="185"/>
      <c r="X462" s="185"/>
      <c r="Y462" s="185"/>
      <c r="Z462" s="185"/>
      <c r="AA462" s="185"/>
      <c r="AB462" s="185" t="str">
        <f>IFERROR(__xludf.DUMMYFUNCTION("LET(width,COLUMN($AB$1)-COLUMN($G$1),r,INDEX($G462:$AAB462,1,SEQUENCE(1,width)),flat,TOCOL(r,1),bad,FILTER(flat,COUNTIF('リスト'!$E:$E,flat)=0),IFERROR(TEXTJOIN(""\n"",TRUE,bad),""""))"),"")</f>
        <v/>
      </c>
      <c r="AC462" s="185"/>
      <c r="AD462" s="185"/>
    </row>
    <row r="463">
      <c r="A463" s="185"/>
      <c r="B463" s="185"/>
      <c r="C463" s="185"/>
      <c r="D463" s="185"/>
      <c r="E463" s="203"/>
      <c r="F463" s="203"/>
      <c r="G463" s="185"/>
      <c r="H463" s="185"/>
      <c r="I463" s="185"/>
      <c r="J463" s="185"/>
      <c r="K463" s="185"/>
      <c r="L463" s="185"/>
      <c r="M463" s="185"/>
      <c r="N463" s="185"/>
      <c r="O463" s="185"/>
      <c r="P463" s="185"/>
      <c r="Q463" s="185"/>
      <c r="R463" s="185"/>
      <c r="S463" s="185"/>
      <c r="T463" s="185"/>
      <c r="U463" s="185"/>
      <c r="V463" s="185"/>
      <c r="W463" s="185"/>
      <c r="X463" s="185"/>
      <c r="Y463" s="185"/>
      <c r="Z463" s="185"/>
      <c r="AA463" s="185"/>
      <c r="AB463" s="185" t="str">
        <f>IFERROR(__xludf.DUMMYFUNCTION("LET(width,COLUMN($AB$1)-COLUMN($G$1),r,INDEX($G463:$AAB463,1,SEQUENCE(1,width)),flat,TOCOL(r,1),bad,FILTER(flat,COUNTIF('リスト'!$E:$E,flat)=0),IFERROR(TEXTJOIN(""\n"",TRUE,bad),""""))"),"")</f>
        <v/>
      </c>
      <c r="AC463" s="185"/>
      <c r="AD463" s="185"/>
    </row>
    <row r="464">
      <c r="A464" s="185"/>
      <c r="B464" s="185"/>
      <c r="C464" s="185"/>
      <c r="D464" s="185"/>
      <c r="E464" s="203"/>
      <c r="F464" s="203"/>
      <c r="G464" s="185"/>
      <c r="H464" s="185"/>
      <c r="I464" s="185"/>
      <c r="J464" s="185"/>
      <c r="K464" s="185"/>
      <c r="L464" s="185"/>
      <c r="M464" s="185"/>
      <c r="N464" s="185"/>
      <c r="O464" s="185"/>
      <c r="P464" s="185"/>
      <c r="Q464" s="185"/>
      <c r="R464" s="185"/>
      <c r="S464" s="185"/>
      <c r="T464" s="185"/>
      <c r="U464" s="185"/>
      <c r="V464" s="185"/>
      <c r="W464" s="185"/>
      <c r="X464" s="185"/>
      <c r="Y464" s="185"/>
      <c r="Z464" s="185"/>
      <c r="AA464" s="185"/>
      <c r="AB464" s="185" t="str">
        <f>IFERROR(__xludf.DUMMYFUNCTION("LET(width,COLUMN($AB$1)-COLUMN($G$1),r,INDEX($G464:$AAB464,1,SEQUENCE(1,width)),flat,TOCOL(r,1),bad,FILTER(flat,COUNTIF('リスト'!$E:$E,flat)=0),IFERROR(TEXTJOIN(""\n"",TRUE,bad),""""))"),"")</f>
        <v/>
      </c>
      <c r="AC464" s="185"/>
      <c r="AD464" s="185"/>
    </row>
    <row r="465">
      <c r="A465" s="185"/>
      <c r="B465" s="185"/>
      <c r="C465" s="185"/>
      <c r="D465" s="185"/>
      <c r="E465" s="203"/>
      <c r="F465" s="203"/>
      <c r="G465" s="185"/>
      <c r="H465" s="185"/>
      <c r="I465" s="185"/>
      <c r="J465" s="185"/>
      <c r="K465" s="185"/>
      <c r="L465" s="185"/>
      <c r="M465" s="185"/>
      <c r="N465" s="185"/>
      <c r="O465" s="185"/>
      <c r="P465" s="185"/>
      <c r="Q465" s="185"/>
      <c r="R465" s="185"/>
      <c r="S465" s="185"/>
      <c r="T465" s="185"/>
      <c r="U465" s="185"/>
      <c r="V465" s="185"/>
      <c r="W465" s="185"/>
      <c r="X465" s="185"/>
      <c r="Y465" s="185"/>
      <c r="Z465" s="185"/>
      <c r="AA465" s="185"/>
      <c r="AB465" s="185" t="str">
        <f>IFERROR(__xludf.DUMMYFUNCTION("LET(width,COLUMN($AB$1)-COLUMN($G$1),r,INDEX($G465:$AAB465,1,SEQUENCE(1,width)),flat,TOCOL(r,1),bad,FILTER(flat,COUNTIF('リスト'!$E:$E,flat)=0),IFERROR(TEXTJOIN(""\n"",TRUE,bad),""""))"),"")</f>
        <v/>
      </c>
      <c r="AC465" s="185"/>
      <c r="AD465" s="185"/>
    </row>
    <row r="466">
      <c r="A466" s="185"/>
      <c r="B466" s="185"/>
      <c r="C466" s="185"/>
      <c r="D466" s="185"/>
      <c r="E466" s="203"/>
      <c r="F466" s="203"/>
      <c r="G466" s="185"/>
      <c r="H466" s="185"/>
      <c r="I466" s="185"/>
      <c r="J466" s="185"/>
      <c r="K466" s="185"/>
      <c r="L466" s="185"/>
      <c r="M466" s="185"/>
      <c r="N466" s="185"/>
      <c r="O466" s="185"/>
      <c r="P466" s="185"/>
      <c r="Q466" s="185"/>
      <c r="R466" s="185"/>
      <c r="S466" s="185"/>
      <c r="T466" s="185"/>
      <c r="U466" s="185"/>
      <c r="V466" s="185"/>
      <c r="W466" s="185"/>
      <c r="X466" s="185"/>
      <c r="Y466" s="185"/>
      <c r="Z466" s="185"/>
      <c r="AA466" s="185"/>
      <c r="AB466" s="185" t="str">
        <f>IFERROR(__xludf.DUMMYFUNCTION("LET(width,COLUMN($AB$1)-COLUMN($G$1),r,INDEX($G466:$AAB466,1,SEQUENCE(1,width)),flat,TOCOL(r,1),bad,FILTER(flat,COUNTIF('リスト'!$E:$E,flat)=0),IFERROR(TEXTJOIN(""\n"",TRUE,bad),""""))"),"")</f>
        <v/>
      </c>
      <c r="AC466" s="185"/>
      <c r="AD466" s="185"/>
    </row>
    <row r="467">
      <c r="A467" s="185"/>
      <c r="B467" s="185"/>
      <c r="C467" s="185"/>
      <c r="D467" s="185"/>
      <c r="E467" s="203"/>
      <c r="F467" s="203"/>
      <c r="G467" s="185"/>
      <c r="H467" s="185"/>
      <c r="I467" s="185"/>
      <c r="J467" s="185"/>
      <c r="K467" s="185"/>
      <c r="L467" s="185"/>
      <c r="M467" s="185"/>
      <c r="N467" s="185"/>
      <c r="O467" s="185"/>
      <c r="P467" s="185"/>
      <c r="Q467" s="185"/>
      <c r="R467" s="185"/>
      <c r="S467" s="185"/>
      <c r="T467" s="185"/>
      <c r="U467" s="185"/>
      <c r="V467" s="185"/>
      <c r="W467" s="185"/>
      <c r="X467" s="185"/>
      <c r="Y467" s="185"/>
      <c r="Z467" s="185"/>
      <c r="AA467" s="185"/>
      <c r="AB467" s="185" t="str">
        <f>IFERROR(__xludf.DUMMYFUNCTION("LET(width,COLUMN($AB$1)-COLUMN($G$1),r,INDEX($G467:$AAB467,1,SEQUENCE(1,width)),flat,TOCOL(r,1),bad,FILTER(flat,COUNTIF('リスト'!$E:$E,flat)=0),IFERROR(TEXTJOIN(""\n"",TRUE,bad),""""))"),"")</f>
        <v/>
      </c>
      <c r="AC467" s="185"/>
      <c r="AD467" s="185"/>
    </row>
    <row r="468">
      <c r="A468" s="185"/>
      <c r="B468" s="185"/>
      <c r="C468" s="185"/>
      <c r="D468" s="185"/>
      <c r="E468" s="203"/>
      <c r="F468" s="203"/>
      <c r="G468" s="185"/>
      <c r="H468" s="185"/>
      <c r="I468" s="185"/>
      <c r="J468" s="185"/>
      <c r="K468" s="185"/>
      <c r="L468" s="185"/>
      <c r="M468" s="185"/>
      <c r="N468" s="185"/>
      <c r="O468" s="185"/>
      <c r="P468" s="185"/>
      <c r="Q468" s="185"/>
      <c r="R468" s="185"/>
      <c r="S468" s="185"/>
      <c r="T468" s="185"/>
      <c r="U468" s="185"/>
      <c r="V468" s="185"/>
      <c r="W468" s="185"/>
      <c r="X468" s="185"/>
      <c r="Y468" s="185"/>
      <c r="Z468" s="185"/>
      <c r="AA468" s="185"/>
      <c r="AB468" s="185" t="str">
        <f>IFERROR(__xludf.DUMMYFUNCTION("LET(width,COLUMN($AB$1)-COLUMN($G$1),r,INDEX($G468:$AAB468,1,SEQUENCE(1,width)),flat,TOCOL(r,1),bad,FILTER(flat,COUNTIF('リスト'!$E:$E,flat)=0),IFERROR(TEXTJOIN(""\n"",TRUE,bad),""""))"),"")</f>
        <v/>
      </c>
      <c r="AC468" s="185"/>
      <c r="AD468" s="185"/>
    </row>
    <row r="469">
      <c r="A469" s="185"/>
      <c r="B469" s="185"/>
      <c r="C469" s="185"/>
      <c r="D469" s="185"/>
      <c r="E469" s="203"/>
      <c r="F469" s="203"/>
      <c r="G469" s="185"/>
      <c r="H469" s="185"/>
      <c r="I469" s="185"/>
      <c r="J469" s="185"/>
      <c r="K469" s="185"/>
      <c r="L469" s="185"/>
      <c r="M469" s="185"/>
      <c r="N469" s="185"/>
      <c r="O469" s="185"/>
      <c r="P469" s="185"/>
      <c r="Q469" s="185"/>
      <c r="R469" s="185"/>
      <c r="S469" s="185"/>
      <c r="T469" s="185"/>
      <c r="U469" s="185"/>
      <c r="V469" s="185"/>
      <c r="W469" s="185"/>
      <c r="X469" s="185"/>
      <c r="Y469" s="185"/>
      <c r="Z469" s="185"/>
      <c r="AA469" s="185"/>
      <c r="AB469" s="185" t="str">
        <f>IFERROR(__xludf.DUMMYFUNCTION("LET(width,COLUMN($AB$1)-COLUMN($G$1),r,INDEX($G469:$AAB469,1,SEQUENCE(1,width)),flat,TOCOL(r,1),bad,FILTER(flat,COUNTIF('リスト'!$E:$E,flat)=0),IFERROR(TEXTJOIN(""\n"",TRUE,bad),""""))"),"")</f>
        <v/>
      </c>
      <c r="AC469" s="185"/>
      <c r="AD469" s="185"/>
    </row>
    <row r="470">
      <c r="A470" s="185"/>
      <c r="B470" s="185"/>
      <c r="C470" s="185"/>
      <c r="D470" s="185"/>
      <c r="E470" s="203"/>
      <c r="F470" s="203"/>
      <c r="G470" s="185"/>
      <c r="H470" s="185"/>
      <c r="I470" s="185"/>
      <c r="J470" s="185"/>
      <c r="K470" s="185"/>
      <c r="L470" s="185"/>
      <c r="M470" s="185"/>
      <c r="N470" s="185"/>
      <c r="O470" s="185"/>
      <c r="P470" s="185"/>
      <c r="Q470" s="185"/>
      <c r="R470" s="185"/>
      <c r="S470" s="185"/>
      <c r="T470" s="185"/>
      <c r="U470" s="185"/>
      <c r="V470" s="185"/>
      <c r="W470" s="185"/>
      <c r="X470" s="185"/>
      <c r="Y470" s="185"/>
      <c r="Z470" s="185"/>
      <c r="AA470" s="185"/>
      <c r="AB470" s="185" t="str">
        <f>IFERROR(__xludf.DUMMYFUNCTION("LET(width,COLUMN($AB$1)-COLUMN($G$1),r,INDEX($G470:$AAB470,1,SEQUENCE(1,width)),flat,TOCOL(r,1),bad,FILTER(flat,COUNTIF('リスト'!$E:$E,flat)=0),IFERROR(TEXTJOIN(""\n"",TRUE,bad),""""))"),"")</f>
        <v/>
      </c>
      <c r="AC470" s="185"/>
      <c r="AD470" s="185"/>
    </row>
    <row r="471">
      <c r="A471" s="185"/>
      <c r="B471" s="185"/>
      <c r="C471" s="185"/>
      <c r="D471" s="185"/>
      <c r="E471" s="203"/>
      <c r="F471" s="203"/>
      <c r="G471" s="185"/>
      <c r="H471" s="185"/>
      <c r="I471" s="185"/>
      <c r="J471" s="185"/>
      <c r="K471" s="185"/>
      <c r="L471" s="185"/>
      <c r="M471" s="185"/>
      <c r="N471" s="185"/>
      <c r="O471" s="185"/>
      <c r="P471" s="185"/>
      <c r="Q471" s="185"/>
      <c r="R471" s="185"/>
      <c r="S471" s="185"/>
      <c r="T471" s="185"/>
      <c r="U471" s="185"/>
      <c r="V471" s="185"/>
      <c r="W471" s="185"/>
      <c r="X471" s="185"/>
      <c r="Y471" s="185"/>
      <c r="Z471" s="185"/>
      <c r="AA471" s="185"/>
      <c r="AB471" s="185" t="str">
        <f>IFERROR(__xludf.DUMMYFUNCTION("LET(width,COLUMN($AB$1)-COLUMN($G$1),r,INDEX($G471:$AAB471,1,SEQUENCE(1,width)),flat,TOCOL(r,1),bad,FILTER(flat,COUNTIF('リスト'!$E:$E,flat)=0),IFERROR(TEXTJOIN(""\n"",TRUE,bad),""""))"),"")</f>
        <v/>
      </c>
      <c r="AC471" s="185"/>
      <c r="AD471" s="185"/>
    </row>
    <row r="472">
      <c r="A472" s="185"/>
      <c r="B472" s="185"/>
      <c r="C472" s="185"/>
      <c r="D472" s="185"/>
      <c r="E472" s="203"/>
      <c r="F472" s="203"/>
      <c r="G472" s="185"/>
      <c r="H472" s="185"/>
      <c r="I472" s="185"/>
      <c r="J472" s="185"/>
      <c r="K472" s="185"/>
      <c r="L472" s="185"/>
      <c r="M472" s="185"/>
      <c r="N472" s="185"/>
      <c r="O472" s="185"/>
      <c r="P472" s="185"/>
      <c r="Q472" s="185"/>
      <c r="R472" s="185"/>
      <c r="S472" s="185"/>
      <c r="T472" s="185"/>
      <c r="U472" s="185"/>
      <c r="V472" s="185"/>
      <c r="W472" s="185"/>
      <c r="X472" s="185"/>
      <c r="Y472" s="185"/>
      <c r="Z472" s="185"/>
      <c r="AA472" s="185"/>
      <c r="AB472" s="185" t="str">
        <f>IFERROR(__xludf.DUMMYFUNCTION("LET(width,COLUMN($AB$1)-COLUMN($G$1),r,INDEX($G472:$AAB472,1,SEQUENCE(1,width)),flat,TOCOL(r,1),bad,FILTER(flat,COUNTIF('リスト'!$E:$E,flat)=0),IFERROR(TEXTJOIN(""\n"",TRUE,bad),""""))"),"")</f>
        <v/>
      </c>
      <c r="AC472" s="185"/>
      <c r="AD472" s="185"/>
    </row>
    <row r="473">
      <c r="A473" s="185"/>
      <c r="B473" s="185"/>
      <c r="C473" s="185"/>
      <c r="D473" s="185"/>
      <c r="E473" s="203"/>
      <c r="F473" s="203"/>
      <c r="G473" s="185"/>
      <c r="H473" s="185"/>
      <c r="I473" s="185"/>
      <c r="J473" s="185"/>
      <c r="K473" s="185"/>
      <c r="L473" s="185"/>
      <c r="M473" s="185"/>
      <c r="N473" s="185"/>
      <c r="O473" s="185"/>
      <c r="P473" s="185"/>
      <c r="Q473" s="185"/>
      <c r="R473" s="185"/>
      <c r="S473" s="185"/>
      <c r="T473" s="185"/>
      <c r="U473" s="185"/>
      <c r="V473" s="185"/>
      <c r="W473" s="185"/>
      <c r="X473" s="185"/>
      <c r="Y473" s="185"/>
      <c r="Z473" s="185"/>
      <c r="AA473" s="185"/>
      <c r="AB473" s="185" t="str">
        <f>IFERROR(__xludf.DUMMYFUNCTION("LET(width,COLUMN($AB$1)-COLUMN($G$1),r,INDEX($G473:$AAB473,1,SEQUENCE(1,width)),flat,TOCOL(r,1),bad,FILTER(flat,COUNTIF('リスト'!$E:$E,flat)=0),IFERROR(TEXTJOIN(""\n"",TRUE,bad),""""))"),"")</f>
        <v/>
      </c>
      <c r="AC473" s="185"/>
      <c r="AD473" s="185"/>
    </row>
    <row r="474">
      <c r="A474" s="185"/>
      <c r="B474" s="185"/>
      <c r="C474" s="185"/>
      <c r="D474" s="185"/>
      <c r="E474" s="203"/>
      <c r="F474" s="203"/>
      <c r="G474" s="185"/>
      <c r="H474" s="185"/>
      <c r="I474" s="185"/>
      <c r="J474" s="185"/>
      <c r="K474" s="185"/>
      <c r="L474" s="185"/>
      <c r="M474" s="185"/>
      <c r="N474" s="185"/>
      <c r="O474" s="185"/>
      <c r="P474" s="185"/>
      <c r="Q474" s="185"/>
      <c r="R474" s="185"/>
      <c r="S474" s="185"/>
      <c r="T474" s="185"/>
      <c r="U474" s="185"/>
      <c r="V474" s="185"/>
      <c r="W474" s="185"/>
      <c r="X474" s="185"/>
      <c r="Y474" s="185"/>
      <c r="Z474" s="185"/>
      <c r="AA474" s="185"/>
      <c r="AB474" s="185" t="str">
        <f>IFERROR(__xludf.DUMMYFUNCTION("LET(width,COLUMN($AB$1)-COLUMN($G$1),r,INDEX($G474:$AAB474,1,SEQUENCE(1,width)),flat,TOCOL(r,1),bad,FILTER(flat,COUNTIF('リスト'!$E:$E,flat)=0),IFERROR(TEXTJOIN(""\n"",TRUE,bad),""""))"),"")</f>
        <v/>
      </c>
      <c r="AC474" s="185"/>
      <c r="AD474" s="185"/>
    </row>
    <row r="475">
      <c r="A475" s="185"/>
      <c r="B475" s="185"/>
      <c r="C475" s="185"/>
      <c r="D475" s="185"/>
      <c r="E475" s="203"/>
      <c r="F475" s="203"/>
      <c r="G475" s="185"/>
      <c r="H475" s="185"/>
      <c r="I475" s="185"/>
      <c r="J475" s="185"/>
      <c r="K475" s="185"/>
      <c r="L475" s="185"/>
      <c r="M475" s="185"/>
      <c r="N475" s="185"/>
      <c r="O475" s="185"/>
      <c r="P475" s="185"/>
      <c r="Q475" s="185"/>
      <c r="R475" s="185"/>
      <c r="S475" s="185"/>
      <c r="T475" s="185"/>
      <c r="U475" s="185"/>
      <c r="V475" s="185"/>
      <c r="W475" s="185"/>
      <c r="X475" s="185"/>
      <c r="Y475" s="185"/>
      <c r="Z475" s="185"/>
      <c r="AA475" s="185"/>
      <c r="AB475" s="185" t="str">
        <f>IFERROR(__xludf.DUMMYFUNCTION("LET(width,COLUMN($AB$1)-COLUMN($G$1),r,INDEX($G475:$AAB475,1,SEQUENCE(1,width)),flat,TOCOL(r,1),bad,FILTER(flat,COUNTIF('リスト'!$E:$E,flat)=0),IFERROR(TEXTJOIN(""\n"",TRUE,bad),""""))"),"")</f>
        <v/>
      </c>
      <c r="AC475" s="185"/>
      <c r="AD475" s="185"/>
    </row>
    <row r="476">
      <c r="A476" s="185"/>
      <c r="B476" s="185"/>
      <c r="C476" s="185"/>
      <c r="D476" s="185"/>
      <c r="E476" s="203"/>
      <c r="F476" s="203"/>
      <c r="G476" s="185"/>
      <c r="H476" s="185"/>
      <c r="I476" s="185"/>
      <c r="J476" s="185"/>
      <c r="K476" s="185"/>
      <c r="L476" s="185"/>
      <c r="M476" s="185"/>
      <c r="N476" s="185"/>
      <c r="O476" s="185"/>
      <c r="P476" s="185"/>
      <c r="Q476" s="185"/>
      <c r="R476" s="185"/>
      <c r="S476" s="185"/>
      <c r="T476" s="185"/>
      <c r="U476" s="185"/>
      <c r="V476" s="185"/>
      <c r="W476" s="185"/>
      <c r="X476" s="185"/>
      <c r="Y476" s="185"/>
      <c r="Z476" s="185"/>
      <c r="AA476" s="185"/>
      <c r="AB476" s="185" t="str">
        <f>IFERROR(__xludf.DUMMYFUNCTION("LET(width,COLUMN($AB$1)-COLUMN($G$1),r,INDEX($G476:$AAB476,1,SEQUENCE(1,width)),flat,TOCOL(r,1),bad,FILTER(flat,COUNTIF('リスト'!$E:$E,flat)=0),IFERROR(TEXTJOIN(""\n"",TRUE,bad),""""))"),"")</f>
        <v/>
      </c>
      <c r="AC476" s="185"/>
      <c r="AD476" s="185"/>
    </row>
    <row r="477">
      <c r="A477" s="185"/>
      <c r="B477" s="185"/>
      <c r="C477" s="185"/>
      <c r="D477" s="185"/>
      <c r="E477" s="203"/>
      <c r="F477" s="203"/>
      <c r="G477" s="185"/>
      <c r="H477" s="185"/>
      <c r="I477" s="185"/>
      <c r="J477" s="185"/>
      <c r="K477" s="185"/>
      <c r="L477" s="185"/>
      <c r="M477" s="185"/>
      <c r="N477" s="185"/>
      <c r="O477" s="185"/>
      <c r="P477" s="185"/>
      <c r="Q477" s="185"/>
      <c r="R477" s="185"/>
      <c r="S477" s="185"/>
      <c r="T477" s="185"/>
      <c r="U477" s="185"/>
      <c r="V477" s="185"/>
      <c r="W477" s="185"/>
      <c r="X477" s="185"/>
      <c r="Y477" s="185"/>
      <c r="Z477" s="185"/>
      <c r="AA477" s="185"/>
      <c r="AB477" s="185" t="str">
        <f>IFERROR(__xludf.DUMMYFUNCTION("LET(width,COLUMN($AB$1)-COLUMN($G$1),r,INDEX($G477:$AAB477,1,SEQUENCE(1,width)),flat,TOCOL(r,1),bad,FILTER(flat,COUNTIF('リスト'!$E:$E,flat)=0),IFERROR(TEXTJOIN(""\n"",TRUE,bad),""""))"),"")</f>
        <v/>
      </c>
      <c r="AC477" s="185"/>
      <c r="AD477" s="185"/>
    </row>
    <row r="478">
      <c r="A478" s="185"/>
      <c r="B478" s="185"/>
      <c r="C478" s="185"/>
      <c r="D478" s="185"/>
      <c r="E478" s="203"/>
      <c r="F478" s="203"/>
      <c r="G478" s="185"/>
      <c r="H478" s="185"/>
      <c r="I478" s="185"/>
      <c r="J478" s="185"/>
      <c r="K478" s="185"/>
      <c r="L478" s="185"/>
      <c r="M478" s="185"/>
      <c r="N478" s="185"/>
      <c r="O478" s="185"/>
      <c r="P478" s="185"/>
      <c r="Q478" s="185"/>
      <c r="R478" s="185"/>
      <c r="S478" s="185"/>
      <c r="T478" s="185"/>
      <c r="U478" s="185"/>
      <c r="V478" s="185"/>
      <c r="W478" s="185"/>
      <c r="X478" s="185"/>
      <c r="Y478" s="185"/>
      <c r="Z478" s="185"/>
      <c r="AA478" s="185"/>
      <c r="AB478" s="185" t="str">
        <f>IFERROR(__xludf.DUMMYFUNCTION("LET(width,COLUMN($AB$1)-COLUMN($G$1),r,INDEX($G478:$AAB478,1,SEQUENCE(1,width)),flat,TOCOL(r,1),bad,FILTER(flat,COUNTIF('リスト'!$E:$E,flat)=0),IFERROR(TEXTJOIN(""\n"",TRUE,bad),""""))"),"")</f>
        <v/>
      </c>
      <c r="AC478" s="185"/>
      <c r="AD478" s="185"/>
    </row>
    <row r="479">
      <c r="A479" s="185"/>
      <c r="B479" s="185"/>
      <c r="C479" s="185"/>
      <c r="D479" s="185"/>
      <c r="E479" s="203"/>
      <c r="F479" s="203"/>
      <c r="G479" s="185"/>
      <c r="H479" s="185"/>
      <c r="I479" s="185"/>
      <c r="J479" s="185"/>
      <c r="K479" s="185"/>
      <c r="L479" s="185"/>
      <c r="M479" s="185"/>
      <c r="N479" s="185"/>
      <c r="O479" s="185"/>
      <c r="P479" s="185"/>
      <c r="Q479" s="185"/>
      <c r="R479" s="185"/>
      <c r="S479" s="185"/>
      <c r="T479" s="185"/>
      <c r="U479" s="185"/>
      <c r="V479" s="185"/>
      <c r="W479" s="185"/>
      <c r="X479" s="185"/>
      <c r="Y479" s="185"/>
      <c r="Z479" s="185"/>
      <c r="AA479" s="185"/>
      <c r="AB479" s="185" t="str">
        <f>IFERROR(__xludf.DUMMYFUNCTION("LET(width,COLUMN($AB$1)-COLUMN($G$1),r,INDEX($G479:$AAB479,1,SEQUENCE(1,width)),flat,TOCOL(r,1),bad,FILTER(flat,COUNTIF('リスト'!$E:$E,flat)=0),IFERROR(TEXTJOIN(""\n"",TRUE,bad),""""))"),"")</f>
        <v/>
      </c>
      <c r="AC479" s="185"/>
      <c r="AD479" s="185"/>
    </row>
    <row r="480">
      <c r="A480" s="185"/>
      <c r="B480" s="185"/>
      <c r="C480" s="185"/>
      <c r="D480" s="185"/>
      <c r="E480" s="203"/>
      <c r="F480" s="203"/>
      <c r="G480" s="185"/>
      <c r="H480" s="185"/>
      <c r="I480" s="185"/>
      <c r="J480" s="185"/>
      <c r="K480" s="185"/>
      <c r="L480" s="185"/>
      <c r="M480" s="185"/>
      <c r="N480" s="185"/>
      <c r="O480" s="185"/>
      <c r="P480" s="185"/>
      <c r="Q480" s="185"/>
      <c r="R480" s="185"/>
      <c r="S480" s="185"/>
      <c r="T480" s="185"/>
      <c r="U480" s="185"/>
      <c r="V480" s="185"/>
      <c r="W480" s="185"/>
      <c r="X480" s="185"/>
      <c r="Y480" s="185"/>
      <c r="Z480" s="185"/>
      <c r="AA480" s="185"/>
      <c r="AB480" s="185" t="str">
        <f>IFERROR(__xludf.DUMMYFUNCTION("LET(width,COLUMN($AB$1)-COLUMN($G$1),r,INDEX($G480:$AAB480,1,SEQUENCE(1,width)),flat,TOCOL(r,1),bad,FILTER(flat,COUNTIF('リスト'!$E:$E,flat)=0),IFERROR(TEXTJOIN(""\n"",TRUE,bad),""""))"),"")</f>
        <v/>
      </c>
      <c r="AC480" s="185"/>
      <c r="AD480" s="185"/>
    </row>
    <row r="481">
      <c r="A481" s="185"/>
      <c r="B481" s="185"/>
      <c r="C481" s="185"/>
      <c r="D481" s="185"/>
      <c r="E481" s="203"/>
      <c r="F481" s="203"/>
      <c r="G481" s="185"/>
      <c r="H481" s="185"/>
      <c r="I481" s="185"/>
      <c r="J481" s="185"/>
      <c r="K481" s="185"/>
      <c r="L481" s="185"/>
      <c r="M481" s="185"/>
      <c r="N481" s="185"/>
      <c r="O481" s="185"/>
      <c r="P481" s="185"/>
      <c r="Q481" s="185"/>
      <c r="R481" s="185"/>
      <c r="S481" s="185"/>
      <c r="T481" s="185"/>
      <c r="U481" s="185"/>
      <c r="V481" s="185"/>
      <c r="W481" s="185"/>
      <c r="X481" s="185"/>
      <c r="Y481" s="185"/>
      <c r="Z481" s="185"/>
      <c r="AA481" s="185"/>
      <c r="AB481" s="185" t="str">
        <f>IFERROR(__xludf.DUMMYFUNCTION("LET(width,COLUMN($AB$1)-COLUMN($G$1),r,INDEX($G481:$AAB481,1,SEQUENCE(1,width)),flat,TOCOL(r,1),bad,FILTER(flat,COUNTIF('リスト'!$E:$E,flat)=0),IFERROR(TEXTJOIN(""\n"",TRUE,bad),""""))"),"")</f>
        <v/>
      </c>
      <c r="AC481" s="185"/>
      <c r="AD481" s="185"/>
    </row>
    <row r="482">
      <c r="A482" s="185"/>
      <c r="B482" s="185"/>
      <c r="C482" s="185"/>
      <c r="D482" s="185"/>
      <c r="E482" s="203"/>
      <c r="F482" s="203"/>
      <c r="G482" s="185"/>
      <c r="H482" s="185"/>
      <c r="I482" s="185"/>
      <c r="J482" s="185"/>
      <c r="K482" s="185"/>
      <c r="L482" s="185"/>
      <c r="M482" s="185"/>
      <c r="N482" s="185"/>
      <c r="O482" s="185"/>
      <c r="P482" s="185"/>
      <c r="Q482" s="185"/>
      <c r="R482" s="185"/>
      <c r="S482" s="185"/>
      <c r="T482" s="185"/>
      <c r="U482" s="185"/>
      <c r="V482" s="185"/>
      <c r="W482" s="185"/>
      <c r="X482" s="185"/>
      <c r="Y482" s="185"/>
      <c r="Z482" s="185"/>
      <c r="AA482" s="185"/>
      <c r="AB482" s="185" t="str">
        <f>IFERROR(__xludf.DUMMYFUNCTION("LET(width,COLUMN($AB$1)-COLUMN($G$1),r,INDEX($G482:$AAB482,1,SEQUENCE(1,width)),flat,TOCOL(r,1),bad,FILTER(flat,COUNTIF('リスト'!$E:$E,flat)=0),IFERROR(TEXTJOIN(""\n"",TRUE,bad),""""))"),"")</f>
        <v/>
      </c>
      <c r="AC482" s="185"/>
      <c r="AD482" s="185"/>
    </row>
    <row r="483">
      <c r="A483" s="185"/>
      <c r="B483" s="185"/>
      <c r="C483" s="185"/>
      <c r="D483" s="185"/>
      <c r="E483" s="203"/>
      <c r="F483" s="203"/>
      <c r="G483" s="185"/>
      <c r="H483" s="185"/>
      <c r="I483" s="185"/>
      <c r="J483" s="185"/>
      <c r="K483" s="185"/>
      <c r="L483" s="185"/>
      <c r="M483" s="185"/>
      <c r="N483" s="185"/>
      <c r="O483" s="185"/>
      <c r="P483" s="185"/>
      <c r="Q483" s="185"/>
      <c r="R483" s="185"/>
      <c r="S483" s="185"/>
      <c r="T483" s="185"/>
      <c r="U483" s="185"/>
      <c r="V483" s="185"/>
      <c r="W483" s="185"/>
      <c r="X483" s="185"/>
      <c r="Y483" s="185"/>
      <c r="Z483" s="185"/>
      <c r="AA483" s="185"/>
      <c r="AB483" s="185" t="str">
        <f>IFERROR(__xludf.DUMMYFUNCTION("LET(width,COLUMN($AB$1)-COLUMN($G$1),r,INDEX($G483:$AAB483,1,SEQUENCE(1,width)),flat,TOCOL(r,1),bad,FILTER(flat,COUNTIF('リスト'!$E:$E,flat)=0),IFERROR(TEXTJOIN(""\n"",TRUE,bad),""""))"),"")</f>
        <v/>
      </c>
      <c r="AC483" s="185"/>
      <c r="AD483" s="185"/>
    </row>
    <row r="484">
      <c r="A484" s="185"/>
      <c r="B484" s="185"/>
      <c r="C484" s="185"/>
      <c r="D484" s="185"/>
      <c r="E484" s="203"/>
      <c r="F484" s="203"/>
      <c r="G484" s="185"/>
      <c r="H484" s="185"/>
      <c r="I484" s="185"/>
      <c r="J484" s="185"/>
      <c r="K484" s="185"/>
      <c r="L484" s="185"/>
      <c r="M484" s="185"/>
      <c r="N484" s="185"/>
      <c r="O484" s="185"/>
      <c r="P484" s="185"/>
      <c r="Q484" s="185"/>
      <c r="R484" s="185"/>
      <c r="S484" s="185"/>
      <c r="T484" s="185"/>
      <c r="U484" s="185"/>
      <c r="V484" s="185"/>
      <c r="W484" s="185"/>
      <c r="X484" s="185"/>
      <c r="Y484" s="185"/>
      <c r="Z484" s="185"/>
      <c r="AA484" s="185"/>
      <c r="AB484" s="185" t="str">
        <f>IFERROR(__xludf.DUMMYFUNCTION("LET(width,COLUMN($AB$1)-COLUMN($G$1),r,INDEX($G484:$AAB484,1,SEQUENCE(1,width)),flat,TOCOL(r,1),bad,FILTER(flat,COUNTIF('リスト'!$E:$E,flat)=0),IFERROR(TEXTJOIN(""\n"",TRUE,bad),""""))"),"")</f>
        <v/>
      </c>
      <c r="AC484" s="185"/>
      <c r="AD484" s="185"/>
    </row>
    <row r="485">
      <c r="A485" s="185"/>
      <c r="B485" s="185"/>
      <c r="C485" s="185"/>
      <c r="D485" s="185"/>
      <c r="E485" s="203"/>
      <c r="F485" s="203"/>
      <c r="G485" s="185"/>
      <c r="H485" s="185"/>
      <c r="I485" s="185"/>
      <c r="J485" s="185"/>
      <c r="K485" s="185"/>
      <c r="L485" s="185"/>
      <c r="M485" s="185"/>
      <c r="N485" s="185"/>
      <c r="O485" s="185"/>
      <c r="P485" s="185"/>
      <c r="Q485" s="185"/>
      <c r="R485" s="185"/>
      <c r="S485" s="185"/>
      <c r="T485" s="185"/>
      <c r="U485" s="185"/>
      <c r="V485" s="185"/>
      <c r="W485" s="185"/>
      <c r="X485" s="185"/>
      <c r="Y485" s="185"/>
      <c r="Z485" s="185"/>
      <c r="AA485" s="185"/>
      <c r="AB485" s="185" t="str">
        <f>IFERROR(__xludf.DUMMYFUNCTION("LET(width,COLUMN($AB$1)-COLUMN($G$1),r,INDEX($G485:$AAB485,1,SEQUENCE(1,width)),flat,TOCOL(r,1),bad,FILTER(flat,COUNTIF('リスト'!$E:$E,flat)=0),IFERROR(TEXTJOIN(""\n"",TRUE,bad),""""))"),"")</f>
        <v/>
      </c>
      <c r="AC485" s="185"/>
      <c r="AD485" s="185"/>
    </row>
    <row r="486">
      <c r="A486" s="185"/>
      <c r="B486" s="185"/>
      <c r="C486" s="185"/>
      <c r="D486" s="185"/>
      <c r="E486" s="203"/>
      <c r="F486" s="203"/>
      <c r="G486" s="185"/>
      <c r="H486" s="185"/>
      <c r="I486" s="185"/>
      <c r="J486" s="185"/>
      <c r="K486" s="185"/>
      <c r="L486" s="185"/>
      <c r="M486" s="185"/>
      <c r="N486" s="185"/>
      <c r="O486" s="185"/>
      <c r="P486" s="185"/>
      <c r="Q486" s="185"/>
      <c r="R486" s="185"/>
      <c r="S486" s="185"/>
      <c r="T486" s="185"/>
      <c r="U486" s="185"/>
      <c r="V486" s="185"/>
      <c r="W486" s="185"/>
      <c r="X486" s="185"/>
      <c r="Y486" s="185"/>
      <c r="Z486" s="185"/>
      <c r="AA486" s="185"/>
      <c r="AB486" s="185" t="str">
        <f>IFERROR(__xludf.DUMMYFUNCTION("LET(width,COLUMN($AB$1)-COLUMN($G$1),r,INDEX($G486:$AAB486,1,SEQUENCE(1,width)),flat,TOCOL(r,1),bad,FILTER(flat,COUNTIF('リスト'!$E:$E,flat)=0),IFERROR(TEXTJOIN(""\n"",TRUE,bad),""""))"),"")</f>
        <v/>
      </c>
      <c r="AC486" s="185"/>
      <c r="AD486" s="185"/>
    </row>
    <row r="487">
      <c r="A487" s="185"/>
      <c r="B487" s="185"/>
      <c r="C487" s="185"/>
      <c r="D487" s="185"/>
      <c r="E487" s="203"/>
      <c r="F487" s="203"/>
      <c r="G487" s="185"/>
      <c r="H487" s="185"/>
      <c r="I487" s="185"/>
      <c r="J487" s="185"/>
      <c r="K487" s="185"/>
      <c r="L487" s="185"/>
      <c r="M487" s="185"/>
      <c r="N487" s="185"/>
      <c r="O487" s="185"/>
      <c r="P487" s="185"/>
      <c r="Q487" s="185"/>
      <c r="R487" s="185"/>
      <c r="S487" s="185"/>
      <c r="T487" s="185"/>
      <c r="U487" s="185"/>
      <c r="V487" s="185"/>
      <c r="W487" s="185"/>
      <c r="X487" s="185"/>
      <c r="Y487" s="185"/>
      <c r="Z487" s="185"/>
      <c r="AA487" s="185"/>
      <c r="AB487" s="185" t="str">
        <f>IFERROR(__xludf.DUMMYFUNCTION("LET(width,COLUMN($AB$1)-COLUMN($G$1),r,INDEX($G487:$AAB487,1,SEQUENCE(1,width)),flat,TOCOL(r,1),bad,FILTER(flat,COUNTIF('リスト'!$E:$E,flat)=0),IFERROR(TEXTJOIN(""\n"",TRUE,bad),""""))"),"")</f>
        <v/>
      </c>
      <c r="AC487" s="185"/>
      <c r="AD487" s="185"/>
    </row>
    <row r="488">
      <c r="A488" s="185"/>
      <c r="B488" s="185"/>
      <c r="C488" s="185"/>
      <c r="D488" s="185"/>
      <c r="E488" s="203"/>
      <c r="F488" s="203"/>
      <c r="G488" s="185"/>
      <c r="H488" s="185"/>
      <c r="I488" s="185"/>
      <c r="J488" s="185"/>
      <c r="K488" s="185"/>
      <c r="L488" s="185"/>
      <c r="M488" s="185"/>
      <c r="N488" s="185"/>
      <c r="O488" s="185"/>
      <c r="P488" s="185"/>
      <c r="Q488" s="185"/>
      <c r="R488" s="185"/>
      <c r="S488" s="185"/>
      <c r="T488" s="185"/>
      <c r="U488" s="185"/>
      <c r="V488" s="185"/>
      <c r="W488" s="185"/>
      <c r="X488" s="185"/>
      <c r="Y488" s="185"/>
      <c r="Z488" s="185"/>
      <c r="AA488" s="185"/>
      <c r="AB488" s="185" t="str">
        <f>IFERROR(__xludf.DUMMYFUNCTION("LET(width,COLUMN($AB$1)-COLUMN($G$1),r,INDEX($G488:$AAB488,1,SEQUENCE(1,width)),flat,TOCOL(r,1),bad,FILTER(flat,COUNTIF('リスト'!$E:$E,flat)=0),IFERROR(TEXTJOIN(""\n"",TRUE,bad),""""))"),"")</f>
        <v/>
      </c>
      <c r="AC488" s="185"/>
      <c r="AD488" s="185"/>
    </row>
    <row r="489">
      <c r="A489" s="185"/>
      <c r="B489" s="185"/>
      <c r="C489" s="185"/>
      <c r="D489" s="185"/>
      <c r="E489" s="203"/>
      <c r="F489" s="203"/>
      <c r="G489" s="185"/>
      <c r="H489" s="185"/>
      <c r="I489" s="185"/>
      <c r="J489" s="185"/>
      <c r="K489" s="185"/>
      <c r="L489" s="185"/>
      <c r="M489" s="185"/>
      <c r="N489" s="185"/>
      <c r="O489" s="185"/>
      <c r="P489" s="185"/>
      <c r="Q489" s="185"/>
      <c r="R489" s="185"/>
      <c r="S489" s="185"/>
      <c r="T489" s="185"/>
      <c r="U489" s="185"/>
      <c r="V489" s="185"/>
      <c r="W489" s="185"/>
      <c r="X489" s="185"/>
      <c r="Y489" s="185"/>
      <c r="Z489" s="185"/>
      <c r="AA489" s="185"/>
      <c r="AB489" s="185" t="str">
        <f>IFERROR(__xludf.DUMMYFUNCTION("LET(width,COLUMN($AB$1)-COLUMN($G$1),r,INDEX($G489:$AAB489,1,SEQUENCE(1,width)),flat,TOCOL(r,1),bad,FILTER(flat,COUNTIF('リスト'!$E:$E,flat)=0),IFERROR(TEXTJOIN(""\n"",TRUE,bad),""""))"),"")</f>
        <v/>
      </c>
      <c r="AC489" s="185"/>
      <c r="AD489" s="185"/>
    </row>
    <row r="490">
      <c r="A490" s="185"/>
      <c r="B490" s="185"/>
      <c r="C490" s="185"/>
      <c r="D490" s="185"/>
      <c r="E490" s="203"/>
      <c r="F490" s="203"/>
      <c r="G490" s="185"/>
      <c r="H490" s="185"/>
      <c r="I490" s="185"/>
      <c r="J490" s="185"/>
      <c r="K490" s="185"/>
      <c r="L490" s="185"/>
      <c r="M490" s="185"/>
      <c r="N490" s="185"/>
      <c r="O490" s="185"/>
      <c r="P490" s="185"/>
      <c r="Q490" s="185"/>
      <c r="R490" s="185"/>
      <c r="S490" s="185"/>
      <c r="T490" s="185"/>
      <c r="U490" s="185"/>
      <c r="V490" s="185"/>
      <c r="W490" s="185"/>
      <c r="X490" s="185"/>
      <c r="Y490" s="185"/>
      <c r="Z490" s="185"/>
      <c r="AA490" s="185"/>
      <c r="AB490" s="185" t="str">
        <f>IFERROR(__xludf.DUMMYFUNCTION("LET(width,COLUMN($AB$1)-COLUMN($G$1),r,INDEX($G490:$AAB490,1,SEQUENCE(1,width)),flat,TOCOL(r,1),bad,FILTER(flat,COUNTIF('リスト'!$E:$E,flat)=0),IFERROR(TEXTJOIN(""\n"",TRUE,bad),""""))"),"")</f>
        <v/>
      </c>
      <c r="AC490" s="185"/>
      <c r="AD490" s="185"/>
    </row>
    <row r="491">
      <c r="A491" s="185"/>
      <c r="B491" s="185"/>
      <c r="C491" s="185"/>
      <c r="D491" s="185"/>
      <c r="E491" s="203"/>
      <c r="F491" s="203"/>
      <c r="G491" s="185"/>
      <c r="H491" s="185"/>
      <c r="I491" s="185"/>
      <c r="J491" s="185"/>
      <c r="K491" s="185"/>
      <c r="L491" s="185"/>
      <c r="M491" s="185"/>
      <c r="N491" s="185"/>
      <c r="O491" s="185"/>
      <c r="P491" s="185"/>
      <c r="Q491" s="185"/>
      <c r="R491" s="185"/>
      <c r="S491" s="185"/>
      <c r="T491" s="185"/>
      <c r="U491" s="185"/>
      <c r="V491" s="185"/>
      <c r="W491" s="185"/>
      <c r="X491" s="185"/>
      <c r="Y491" s="185"/>
      <c r="Z491" s="185"/>
      <c r="AA491" s="185"/>
      <c r="AB491" s="185" t="str">
        <f>IFERROR(__xludf.DUMMYFUNCTION("LET(width,COLUMN($AB$1)-COLUMN($G$1),r,INDEX($G491:$AAB491,1,SEQUENCE(1,width)),flat,TOCOL(r,1),bad,FILTER(flat,COUNTIF('リスト'!$E:$E,flat)=0),IFERROR(TEXTJOIN(""\n"",TRUE,bad),""""))"),"")</f>
        <v/>
      </c>
      <c r="AC491" s="185"/>
      <c r="AD491" s="185"/>
    </row>
    <row r="492">
      <c r="A492" s="185"/>
      <c r="B492" s="185"/>
      <c r="C492" s="185"/>
      <c r="D492" s="185"/>
      <c r="E492" s="203"/>
      <c r="F492" s="203"/>
      <c r="G492" s="185"/>
      <c r="H492" s="185"/>
      <c r="I492" s="185"/>
      <c r="J492" s="185"/>
      <c r="K492" s="185"/>
      <c r="L492" s="185"/>
      <c r="M492" s="185"/>
      <c r="N492" s="185"/>
      <c r="O492" s="185"/>
      <c r="P492" s="185"/>
      <c r="Q492" s="185"/>
      <c r="R492" s="185"/>
      <c r="S492" s="185"/>
      <c r="T492" s="185"/>
      <c r="U492" s="185"/>
      <c r="V492" s="185"/>
      <c r="W492" s="185"/>
      <c r="X492" s="185"/>
      <c r="Y492" s="185"/>
      <c r="Z492" s="185"/>
      <c r="AA492" s="185"/>
      <c r="AB492" s="185" t="str">
        <f>IFERROR(__xludf.DUMMYFUNCTION("LET(width,COLUMN($AB$1)-COLUMN($G$1),r,INDEX($G492:$AAB492,1,SEQUENCE(1,width)),flat,TOCOL(r,1),bad,FILTER(flat,COUNTIF('リスト'!$E:$E,flat)=0),IFERROR(TEXTJOIN(""\n"",TRUE,bad),""""))"),"")</f>
        <v/>
      </c>
      <c r="AC492" s="185"/>
      <c r="AD492" s="185"/>
    </row>
    <row r="493">
      <c r="A493" s="185"/>
      <c r="B493" s="185"/>
      <c r="C493" s="185"/>
      <c r="D493" s="185"/>
      <c r="E493" s="203"/>
      <c r="F493" s="203"/>
      <c r="G493" s="185"/>
      <c r="H493" s="185"/>
      <c r="I493" s="185"/>
      <c r="J493" s="185"/>
      <c r="K493" s="185"/>
      <c r="L493" s="185"/>
      <c r="M493" s="185"/>
      <c r="N493" s="185"/>
      <c r="O493" s="185"/>
      <c r="P493" s="185"/>
      <c r="Q493" s="185"/>
      <c r="R493" s="185"/>
      <c r="S493" s="185"/>
      <c r="T493" s="185"/>
      <c r="U493" s="185"/>
      <c r="V493" s="185"/>
      <c r="W493" s="185"/>
      <c r="X493" s="185"/>
      <c r="Y493" s="185"/>
      <c r="Z493" s="185"/>
      <c r="AA493" s="185"/>
      <c r="AB493" s="185" t="str">
        <f>IFERROR(__xludf.DUMMYFUNCTION("LET(width,COLUMN($AB$1)-COLUMN($G$1),r,INDEX($G493:$AAB493,1,SEQUENCE(1,width)),flat,TOCOL(r,1),bad,FILTER(flat,COUNTIF('リスト'!$E:$E,flat)=0),IFERROR(TEXTJOIN(""\n"",TRUE,bad),""""))"),"")</f>
        <v/>
      </c>
      <c r="AC493" s="185"/>
      <c r="AD493" s="185"/>
    </row>
    <row r="494">
      <c r="A494" s="185"/>
      <c r="B494" s="185"/>
      <c r="C494" s="185"/>
      <c r="D494" s="185"/>
      <c r="E494" s="203"/>
      <c r="F494" s="203"/>
      <c r="G494" s="185"/>
      <c r="H494" s="185"/>
      <c r="I494" s="185"/>
      <c r="J494" s="185"/>
      <c r="K494" s="185"/>
      <c r="L494" s="185"/>
      <c r="M494" s="185"/>
      <c r="N494" s="185"/>
      <c r="O494" s="185"/>
      <c r="P494" s="185"/>
      <c r="Q494" s="185"/>
      <c r="R494" s="185"/>
      <c r="S494" s="185"/>
      <c r="T494" s="185"/>
      <c r="U494" s="185"/>
      <c r="V494" s="185"/>
      <c r="W494" s="185"/>
      <c r="X494" s="185"/>
      <c r="Y494" s="185"/>
      <c r="Z494" s="185"/>
      <c r="AA494" s="185"/>
      <c r="AB494" s="185" t="str">
        <f>IFERROR(__xludf.DUMMYFUNCTION("LET(width,COLUMN($AB$1)-COLUMN($G$1),r,INDEX($G494:$AAB494,1,SEQUENCE(1,width)),flat,TOCOL(r,1),bad,FILTER(flat,COUNTIF('リスト'!$E:$E,flat)=0),IFERROR(TEXTJOIN(""\n"",TRUE,bad),""""))"),"")</f>
        <v/>
      </c>
      <c r="AC494" s="185"/>
      <c r="AD494" s="185"/>
    </row>
    <row r="495">
      <c r="A495" s="185"/>
      <c r="B495" s="185"/>
      <c r="C495" s="185"/>
      <c r="D495" s="185"/>
      <c r="E495" s="203"/>
      <c r="F495" s="203"/>
      <c r="G495" s="185"/>
      <c r="H495" s="185"/>
      <c r="I495" s="185"/>
      <c r="J495" s="185"/>
      <c r="K495" s="185"/>
      <c r="L495" s="185"/>
      <c r="M495" s="185"/>
      <c r="N495" s="185"/>
      <c r="O495" s="185"/>
      <c r="P495" s="185"/>
      <c r="Q495" s="185"/>
      <c r="R495" s="185"/>
      <c r="S495" s="185"/>
      <c r="T495" s="185"/>
      <c r="U495" s="185"/>
      <c r="V495" s="185"/>
      <c r="W495" s="185"/>
      <c r="X495" s="185"/>
      <c r="Y495" s="185"/>
      <c r="Z495" s="185"/>
      <c r="AA495" s="185"/>
      <c r="AB495" s="185" t="str">
        <f>IFERROR(__xludf.DUMMYFUNCTION("LET(width,COLUMN($AB$1)-COLUMN($G$1),r,INDEX($G495:$AAB495,1,SEQUENCE(1,width)),flat,TOCOL(r,1),bad,FILTER(flat,COUNTIF('リスト'!$E:$E,flat)=0),IFERROR(TEXTJOIN(""\n"",TRUE,bad),""""))"),"")</f>
        <v/>
      </c>
      <c r="AC495" s="185"/>
      <c r="AD495" s="185"/>
    </row>
    <row r="496">
      <c r="A496" s="185"/>
      <c r="B496" s="185"/>
      <c r="C496" s="185"/>
      <c r="D496" s="185"/>
      <c r="E496" s="203"/>
      <c r="F496" s="203"/>
      <c r="G496" s="185"/>
      <c r="H496" s="185"/>
      <c r="I496" s="185"/>
      <c r="J496" s="185"/>
      <c r="K496" s="185"/>
      <c r="L496" s="185"/>
      <c r="M496" s="185"/>
      <c r="N496" s="185"/>
      <c r="O496" s="185"/>
      <c r="P496" s="185"/>
      <c r="Q496" s="185"/>
      <c r="R496" s="185"/>
      <c r="S496" s="185"/>
      <c r="T496" s="185"/>
      <c r="U496" s="185"/>
      <c r="V496" s="185"/>
      <c r="W496" s="185"/>
      <c r="X496" s="185"/>
      <c r="Y496" s="185"/>
      <c r="Z496" s="185"/>
      <c r="AA496" s="185"/>
      <c r="AB496" s="185" t="str">
        <f>IFERROR(__xludf.DUMMYFUNCTION("LET(width,COLUMN($AB$1)-COLUMN($G$1),r,INDEX($G496:$AAB496,1,SEQUENCE(1,width)),flat,TOCOL(r,1),bad,FILTER(flat,COUNTIF('リスト'!$E:$E,flat)=0),IFERROR(TEXTJOIN(""\n"",TRUE,bad),""""))"),"")</f>
        <v/>
      </c>
      <c r="AC496" s="185"/>
      <c r="AD496" s="185"/>
    </row>
    <row r="497">
      <c r="A497" s="185"/>
      <c r="B497" s="185"/>
      <c r="C497" s="185"/>
      <c r="D497" s="185"/>
      <c r="E497" s="203"/>
      <c r="F497" s="203"/>
      <c r="G497" s="185"/>
      <c r="H497" s="185"/>
      <c r="I497" s="185"/>
      <c r="J497" s="185"/>
      <c r="K497" s="185"/>
      <c r="L497" s="185"/>
      <c r="M497" s="185"/>
      <c r="N497" s="185"/>
      <c r="O497" s="185"/>
      <c r="P497" s="185"/>
      <c r="Q497" s="185"/>
      <c r="R497" s="185"/>
      <c r="S497" s="185"/>
      <c r="T497" s="185"/>
      <c r="U497" s="185"/>
      <c r="V497" s="185"/>
      <c r="W497" s="185"/>
      <c r="X497" s="185"/>
      <c r="Y497" s="185"/>
      <c r="Z497" s="185"/>
      <c r="AA497" s="185"/>
      <c r="AB497" s="185" t="str">
        <f>IFERROR(__xludf.DUMMYFUNCTION("LET(width,COLUMN($AB$1)-COLUMN($G$1),r,INDEX($G497:$AAB497,1,SEQUENCE(1,width)),flat,TOCOL(r,1),bad,FILTER(flat,COUNTIF('リスト'!$E:$E,flat)=0),IFERROR(TEXTJOIN(""\n"",TRUE,bad),""""))"),"")</f>
        <v/>
      </c>
      <c r="AC497" s="185"/>
      <c r="AD497" s="185"/>
    </row>
    <row r="498">
      <c r="A498" s="185"/>
      <c r="B498" s="185"/>
      <c r="C498" s="185"/>
      <c r="D498" s="185"/>
      <c r="E498" s="203"/>
      <c r="F498" s="203"/>
      <c r="G498" s="185"/>
      <c r="H498" s="185"/>
      <c r="I498" s="185"/>
      <c r="J498" s="185"/>
      <c r="K498" s="185"/>
      <c r="L498" s="185"/>
      <c r="M498" s="185"/>
      <c r="N498" s="185"/>
      <c r="O498" s="185"/>
      <c r="P498" s="185"/>
      <c r="Q498" s="185"/>
      <c r="R498" s="185"/>
      <c r="S498" s="185"/>
      <c r="T498" s="185"/>
      <c r="U498" s="185"/>
      <c r="V498" s="185"/>
      <c r="W498" s="185"/>
      <c r="X498" s="185"/>
      <c r="Y498" s="185"/>
      <c r="Z498" s="185"/>
      <c r="AA498" s="185"/>
      <c r="AB498" s="185" t="str">
        <f>IFERROR(__xludf.DUMMYFUNCTION("LET(width,COLUMN($AB$1)-COLUMN($G$1),r,INDEX($G498:$AAB498,1,SEQUENCE(1,width)),flat,TOCOL(r,1),bad,FILTER(flat,COUNTIF('リスト'!$E:$E,flat)=0),IFERROR(TEXTJOIN(""\n"",TRUE,bad),""""))"),"")</f>
        <v/>
      </c>
      <c r="AC498" s="185"/>
      <c r="AD498" s="185"/>
    </row>
    <row r="499">
      <c r="A499" s="185"/>
      <c r="B499" s="185"/>
      <c r="C499" s="185"/>
      <c r="D499" s="185"/>
      <c r="E499" s="203"/>
      <c r="F499" s="203"/>
      <c r="G499" s="185"/>
      <c r="H499" s="185"/>
      <c r="I499" s="185"/>
      <c r="J499" s="185"/>
      <c r="K499" s="185"/>
      <c r="L499" s="185"/>
      <c r="M499" s="185"/>
      <c r="N499" s="185"/>
      <c r="O499" s="185"/>
      <c r="P499" s="185"/>
      <c r="Q499" s="185"/>
      <c r="R499" s="185"/>
      <c r="S499" s="185"/>
      <c r="T499" s="185"/>
      <c r="U499" s="185"/>
      <c r="V499" s="185"/>
      <c r="W499" s="185"/>
      <c r="X499" s="185"/>
      <c r="Y499" s="185"/>
      <c r="Z499" s="185"/>
      <c r="AA499" s="185"/>
      <c r="AB499" s="185" t="str">
        <f>IFERROR(__xludf.DUMMYFUNCTION("LET(width,COLUMN($AB$1)-COLUMN($G$1),r,INDEX($G499:$AAB499,1,SEQUENCE(1,width)),flat,TOCOL(r,1),bad,FILTER(flat,COUNTIF('リスト'!$E:$E,flat)=0),IFERROR(TEXTJOIN(""\n"",TRUE,bad),""""))"),"")</f>
        <v/>
      </c>
      <c r="AC499" s="185"/>
      <c r="AD499" s="185"/>
    </row>
    <row r="500">
      <c r="A500" s="185"/>
      <c r="B500" s="185"/>
      <c r="C500" s="185"/>
      <c r="D500" s="185"/>
      <c r="E500" s="203"/>
      <c r="F500" s="203"/>
      <c r="G500" s="185"/>
      <c r="H500" s="185"/>
      <c r="I500" s="185"/>
      <c r="J500" s="185"/>
      <c r="K500" s="185"/>
      <c r="L500" s="185"/>
      <c r="M500" s="185"/>
      <c r="N500" s="185"/>
      <c r="O500" s="185"/>
      <c r="P500" s="185"/>
      <c r="Q500" s="185"/>
      <c r="R500" s="185"/>
      <c r="S500" s="185"/>
      <c r="T500" s="185"/>
      <c r="U500" s="185"/>
      <c r="V500" s="185"/>
      <c r="W500" s="185"/>
      <c r="X500" s="185"/>
      <c r="Y500" s="185"/>
      <c r="Z500" s="185"/>
      <c r="AA500" s="185"/>
      <c r="AB500" s="185" t="str">
        <f>IFERROR(__xludf.DUMMYFUNCTION("LET(width,COLUMN($AB$1)-COLUMN($G$1),r,INDEX($G500:$AAB500,1,SEQUENCE(1,width)),flat,TOCOL(r,1),bad,FILTER(flat,COUNTIF('リスト'!$E:$E,flat)=0),IFERROR(TEXTJOIN(""\n"",TRUE,bad),""""))"),"")</f>
        <v/>
      </c>
      <c r="AC500" s="185"/>
      <c r="AD500" s="185"/>
    </row>
    <row r="501">
      <c r="A501" s="185"/>
      <c r="B501" s="185"/>
      <c r="C501" s="185"/>
      <c r="D501" s="185"/>
      <c r="E501" s="203"/>
      <c r="F501" s="203"/>
      <c r="G501" s="185"/>
      <c r="H501" s="185"/>
      <c r="I501" s="185"/>
      <c r="J501" s="185"/>
      <c r="K501" s="185"/>
      <c r="L501" s="185"/>
      <c r="M501" s="185"/>
      <c r="N501" s="185"/>
      <c r="O501" s="185"/>
      <c r="P501" s="185"/>
      <c r="Q501" s="185"/>
      <c r="R501" s="185"/>
      <c r="S501" s="185"/>
      <c r="T501" s="185"/>
      <c r="U501" s="185"/>
      <c r="V501" s="185"/>
      <c r="W501" s="185"/>
      <c r="X501" s="185"/>
      <c r="Y501" s="185"/>
      <c r="Z501" s="185"/>
      <c r="AA501" s="185"/>
      <c r="AB501" s="185" t="str">
        <f>IFERROR(__xludf.DUMMYFUNCTION("LET(width,COLUMN($AB$1)-COLUMN($G$1),r,INDEX($G501:$AAB501,1,SEQUENCE(1,width)),flat,TOCOL(r,1),bad,FILTER(flat,COUNTIF('リスト'!$E:$E,flat)=0),IFERROR(TEXTJOIN(""\n"",TRUE,bad),""""))"),"")</f>
        <v/>
      </c>
      <c r="AC501" s="185"/>
      <c r="AD501" s="185"/>
    </row>
    <row r="502">
      <c r="A502" s="185"/>
      <c r="B502" s="185"/>
      <c r="C502" s="185"/>
      <c r="D502" s="185"/>
      <c r="E502" s="203"/>
      <c r="F502" s="203"/>
      <c r="G502" s="185"/>
      <c r="H502" s="185"/>
      <c r="I502" s="185"/>
      <c r="J502" s="185"/>
      <c r="K502" s="185"/>
      <c r="L502" s="185"/>
      <c r="M502" s="185"/>
      <c r="N502" s="185"/>
      <c r="O502" s="185"/>
      <c r="P502" s="185"/>
      <c r="Q502" s="185"/>
      <c r="R502" s="185"/>
      <c r="S502" s="185"/>
      <c r="T502" s="185"/>
      <c r="U502" s="185"/>
      <c r="V502" s="185"/>
      <c r="W502" s="185"/>
      <c r="X502" s="185"/>
      <c r="Y502" s="185"/>
      <c r="Z502" s="185"/>
      <c r="AA502" s="185"/>
      <c r="AB502" s="185" t="str">
        <f>IFERROR(__xludf.DUMMYFUNCTION("LET(width,COLUMN($AB$1)-COLUMN($G$1),r,INDEX($G502:$AAB502,1,SEQUENCE(1,width)),flat,TOCOL(r,1),bad,FILTER(flat,COUNTIF('リスト'!$E:$E,flat)=0),IFERROR(TEXTJOIN(""\n"",TRUE,bad),""""))"),"")</f>
        <v/>
      </c>
      <c r="AC502" s="185"/>
      <c r="AD502" s="185"/>
    </row>
    <row r="503">
      <c r="A503" s="185"/>
      <c r="B503" s="185"/>
      <c r="C503" s="185"/>
      <c r="D503" s="185"/>
      <c r="E503" s="203"/>
      <c r="F503" s="203"/>
      <c r="G503" s="185"/>
      <c r="H503" s="185"/>
      <c r="I503" s="185"/>
      <c r="J503" s="185"/>
      <c r="K503" s="185"/>
      <c r="L503" s="185"/>
      <c r="M503" s="185"/>
      <c r="N503" s="185"/>
      <c r="O503" s="185"/>
      <c r="P503" s="185"/>
      <c r="Q503" s="185"/>
      <c r="R503" s="185"/>
      <c r="S503" s="185"/>
      <c r="T503" s="185"/>
      <c r="U503" s="185"/>
      <c r="V503" s="185"/>
      <c r="W503" s="185"/>
      <c r="X503" s="185"/>
      <c r="Y503" s="185"/>
      <c r="Z503" s="185"/>
      <c r="AA503" s="185"/>
      <c r="AB503" s="185" t="str">
        <f>IFERROR(__xludf.DUMMYFUNCTION("LET(width,COLUMN($AB$1)-COLUMN($G$1),r,INDEX($G503:$AAB503,1,SEQUENCE(1,width)),flat,TOCOL(r,1),bad,FILTER(flat,COUNTIF('リスト'!$E:$E,flat)=0),IFERROR(TEXTJOIN(""\n"",TRUE,bad),""""))"),"")</f>
        <v/>
      </c>
      <c r="AC503" s="185"/>
      <c r="AD503" s="185"/>
    </row>
    <row r="504">
      <c r="A504" s="185"/>
      <c r="B504" s="185"/>
      <c r="C504" s="185"/>
      <c r="D504" s="185"/>
      <c r="E504" s="203"/>
      <c r="F504" s="203"/>
      <c r="G504" s="185"/>
      <c r="H504" s="185"/>
      <c r="I504" s="185"/>
      <c r="J504" s="185"/>
      <c r="K504" s="185"/>
      <c r="L504" s="185"/>
      <c r="M504" s="185"/>
      <c r="N504" s="185"/>
      <c r="O504" s="185"/>
      <c r="P504" s="185"/>
      <c r="Q504" s="185"/>
      <c r="R504" s="185"/>
      <c r="S504" s="185"/>
      <c r="T504" s="185"/>
      <c r="U504" s="185"/>
      <c r="V504" s="185"/>
      <c r="W504" s="185"/>
      <c r="X504" s="185"/>
      <c r="Y504" s="185"/>
      <c r="Z504" s="185"/>
      <c r="AA504" s="185"/>
      <c r="AB504" s="185" t="str">
        <f>IFERROR(__xludf.DUMMYFUNCTION("LET(width,COLUMN($AB$1)-COLUMN($G$1),r,INDEX($G504:$AAB504,1,SEQUENCE(1,width)),flat,TOCOL(r,1),bad,FILTER(flat,COUNTIF('リスト'!$E:$E,flat)=0),IFERROR(TEXTJOIN(""\n"",TRUE,bad),""""))"),"")</f>
        <v/>
      </c>
      <c r="AC504" s="185"/>
      <c r="AD504" s="185"/>
    </row>
    <row r="505">
      <c r="A505" s="185"/>
      <c r="B505" s="185"/>
      <c r="C505" s="185"/>
      <c r="D505" s="185"/>
      <c r="E505" s="203"/>
      <c r="F505" s="203"/>
      <c r="G505" s="185"/>
      <c r="H505" s="185"/>
      <c r="I505" s="185"/>
      <c r="J505" s="185"/>
      <c r="K505" s="185"/>
      <c r="L505" s="185"/>
      <c r="M505" s="185"/>
      <c r="N505" s="185"/>
      <c r="O505" s="185"/>
      <c r="P505" s="185"/>
      <c r="Q505" s="185"/>
      <c r="R505" s="185"/>
      <c r="S505" s="185"/>
      <c r="T505" s="185"/>
      <c r="U505" s="185"/>
      <c r="V505" s="185"/>
      <c r="W505" s="185"/>
      <c r="X505" s="185"/>
      <c r="Y505" s="185"/>
      <c r="Z505" s="185"/>
      <c r="AA505" s="185"/>
      <c r="AB505" s="185" t="str">
        <f>IFERROR(__xludf.DUMMYFUNCTION("LET(width,COLUMN($AB$1)-COLUMN($G$1),r,INDEX($G505:$AAB505,1,SEQUENCE(1,width)),flat,TOCOL(r,1),bad,FILTER(flat,COUNTIF('リスト'!$E:$E,flat)=0),IFERROR(TEXTJOIN(""\n"",TRUE,bad),""""))"),"")</f>
        <v/>
      </c>
      <c r="AC505" s="185"/>
      <c r="AD505" s="185"/>
    </row>
    <row r="506">
      <c r="A506" s="185"/>
      <c r="B506" s="185"/>
      <c r="C506" s="185"/>
      <c r="D506" s="185"/>
      <c r="E506" s="203"/>
      <c r="F506" s="203"/>
      <c r="G506" s="185"/>
      <c r="H506" s="185"/>
      <c r="I506" s="185"/>
      <c r="J506" s="185"/>
      <c r="K506" s="185"/>
      <c r="L506" s="185"/>
      <c r="M506" s="185"/>
      <c r="N506" s="185"/>
      <c r="O506" s="185"/>
      <c r="P506" s="185"/>
      <c r="Q506" s="185"/>
      <c r="R506" s="185"/>
      <c r="S506" s="185"/>
      <c r="T506" s="185"/>
      <c r="U506" s="185"/>
      <c r="V506" s="185"/>
      <c r="W506" s="185"/>
      <c r="X506" s="185"/>
      <c r="Y506" s="185"/>
      <c r="Z506" s="185"/>
      <c r="AA506" s="185"/>
      <c r="AB506" s="185" t="str">
        <f>IFERROR(__xludf.DUMMYFUNCTION("LET(width,COLUMN($AB$1)-COLUMN($G$1),r,INDEX($G506:$AAB506,1,SEQUENCE(1,width)),flat,TOCOL(r,1),bad,FILTER(flat,COUNTIF('リスト'!$E:$E,flat)=0),IFERROR(TEXTJOIN(""\n"",TRUE,bad),""""))"),"")</f>
        <v/>
      </c>
      <c r="AC506" s="185"/>
      <c r="AD506" s="185"/>
    </row>
    <row r="507">
      <c r="A507" s="185"/>
      <c r="B507" s="185"/>
      <c r="C507" s="185"/>
      <c r="D507" s="185"/>
      <c r="E507" s="203"/>
      <c r="F507" s="203"/>
      <c r="G507" s="185"/>
      <c r="H507" s="185"/>
      <c r="I507" s="185"/>
      <c r="J507" s="185"/>
      <c r="K507" s="185"/>
      <c r="L507" s="185"/>
      <c r="M507" s="185"/>
      <c r="N507" s="185"/>
      <c r="O507" s="185"/>
      <c r="P507" s="185"/>
      <c r="Q507" s="185"/>
      <c r="R507" s="185"/>
      <c r="S507" s="185"/>
      <c r="T507" s="185"/>
      <c r="U507" s="185"/>
      <c r="V507" s="185"/>
      <c r="W507" s="185"/>
      <c r="X507" s="185"/>
      <c r="Y507" s="185"/>
      <c r="Z507" s="185"/>
      <c r="AA507" s="185"/>
      <c r="AB507" s="185" t="str">
        <f>IFERROR(__xludf.DUMMYFUNCTION("LET(width,COLUMN($AB$1)-COLUMN($G$1),r,INDEX($G507:$AAB507,1,SEQUENCE(1,width)),flat,TOCOL(r,1),bad,FILTER(flat,COUNTIF('リスト'!$E:$E,flat)=0),IFERROR(TEXTJOIN(""\n"",TRUE,bad),""""))"),"")</f>
        <v/>
      </c>
      <c r="AC507" s="185"/>
      <c r="AD507" s="185"/>
    </row>
    <row r="508">
      <c r="A508" s="185"/>
      <c r="B508" s="185"/>
      <c r="C508" s="185"/>
      <c r="D508" s="185"/>
      <c r="E508" s="203"/>
      <c r="F508" s="203"/>
      <c r="G508" s="185"/>
      <c r="H508" s="185"/>
      <c r="I508" s="185"/>
      <c r="J508" s="185"/>
      <c r="K508" s="185"/>
      <c r="L508" s="185"/>
      <c r="M508" s="185"/>
      <c r="N508" s="185"/>
      <c r="O508" s="185"/>
      <c r="P508" s="185"/>
      <c r="Q508" s="185"/>
      <c r="R508" s="185"/>
      <c r="S508" s="185"/>
      <c r="T508" s="185"/>
      <c r="U508" s="185"/>
      <c r="V508" s="185"/>
      <c r="W508" s="185"/>
      <c r="X508" s="185"/>
      <c r="Y508" s="185"/>
      <c r="Z508" s="185"/>
      <c r="AA508" s="185"/>
      <c r="AB508" s="185" t="str">
        <f>IFERROR(__xludf.DUMMYFUNCTION("LET(width,COLUMN($AB$1)-COLUMN($G$1),r,INDEX($G508:$AAB508,1,SEQUENCE(1,width)),flat,TOCOL(r,1),bad,FILTER(flat,COUNTIF('リスト'!$E:$E,flat)=0),IFERROR(TEXTJOIN(""\n"",TRUE,bad),""""))"),"")</f>
        <v/>
      </c>
      <c r="AC508" s="185"/>
      <c r="AD508" s="185"/>
    </row>
    <row r="509">
      <c r="A509" s="185"/>
      <c r="B509" s="185"/>
      <c r="C509" s="185"/>
      <c r="D509" s="185"/>
      <c r="E509" s="203"/>
      <c r="F509" s="203"/>
      <c r="G509" s="185"/>
      <c r="H509" s="185"/>
      <c r="I509" s="185"/>
      <c r="J509" s="185"/>
      <c r="K509" s="185"/>
      <c r="L509" s="185"/>
      <c r="M509" s="185"/>
      <c r="N509" s="185"/>
      <c r="O509" s="185"/>
      <c r="P509" s="185"/>
      <c r="Q509" s="185"/>
      <c r="R509" s="185"/>
      <c r="S509" s="185"/>
      <c r="T509" s="185"/>
      <c r="U509" s="185"/>
      <c r="V509" s="185"/>
      <c r="W509" s="185"/>
      <c r="X509" s="185"/>
      <c r="Y509" s="185"/>
      <c r="Z509" s="185"/>
      <c r="AA509" s="185"/>
      <c r="AB509" s="185" t="str">
        <f>IFERROR(__xludf.DUMMYFUNCTION("LET(width,COLUMN($AB$1)-COLUMN($G$1),r,INDEX($G509:$AAB509,1,SEQUENCE(1,width)),flat,TOCOL(r,1),bad,FILTER(flat,COUNTIF('リスト'!$E:$E,flat)=0),IFERROR(TEXTJOIN(""\n"",TRUE,bad),""""))"),"")</f>
        <v/>
      </c>
      <c r="AC509" s="185"/>
      <c r="AD509" s="185"/>
    </row>
    <row r="510">
      <c r="A510" s="185"/>
      <c r="B510" s="185"/>
      <c r="C510" s="185"/>
      <c r="D510" s="185"/>
      <c r="E510" s="203"/>
      <c r="F510" s="203"/>
      <c r="G510" s="185"/>
      <c r="H510" s="185"/>
      <c r="I510" s="185"/>
      <c r="J510" s="185"/>
      <c r="K510" s="185"/>
      <c r="L510" s="185"/>
      <c r="M510" s="185"/>
      <c r="N510" s="185"/>
      <c r="O510" s="185"/>
      <c r="P510" s="185"/>
      <c r="Q510" s="185"/>
      <c r="R510" s="185"/>
      <c r="S510" s="185"/>
      <c r="T510" s="185"/>
      <c r="U510" s="185"/>
      <c r="V510" s="185"/>
      <c r="W510" s="185"/>
      <c r="X510" s="185"/>
      <c r="Y510" s="185"/>
      <c r="Z510" s="185"/>
      <c r="AA510" s="185"/>
      <c r="AB510" s="185" t="str">
        <f>IFERROR(__xludf.DUMMYFUNCTION("LET(width,COLUMN($AB$1)-COLUMN($G$1),r,INDEX($G510:$AAB510,1,SEQUENCE(1,width)),flat,TOCOL(r,1),bad,FILTER(flat,COUNTIF('リスト'!$E:$E,flat)=0),IFERROR(TEXTJOIN(""\n"",TRUE,bad),""""))"),"")</f>
        <v/>
      </c>
      <c r="AC510" s="185"/>
      <c r="AD510" s="185"/>
    </row>
    <row r="511">
      <c r="A511" s="185"/>
      <c r="B511" s="185"/>
      <c r="C511" s="185"/>
      <c r="D511" s="185"/>
      <c r="E511" s="203"/>
      <c r="F511" s="203"/>
      <c r="G511" s="185"/>
      <c r="H511" s="185"/>
      <c r="I511" s="185"/>
      <c r="J511" s="185"/>
      <c r="K511" s="185"/>
      <c r="L511" s="185"/>
      <c r="M511" s="185"/>
      <c r="N511" s="185"/>
      <c r="O511" s="185"/>
      <c r="P511" s="185"/>
      <c r="Q511" s="185"/>
      <c r="R511" s="185"/>
      <c r="S511" s="185"/>
      <c r="T511" s="185"/>
      <c r="U511" s="185"/>
      <c r="V511" s="185"/>
      <c r="W511" s="185"/>
      <c r="X511" s="185"/>
      <c r="Y511" s="185"/>
      <c r="Z511" s="185"/>
      <c r="AA511" s="185"/>
      <c r="AB511" s="185" t="str">
        <f>IFERROR(__xludf.DUMMYFUNCTION("LET(width,COLUMN($AB$1)-COLUMN($G$1),r,INDEX($G511:$AAB511,1,SEQUENCE(1,width)),flat,TOCOL(r,1),bad,FILTER(flat,COUNTIF('リスト'!$E:$E,flat)=0),IFERROR(TEXTJOIN(""\n"",TRUE,bad),""""))"),"")</f>
        <v/>
      </c>
      <c r="AC511" s="185"/>
      <c r="AD511" s="185"/>
    </row>
    <row r="512">
      <c r="A512" s="185"/>
      <c r="B512" s="185"/>
      <c r="C512" s="185"/>
      <c r="D512" s="185"/>
      <c r="E512" s="203"/>
      <c r="F512" s="203"/>
      <c r="G512" s="185"/>
      <c r="H512" s="185"/>
      <c r="I512" s="185"/>
      <c r="J512" s="185"/>
      <c r="K512" s="185"/>
      <c r="L512" s="185"/>
      <c r="M512" s="185"/>
      <c r="N512" s="185"/>
      <c r="O512" s="185"/>
      <c r="P512" s="185"/>
      <c r="Q512" s="185"/>
      <c r="R512" s="185"/>
      <c r="S512" s="185"/>
      <c r="T512" s="185"/>
      <c r="U512" s="185"/>
      <c r="V512" s="185"/>
      <c r="W512" s="185"/>
      <c r="X512" s="185"/>
      <c r="Y512" s="185"/>
      <c r="Z512" s="185"/>
      <c r="AA512" s="185"/>
      <c r="AB512" s="185" t="str">
        <f>IFERROR(__xludf.DUMMYFUNCTION("LET(width,COLUMN($AB$1)-COLUMN($G$1),r,INDEX($G512:$AAB512,1,SEQUENCE(1,width)),flat,TOCOL(r,1),bad,FILTER(flat,COUNTIF('リスト'!$E:$E,flat)=0),IFERROR(TEXTJOIN(""\n"",TRUE,bad),""""))"),"")</f>
        <v/>
      </c>
      <c r="AC512" s="185"/>
      <c r="AD512" s="185"/>
    </row>
    <row r="513">
      <c r="A513" s="185"/>
      <c r="B513" s="185"/>
      <c r="C513" s="185"/>
      <c r="D513" s="185"/>
      <c r="E513" s="203"/>
      <c r="F513" s="203"/>
      <c r="G513" s="185"/>
      <c r="H513" s="185"/>
      <c r="I513" s="185"/>
      <c r="J513" s="185"/>
      <c r="K513" s="185"/>
      <c r="L513" s="185"/>
      <c r="M513" s="185"/>
      <c r="N513" s="185"/>
      <c r="O513" s="185"/>
      <c r="P513" s="185"/>
      <c r="Q513" s="185"/>
      <c r="R513" s="185"/>
      <c r="S513" s="185"/>
      <c r="T513" s="185"/>
      <c r="U513" s="185"/>
      <c r="V513" s="185"/>
      <c r="W513" s="185"/>
      <c r="X513" s="185"/>
      <c r="Y513" s="185"/>
      <c r="Z513" s="185"/>
      <c r="AA513" s="185"/>
      <c r="AB513" s="185" t="str">
        <f>IFERROR(__xludf.DUMMYFUNCTION("LET(width,COLUMN($AB$1)-COLUMN($G$1),r,INDEX($G513:$AAB513,1,SEQUENCE(1,width)),flat,TOCOL(r,1),bad,FILTER(flat,COUNTIF('リスト'!$E:$E,flat)=0),IFERROR(TEXTJOIN(""\n"",TRUE,bad),""""))"),"")</f>
        <v/>
      </c>
      <c r="AC513" s="185"/>
      <c r="AD513" s="185"/>
    </row>
    <row r="514">
      <c r="A514" s="185"/>
      <c r="B514" s="185"/>
      <c r="C514" s="185"/>
      <c r="D514" s="185"/>
      <c r="E514" s="203"/>
      <c r="F514" s="203"/>
      <c r="G514" s="185"/>
      <c r="H514" s="185"/>
      <c r="I514" s="185"/>
      <c r="J514" s="185"/>
      <c r="K514" s="185"/>
      <c r="L514" s="185"/>
      <c r="M514" s="185"/>
      <c r="N514" s="185"/>
      <c r="O514" s="185"/>
      <c r="P514" s="185"/>
      <c r="Q514" s="185"/>
      <c r="R514" s="185"/>
      <c r="S514" s="185"/>
      <c r="T514" s="185"/>
      <c r="U514" s="185"/>
      <c r="V514" s="185"/>
      <c r="W514" s="185"/>
      <c r="X514" s="185"/>
      <c r="Y514" s="185"/>
      <c r="Z514" s="185"/>
      <c r="AA514" s="185"/>
      <c r="AB514" s="185" t="str">
        <f>IFERROR(__xludf.DUMMYFUNCTION("LET(width,COLUMN($AB$1)-COLUMN($G$1),r,INDEX($G514:$AAB514,1,SEQUENCE(1,width)),flat,TOCOL(r,1),bad,FILTER(flat,COUNTIF('リスト'!$E:$E,flat)=0),IFERROR(TEXTJOIN(""\n"",TRUE,bad),""""))"),"")</f>
        <v/>
      </c>
      <c r="AC514" s="185"/>
      <c r="AD514" s="185"/>
    </row>
    <row r="515">
      <c r="A515" s="185"/>
      <c r="B515" s="185"/>
      <c r="C515" s="185"/>
      <c r="D515" s="185"/>
      <c r="E515" s="203"/>
      <c r="F515" s="203"/>
      <c r="G515" s="185"/>
      <c r="H515" s="185"/>
      <c r="I515" s="185"/>
      <c r="J515" s="185"/>
      <c r="K515" s="185"/>
      <c r="L515" s="185"/>
      <c r="M515" s="185"/>
      <c r="N515" s="185"/>
      <c r="O515" s="185"/>
      <c r="P515" s="185"/>
      <c r="Q515" s="185"/>
      <c r="R515" s="185"/>
      <c r="S515" s="185"/>
      <c r="T515" s="185"/>
      <c r="U515" s="185"/>
      <c r="V515" s="185"/>
      <c r="W515" s="185"/>
      <c r="X515" s="185"/>
      <c r="Y515" s="185"/>
      <c r="Z515" s="185"/>
      <c r="AA515" s="185"/>
      <c r="AB515" s="185" t="str">
        <f>IFERROR(__xludf.DUMMYFUNCTION("LET(width,COLUMN($AB$1)-COLUMN($G$1),r,INDEX($G515:$AAB515,1,SEQUENCE(1,width)),flat,TOCOL(r,1),bad,FILTER(flat,COUNTIF('リスト'!$E:$E,flat)=0),IFERROR(TEXTJOIN(""\n"",TRUE,bad),""""))"),"")</f>
        <v/>
      </c>
      <c r="AC515" s="185"/>
      <c r="AD515" s="185"/>
    </row>
    <row r="516">
      <c r="A516" s="185"/>
      <c r="B516" s="185"/>
      <c r="C516" s="185"/>
      <c r="D516" s="185"/>
      <c r="E516" s="203"/>
      <c r="F516" s="203"/>
      <c r="G516" s="185"/>
      <c r="H516" s="185"/>
      <c r="I516" s="185"/>
      <c r="J516" s="185"/>
      <c r="K516" s="185"/>
      <c r="L516" s="185"/>
      <c r="M516" s="185"/>
      <c r="N516" s="185"/>
      <c r="O516" s="185"/>
      <c r="P516" s="185"/>
      <c r="Q516" s="185"/>
      <c r="R516" s="185"/>
      <c r="S516" s="185"/>
      <c r="T516" s="185"/>
      <c r="U516" s="185"/>
      <c r="V516" s="185"/>
      <c r="W516" s="185"/>
      <c r="X516" s="185"/>
      <c r="Y516" s="185"/>
      <c r="Z516" s="185"/>
      <c r="AA516" s="185"/>
      <c r="AB516" s="185" t="str">
        <f>IFERROR(__xludf.DUMMYFUNCTION("LET(width,COLUMN($AB$1)-COLUMN($G$1),r,INDEX($G516:$AAB516,1,SEQUENCE(1,width)),flat,TOCOL(r,1),bad,FILTER(flat,COUNTIF('リスト'!$E:$E,flat)=0),IFERROR(TEXTJOIN(""\n"",TRUE,bad),""""))"),"")</f>
        <v/>
      </c>
      <c r="AC516" s="185"/>
      <c r="AD516" s="185"/>
    </row>
    <row r="517">
      <c r="A517" s="185"/>
      <c r="B517" s="185"/>
      <c r="C517" s="185"/>
      <c r="D517" s="185"/>
      <c r="E517" s="203"/>
      <c r="F517" s="203"/>
      <c r="G517" s="185"/>
      <c r="H517" s="185"/>
      <c r="I517" s="185"/>
      <c r="J517" s="185"/>
      <c r="K517" s="185"/>
      <c r="L517" s="185"/>
      <c r="M517" s="185"/>
      <c r="N517" s="185"/>
      <c r="O517" s="185"/>
      <c r="P517" s="185"/>
      <c r="Q517" s="185"/>
      <c r="R517" s="185"/>
      <c r="S517" s="185"/>
      <c r="T517" s="185"/>
      <c r="U517" s="185"/>
      <c r="V517" s="185"/>
      <c r="W517" s="185"/>
      <c r="X517" s="185"/>
      <c r="Y517" s="185"/>
      <c r="Z517" s="185"/>
      <c r="AA517" s="185"/>
      <c r="AB517" s="185" t="str">
        <f>IFERROR(__xludf.DUMMYFUNCTION("LET(width,COLUMN($AB$1)-COLUMN($G$1),r,INDEX($G517:$AAB517,1,SEQUENCE(1,width)),flat,TOCOL(r,1),bad,FILTER(flat,COUNTIF('リスト'!$E:$E,flat)=0),IFERROR(TEXTJOIN(""\n"",TRUE,bad),""""))"),"")</f>
        <v/>
      </c>
      <c r="AC517" s="185"/>
      <c r="AD517" s="185"/>
    </row>
    <row r="518">
      <c r="A518" s="185"/>
      <c r="B518" s="185"/>
      <c r="C518" s="185"/>
      <c r="D518" s="185"/>
      <c r="E518" s="203"/>
      <c r="F518" s="203"/>
      <c r="G518" s="185"/>
      <c r="H518" s="185"/>
      <c r="I518" s="185"/>
      <c r="J518" s="185"/>
      <c r="K518" s="185"/>
      <c r="L518" s="185"/>
      <c r="M518" s="185"/>
      <c r="N518" s="185"/>
      <c r="O518" s="185"/>
      <c r="P518" s="185"/>
      <c r="Q518" s="185"/>
      <c r="R518" s="185"/>
      <c r="S518" s="185"/>
      <c r="T518" s="185"/>
      <c r="U518" s="185"/>
      <c r="V518" s="185"/>
      <c r="W518" s="185"/>
      <c r="X518" s="185"/>
      <c r="Y518" s="185"/>
      <c r="Z518" s="185"/>
      <c r="AA518" s="185"/>
      <c r="AB518" s="185" t="str">
        <f>IFERROR(__xludf.DUMMYFUNCTION("LET(width,COLUMN($AB$1)-COLUMN($G$1),r,INDEX($G518:$AAB518,1,SEQUENCE(1,width)),flat,TOCOL(r,1),bad,FILTER(flat,COUNTIF('リスト'!$E:$E,flat)=0),IFERROR(TEXTJOIN(""\n"",TRUE,bad),""""))"),"")</f>
        <v/>
      </c>
      <c r="AC518" s="185"/>
      <c r="AD518" s="185"/>
    </row>
    <row r="519">
      <c r="A519" s="185"/>
      <c r="B519" s="185"/>
      <c r="C519" s="185"/>
      <c r="D519" s="185"/>
      <c r="E519" s="203"/>
      <c r="F519" s="203"/>
      <c r="G519" s="185"/>
      <c r="H519" s="185"/>
      <c r="I519" s="185"/>
      <c r="J519" s="185"/>
      <c r="K519" s="185"/>
      <c r="L519" s="185"/>
      <c r="M519" s="185"/>
      <c r="N519" s="185"/>
      <c r="O519" s="185"/>
      <c r="P519" s="185"/>
      <c r="Q519" s="185"/>
      <c r="R519" s="185"/>
      <c r="S519" s="185"/>
      <c r="T519" s="185"/>
      <c r="U519" s="185"/>
      <c r="V519" s="185"/>
      <c r="W519" s="185"/>
      <c r="X519" s="185"/>
      <c r="Y519" s="185"/>
      <c r="Z519" s="185"/>
      <c r="AA519" s="185"/>
      <c r="AB519" s="185" t="str">
        <f>IFERROR(__xludf.DUMMYFUNCTION("LET(width,COLUMN($AB$1)-COLUMN($G$1),r,INDEX($G519:$AAB519,1,SEQUENCE(1,width)),flat,TOCOL(r,1),bad,FILTER(flat,COUNTIF('リスト'!$E:$E,flat)=0),IFERROR(TEXTJOIN(""\n"",TRUE,bad),""""))"),"")</f>
        <v/>
      </c>
      <c r="AC519" s="185"/>
      <c r="AD519" s="185"/>
    </row>
    <row r="520">
      <c r="A520" s="185"/>
      <c r="B520" s="185"/>
      <c r="C520" s="185"/>
      <c r="D520" s="185"/>
      <c r="E520" s="203"/>
      <c r="F520" s="203"/>
      <c r="G520" s="185"/>
      <c r="H520" s="185"/>
      <c r="I520" s="185"/>
      <c r="J520" s="185"/>
      <c r="K520" s="185"/>
      <c r="L520" s="185"/>
      <c r="M520" s="185"/>
      <c r="N520" s="185"/>
      <c r="O520" s="185"/>
      <c r="P520" s="185"/>
      <c r="Q520" s="185"/>
      <c r="R520" s="185"/>
      <c r="S520" s="185"/>
      <c r="T520" s="185"/>
      <c r="U520" s="185"/>
      <c r="V520" s="185"/>
      <c r="W520" s="185"/>
      <c r="X520" s="185"/>
      <c r="Y520" s="185"/>
      <c r="Z520" s="185"/>
      <c r="AA520" s="185"/>
      <c r="AB520" s="185" t="str">
        <f>IFERROR(__xludf.DUMMYFUNCTION("LET(width,COLUMN($AB$1)-COLUMN($G$1),r,INDEX($G520:$AAB520,1,SEQUENCE(1,width)),flat,TOCOL(r,1),bad,FILTER(flat,COUNTIF('リスト'!$E:$E,flat)=0),IFERROR(TEXTJOIN(""\n"",TRUE,bad),""""))"),"")</f>
        <v/>
      </c>
      <c r="AC520" s="185"/>
      <c r="AD520" s="185"/>
    </row>
    <row r="521">
      <c r="A521" s="185"/>
      <c r="B521" s="185"/>
      <c r="C521" s="185"/>
      <c r="D521" s="185"/>
      <c r="E521" s="203"/>
      <c r="F521" s="203"/>
      <c r="G521" s="185"/>
      <c r="H521" s="185"/>
      <c r="I521" s="185"/>
      <c r="J521" s="185"/>
      <c r="K521" s="185"/>
      <c r="L521" s="185"/>
      <c r="M521" s="185"/>
      <c r="N521" s="185"/>
      <c r="O521" s="185"/>
      <c r="P521" s="185"/>
      <c r="Q521" s="185"/>
      <c r="R521" s="185"/>
      <c r="S521" s="185"/>
      <c r="T521" s="185"/>
      <c r="U521" s="185"/>
      <c r="V521" s="185"/>
      <c r="W521" s="185"/>
      <c r="X521" s="185"/>
      <c r="Y521" s="185"/>
      <c r="Z521" s="185"/>
      <c r="AA521" s="185"/>
      <c r="AB521" s="185" t="str">
        <f>IFERROR(__xludf.DUMMYFUNCTION("LET(width,COLUMN($AB$1)-COLUMN($G$1),r,INDEX($G521:$AAB521,1,SEQUENCE(1,width)),flat,TOCOL(r,1),bad,FILTER(flat,COUNTIF('リスト'!$E:$E,flat)=0),IFERROR(TEXTJOIN(""\n"",TRUE,bad),""""))"),"")</f>
        <v/>
      </c>
      <c r="AC521" s="185"/>
      <c r="AD521" s="185"/>
    </row>
    <row r="522">
      <c r="A522" s="185"/>
      <c r="B522" s="185"/>
      <c r="C522" s="185"/>
      <c r="D522" s="185"/>
      <c r="E522" s="203"/>
      <c r="F522" s="203"/>
      <c r="G522" s="185"/>
      <c r="H522" s="185"/>
      <c r="I522" s="185"/>
      <c r="J522" s="185"/>
      <c r="K522" s="185"/>
      <c r="L522" s="185"/>
      <c r="M522" s="185"/>
      <c r="N522" s="185"/>
      <c r="O522" s="185"/>
      <c r="P522" s="185"/>
      <c r="Q522" s="185"/>
      <c r="R522" s="185"/>
      <c r="S522" s="185"/>
      <c r="T522" s="185"/>
      <c r="U522" s="185"/>
      <c r="V522" s="185"/>
      <c r="W522" s="185"/>
      <c r="X522" s="185"/>
      <c r="Y522" s="185"/>
      <c r="Z522" s="185"/>
      <c r="AA522" s="185"/>
      <c r="AB522" s="185" t="str">
        <f>IFERROR(__xludf.DUMMYFUNCTION("LET(width,COLUMN($AB$1)-COLUMN($G$1),r,INDEX($G522:$AAB522,1,SEQUENCE(1,width)),flat,TOCOL(r,1),bad,FILTER(flat,COUNTIF('リスト'!$E:$E,flat)=0),IFERROR(TEXTJOIN(""\n"",TRUE,bad),""""))"),"")</f>
        <v/>
      </c>
      <c r="AC522" s="185"/>
      <c r="AD522" s="185"/>
    </row>
    <row r="523">
      <c r="A523" s="185"/>
      <c r="B523" s="185"/>
      <c r="C523" s="185"/>
      <c r="D523" s="185"/>
      <c r="E523" s="203"/>
      <c r="F523" s="203"/>
      <c r="G523" s="185"/>
      <c r="H523" s="185"/>
      <c r="I523" s="185"/>
      <c r="J523" s="185"/>
      <c r="K523" s="185"/>
      <c r="L523" s="185"/>
      <c r="M523" s="185"/>
      <c r="N523" s="185"/>
      <c r="O523" s="185"/>
      <c r="P523" s="185"/>
      <c r="Q523" s="185"/>
      <c r="R523" s="185"/>
      <c r="S523" s="185"/>
      <c r="T523" s="185"/>
      <c r="U523" s="185"/>
      <c r="V523" s="185"/>
      <c r="W523" s="185"/>
      <c r="X523" s="185"/>
      <c r="Y523" s="185"/>
      <c r="Z523" s="185"/>
      <c r="AA523" s="185"/>
      <c r="AB523" s="185" t="str">
        <f>IFERROR(__xludf.DUMMYFUNCTION("LET(width,COLUMN($AB$1)-COLUMN($G$1),r,INDEX($G523:$AAB523,1,SEQUENCE(1,width)),flat,TOCOL(r,1),bad,FILTER(flat,COUNTIF('リスト'!$E:$E,flat)=0),IFERROR(TEXTJOIN(""\n"",TRUE,bad),""""))"),"")</f>
        <v/>
      </c>
      <c r="AC523" s="185"/>
      <c r="AD523" s="185"/>
    </row>
    <row r="524">
      <c r="A524" s="185"/>
      <c r="B524" s="185"/>
      <c r="C524" s="185"/>
      <c r="D524" s="185"/>
      <c r="E524" s="203"/>
      <c r="F524" s="203"/>
      <c r="G524" s="185"/>
      <c r="H524" s="185"/>
      <c r="I524" s="185"/>
      <c r="J524" s="185"/>
      <c r="K524" s="185"/>
      <c r="L524" s="185"/>
      <c r="M524" s="185"/>
      <c r="N524" s="185"/>
      <c r="O524" s="185"/>
      <c r="P524" s="185"/>
      <c r="Q524" s="185"/>
      <c r="R524" s="185"/>
      <c r="S524" s="185"/>
      <c r="T524" s="185"/>
      <c r="U524" s="185"/>
      <c r="V524" s="185"/>
      <c r="W524" s="185"/>
      <c r="X524" s="185"/>
      <c r="Y524" s="185"/>
      <c r="Z524" s="185"/>
      <c r="AA524" s="185"/>
      <c r="AB524" s="185" t="str">
        <f>IFERROR(__xludf.DUMMYFUNCTION("LET(width,COLUMN($AB$1)-COLUMN($G$1),r,INDEX($G524:$AAB524,1,SEQUENCE(1,width)),flat,TOCOL(r,1),bad,FILTER(flat,COUNTIF('リスト'!$E:$E,flat)=0),IFERROR(TEXTJOIN(""\n"",TRUE,bad),""""))"),"")</f>
        <v/>
      </c>
      <c r="AC524" s="185"/>
      <c r="AD524" s="185"/>
    </row>
    <row r="525">
      <c r="A525" s="185"/>
      <c r="B525" s="185"/>
      <c r="C525" s="185"/>
      <c r="D525" s="185"/>
      <c r="E525" s="203"/>
      <c r="F525" s="203"/>
      <c r="G525" s="185"/>
      <c r="H525" s="185"/>
      <c r="I525" s="185"/>
      <c r="J525" s="185"/>
      <c r="K525" s="185"/>
      <c r="L525" s="185"/>
      <c r="M525" s="185"/>
      <c r="N525" s="185"/>
      <c r="O525" s="185"/>
      <c r="P525" s="185"/>
      <c r="Q525" s="185"/>
      <c r="R525" s="185"/>
      <c r="S525" s="185"/>
      <c r="T525" s="185"/>
      <c r="U525" s="185"/>
      <c r="V525" s="185"/>
      <c r="W525" s="185"/>
      <c r="X525" s="185"/>
      <c r="Y525" s="185"/>
      <c r="Z525" s="185"/>
      <c r="AA525" s="185"/>
      <c r="AB525" s="185" t="str">
        <f>IFERROR(__xludf.DUMMYFUNCTION("LET(width,COLUMN($AB$1)-COLUMN($G$1),r,INDEX($G525:$AAB525,1,SEQUENCE(1,width)),flat,TOCOL(r,1),bad,FILTER(flat,COUNTIF('リスト'!$E:$E,flat)=0),IFERROR(TEXTJOIN(""\n"",TRUE,bad),""""))"),"")</f>
        <v/>
      </c>
      <c r="AC525" s="185"/>
      <c r="AD525" s="185"/>
    </row>
    <row r="526">
      <c r="A526" s="185"/>
      <c r="B526" s="185"/>
      <c r="C526" s="185"/>
      <c r="D526" s="185"/>
      <c r="E526" s="203"/>
      <c r="F526" s="203"/>
      <c r="G526" s="185"/>
      <c r="H526" s="185"/>
      <c r="I526" s="185"/>
      <c r="J526" s="185"/>
      <c r="K526" s="185"/>
      <c r="L526" s="185"/>
      <c r="M526" s="185"/>
      <c r="N526" s="185"/>
      <c r="O526" s="185"/>
      <c r="P526" s="185"/>
      <c r="Q526" s="185"/>
      <c r="R526" s="185"/>
      <c r="S526" s="185"/>
      <c r="T526" s="185"/>
      <c r="U526" s="185"/>
      <c r="V526" s="185"/>
      <c r="W526" s="185"/>
      <c r="X526" s="185"/>
      <c r="Y526" s="185"/>
      <c r="Z526" s="185"/>
      <c r="AA526" s="185"/>
      <c r="AB526" s="185" t="str">
        <f>IFERROR(__xludf.DUMMYFUNCTION("LET(width,COLUMN($AB$1)-COLUMN($G$1),r,INDEX($G526:$AAB526,1,SEQUENCE(1,width)),flat,TOCOL(r,1),bad,FILTER(flat,COUNTIF('リスト'!$E:$E,flat)=0),IFERROR(TEXTJOIN(""\n"",TRUE,bad),""""))"),"")</f>
        <v/>
      </c>
      <c r="AC526" s="185"/>
      <c r="AD526" s="185"/>
    </row>
    <row r="527">
      <c r="A527" s="185"/>
      <c r="B527" s="185"/>
      <c r="C527" s="185"/>
      <c r="D527" s="185"/>
      <c r="E527" s="203"/>
      <c r="F527" s="203"/>
      <c r="G527" s="185"/>
      <c r="H527" s="185"/>
      <c r="I527" s="185"/>
      <c r="J527" s="185"/>
      <c r="K527" s="185"/>
      <c r="L527" s="185"/>
      <c r="M527" s="185"/>
      <c r="N527" s="185"/>
      <c r="O527" s="185"/>
      <c r="P527" s="185"/>
      <c r="Q527" s="185"/>
      <c r="R527" s="185"/>
      <c r="S527" s="185"/>
      <c r="T527" s="185"/>
      <c r="U527" s="185"/>
      <c r="V527" s="185"/>
      <c r="W527" s="185"/>
      <c r="X527" s="185"/>
      <c r="Y527" s="185"/>
      <c r="Z527" s="185"/>
      <c r="AA527" s="185"/>
      <c r="AB527" s="185" t="str">
        <f>IFERROR(__xludf.DUMMYFUNCTION("LET(width,COLUMN($AB$1)-COLUMN($G$1),r,INDEX($G527:$AAB527,1,SEQUENCE(1,width)),flat,TOCOL(r,1),bad,FILTER(flat,COUNTIF('リスト'!$E:$E,flat)=0),IFERROR(TEXTJOIN(""\n"",TRUE,bad),""""))"),"")</f>
        <v/>
      </c>
      <c r="AC527" s="185"/>
      <c r="AD527" s="185"/>
    </row>
    <row r="528">
      <c r="A528" s="185"/>
      <c r="B528" s="185"/>
      <c r="C528" s="185"/>
      <c r="D528" s="185"/>
      <c r="E528" s="203"/>
      <c r="F528" s="203"/>
      <c r="G528" s="185"/>
      <c r="H528" s="185"/>
      <c r="I528" s="185"/>
      <c r="J528" s="185"/>
      <c r="K528" s="185"/>
      <c r="L528" s="185"/>
      <c r="M528" s="185"/>
      <c r="N528" s="185"/>
      <c r="O528" s="185"/>
      <c r="P528" s="185"/>
      <c r="Q528" s="185"/>
      <c r="R528" s="185"/>
      <c r="S528" s="185"/>
      <c r="T528" s="185"/>
      <c r="U528" s="185"/>
      <c r="V528" s="185"/>
      <c r="W528" s="185"/>
      <c r="X528" s="185"/>
      <c r="Y528" s="185"/>
      <c r="Z528" s="185"/>
      <c r="AA528" s="185"/>
      <c r="AB528" s="185" t="str">
        <f>IFERROR(__xludf.DUMMYFUNCTION("LET(width,COLUMN($AB$1)-COLUMN($G$1),r,INDEX($G528:$AAB528,1,SEQUENCE(1,width)),flat,TOCOL(r,1),bad,FILTER(flat,COUNTIF('リスト'!$E:$E,flat)=0),IFERROR(TEXTJOIN(""\n"",TRUE,bad),""""))"),"")</f>
        <v/>
      </c>
      <c r="AC528" s="185"/>
      <c r="AD528" s="185"/>
    </row>
    <row r="529">
      <c r="A529" s="185"/>
      <c r="B529" s="185"/>
      <c r="C529" s="185"/>
      <c r="D529" s="185"/>
      <c r="E529" s="203"/>
      <c r="F529" s="203"/>
      <c r="G529" s="185"/>
      <c r="H529" s="185"/>
      <c r="I529" s="185"/>
      <c r="J529" s="185"/>
      <c r="K529" s="185"/>
      <c r="L529" s="185"/>
      <c r="M529" s="185"/>
      <c r="N529" s="185"/>
      <c r="O529" s="185"/>
      <c r="P529" s="185"/>
      <c r="Q529" s="185"/>
      <c r="R529" s="185"/>
      <c r="S529" s="185"/>
      <c r="T529" s="185"/>
      <c r="U529" s="185"/>
      <c r="V529" s="185"/>
      <c r="W529" s="185"/>
      <c r="X529" s="185"/>
      <c r="Y529" s="185"/>
      <c r="Z529" s="185"/>
      <c r="AA529" s="185"/>
      <c r="AB529" s="185" t="str">
        <f>IFERROR(__xludf.DUMMYFUNCTION("LET(width,COLUMN($AB$1)-COLUMN($G$1),r,INDEX($G529:$AAB529,1,SEQUENCE(1,width)),flat,TOCOL(r,1),bad,FILTER(flat,COUNTIF('リスト'!$E:$E,flat)=0),IFERROR(TEXTJOIN(""\n"",TRUE,bad),""""))"),"")</f>
        <v/>
      </c>
      <c r="AC529" s="185"/>
      <c r="AD529" s="185"/>
    </row>
    <row r="530">
      <c r="A530" s="185"/>
      <c r="B530" s="185"/>
      <c r="C530" s="185"/>
      <c r="D530" s="185"/>
      <c r="E530" s="203"/>
      <c r="F530" s="203"/>
      <c r="G530" s="185"/>
      <c r="H530" s="185"/>
      <c r="I530" s="185"/>
      <c r="J530" s="185"/>
      <c r="K530" s="185"/>
      <c r="L530" s="185"/>
      <c r="M530" s="185"/>
      <c r="N530" s="185"/>
      <c r="O530" s="185"/>
      <c r="P530" s="185"/>
      <c r="Q530" s="185"/>
      <c r="R530" s="185"/>
      <c r="S530" s="185"/>
      <c r="T530" s="185"/>
      <c r="U530" s="185"/>
      <c r="V530" s="185"/>
      <c r="W530" s="185"/>
      <c r="X530" s="185"/>
      <c r="Y530" s="185"/>
      <c r="Z530" s="185"/>
      <c r="AA530" s="185"/>
      <c r="AB530" s="185" t="str">
        <f>IFERROR(__xludf.DUMMYFUNCTION("LET(width,COLUMN($AB$1)-COLUMN($G$1),r,INDEX($G530:$AAB530,1,SEQUENCE(1,width)),flat,TOCOL(r,1),bad,FILTER(flat,COUNTIF('リスト'!$E:$E,flat)=0),IFERROR(TEXTJOIN(""\n"",TRUE,bad),""""))"),"")</f>
        <v/>
      </c>
      <c r="AC530" s="185"/>
      <c r="AD530" s="185"/>
    </row>
    <row r="531">
      <c r="A531" s="185"/>
      <c r="B531" s="185"/>
      <c r="C531" s="185"/>
      <c r="D531" s="185"/>
      <c r="E531" s="203"/>
      <c r="F531" s="203"/>
      <c r="G531" s="185"/>
      <c r="H531" s="185"/>
      <c r="I531" s="185"/>
      <c r="J531" s="185"/>
      <c r="K531" s="185"/>
      <c r="L531" s="185"/>
      <c r="M531" s="185"/>
      <c r="N531" s="185"/>
      <c r="O531" s="185"/>
      <c r="P531" s="185"/>
      <c r="Q531" s="185"/>
      <c r="R531" s="185"/>
      <c r="S531" s="185"/>
      <c r="T531" s="185"/>
      <c r="U531" s="185"/>
      <c r="V531" s="185"/>
      <c r="W531" s="185"/>
      <c r="X531" s="185"/>
      <c r="Y531" s="185"/>
      <c r="Z531" s="185"/>
      <c r="AA531" s="185"/>
      <c r="AB531" s="185" t="str">
        <f>IFERROR(__xludf.DUMMYFUNCTION("LET(width,COLUMN($AB$1)-COLUMN($G$1),r,INDEX($G531:$AAB531,1,SEQUENCE(1,width)),flat,TOCOL(r,1),bad,FILTER(flat,COUNTIF('リスト'!$E:$E,flat)=0),IFERROR(TEXTJOIN(""\n"",TRUE,bad),""""))"),"")</f>
        <v/>
      </c>
      <c r="AC531" s="185"/>
      <c r="AD531" s="185"/>
    </row>
    <row r="532">
      <c r="A532" s="185"/>
      <c r="B532" s="185"/>
      <c r="C532" s="185"/>
      <c r="D532" s="185"/>
      <c r="E532" s="203"/>
      <c r="F532" s="203"/>
      <c r="G532" s="185"/>
      <c r="H532" s="185"/>
      <c r="I532" s="185"/>
      <c r="J532" s="185"/>
      <c r="K532" s="185"/>
      <c r="L532" s="185"/>
      <c r="M532" s="185"/>
      <c r="N532" s="185"/>
      <c r="O532" s="185"/>
      <c r="P532" s="185"/>
      <c r="Q532" s="185"/>
      <c r="R532" s="185"/>
      <c r="S532" s="185"/>
      <c r="T532" s="185"/>
      <c r="U532" s="185"/>
      <c r="V532" s="185"/>
      <c r="W532" s="185"/>
      <c r="X532" s="185"/>
      <c r="Y532" s="185"/>
      <c r="Z532" s="185"/>
      <c r="AA532" s="185"/>
      <c r="AB532" s="185" t="str">
        <f>IFERROR(__xludf.DUMMYFUNCTION("LET(width,COLUMN($AB$1)-COLUMN($G$1),r,INDEX($G532:$AAB532,1,SEQUENCE(1,width)),flat,TOCOL(r,1),bad,FILTER(flat,COUNTIF('リスト'!$E:$E,flat)=0),IFERROR(TEXTJOIN(""\n"",TRUE,bad),""""))"),"")</f>
        <v/>
      </c>
      <c r="AC532" s="185"/>
      <c r="AD532" s="185"/>
    </row>
    <row r="533">
      <c r="A533" s="185"/>
      <c r="B533" s="185"/>
      <c r="C533" s="185"/>
      <c r="D533" s="185"/>
      <c r="E533" s="203"/>
      <c r="F533" s="203"/>
      <c r="G533" s="185"/>
      <c r="H533" s="185"/>
      <c r="I533" s="185"/>
      <c r="J533" s="185"/>
      <c r="K533" s="185"/>
      <c r="L533" s="185"/>
      <c r="M533" s="185"/>
      <c r="N533" s="185"/>
      <c r="O533" s="185"/>
      <c r="P533" s="185"/>
      <c r="Q533" s="185"/>
      <c r="R533" s="185"/>
      <c r="S533" s="185"/>
      <c r="T533" s="185"/>
      <c r="U533" s="185"/>
      <c r="V533" s="185"/>
      <c r="W533" s="185"/>
      <c r="X533" s="185"/>
      <c r="Y533" s="185"/>
      <c r="Z533" s="185"/>
      <c r="AA533" s="185"/>
      <c r="AB533" s="185" t="str">
        <f>IFERROR(__xludf.DUMMYFUNCTION("LET(width,COLUMN($AB$1)-COLUMN($G$1),r,INDEX($G533:$AAB533,1,SEQUENCE(1,width)),flat,TOCOL(r,1),bad,FILTER(flat,COUNTIF('リスト'!$E:$E,flat)=0),IFERROR(TEXTJOIN(""\n"",TRUE,bad),""""))"),"")</f>
        <v/>
      </c>
      <c r="AC533" s="185"/>
      <c r="AD533" s="185"/>
    </row>
    <row r="534">
      <c r="A534" s="185"/>
      <c r="B534" s="185"/>
      <c r="C534" s="185"/>
      <c r="D534" s="185"/>
      <c r="E534" s="203"/>
      <c r="F534" s="203"/>
      <c r="G534" s="185"/>
      <c r="H534" s="185"/>
      <c r="I534" s="185"/>
      <c r="J534" s="185"/>
      <c r="K534" s="185"/>
      <c r="L534" s="185"/>
      <c r="M534" s="185"/>
      <c r="N534" s="185"/>
      <c r="O534" s="185"/>
      <c r="P534" s="185"/>
      <c r="Q534" s="185"/>
      <c r="R534" s="185"/>
      <c r="S534" s="185"/>
      <c r="T534" s="185"/>
      <c r="U534" s="185"/>
      <c r="V534" s="185"/>
      <c r="W534" s="185"/>
      <c r="X534" s="185"/>
      <c r="Y534" s="185"/>
      <c r="Z534" s="185"/>
      <c r="AA534" s="185"/>
      <c r="AB534" s="185" t="str">
        <f>IFERROR(__xludf.DUMMYFUNCTION("LET(width,COLUMN($AB$1)-COLUMN($G$1),r,INDEX($G534:$AAB534,1,SEQUENCE(1,width)),flat,TOCOL(r,1),bad,FILTER(flat,COUNTIF('リスト'!$E:$E,flat)=0),IFERROR(TEXTJOIN(""\n"",TRUE,bad),""""))"),"")</f>
        <v/>
      </c>
      <c r="AC534" s="185"/>
      <c r="AD534" s="185"/>
    </row>
    <row r="535">
      <c r="A535" s="185"/>
      <c r="B535" s="185"/>
      <c r="C535" s="185"/>
      <c r="D535" s="185"/>
      <c r="E535" s="203"/>
      <c r="F535" s="203"/>
      <c r="G535" s="185"/>
      <c r="H535" s="185"/>
      <c r="I535" s="185"/>
      <c r="J535" s="185"/>
      <c r="K535" s="185"/>
      <c r="L535" s="185"/>
      <c r="M535" s="185"/>
      <c r="N535" s="185"/>
      <c r="O535" s="185"/>
      <c r="P535" s="185"/>
      <c r="Q535" s="185"/>
      <c r="R535" s="185"/>
      <c r="S535" s="185"/>
      <c r="T535" s="185"/>
      <c r="U535" s="185"/>
      <c r="V535" s="185"/>
      <c r="W535" s="185"/>
      <c r="X535" s="185"/>
      <c r="Y535" s="185"/>
      <c r="Z535" s="185"/>
      <c r="AA535" s="185"/>
      <c r="AB535" s="185" t="str">
        <f>IFERROR(__xludf.DUMMYFUNCTION("LET(width,COLUMN($AB$1)-COLUMN($G$1),r,INDEX($G535:$AAB535,1,SEQUENCE(1,width)),flat,TOCOL(r,1),bad,FILTER(flat,COUNTIF('リスト'!$E:$E,flat)=0),IFERROR(TEXTJOIN(""\n"",TRUE,bad),""""))"),"")</f>
        <v/>
      </c>
      <c r="AC535" s="185"/>
      <c r="AD535" s="185"/>
    </row>
    <row r="536">
      <c r="A536" s="185"/>
      <c r="B536" s="185"/>
      <c r="C536" s="185"/>
      <c r="D536" s="185"/>
      <c r="E536" s="203"/>
      <c r="F536" s="203"/>
      <c r="G536" s="185"/>
      <c r="H536" s="185"/>
      <c r="I536" s="185"/>
      <c r="J536" s="185"/>
      <c r="K536" s="185"/>
      <c r="L536" s="185"/>
      <c r="M536" s="185"/>
      <c r="N536" s="185"/>
      <c r="O536" s="185"/>
      <c r="P536" s="185"/>
      <c r="Q536" s="185"/>
      <c r="R536" s="185"/>
      <c r="S536" s="185"/>
      <c r="T536" s="185"/>
      <c r="U536" s="185"/>
      <c r="V536" s="185"/>
      <c r="W536" s="185"/>
      <c r="X536" s="185"/>
      <c r="Y536" s="185"/>
      <c r="Z536" s="185"/>
      <c r="AA536" s="185"/>
      <c r="AB536" s="185" t="str">
        <f>IFERROR(__xludf.DUMMYFUNCTION("LET(width,COLUMN($AB$1)-COLUMN($G$1),r,INDEX($G536:$AAB536,1,SEQUENCE(1,width)),flat,TOCOL(r,1),bad,FILTER(flat,COUNTIF('リスト'!$E:$E,flat)=0),IFERROR(TEXTJOIN(""\n"",TRUE,bad),""""))"),"")</f>
        <v/>
      </c>
      <c r="AC536" s="185"/>
      <c r="AD536" s="185"/>
    </row>
    <row r="537">
      <c r="A537" s="185"/>
      <c r="B537" s="185"/>
      <c r="C537" s="185"/>
      <c r="D537" s="185"/>
      <c r="E537" s="203"/>
      <c r="F537" s="203"/>
      <c r="G537" s="185"/>
      <c r="H537" s="185"/>
      <c r="I537" s="185"/>
      <c r="J537" s="185"/>
      <c r="K537" s="185"/>
      <c r="L537" s="185"/>
      <c r="M537" s="185"/>
      <c r="N537" s="185"/>
      <c r="O537" s="185"/>
      <c r="P537" s="185"/>
      <c r="Q537" s="185"/>
      <c r="R537" s="185"/>
      <c r="S537" s="185"/>
      <c r="T537" s="185"/>
      <c r="U537" s="185"/>
      <c r="V537" s="185"/>
      <c r="W537" s="185"/>
      <c r="X537" s="185"/>
      <c r="Y537" s="185"/>
      <c r="Z537" s="185"/>
      <c r="AA537" s="185"/>
      <c r="AB537" s="185" t="str">
        <f>IFERROR(__xludf.DUMMYFUNCTION("LET(width,COLUMN($AB$1)-COLUMN($G$1),r,INDEX($G537:$AAB537,1,SEQUENCE(1,width)),flat,TOCOL(r,1),bad,FILTER(flat,COUNTIF('リスト'!$E:$E,flat)=0),IFERROR(TEXTJOIN(""\n"",TRUE,bad),""""))"),"")</f>
        <v/>
      </c>
      <c r="AC537" s="185"/>
      <c r="AD537" s="185"/>
    </row>
    <row r="538">
      <c r="A538" s="185"/>
      <c r="B538" s="185"/>
      <c r="C538" s="185"/>
      <c r="D538" s="185"/>
      <c r="E538" s="203"/>
      <c r="F538" s="203"/>
      <c r="G538" s="185"/>
      <c r="H538" s="185"/>
      <c r="I538" s="185"/>
      <c r="J538" s="185"/>
      <c r="K538" s="185"/>
      <c r="L538" s="185"/>
      <c r="M538" s="185"/>
      <c r="N538" s="185"/>
      <c r="O538" s="185"/>
      <c r="P538" s="185"/>
      <c r="Q538" s="185"/>
      <c r="R538" s="185"/>
      <c r="S538" s="185"/>
      <c r="T538" s="185"/>
      <c r="U538" s="185"/>
      <c r="V538" s="185"/>
      <c r="W538" s="185"/>
      <c r="X538" s="185"/>
      <c r="Y538" s="185"/>
      <c r="Z538" s="185"/>
      <c r="AA538" s="185"/>
      <c r="AB538" s="185" t="str">
        <f>IFERROR(__xludf.DUMMYFUNCTION("LET(width,COLUMN($AB$1)-COLUMN($G$1),r,INDEX($G538:$AAB538,1,SEQUENCE(1,width)),flat,TOCOL(r,1),bad,FILTER(flat,COUNTIF('リスト'!$E:$E,flat)=0),IFERROR(TEXTJOIN(""\n"",TRUE,bad),""""))"),"")</f>
        <v/>
      </c>
      <c r="AC538" s="185"/>
      <c r="AD538" s="185"/>
    </row>
    <row r="539">
      <c r="A539" s="185"/>
      <c r="B539" s="185"/>
      <c r="C539" s="185"/>
      <c r="D539" s="185"/>
      <c r="E539" s="203"/>
      <c r="F539" s="203"/>
      <c r="G539" s="185"/>
      <c r="H539" s="185"/>
      <c r="I539" s="185"/>
      <c r="J539" s="185"/>
      <c r="K539" s="185"/>
      <c r="L539" s="185"/>
      <c r="M539" s="185"/>
      <c r="N539" s="185"/>
      <c r="O539" s="185"/>
      <c r="P539" s="185"/>
      <c r="Q539" s="185"/>
      <c r="R539" s="185"/>
      <c r="S539" s="185"/>
      <c r="T539" s="185"/>
      <c r="U539" s="185"/>
      <c r="V539" s="185"/>
      <c r="W539" s="185"/>
      <c r="X539" s="185"/>
      <c r="Y539" s="185"/>
      <c r="Z539" s="185"/>
      <c r="AA539" s="185"/>
      <c r="AB539" s="185" t="str">
        <f>IFERROR(__xludf.DUMMYFUNCTION("LET(width,COLUMN($AB$1)-COLUMN($G$1),r,INDEX($G539:$AAB539,1,SEQUENCE(1,width)),flat,TOCOL(r,1),bad,FILTER(flat,COUNTIF('リスト'!$E:$E,flat)=0),IFERROR(TEXTJOIN(""\n"",TRUE,bad),""""))"),"")</f>
        <v/>
      </c>
      <c r="AC539" s="185"/>
      <c r="AD539" s="185"/>
    </row>
    <row r="540">
      <c r="A540" s="185"/>
      <c r="B540" s="185"/>
      <c r="C540" s="185"/>
      <c r="D540" s="185"/>
      <c r="E540" s="203"/>
      <c r="F540" s="203"/>
      <c r="G540" s="185"/>
      <c r="H540" s="185"/>
      <c r="I540" s="185"/>
      <c r="J540" s="185"/>
      <c r="K540" s="185"/>
      <c r="L540" s="185"/>
      <c r="M540" s="185"/>
      <c r="N540" s="185"/>
      <c r="O540" s="185"/>
      <c r="P540" s="185"/>
      <c r="Q540" s="185"/>
      <c r="R540" s="185"/>
      <c r="S540" s="185"/>
      <c r="T540" s="185"/>
      <c r="U540" s="185"/>
      <c r="V540" s="185"/>
      <c r="W540" s="185"/>
      <c r="X540" s="185"/>
      <c r="Y540" s="185"/>
      <c r="Z540" s="185"/>
      <c r="AA540" s="185"/>
      <c r="AB540" s="185" t="str">
        <f>IFERROR(__xludf.DUMMYFUNCTION("LET(width,COLUMN($AB$1)-COLUMN($G$1),r,INDEX($G540:$AAB540,1,SEQUENCE(1,width)),flat,TOCOL(r,1),bad,FILTER(flat,COUNTIF('リスト'!$E:$E,flat)=0),IFERROR(TEXTJOIN(""\n"",TRUE,bad),""""))"),"")</f>
        <v/>
      </c>
      <c r="AC540" s="185"/>
      <c r="AD540" s="185"/>
    </row>
    <row r="541">
      <c r="A541" s="185"/>
      <c r="B541" s="185"/>
      <c r="C541" s="185"/>
      <c r="D541" s="185"/>
      <c r="E541" s="203"/>
      <c r="F541" s="203"/>
      <c r="G541" s="185"/>
      <c r="H541" s="185"/>
      <c r="I541" s="185"/>
      <c r="J541" s="185"/>
      <c r="K541" s="185"/>
      <c r="L541" s="185"/>
      <c r="M541" s="185"/>
      <c r="N541" s="185"/>
      <c r="O541" s="185"/>
      <c r="P541" s="185"/>
      <c r="Q541" s="185"/>
      <c r="R541" s="185"/>
      <c r="S541" s="185"/>
      <c r="T541" s="185"/>
      <c r="U541" s="185"/>
      <c r="V541" s="185"/>
      <c r="W541" s="185"/>
      <c r="X541" s="185"/>
      <c r="Y541" s="185"/>
      <c r="Z541" s="185"/>
      <c r="AA541" s="185"/>
      <c r="AB541" s="185" t="str">
        <f>IFERROR(__xludf.DUMMYFUNCTION("LET(width,COLUMN($AB$1)-COLUMN($G$1),r,INDEX($G541:$AAB541,1,SEQUENCE(1,width)),flat,TOCOL(r,1),bad,FILTER(flat,COUNTIF('リスト'!$E:$E,flat)=0),IFERROR(TEXTJOIN(""\n"",TRUE,bad),""""))"),"")</f>
        <v/>
      </c>
      <c r="AC541" s="185"/>
      <c r="AD541" s="185"/>
    </row>
    <row r="542">
      <c r="A542" s="185"/>
      <c r="B542" s="185"/>
      <c r="C542" s="185"/>
      <c r="D542" s="185"/>
      <c r="E542" s="203"/>
      <c r="F542" s="203"/>
      <c r="G542" s="185"/>
      <c r="H542" s="185"/>
      <c r="I542" s="185"/>
      <c r="J542" s="185"/>
      <c r="K542" s="185"/>
      <c r="L542" s="185"/>
      <c r="M542" s="185"/>
      <c r="N542" s="185"/>
      <c r="O542" s="185"/>
      <c r="P542" s="185"/>
      <c r="Q542" s="185"/>
      <c r="R542" s="185"/>
      <c r="S542" s="185"/>
      <c r="T542" s="185"/>
      <c r="U542" s="185"/>
      <c r="V542" s="185"/>
      <c r="W542" s="185"/>
      <c r="X542" s="185"/>
      <c r="Y542" s="185"/>
      <c r="Z542" s="185"/>
      <c r="AA542" s="185"/>
      <c r="AB542" s="185" t="str">
        <f>IFERROR(__xludf.DUMMYFUNCTION("LET(width,COLUMN($AB$1)-COLUMN($G$1),r,INDEX($G542:$AAB542,1,SEQUENCE(1,width)),flat,TOCOL(r,1),bad,FILTER(flat,COUNTIF('リスト'!$E:$E,flat)=0),IFERROR(TEXTJOIN(""\n"",TRUE,bad),""""))"),"")</f>
        <v/>
      </c>
      <c r="AC542" s="185"/>
      <c r="AD542" s="185"/>
    </row>
    <row r="543">
      <c r="A543" s="185"/>
      <c r="B543" s="185"/>
      <c r="C543" s="185"/>
      <c r="D543" s="185"/>
      <c r="E543" s="203"/>
      <c r="F543" s="203"/>
      <c r="G543" s="185"/>
      <c r="H543" s="185"/>
      <c r="I543" s="185"/>
      <c r="J543" s="185"/>
      <c r="K543" s="185"/>
      <c r="L543" s="185"/>
      <c r="M543" s="185"/>
      <c r="N543" s="185"/>
      <c r="O543" s="185"/>
      <c r="P543" s="185"/>
      <c r="Q543" s="185"/>
      <c r="R543" s="185"/>
      <c r="S543" s="185"/>
      <c r="T543" s="185"/>
      <c r="U543" s="185"/>
      <c r="V543" s="185"/>
      <c r="W543" s="185"/>
      <c r="X543" s="185"/>
      <c r="Y543" s="185"/>
      <c r="Z543" s="185"/>
      <c r="AA543" s="185"/>
      <c r="AB543" s="185" t="str">
        <f>IFERROR(__xludf.DUMMYFUNCTION("LET(width,COLUMN($AB$1)-COLUMN($G$1),r,INDEX($G543:$AAB543,1,SEQUENCE(1,width)),flat,TOCOL(r,1),bad,FILTER(flat,COUNTIF('リスト'!$E:$E,flat)=0),IFERROR(TEXTJOIN(""\n"",TRUE,bad),""""))"),"")</f>
        <v/>
      </c>
      <c r="AC543" s="185"/>
      <c r="AD543" s="185"/>
    </row>
    <row r="544">
      <c r="A544" s="185"/>
      <c r="B544" s="185"/>
      <c r="C544" s="185"/>
      <c r="D544" s="185"/>
      <c r="E544" s="203"/>
      <c r="F544" s="203"/>
      <c r="G544" s="185"/>
      <c r="H544" s="185"/>
      <c r="I544" s="185"/>
      <c r="J544" s="185"/>
      <c r="K544" s="185"/>
      <c r="L544" s="185"/>
      <c r="M544" s="185"/>
      <c r="N544" s="185"/>
      <c r="O544" s="185"/>
      <c r="P544" s="185"/>
      <c r="Q544" s="185"/>
      <c r="R544" s="185"/>
      <c r="S544" s="185"/>
      <c r="T544" s="185"/>
      <c r="U544" s="185"/>
      <c r="V544" s="185"/>
      <c r="W544" s="185"/>
      <c r="X544" s="185"/>
      <c r="Y544" s="185"/>
      <c r="Z544" s="185"/>
      <c r="AA544" s="185"/>
      <c r="AB544" s="185" t="str">
        <f>IFERROR(__xludf.DUMMYFUNCTION("LET(width,COLUMN($AB$1)-COLUMN($G$1),r,INDEX($G544:$AAB544,1,SEQUENCE(1,width)),flat,TOCOL(r,1),bad,FILTER(flat,COUNTIF('リスト'!$E:$E,flat)=0),IFERROR(TEXTJOIN(""\n"",TRUE,bad),""""))"),"")</f>
        <v/>
      </c>
      <c r="AC544" s="185"/>
      <c r="AD544" s="185"/>
    </row>
    <row r="545">
      <c r="A545" s="185"/>
      <c r="B545" s="185"/>
      <c r="C545" s="185"/>
      <c r="D545" s="185"/>
      <c r="E545" s="203"/>
      <c r="F545" s="203"/>
      <c r="G545" s="185"/>
      <c r="H545" s="185"/>
      <c r="I545" s="185"/>
      <c r="J545" s="185"/>
      <c r="K545" s="185"/>
      <c r="L545" s="185"/>
      <c r="M545" s="185"/>
      <c r="N545" s="185"/>
      <c r="O545" s="185"/>
      <c r="P545" s="185"/>
      <c r="Q545" s="185"/>
      <c r="R545" s="185"/>
      <c r="S545" s="185"/>
      <c r="T545" s="185"/>
      <c r="U545" s="185"/>
      <c r="V545" s="185"/>
      <c r="W545" s="185"/>
      <c r="X545" s="185"/>
      <c r="Y545" s="185"/>
      <c r="Z545" s="185"/>
      <c r="AA545" s="185"/>
      <c r="AB545" s="185" t="str">
        <f>IFERROR(__xludf.DUMMYFUNCTION("LET(width,COLUMN($AB$1)-COLUMN($G$1),r,INDEX($G545:$AAB545,1,SEQUENCE(1,width)),flat,TOCOL(r,1),bad,FILTER(flat,COUNTIF('リスト'!$E:$E,flat)=0),IFERROR(TEXTJOIN(""\n"",TRUE,bad),""""))"),"")</f>
        <v/>
      </c>
      <c r="AC545" s="185"/>
      <c r="AD545" s="185"/>
    </row>
    <row r="546">
      <c r="A546" s="185"/>
      <c r="B546" s="185"/>
      <c r="C546" s="185"/>
      <c r="D546" s="185"/>
      <c r="E546" s="203"/>
      <c r="F546" s="203"/>
      <c r="G546" s="185"/>
      <c r="H546" s="185"/>
      <c r="I546" s="185"/>
      <c r="J546" s="185"/>
      <c r="K546" s="185"/>
      <c r="L546" s="185"/>
      <c r="M546" s="185"/>
      <c r="N546" s="185"/>
      <c r="O546" s="185"/>
      <c r="P546" s="185"/>
      <c r="Q546" s="185"/>
      <c r="R546" s="185"/>
      <c r="S546" s="185"/>
      <c r="T546" s="185"/>
      <c r="U546" s="185"/>
      <c r="V546" s="185"/>
      <c r="W546" s="185"/>
      <c r="X546" s="185"/>
      <c r="Y546" s="185"/>
      <c r="Z546" s="185"/>
      <c r="AA546" s="185"/>
      <c r="AB546" s="185" t="str">
        <f>IFERROR(__xludf.DUMMYFUNCTION("LET(width,COLUMN($AB$1)-COLUMN($G$1),r,INDEX($G546:$AAB546,1,SEQUENCE(1,width)),flat,TOCOL(r,1),bad,FILTER(flat,COUNTIF('リスト'!$E:$E,flat)=0),IFERROR(TEXTJOIN(""\n"",TRUE,bad),""""))"),"")</f>
        <v/>
      </c>
      <c r="AC546" s="185"/>
      <c r="AD546" s="185"/>
    </row>
    <row r="547">
      <c r="A547" s="185"/>
      <c r="B547" s="185"/>
      <c r="C547" s="185"/>
      <c r="D547" s="185"/>
      <c r="E547" s="203"/>
      <c r="F547" s="203"/>
      <c r="G547" s="185"/>
      <c r="H547" s="185"/>
      <c r="I547" s="185"/>
      <c r="J547" s="185"/>
      <c r="K547" s="185"/>
      <c r="L547" s="185"/>
      <c r="M547" s="185"/>
      <c r="N547" s="185"/>
      <c r="O547" s="185"/>
      <c r="P547" s="185"/>
      <c r="Q547" s="185"/>
      <c r="R547" s="185"/>
      <c r="S547" s="185"/>
      <c r="T547" s="185"/>
      <c r="U547" s="185"/>
      <c r="V547" s="185"/>
      <c r="W547" s="185"/>
      <c r="X547" s="185"/>
      <c r="Y547" s="185"/>
      <c r="Z547" s="185"/>
      <c r="AA547" s="185"/>
      <c r="AB547" s="185" t="str">
        <f>IFERROR(__xludf.DUMMYFUNCTION("LET(width,COLUMN($AB$1)-COLUMN($G$1),r,INDEX($G547:$AAB547,1,SEQUENCE(1,width)),flat,TOCOL(r,1),bad,FILTER(flat,COUNTIF('リスト'!$E:$E,flat)=0),IFERROR(TEXTJOIN(""\n"",TRUE,bad),""""))"),"")</f>
        <v/>
      </c>
      <c r="AC547" s="185"/>
      <c r="AD547" s="185"/>
    </row>
    <row r="548">
      <c r="A548" s="185"/>
      <c r="B548" s="185"/>
      <c r="C548" s="185"/>
      <c r="D548" s="185"/>
      <c r="E548" s="203"/>
      <c r="F548" s="203"/>
      <c r="G548" s="185"/>
      <c r="H548" s="185"/>
      <c r="I548" s="185"/>
      <c r="J548" s="185"/>
      <c r="K548" s="185"/>
      <c r="L548" s="185"/>
      <c r="M548" s="185"/>
      <c r="N548" s="185"/>
      <c r="O548" s="185"/>
      <c r="P548" s="185"/>
      <c r="Q548" s="185"/>
      <c r="R548" s="185"/>
      <c r="S548" s="185"/>
      <c r="T548" s="185"/>
      <c r="U548" s="185"/>
      <c r="V548" s="185"/>
      <c r="W548" s="185"/>
      <c r="X548" s="185"/>
      <c r="Y548" s="185"/>
      <c r="Z548" s="185"/>
      <c r="AA548" s="185"/>
      <c r="AB548" s="185" t="str">
        <f>IFERROR(__xludf.DUMMYFUNCTION("LET(width,COLUMN($AB$1)-COLUMN($G$1),r,INDEX($G548:$AAB548,1,SEQUENCE(1,width)),flat,TOCOL(r,1),bad,FILTER(flat,COUNTIF('リスト'!$E:$E,flat)=0),IFERROR(TEXTJOIN(""\n"",TRUE,bad),""""))"),"")</f>
        <v/>
      </c>
      <c r="AC548" s="185"/>
      <c r="AD548" s="185"/>
    </row>
    <row r="549">
      <c r="A549" s="185"/>
      <c r="B549" s="185"/>
      <c r="C549" s="185"/>
      <c r="D549" s="185"/>
      <c r="E549" s="203"/>
      <c r="F549" s="203"/>
      <c r="G549" s="185"/>
      <c r="H549" s="185"/>
      <c r="I549" s="185"/>
      <c r="J549" s="185"/>
      <c r="K549" s="185"/>
      <c r="L549" s="185"/>
      <c r="M549" s="185"/>
      <c r="N549" s="185"/>
      <c r="O549" s="185"/>
      <c r="P549" s="185"/>
      <c r="Q549" s="185"/>
      <c r="R549" s="185"/>
      <c r="S549" s="185"/>
      <c r="T549" s="185"/>
      <c r="U549" s="185"/>
      <c r="V549" s="185"/>
      <c r="W549" s="185"/>
      <c r="X549" s="185"/>
      <c r="Y549" s="185"/>
      <c r="Z549" s="185"/>
      <c r="AA549" s="185"/>
      <c r="AB549" s="185" t="str">
        <f>IFERROR(__xludf.DUMMYFUNCTION("LET(width,COLUMN($AB$1)-COLUMN($G$1),r,INDEX($G549:$AAB549,1,SEQUENCE(1,width)),flat,TOCOL(r,1),bad,FILTER(flat,COUNTIF('リスト'!$E:$E,flat)=0),IFERROR(TEXTJOIN(""\n"",TRUE,bad),""""))"),"")</f>
        <v/>
      </c>
      <c r="AC549" s="185"/>
      <c r="AD549" s="185"/>
    </row>
    <row r="550">
      <c r="A550" s="185"/>
      <c r="B550" s="185"/>
      <c r="C550" s="185"/>
      <c r="D550" s="185"/>
      <c r="E550" s="203"/>
      <c r="F550" s="203"/>
      <c r="G550" s="185"/>
      <c r="H550" s="185"/>
      <c r="I550" s="185"/>
      <c r="J550" s="185"/>
      <c r="K550" s="185"/>
      <c r="L550" s="185"/>
      <c r="M550" s="185"/>
      <c r="N550" s="185"/>
      <c r="O550" s="185"/>
      <c r="P550" s="185"/>
      <c r="Q550" s="185"/>
      <c r="R550" s="185"/>
      <c r="S550" s="185"/>
      <c r="T550" s="185"/>
      <c r="U550" s="185"/>
      <c r="V550" s="185"/>
      <c r="W550" s="185"/>
      <c r="X550" s="185"/>
      <c r="Y550" s="185"/>
      <c r="Z550" s="185"/>
      <c r="AA550" s="185"/>
      <c r="AB550" s="185" t="str">
        <f>IFERROR(__xludf.DUMMYFUNCTION("LET(width,COLUMN($AB$1)-COLUMN($G$1),r,INDEX($G550:$AAB550,1,SEQUENCE(1,width)),flat,TOCOL(r,1),bad,FILTER(flat,COUNTIF('リスト'!$E:$E,flat)=0),IFERROR(TEXTJOIN(""\n"",TRUE,bad),""""))"),"")</f>
        <v/>
      </c>
      <c r="AC550" s="185"/>
      <c r="AD550" s="185"/>
    </row>
    <row r="551">
      <c r="A551" s="185"/>
      <c r="B551" s="185"/>
      <c r="C551" s="185"/>
      <c r="D551" s="185"/>
      <c r="E551" s="203"/>
      <c r="F551" s="203"/>
      <c r="G551" s="185"/>
      <c r="H551" s="185"/>
      <c r="I551" s="185"/>
      <c r="J551" s="185"/>
      <c r="K551" s="185"/>
      <c r="L551" s="185"/>
      <c r="M551" s="185"/>
      <c r="N551" s="185"/>
      <c r="O551" s="185"/>
      <c r="P551" s="185"/>
      <c r="Q551" s="185"/>
      <c r="R551" s="185"/>
      <c r="S551" s="185"/>
      <c r="T551" s="185"/>
      <c r="U551" s="185"/>
      <c r="V551" s="185"/>
      <c r="W551" s="185"/>
      <c r="X551" s="185"/>
      <c r="Y551" s="185"/>
      <c r="Z551" s="185"/>
      <c r="AA551" s="185"/>
      <c r="AB551" s="185" t="str">
        <f>IFERROR(__xludf.DUMMYFUNCTION("LET(width,COLUMN($AB$1)-COLUMN($G$1),r,INDEX($G551:$AAB551,1,SEQUENCE(1,width)),flat,TOCOL(r,1),bad,FILTER(flat,COUNTIF('リスト'!$E:$E,flat)=0),IFERROR(TEXTJOIN(""\n"",TRUE,bad),""""))"),"")</f>
        <v/>
      </c>
      <c r="AC551" s="185"/>
      <c r="AD551" s="185"/>
    </row>
    <row r="552">
      <c r="A552" s="185"/>
      <c r="B552" s="185"/>
      <c r="C552" s="185"/>
      <c r="D552" s="185"/>
      <c r="E552" s="203"/>
      <c r="F552" s="203"/>
      <c r="G552" s="185"/>
      <c r="H552" s="185"/>
      <c r="I552" s="185"/>
      <c r="J552" s="185"/>
      <c r="K552" s="185"/>
      <c r="L552" s="185"/>
      <c r="M552" s="185"/>
      <c r="N552" s="185"/>
      <c r="O552" s="185"/>
      <c r="P552" s="185"/>
      <c r="Q552" s="185"/>
      <c r="R552" s="185"/>
      <c r="S552" s="185"/>
      <c r="T552" s="185"/>
      <c r="U552" s="185"/>
      <c r="V552" s="185"/>
      <c r="W552" s="185"/>
      <c r="X552" s="185"/>
      <c r="Y552" s="185"/>
      <c r="Z552" s="185"/>
      <c r="AA552" s="185"/>
      <c r="AB552" s="185" t="str">
        <f>IFERROR(__xludf.DUMMYFUNCTION("LET(width,COLUMN($AB$1)-COLUMN($G$1),r,INDEX($G552:$AAB552,1,SEQUENCE(1,width)),flat,TOCOL(r,1),bad,FILTER(flat,COUNTIF('リスト'!$E:$E,flat)=0),IFERROR(TEXTJOIN(""\n"",TRUE,bad),""""))"),"")</f>
        <v/>
      </c>
      <c r="AC552" s="185"/>
      <c r="AD552" s="185"/>
    </row>
    <row r="553">
      <c r="A553" s="185"/>
      <c r="B553" s="185"/>
      <c r="C553" s="185"/>
      <c r="D553" s="185"/>
      <c r="E553" s="203"/>
      <c r="F553" s="203"/>
      <c r="G553" s="185"/>
      <c r="H553" s="185"/>
      <c r="I553" s="185"/>
      <c r="J553" s="185"/>
      <c r="K553" s="185"/>
      <c r="L553" s="185"/>
      <c r="M553" s="185"/>
      <c r="N553" s="185"/>
      <c r="O553" s="185"/>
      <c r="P553" s="185"/>
      <c r="Q553" s="185"/>
      <c r="R553" s="185"/>
      <c r="S553" s="185"/>
      <c r="T553" s="185"/>
      <c r="U553" s="185"/>
      <c r="V553" s="185"/>
      <c r="W553" s="185"/>
      <c r="X553" s="185"/>
      <c r="Y553" s="185"/>
      <c r="Z553" s="185"/>
      <c r="AA553" s="185"/>
      <c r="AB553" s="185" t="str">
        <f>IFERROR(__xludf.DUMMYFUNCTION("LET(width,COLUMN($AB$1)-COLUMN($G$1),r,INDEX($G553:$AAB553,1,SEQUENCE(1,width)),flat,TOCOL(r,1),bad,FILTER(flat,COUNTIF('リスト'!$E:$E,flat)=0),IFERROR(TEXTJOIN(""\n"",TRUE,bad),""""))"),"")</f>
        <v/>
      </c>
      <c r="AC553" s="185"/>
      <c r="AD553" s="185"/>
    </row>
    <row r="554">
      <c r="A554" s="185"/>
      <c r="B554" s="185"/>
      <c r="C554" s="185"/>
      <c r="D554" s="185"/>
      <c r="E554" s="203"/>
      <c r="F554" s="203"/>
      <c r="G554" s="185"/>
      <c r="H554" s="185"/>
      <c r="I554" s="185"/>
      <c r="J554" s="185"/>
      <c r="K554" s="185"/>
      <c r="L554" s="185"/>
      <c r="M554" s="185"/>
      <c r="N554" s="185"/>
      <c r="O554" s="185"/>
      <c r="P554" s="185"/>
      <c r="Q554" s="185"/>
      <c r="R554" s="185"/>
      <c r="S554" s="185"/>
      <c r="T554" s="185"/>
      <c r="U554" s="185"/>
      <c r="V554" s="185"/>
      <c r="W554" s="185"/>
      <c r="X554" s="185"/>
      <c r="Y554" s="185"/>
      <c r="Z554" s="185"/>
      <c r="AA554" s="185"/>
      <c r="AB554" s="185" t="str">
        <f>IFERROR(__xludf.DUMMYFUNCTION("LET(width,COLUMN($AB$1)-COLUMN($G$1),r,INDEX($G554:$AAB554,1,SEQUENCE(1,width)),flat,TOCOL(r,1),bad,FILTER(flat,COUNTIF('リスト'!$E:$E,flat)=0),IFERROR(TEXTJOIN(""\n"",TRUE,bad),""""))"),"")</f>
        <v/>
      </c>
      <c r="AC554" s="185"/>
      <c r="AD554" s="185"/>
    </row>
    <row r="555">
      <c r="A555" s="185"/>
      <c r="B555" s="185"/>
      <c r="C555" s="185"/>
      <c r="D555" s="185"/>
      <c r="E555" s="203"/>
      <c r="F555" s="203"/>
      <c r="G555" s="185"/>
      <c r="H555" s="185"/>
      <c r="I555" s="185"/>
      <c r="J555" s="185"/>
      <c r="K555" s="185"/>
      <c r="L555" s="185"/>
      <c r="M555" s="185"/>
      <c r="N555" s="185"/>
      <c r="O555" s="185"/>
      <c r="P555" s="185"/>
      <c r="Q555" s="185"/>
      <c r="R555" s="185"/>
      <c r="S555" s="185"/>
      <c r="T555" s="185"/>
      <c r="U555" s="185"/>
      <c r="V555" s="185"/>
      <c r="W555" s="185"/>
      <c r="X555" s="185"/>
      <c r="Y555" s="185"/>
      <c r="Z555" s="185"/>
      <c r="AA555" s="185"/>
      <c r="AB555" s="185" t="str">
        <f>IFERROR(__xludf.DUMMYFUNCTION("LET(width,COLUMN($AB$1)-COLUMN($G$1),r,INDEX($G555:$AAB555,1,SEQUENCE(1,width)),flat,TOCOL(r,1),bad,FILTER(flat,COUNTIF('リスト'!$E:$E,flat)=0),IFERROR(TEXTJOIN(""\n"",TRUE,bad),""""))"),"")</f>
        <v/>
      </c>
      <c r="AC555" s="185"/>
      <c r="AD555" s="185"/>
    </row>
    <row r="556">
      <c r="A556" s="185"/>
      <c r="B556" s="185"/>
      <c r="C556" s="185"/>
      <c r="D556" s="185"/>
      <c r="E556" s="203"/>
      <c r="F556" s="203"/>
      <c r="G556" s="185"/>
      <c r="H556" s="185"/>
      <c r="I556" s="185"/>
      <c r="J556" s="185"/>
      <c r="K556" s="185"/>
      <c r="L556" s="185"/>
      <c r="M556" s="185"/>
      <c r="N556" s="185"/>
      <c r="O556" s="185"/>
      <c r="P556" s="185"/>
      <c r="Q556" s="185"/>
      <c r="R556" s="185"/>
      <c r="S556" s="185"/>
      <c r="T556" s="185"/>
      <c r="U556" s="185"/>
      <c r="V556" s="185"/>
      <c r="W556" s="185"/>
      <c r="X556" s="185"/>
      <c r="Y556" s="185"/>
      <c r="Z556" s="185"/>
      <c r="AA556" s="185"/>
      <c r="AB556" s="185" t="str">
        <f>IFERROR(__xludf.DUMMYFUNCTION("LET(width,COLUMN($AB$1)-COLUMN($G$1),r,INDEX($G556:$AAB556,1,SEQUENCE(1,width)),flat,TOCOL(r,1),bad,FILTER(flat,COUNTIF('リスト'!$E:$E,flat)=0),IFERROR(TEXTJOIN(""\n"",TRUE,bad),""""))"),"")</f>
        <v/>
      </c>
      <c r="AC556" s="185"/>
      <c r="AD556" s="185"/>
    </row>
    <row r="557">
      <c r="A557" s="185"/>
      <c r="B557" s="185"/>
      <c r="C557" s="185"/>
      <c r="D557" s="185"/>
      <c r="E557" s="203"/>
      <c r="F557" s="203"/>
      <c r="G557" s="185"/>
      <c r="H557" s="185"/>
      <c r="I557" s="185"/>
      <c r="J557" s="185"/>
      <c r="K557" s="185"/>
      <c r="L557" s="185"/>
      <c r="M557" s="185"/>
      <c r="N557" s="185"/>
      <c r="O557" s="185"/>
      <c r="P557" s="185"/>
      <c r="Q557" s="185"/>
      <c r="R557" s="185"/>
      <c r="S557" s="185"/>
      <c r="T557" s="185"/>
      <c r="U557" s="185"/>
      <c r="V557" s="185"/>
      <c r="W557" s="185"/>
      <c r="X557" s="185"/>
      <c r="Y557" s="185"/>
      <c r="Z557" s="185"/>
      <c r="AA557" s="185"/>
      <c r="AB557" s="185" t="str">
        <f>IFERROR(__xludf.DUMMYFUNCTION("LET(width,COLUMN($AB$1)-COLUMN($G$1),r,INDEX($G557:$AAB557,1,SEQUENCE(1,width)),flat,TOCOL(r,1),bad,FILTER(flat,COUNTIF('リスト'!$E:$E,flat)=0),IFERROR(TEXTJOIN(""\n"",TRUE,bad),""""))"),"")</f>
        <v/>
      </c>
      <c r="AC557" s="185"/>
      <c r="AD557" s="185"/>
    </row>
    <row r="558">
      <c r="A558" s="185"/>
      <c r="B558" s="185"/>
      <c r="C558" s="185"/>
      <c r="D558" s="185"/>
      <c r="E558" s="203"/>
      <c r="F558" s="203"/>
      <c r="G558" s="185"/>
      <c r="H558" s="185"/>
      <c r="I558" s="185"/>
      <c r="J558" s="185"/>
      <c r="K558" s="185"/>
      <c r="L558" s="185"/>
      <c r="M558" s="185"/>
      <c r="N558" s="185"/>
      <c r="O558" s="185"/>
      <c r="P558" s="185"/>
      <c r="Q558" s="185"/>
      <c r="R558" s="185"/>
      <c r="S558" s="185"/>
      <c r="T558" s="185"/>
      <c r="U558" s="185"/>
      <c r="V558" s="185"/>
      <c r="W558" s="185"/>
      <c r="X558" s="185"/>
      <c r="Y558" s="185"/>
      <c r="Z558" s="185"/>
      <c r="AA558" s="185"/>
      <c r="AB558" s="185" t="str">
        <f>IFERROR(__xludf.DUMMYFUNCTION("LET(width,COLUMN($AB$1)-COLUMN($G$1),r,INDEX($G558:$AAB558,1,SEQUENCE(1,width)),flat,TOCOL(r,1),bad,FILTER(flat,COUNTIF('リスト'!$E:$E,flat)=0),IFERROR(TEXTJOIN(""\n"",TRUE,bad),""""))"),"")</f>
        <v/>
      </c>
      <c r="AC558" s="185"/>
      <c r="AD558" s="185"/>
    </row>
    <row r="559">
      <c r="A559" s="185"/>
      <c r="B559" s="185"/>
      <c r="C559" s="185"/>
      <c r="D559" s="185"/>
      <c r="E559" s="203"/>
      <c r="F559" s="203"/>
      <c r="G559" s="185"/>
      <c r="H559" s="185"/>
      <c r="I559" s="185"/>
      <c r="J559" s="185"/>
      <c r="K559" s="185"/>
      <c r="L559" s="185"/>
      <c r="M559" s="185"/>
      <c r="N559" s="185"/>
      <c r="O559" s="185"/>
      <c r="P559" s="185"/>
      <c r="Q559" s="185"/>
      <c r="R559" s="185"/>
      <c r="S559" s="185"/>
      <c r="T559" s="185"/>
      <c r="U559" s="185"/>
      <c r="V559" s="185"/>
      <c r="W559" s="185"/>
      <c r="X559" s="185"/>
      <c r="Y559" s="185"/>
      <c r="Z559" s="185"/>
      <c r="AA559" s="185"/>
      <c r="AB559" s="185" t="str">
        <f>IFERROR(__xludf.DUMMYFUNCTION("LET(width,COLUMN($AB$1)-COLUMN($G$1),r,INDEX($G559:$AAB559,1,SEQUENCE(1,width)),flat,TOCOL(r,1),bad,FILTER(flat,COUNTIF('リスト'!$E:$E,flat)=0),IFERROR(TEXTJOIN(""\n"",TRUE,bad),""""))"),"")</f>
        <v/>
      </c>
      <c r="AC559" s="185"/>
      <c r="AD559" s="185"/>
    </row>
    <row r="560">
      <c r="A560" s="185"/>
      <c r="B560" s="185"/>
      <c r="C560" s="185"/>
      <c r="D560" s="185"/>
      <c r="E560" s="203"/>
      <c r="F560" s="203"/>
      <c r="G560" s="185"/>
      <c r="H560" s="185"/>
      <c r="I560" s="185"/>
      <c r="J560" s="185"/>
      <c r="K560" s="185"/>
      <c r="L560" s="185"/>
      <c r="M560" s="185"/>
      <c r="N560" s="185"/>
      <c r="O560" s="185"/>
      <c r="P560" s="185"/>
      <c r="Q560" s="185"/>
      <c r="R560" s="185"/>
      <c r="S560" s="185"/>
      <c r="T560" s="185"/>
      <c r="U560" s="185"/>
      <c r="V560" s="185"/>
      <c r="W560" s="185"/>
      <c r="X560" s="185"/>
      <c r="Y560" s="185"/>
      <c r="Z560" s="185"/>
      <c r="AA560" s="185"/>
      <c r="AB560" s="185" t="str">
        <f>IFERROR(__xludf.DUMMYFUNCTION("LET(width,COLUMN($AB$1)-COLUMN($G$1),r,INDEX($G560:$AAB560,1,SEQUENCE(1,width)),flat,TOCOL(r,1),bad,FILTER(flat,COUNTIF('リスト'!$E:$E,flat)=0),IFERROR(TEXTJOIN(""\n"",TRUE,bad),""""))"),"")</f>
        <v/>
      </c>
      <c r="AC560" s="185"/>
      <c r="AD560" s="185"/>
    </row>
    <row r="561">
      <c r="A561" s="185"/>
      <c r="B561" s="185"/>
      <c r="C561" s="185"/>
      <c r="D561" s="185"/>
      <c r="E561" s="203"/>
      <c r="F561" s="203"/>
      <c r="G561" s="185"/>
      <c r="H561" s="185"/>
      <c r="I561" s="185"/>
      <c r="J561" s="185"/>
      <c r="K561" s="185"/>
      <c r="L561" s="185"/>
      <c r="M561" s="185"/>
      <c r="N561" s="185"/>
      <c r="O561" s="185"/>
      <c r="P561" s="185"/>
      <c r="Q561" s="185"/>
      <c r="R561" s="185"/>
      <c r="S561" s="185"/>
      <c r="T561" s="185"/>
      <c r="U561" s="185"/>
      <c r="V561" s="185"/>
      <c r="W561" s="185"/>
      <c r="X561" s="185"/>
      <c r="Y561" s="185"/>
      <c r="Z561" s="185"/>
      <c r="AA561" s="185"/>
      <c r="AB561" s="185" t="str">
        <f>IFERROR(__xludf.DUMMYFUNCTION("LET(width,COLUMN($AB$1)-COLUMN($G$1),r,INDEX($G561:$AAB561,1,SEQUENCE(1,width)),flat,TOCOL(r,1),bad,FILTER(flat,COUNTIF('リスト'!$E:$E,flat)=0),IFERROR(TEXTJOIN(""\n"",TRUE,bad),""""))"),"")</f>
        <v/>
      </c>
      <c r="AC561" s="185"/>
      <c r="AD561" s="185"/>
    </row>
    <row r="562">
      <c r="A562" s="185"/>
      <c r="B562" s="185"/>
      <c r="C562" s="185"/>
      <c r="D562" s="185"/>
      <c r="E562" s="203"/>
      <c r="F562" s="203"/>
      <c r="G562" s="185"/>
      <c r="H562" s="185"/>
      <c r="I562" s="185"/>
      <c r="J562" s="185"/>
      <c r="K562" s="185"/>
      <c r="L562" s="185"/>
      <c r="M562" s="185"/>
      <c r="N562" s="185"/>
      <c r="O562" s="185"/>
      <c r="P562" s="185"/>
      <c r="Q562" s="185"/>
      <c r="R562" s="185"/>
      <c r="S562" s="185"/>
      <c r="T562" s="185"/>
      <c r="U562" s="185"/>
      <c r="V562" s="185"/>
      <c r="W562" s="185"/>
      <c r="X562" s="185"/>
      <c r="Y562" s="185"/>
      <c r="Z562" s="185"/>
      <c r="AA562" s="185"/>
      <c r="AB562" s="185" t="str">
        <f>IFERROR(__xludf.DUMMYFUNCTION("LET(width,COLUMN($AB$1)-COLUMN($G$1),r,INDEX($G562:$AAB562,1,SEQUENCE(1,width)),flat,TOCOL(r,1),bad,FILTER(flat,COUNTIF('リスト'!$E:$E,flat)=0),IFERROR(TEXTJOIN(""\n"",TRUE,bad),""""))"),"")</f>
        <v/>
      </c>
      <c r="AC562" s="185"/>
      <c r="AD562" s="185"/>
    </row>
    <row r="563">
      <c r="A563" s="185"/>
      <c r="B563" s="185"/>
      <c r="C563" s="185"/>
      <c r="D563" s="185"/>
      <c r="E563" s="203"/>
      <c r="F563" s="203"/>
      <c r="G563" s="185"/>
      <c r="H563" s="185"/>
      <c r="I563" s="185"/>
      <c r="J563" s="185"/>
      <c r="K563" s="185"/>
      <c r="L563" s="185"/>
      <c r="M563" s="185"/>
      <c r="N563" s="185"/>
      <c r="O563" s="185"/>
      <c r="P563" s="185"/>
      <c r="Q563" s="185"/>
      <c r="R563" s="185"/>
      <c r="S563" s="185"/>
      <c r="T563" s="185"/>
      <c r="U563" s="185"/>
      <c r="V563" s="185"/>
      <c r="W563" s="185"/>
      <c r="X563" s="185"/>
      <c r="Y563" s="185"/>
      <c r="Z563" s="185"/>
      <c r="AA563" s="185"/>
      <c r="AB563" s="185" t="str">
        <f>IFERROR(__xludf.DUMMYFUNCTION("LET(width,COLUMN($AB$1)-COLUMN($G$1),r,INDEX($G563:$AAB563,1,SEQUENCE(1,width)),flat,TOCOL(r,1),bad,FILTER(flat,COUNTIF('リスト'!$E:$E,flat)=0),IFERROR(TEXTJOIN(""\n"",TRUE,bad),""""))"),"")</f>
        <v/>
      </c>
      <c r="AC563" s="185"/>
      <c r="AD563" s="185"/>
    </row>
    <row r="564">
      <c r="A564" s="185"/>
      <c r="B564" s="185"/>
      <c r="C564" s="185"/>
      <c r="D564" s="185"/>
      <c r="E564" s="203"/>
      <c r="F564" s="203"/>
      <c r="G564" s="185"/>
      <c r="H564" s="185"/>
      <c r="I564" s="185"/>
      <c r="J564" s="185"/>
      <c r="K564" s="185"/>
      <c r="L564" s="185"/>
      <c r="M564" s="185"/>
      <c r="N564" s="185"/>
      <c r="O564" s="185"/>
      <c r="P564" s="185"/>
      <c r="Q564" s="185"/>
      <c r="R564" s="185"/>
      <c r="S564" s="185"/>
      <c r="T564" s="185"/>
      <c r="U564" s="185"/>
      <c r="V564" s="185"/>
      <c r="W564" s="185"/>
      <c r="X564" s="185"/>
      <c r="Y564" s="185"/>
      <c r="Z564" s="185"/>
      <c r="AA564" s="185"/>
      <c r="AB564" s="185" t="str">
        <f>IFERROR(__xludf.DUMMYFUNCTION("LET(width,COLUMN($AB$1)-COLUMN($G$1),r,INDEX($G564:$AAB564,1,SEQUENCE(1,width)),flat,TOCOL(r,1),bad,FILTER(flat,COUNTIF('リスト'!$E:$E,flat)=0),IFERROR(TEXTJOIN(""\n"",TRUE,bad),""""))"),"")</f>
        <v/>
      </c>
      <c r="AC564" s="185"/>
      <c r="AD564" s="185"/>
    </row>
    <row r="565">
      <c r="A565" s="185"/>
      <c r="B565" s="185"/>
      <c r="C565" s="185"/>
      <c r="D565" s="185"/>
      <c r="E565" s="203"/>
      <c r="F565" s="203"/>
      <c r="G565" s="185"/>
      <c r="H565" s="185"/>
      <c r="I565" s="185"/>
      <c r="J565" s="185"/>
      <c r="K565" s="185"/>
      <c r="L565" s="185"/>
      <c r="M565" s="185"/>
      <c r="N565" s="185"/>
      <c r="O565" s="185"/>
      <c r="P565" s="185"/>
      <c r="Q565" s="185"/>
      <c r="R565" s="185"/>
      <c r="S565" s="185"/>
      <c r="T565" s="185"/>
      <c r="U565" s="185"/>
      <c r="V565" s="185"/>
      <c r="W565" s="185"/>
      <c r="X565" s="185"/>
      <c r="Y565" s="185"/>
      <c r="Z565" s="185"/>
      <c r="AA565" s="185"/>
      <c r="AB565" s="185" t="str">
        <f>IFERROR(__xludf.DUMMYFUNCTION("LET(width,COLUMN($AB$1)-COLUMN($G$1),r,INDEX($G565:$AAB565,1,SEQUENCE(1,width)),flat,TOCOL(r,1),bad,FILTER(flat,COUNTIF('リスト'!$E:$E,flat)=0),IFERROR(TEXTJOIN(""\n"",TRUE,bad),""""))"),"")</f>
        <v/>
      </c>
      <c r="AC565" s="185"/>
      <c r="AD565" s="185"/>
    </row>
    <row r="566">
      <c r="A566" s="185"/>
      <c r="B566" s="185"/>
      <c r="C566" s="185"/>
      <c r="D566" s="185"/>
      <c r="E566" s="203"/>
      <c r="F566" s="203"/>
      <c r="G566" s="185"/>
      <c r="H566" s="185"/>
      <c r="I566" s="185"/>
      <c r="J566" s="185"/>
      <c r="K566" s="185"/>
      <c r="L566" s="185"/>
      <c r="M566" s="185"/>
      <c r="N566" s="185"/>
      <c r="O566" s="185"/>
      <c r="P566" s="185"/>
      <c r="Q566" s="185"/>
      <c r="R566" s="185"/>
      <c r="S566" s="185"/>
      <c r="T566" s="185"/>
      <c r="U566" s="185"/>
      <c r="V566" s="185"/>
      <c r="W566" s="185"/>
      <c r="X566" s="185"/>
      <c r="Y566" s="185"/>
      <c r="Z566" s="185"/>
      <c r="AA566" s="185"/>
      <c r="AB566" s="185" t="str">
        <f>IFERROR(__xludf.DUMMYFUNCTION("LET(width,COLUMN($AB$1)-COLUMN($G$1),r,INDEX($G566:$AAB566,1,SEQUENCE(1,width)),flat,TOCOL(r,1),bad,FILTER(flat,COUNTIF('リスト'!$E:$E,flat)=0),IFERROR(TEXTJOIN(""\n"",TRUE,bad),""""))"),"")</f>
        <v/>
      </c>
      <c r="AC566" s="185"/>
      <c r="AD566" s="185"/>
    </row>
    <row r="567">
      <c r="A567" s="185"/>
      <c r="B567" s="185"/>
      <c r="C567" s="185"/>
      <c r="D567" s="185"/>
      <c r="E567" s="203"/>
      <c r="F567" s="203"/>
      <c r="G567" s="185"/>
      <c r="H567" s="185"/>
      <c r="I567" s="185"/>
      <c r="J567" s="185"/>
      <c r="K567" s="185"/>
      <c r="L567" s="185"/>
      <c r="M567" s="185"/>
      <c r="N567" s="185"/>
      <c r="O567" s="185"/>
      <c r="P567" s="185"/>
      <c r="Q567" s="185"/>
      <c r="R567" s="185"/>
      <c r="S567" s="185"/>
      <c r="T567" s="185"/>
      <c r="U567" s="185"/>
      <c r="V567" s="185"/>
      <c r="W567" s="185"/>
      <c r="X567" s="185"/>
      <c r="Y567" s="185"/>
      <c r="Z567" s="185"/>
      <c r="AA567" s="185"/>
      <c r="AB567" s="185" t="str">
        <f>IFERROR(__xludf.DUMMYFUNCTION("LET(width,COLUMN($AB$1)-COLUMN($G$1),r,INDEX($G567:$AAB567,1,SEQUENCE(1,width)),flat,TOCOL(r,1),bad,FILTER(flat,COUNTIF('リスト'!$E:$E,flat)=0),IFERROR(TEXTJOIN(""\n"",TRUE,bad),""""))"),"")</f>
        <v/>
      </c>
      <c r="AC567" s="185"/>
      <c r="AD567" s="185"/>
    </row>
    <row r="568">
      <c r="A568" s="185"/>
      <c r="B568" s="185"/>
      <c r="C568" s="185"/>
      <c r="D568" s="185"/>
      <c r="E568" s="203"/>
      <c r="F568" s="203"/>
      <c r="G568" s="185"/>
      <c r="H568" s="185"/>
      <c r="I568" s="185"/>
      <c r="J568" s="185"/>
      <c r="K568" s="185"/>
      <c r="L568" s="185"/>
      <c r="M568" s="185"/>
      <c r="N568" s="185"/>
      <c r="O568" s="185"/>
      <c r="P568" s="185"/>
      <c r="Q568" s="185"/>
      <c r="R568" s="185"/>
      <c r="S568" s="185"/>
      <c r="T568" s="185"/>
      <c r="U568" s="185"/>
      <c r="V568" s="185"/>
      <c r="W568" s="185"/>
      <c r="X568" s="185"/>
      <c r="Y568" s="185"/>
      <c r="Z568" s="185"/>
      <c r="AA568" s="185"/>
      <c r="AB568" s="185" t="str">
        <f>IFERROR(__xludf.DUMMYFUNCTION("LET(width,COLUMN($AB$1)-COLUMN($G$1),r,INDEX($G568:$AAB568,1,SEQUENCE(1,width)),flat,TOCOL(r,1),bad,FILTER(flat,COUNTIF('リスト'!$E:$E,flat)=0),IFERROR(TEXTJOIN(""\n"",TRUE,bad),""""))"),"")</f>
        <v/>
      </c>
      <c r="AC568" s="185"/>
      <c r="AD568" s="185"/>
    </row>
    <row r="569">
      <c r="A569" s="185"/>
      <c r="B569" s="185"/>
      <c r="C569" s="185"/>
      <c r="D569" s="185"/>
      <c r="E569" s="203"/>
      <c r="F569" s="203"/>
      <c r="G569" s="185"/>
      <c r="H569" s="185"/>
      <c r="I569" s="185"/>
      <c r="J569" s="185"/>
      <c r="K569" s="185"/>
      <c r="L569" s="185"/>
      <c r="M569" s="185"/>
      <c r="N569" s="185"/>
      <c r="O569" s="185"/>
      <c r="P569" s="185"/>
      <c r="Q569" s="185"/>
      <c r="R569" s="185"/>
      <c r="S569" s="185"/>
      <c r="T569" s="185"/>
      <c r="U569" s="185"/>
      <c r="V569" s="185"/>
      <c r="W569" s="185"/>
      <c r="X569" s="185"/>
      <c r="Y569" s="185"/>
      <c r="Z569" s="185"/>
      <c r="AA569" s="185"/>
      <c r="AB569" s="185" t="str">
        <f>IFERROR(__xludf.DUMMYFUNCTION("LET(width,COLUMN($AB$1)-COLUMN($G$1),r,INDEX($G569:$AAB569,1,SEQUENCE(1,width)),flat,TOCOL(r,1),bad,FILTER(flat,COUNTIF('リスト'!$E:$E,flat)=0),IFERROR(TEXTJOIN(""\n"",TRUE,bad),""""))"),"")</f>
        <v/>
      </c>
      <c r="AC569" s="185"/>
      <c r="AD569" s="185"/>
    </row>
    <row r="570">
      <c r="A570" s="185"/>
      <c r="B570" s="185"/>
      <c r="C570" s="185"/>
      <c r="D570" s="185"/>
      <c r="E570" s="203"/>
      <c r="F570" s="203"/>
      <c r="G570" s="185"/>
      <c r="H570" s="185"/>
      <c r="I570" s="185"/>
      <c r="J570" s="185"/>
      <c r="K570" s="185"/>
      <c r="L570" s="185"/>
      <c r="M570" s="185"/>
      <c r="N570" s="185"/>
      <c r="O570" s="185"/>
      <c r="P570" s="185"/>
      <c r="Q570" s="185"/>
      <c r="R570" s="185"/>
      <c r="S570" s="185"/>
      <c r="T570" s="185"/>
      <c r="U570" s="185"/>
      <c r="V570" s="185"/>
      <c r="W570" s="185"/>
      <c r="X570" s="185"/>
      <c r="Y570" s="185"/>
      <c r="Z570" s="185"/>
      <c r="AA570" s="185"/>
      <c r="AB570" s="185" t="str">
        <f>IFERROR(__xludf.DUMMYFUNCTION("LET(width,COLUMN($AB$1)-COLUMN($G$1),r,INDEX($G570:$AAB570,1,SEQUENCE(1,width)),flat,TOCOL(r,1),bad,FILTER(flat,COUNTIF('リスト'!$E:$E,flat)=0),IFERROR(TEXTJOIN(""\n"",TRUE,bad),""""))"),"")</f>
        <v/>
      </c>
      <c r="AC570" s="185"/>
      <c r="AD570" s="185"/>
    </row>
    <row r="571">
      <c r="A571" s="185"/>
      <c r="B571" s="185"/>
      <c r="C571" s="185"/>
      <c r="D571" s="185"/>
      <c r="E571" s="203"/>
      <c r="F571" s="203"/>
      <c r="G571" s="185"/>
      <c r="H571" s="185"/>
      <c r="I571" s="185"/>
      <c r="J571" s="185"/>
      <c r="K571" s="185"/>
      <c r="L571" s="185"/>
      <c r="M571" s="185"/>
      <c r="N571" s="185"/>
      <c r="O571" s="185"/>
      <c r="P571" s="185"/>
      <c r="Q571" s="185"/>
      <c r="R571" s="185"/>
      <c r="S571" s="185"/>
      <c r="T571" s="185"/>
      <c r="U571" s="185"/>
      <c r="V571" s="185"/>
      <c r="W571" s="185"/>
      <c r="X571" s="185"/>
      <c r="Y571" s="185"/>
      <c r="Z571" s="185"/>
      <c r="AA571" s="185"/>
      <c r="AB571" s="185" t="str">
        <f>IFERROR(__xludf.DUMMYFUNCTION("LET(width,COLUMN($AB$1)-COLUMN($G$1),r,INDEX($G571:$AAB571,1,SEQUENCE(1,width)),flat,TOCOL(r,1),bad,FILTER(flat,COUNTIF('リスト'!$E:$E,flat)=0),IFERROR(TEXTJOIN(""\n"",TRUE,bad),""""))"),"")</f>
        <v/>
      </c>
      <c r="AC571" s="185"/>
      <c r="AD571" s="185"/>
    </row>
    <row r="572">
      <c r="A572" s="185"/>
      <c r="B572" s="185"/>
      <c r="C572" s="185"/>
      <c r="D572" s="185"/>
      <c r="E572" s="203"/>
      <c r="F572" s="203"/>
      <c r="G572" s="185"/>
      <c r="H572" s="185"/>
      <c r="I572" s="185"/>
      <c r="J572" s="185"/>
      <c r="K572" s="185"/>
      <c r="L572" s="185"/>
      <c r="M572" s="185"/>
      <c r="N572" s="185"/>
      <c r="O572" s="185"/>
      <c r="P572" s="185"/>
      <c r="Q572" s="185"/>
      <c r="R572" s="185"/>
      <c r="S572" s="185"/>
      <c r="T572" s="185"/>
      <c r="U572" s="185"/>
      <c r="V572" s="185"/>
      <c r="W572" s="185"/>
      <c r="X572" s="185"/>
      <c r="Y572" s="185"/>
      <c r="Z572" s="185"/>
      <c r="AA572" s="185"/>
      <c r="AB572" s="185" t="str">
        <f>IFERROR(__xludf.DUMMYFUNCTION("LET(width,COLUMN($AB$1)-COLUMN($G$1),r,INDEX($G572:$AAB572,1,SEQUENCE(1,width)),flat,TOCOL(r,1),bad,FILTER(flat,COUNTIF('リスト'!$E:$E,flat)=0),IFERROR(TEXTJOIN(""\n"",TRUE,bad),""""))"),"")</f>
        <v/>
      </c>
      <c r="AC572" s="185"/>
      <c r="AD572" s="185"/>
    </row>
    <row r="573">
      <c r="A573" s="185"/>
      <c r="B573" s="185"/>
      <c r="C573" s="185"/>
      <c r="D573" s="185"/>
      <c r="E573" s="203"/>
      <c r="F573" s="203"/>
      <c r="G573" s="185"/>
      <c r="H573" s="185"/>
      <c r="I573" s="185"/>
      <c r="J573" s="185"/>
      <c r="K573" s="185"/>
      <c r="L573" s="185"/>
      <c r="M573" s="185"/>
      <c r="N573" s="185"/>
      <c r="O573" s="185"/>
      <c r="P573" s="185"/>
      <c r="Q573" s="185"/>
      <c r="R573" s="185"/>
      <c r="S573" s="185"/>
      <c r="T573" s="185"/>
      <c r="U573" s="185"/>
      <c r="V573" s="185"/>
      <c r="W573" s="185"/>
      <c r="X573" s="185"/>
      <c r="Y573" s="185"/>
      <c r="Z573" s="185"/>
      <c r="AA573" s="185"/>
      <c r="AB573" s="185" t="str">
        <f>IFERROR(__xludf.DUMMYFUNCTION("LET(width,COLUMN($AB$1)-COLUMN($G$1),r,INDEX($G573:$AAB573,1,SEQUENCE(1,width)),flat,TOCOL(r,1),bad,FILTER(flat,COUNTIF('リスト'!$E:$E,flat)=0),IFERROR(TEXTJOIN(""\n"",TRUE,bad),""""))"),"")</f>
        <v/>
      </c>
      <c r="AC573" s="185"/>
      <c r="AD573" s="185"/>
    </row>
    <row r="574">
      <c r="A574" s="185"/>
      <c r="B574" s="185"/>
      <c r="C574" s="185"/>
      <c r="D574" s="185"/>
      <c r="E574" s="203"/>
      <c r="F574" s="203"/>
      <c r="G574" s="185"/>
      <c r="H574" s="185"/>
      <c r="I574" s="185"/>
      <c r="J574" s="185"/>
      <c r="K574" s="185"/>
      <c r="L574" s="185"/>
      <c r="M574" s="185"/>
      <c r="N574" s="185"/>
      <c r="O574" s="185"/>
      <c r="P574" s="185"/>
      <c r="Q574" s="185"/>
      <c r="R574" s="185"/>
      <c r="S574" s="185"/>
      <c r="T574" s="185"/>
      <c r="U574" s="185"/>
      <c r="V574" s="185"/>
      <c r="W574" s="185"/>
      <c r="X574" s="185"/>
      <c r="Y574" s="185"/>
      <c r="Z574" s="185"/>
      <c r="AA574" s="185"/>
      <c r="AB574" s="185" t="str">
        <f>IFERROR(__xludf.DUMMYFUNCTION("LET(width,COLUMN($AB$1)-COLUMN($G$1),r,INDEX($G574:$AAB574,1,SEQUENCE(1,width)),flat,TOCOL(r,1),bad,FILTER(flat,COUNTIF('リスト'!$E:$E,flat)=0),IFERROR(TEXTJOIN(""\n"",TRUE,bad),""""))"),"")</f>
        <v/>
      </c>
      <c r="AC574" s="185"/>
      <c r="AD574" s="185"/>
    </row>
    <row r="575">
      <c r="A575" s="185"/>
      <c r="B575" s="185"/>
      <c r="C575" s="185"/>
      <c r="D575" s="185"/>
      <c r="E575" s="203"/>
      <c r="F575" s="203"/>
      <c r="G575" s="185"/>
      <c r="H575" s="185"/>
      <c r="I575" s="185"/>
      <c r="J575" s="185"/>
      <c r="K575" s="185"/>
      <c r="L575" s="185"/>
      <c r="M575" s="185"/>
      <c r="N575" s="185"/>
      <c r="O575" s="185"/>
      <c r="P575" s="185"/>
      <c r="Q575" s="185"/>
      <c r="R575" s="185"/>
      <c r="S575" s="185"/>
      <c r="T575" s="185"/>
      <c r="U575" s="185"/>
      <c r="V575" s="185"/>
      <c r="W575" s="185"/>
      <c r="X575" s="185"/>
      <c r="Y575" s="185"/>
      <c r="Z575" s="185"/>
      <c r="AA575" s="185"/>
      <c r="AB575" s="185" t="str">
        <f>IFERROR(__xludf.DUMMYFUNCTION("LET(width,COLUMN($AB$1)-COLUMN($G$1),r,INDEX($G575:$AAB575,1,SEQUENCE(1,width)),flat,TOCOL(r,1),bad,FILTER(flat,COUNTIF('リスト'!$E:$E,flat)=0),IFERROR(TEXTJOIN(""\n"",TRUE,bad),""""))"),"")</f>
        <v/>
      </c>
      <c r="AC575" s="185"/>
      <c r="AD575" s="185"/>
    </row>
    <row r="576">
      <c r="A576" s="185"/>
      <c r="B576" s="185"/>
      <c r="C576" s="185"/>
      <c r="D576" s="185"/>
      <c r="E576" s="203"/>
      <c r="F576" s="203"/>
      <c r="G576" s="185"/>
      <c r="H576" s="185"/>
      <c r="I576" s="185"/>
      <c r="J576" s="185"/>
      <c r="K576" s="185"/>
      <c r="L576" s="185"/>
      <c r="M576" s="185"/>
      <c r="N576" s="185"/>
      <c r="O576" s="185"/>
      <c r="P576" s="185"/>
      <c r="Q576" s="185"/>
      <c r="R576" s="185"/>
      <c r="S576" s="185"/>
      <c r="T576" s="185"/>
      <c r="U576" s="185"/>
      <c r="V576" s="185"/>
      <c r="W576" s="185"/>
      <c r="X576" s="185"/>
      <c r="Y576" s="185"/>
      <c r="Z576" s="185"/>
      <c r="AA576" s="185"/>
      <c r="AB576" s="185" t="str">
        <f>IFERROR(__xludf.DUMMYFUNCTION("LET(width,COLUMN($AB$1)-COLUMN($G$1),r,INDEX($G576:$AAB576,1,SEQUENCE(1,width)),flat,TOCOL(r,1),bad,FILTER(flat,COUNTIF('リスト'!$E:$E,flat)=0),IFERROR(TEXTJOIN(""\n"",TRUE,bad),""""))"),"")</f>
        <v/>
      </c>
      <c r="AC576" s="185"/>
      <c r="AD576" s="185"/>
    </row>
    <row r="577">
      <c r="A577" s="185"/>
      <c r="B577" s="185"/>
      <c r="C577" s="185"/>
      <c r="D577" s="185"/>
      <c r="E577" s="203"/>
      <c r="F577" s="203"/>
      <c r="G577" s="185"/>
      <c r="H577" s="185"/>
      <c r="I577" s="185"/>
      <c r="J577" s="185"/>
      <c r="K577" s="185"/>
      <c r="L577" s="185"/>
      <c r="M577" s="185"/>
      <c r="N577" s="185"/>
      <c r="O577" s="185"/>
      <c r="P577" s="185"/>
      <c r="Q577" s="185"/>
      <c r="R577" s="185"/>
      <c r="S577" s="185"/>
      <c r="T577" s="185"/>
      <c r="U577" s="185"/>
      <c r="V577" s="185"/>
      <c r="W577" s="185"/>
      <c r="X577" s="185"/>
      <c r="Y577" s="185"/>
      <c r="Z577" s="185"/>
      <c r="AA577" s="185"/>
      <c r="AB577" s="185" t="str">
        <f>IFERROR(__xludf.DUMMYFUNCTION("LET(width,COLUMN($AB$1)-COLUMN($G$1),r,INDEX($G577:$AAB577,1,SEQUENCE(1,width)),flat,TOCOL(r,1),bad,FILTER(flat,COUNTIF('リスト'!$E:$E,flat)=0),IFERROR(TEXTJOIN(""\n"",TRUE,bad),""""))"),"")</f>
        <v/>
      </c>
      <c r="AC577" s="185"/>
      <c r="AD577" s="185"/>
    </row>
    <row r="578">
      <c r="A578" s="185"/>
      <c r="B578" s="185"/>
      <c r="C578" s="185"/>
      <c r="D578" s="185"/>
      <c r="E578" s="203"/>
      <c r="F578" s="203"/>
      <c r="G578" s="185"/>
      <c r="H578" s="185"/>
      <c r="I578" s="185"/>
      <c r="J578" s="185"/>
      <c r="K578" s="185"/>
      <c r="L578" s="185"/>
      <c r="M578" s="185"/>
      <c r="N578" s="185"/>
      <c r="O578" s="185"/>
      <c r="P578" s="185"/>
      <c r="Q578" s="185"/>
      <c r="R578" s="185"/>
      <c r="S578" s="185"/>
      <c r="T578" s="185"/>
      <c r="U578" s="185"/>
      <c r="V578" s="185"/>
      <c r="W578" s="185"/>
      <c r="X578" s="185"/>
      <c r="Y578" s="185"/>
      <c r="Z578" s="185"/>
      <c r="AA578" s="185"/>
      <c r="AB578" s="185" t="str">
        <f>IFERROR(__xludf.DUMMYFUNCTION("LET(width,COLUMN($AB$1)-COLUMN($G$1),r,INDEX($G578:$AAB578,1,SEQUENCE(1,width)),flat,TOCOL(r,1),bad,FILTER(flat,COUNTIF('リスト'!$E:$E,flat)=0),IFERROR(TEXTJOIN(""\n"",TRUE,bad),""""))"),"")</f>
        <v/>
      </c>
      <c r="AC578" s="185"/>
      <c r="AD578" s="185"/>
    </row>
    <row r="579">
      <c r="A579" s="185"/>
      <c r="B579" s="185"/>
      <c r="C579" s="185"/>
      <c r="D579" s="185"/>
      <c r="E579" s="203"/>
      <c r="F579" s="203"/>
      <c r="G579" s="185"/>
      <c r="H579" s="185"/>
      <c r="I579" s="185"/>
      <c r="J579" s="185"/>
      <c r="K579" s="185"/>
      <c r="L579" s="185"/>
      <c r="M579" s="185"/>
      <c r="N579" s="185"/>
      <c r="O579" s="185"/>
      <c r="P579" s="185"/>
      <c r="Q579" s="185"/>
      <c r="R579" s="185"/>
      <c r="S579" s="185"/>
      <c r="T579" s="185"/>
      <c r="U579" s="185"/>
      <c r="V579" s="185"/>
      <c r="W579" s="185"/>
      <c r="X579" s="185"/>
      <c r="Y579" s="185"/>
      <c r="Z579" s="185"/>
      <c r="AA579" s="185"/>
      <c r="AB579" s="185" t="str">
        <f>IFERROR(__xludf.DUMMYFUNCTION("LET(width,COLUMN($AB$1)-COLUMN($G$1),r,INDEX($G579:$AAB579,1,SEQUENCE(1,width)),flat,TOCOL(r,1),bad,FILTER(flat,COUNTIF('リスト'!$E:$E,flat)=0),IFERROR(TEXTJOIN(""\n"",TRUE,bad),""""))"),"")</f>
        <v/>
      </c>
      <c r="AC579" s="185"/>
      <c r="AD579" s="185"/>
    </row>
    <row r="580">
      <c r="A580" s="185"/>
      <c r="B580" s="185"/>
      <c r="C580" s="185"/>
      <c r="D580" s="185"/>
      <c r="E580" s="203"/>
      <c r="F580" s="203"/>
      <c r="G580" s="185"/>
      <c r="H580" s="185"/>
      <c r="I580" s="185"/>
      <c r="J580" s="185"/>
      <c r="K580" s="185"/>
      <c r="L580" s="185"/>
      <c r="M580" s="185"/>
      <c r="N580" s="185"/>
      <c r="O580" s="185"/>
      <c r="P580" s="185"/>
      <c r="Q580" s="185"/>
      <c r="R580" s="185"/>
      <c r="S580" s="185"/>
      <c r="T580" s="185"/>
      <c r="U580" s="185"/>
      <c r="V580" s="185"/>
      <c r="W580" s="185"/>
      <c r="X580" s="185"/>
      <c r="Y580" s="185"/>
      <c r="Z580" s="185"/>
      <c r="AA580" s="185"/>
      <c r="AB580" s="185" t="str">
        <f>IFERROR(__xludf.DUMMYFUNCTION("LET(width,COLUMN($AB$1)-COLUMN($G$1),r,INDEX($G580:$AAB580,1,SEQUENCE(1,width)),flat,TOCOL(r,1),bad,FILTER(flat,COUNTIF('リスト'!$E:$E,flat)=0),IFERROR(TEXTJOIN(""\n"",TRUE,bad),""""))"),"")</f>
        <v/>
      </c>
      <c r="AC580" s="185"/>
      <c r="AD580" s="185"/>
    </row>
    <row r="581">
      <c r="A581" s="185"/>
      <c r="B581" s="185"/>
      <c r="C581" s="185"/>
      <c r="D581" s="185"/>
      <c r="E581" s="203"/>
      <c r="F581" s="203"/>
      <c r="G581" s="185"/>
      <c r="H581" s="185"/>
      <c r="I581" s="185"/>
      <c r="J581" s="185"/>
      <c r="K581" s="185"/>
      <c r="L581" s="185"/>
      <c r="M581" s="185"/>
      <c r="N581" s="185"/>
      <c r="O581" s="185"/>
      <c r="P581" s="185"/>
      <c r="Q581" s="185"/>
      <c r="R581" s="185"/>
      <c r="S581" s="185"/>
      <c r="T581" s="185"/>
      <c r="U581" s="185"/>
      <c r="V581" s="185"/>
      <c r="W581" s="185"/>
      <c r="X581" s="185"/>
      <c r="Y581" s="185"/>
      <c r="Z581" s="185"/>
      <c r="AA581" s="185"/>
      <c r="AB581" s="185" t="str">
        <f>IFERROR(__xludf.DUMMYFUNCTION("LET(width,COLUMN($AB$1)-COLUMN($G$1),r,INDEX($G581:$AAB581,1,SEQUENCE(1,width)),flat,TOCOL(r,1),bad,FILTER(flat,COUNTIF('リスト'!$E:$E,flat)=0),IFERROR(TEXTJOIN(""\n"",TRUE,bad),""""))"),"")</f>
        <v/>
      </c>
      <c r="AC581" s="185"/>
      <c r="AD581" s="185"/>
    </row>
    <row r="582">
      <c r="A582" s="185"/>
      <c r="B582" s="185"/>
      <c r="C582" s="185"/>
      <c r="D582" s="185"/>
      <c r="E582" s="203"/>
      <c r="F582" s="203"/>
      <c r="G582" s="185"/>
      <c r="H582" s="185"/>
      <c r="I582" s="185"/>
      <c r="J582" s="185"/>
      <c r="K582" s="185"/>
      <c r="L582" s="185"/>
      <c r="M582" s="185"/>
      <c r="N582" s="185"/>
      <c r="O582" s="185"/>
      <c r="P582" s="185"/>
      <c r="Q582" s="185"/>
      <c r="R582" s="185"/>
      <c r="S582" s="185"/>
      <c r="T582" s="185"/>
      <c r="U582" s="185"/>
      <c r="V582" s="185"/>
      <c r="W582" s="185"/>
      <c r="X582" s="185"/>
      <c r="Y582" s="185"/>
      <c r="Z582" s="185"/>
      <c r="AA582" s="185"/>
      <c r="AB582" s="185" t="str">
        <f>IFERROR(__xludf.DUMMYFUNCTION("LET(width,COLUMN($AB$1)-COLUMN($G$1),r,INDEX($G582:$AAB582,1,SEQUENCE(1,width)),flat,TOCOL(r,1),bad,FILTER(flat,COUNTIF('リスト'!$E:$E,flat)=0),IFERROR(TEXTJOIN(""\n"",TRUE,bad),""""))"),"")</f>
        <v/>
      </c>
      <c r="AC582" s="185"/>
      <c r="AD582" s="185"/>
    </row>
    <row r="583">
      <c r="A583" s="185"/>
      <c r="B583" s="185"/>
      <c r="C583" s="185"/>
      <c r="D583" s="185"/>
      <c r="E583" s="203"/>
      <c r="F583" s="203"/>
      <c r="G583" s="185"/>
      <c r="H583" s="185"/>
      <c r="I583" s="185"/>
      <c r="J583" s="185"/>
      <c r="K583" s="185"/>
      <c r="L583" s="185"/>
      <c r="M583" s="185"/>
      <c r="N583" s="185"/>
      <c r="O583" s="185"/>
      <c r="P583" s="185"/>
      <c r="Q583" s="185"/>
      <c r="R583" s="185"/>
      <c r="S583" s="185"/>
      <c r="T583" s="185"/>
      <c r="U583" s="185"/>
      <c r="V583" s="185"/>
      <c r="W583" s="185"/>
      <c r="X583" s="185"/>
      <c r="Y583" s="185"/>
      <c r="Z583" s="185"/>
      <c r="AA583" s="185"/>
      <c r="AB583" s="185" t="str">
        <f>IFERROR(__xludf.DUMMYFUNCTION("LET(width,COLUMN($AB$1)-COLUMN($G$1),r,INDEX($G583:$AAB583,1,SEQUENCE(1,width)),flat,TOCOL(r,1),bad,FILTER(flat,COUNTIF('リスト'!$E:$E,flat)=0),IFERROR(TEXTJOIN(""\n"",TRUE,bad),""""))"),"")</f>
        <v/>
      </c>
      <c r="AC583" s="185"/>
      <c r="AD583" s="185"/>
    </row>
    <row r="584">
      <c r="A584" s="185"/>
      <c r="B584" s="185"/>
      <c r="C584" s="185"/>
      <c r="D584" s="185"/>
      <c r="E584" s="203"/>
      <c r="F584" s="203"/>
      <c r="G584" s="185"/>
      <c r="H584" s="185"/>
      <c r="I584" s="185"/>
      <c r="J584" s="185"/>
      <c r="K584" s="185"/>
      <c r="L584" s="185"/>
      <c r="M584" s="185"/>
      <c r="N584" s="185"/>
      <c r="O584" s="185"/>
      <c r="P584" s="185"/>
      <c r="Q584" s="185"/>
      <c r="R584" s="185"/>
      <c r="S584" s="185"/>
      <c r="T584" s="185"/>
      <c r="U584" s="185"/>
      <c r="V584" s="185"/>
      <c r="W584" s="185"/>
      <c r="X584" s="185"/>
      <c r="Y584" s="185"/>
      <c r="Z584" s="185"/>
      <c r="AA584" s="185"/>
      <c r="AB584" s="185" t="str">
        <f>IFERROR(__xludf.DUMMYFUNCTION("LET(width,COLUMN($AB$1)-COLUMN($G$1),r,INDEX($G584:$AAB584,1,SEQUENCE(1,width)),flat,TOCOL(r,1),bad,FILTER(flat,COUNTIF('リスト'!$E:$E,flat)=0),IFERROR(TEXTJOIN(""\n"",TRUE,bad),""""))"),"")</f>
        <v/>
      </c>
      <c r="AC584" s="185"/>
      <c r="AD584" s="185"/>
    </row>
    <row r="585">
      <c r="A585" s="185"/>
      <c r="B585" s="185"/>
      <c r="C585" s="185"/>
      <c r="D585" s="185"/>
      <c r="E585" s="203"/>
      <c r="F585" s="203"/>
      <c r="G585" s="185"/>
      <c r="H585" s="185"/>
      <c r="I585" s="185"/>
      <c r="J585" s="185"/>
      <c r="K585" s="185"/>
      <c r="L585" s="185"/>
      <c r="M585" s="185"/>
      <c r="N585" s="185"/>
      <c r="O585" s="185"/>
      <c r="P585" s="185"/>
      <c r="Q585" s="185"/>
      <c r="R585" s="185"/>
      <c r="S585" s="185"/>
      <c r="T585" s="185"/>
      <c r="U585" s="185"/>
      <c r="V585" s="185"/>
      <c r="W585" s="185"/>
      <c r="X585" s="185"/>
      <c r="Y585" s="185"/>
      <c r="Z585" s="185"/>
      <c r="AA585" s="185"/>
      <c r="AB585" s="185" t="str">
        <f>IFERROR(__xludf.DUMMYFUNCTION("LET(width,COLUMN($AB$1)-COLUMN($G$1),r,INDEX($G585:$AAB585,1,SEQUENCE(1,width)),flat,TOCOL(r,1),bad,FILTER(flat,COUNTIF('リスト'!$E:$E,flat)=0),IFERROR(TEXTJOIN(""\n"",TRUE,bad),""""))"),"")</f>
        <v/>
      </c>
      <c r="AC585" s="185"/>
      <c r="AD585" s="185"/>
    </row>
    <row r="586">
      <c r="A586" s="185"/>
      <c r="B586" s="185"/>
      <c r="C586" s="185"/>
      <c r="D586" s="185"/>
      <c r="E586" s="203"/>
      <c r="F586" s="203"/>
      <c r="G586" s="185"/>
      <c r="H586" s="185"/>
      <c r="I586" s="185"/>
      <c r="J586" s="185"/>
      <c r="K586" s="185"/>
      <c r="L586" s="185"/>
      <c r="M586" s="185"/>
      <c r="N586" s="185"/>
      <c r="O586" s="185"/>
      <c r="P586" s="185"/>
      <c r="Q586" s="185"/>
      <c r="R586" s="185"/>
      <c r="S586" s="185"/>
      <c r="T586" s="185"/>
      <c r="U586" s="185"/>
      <c r="V586" s="185"/>
      <c r="W586" s="185"/>
      <c r="X586" s="185"/>
      <c r="Y586" s="185"/>
      <c r="Z586" s="185"/>
      <c r="AA586" s="185"/>
      <c r="AB586" s="185" t="str">
        <f>IFERROR(__xludf.DUMMYFUNCTION("LET(width,COLUMN($AB$1)-COLUMN($G$1),r,INDEX($G586:$AAB586,1,SEQUENCE(1,width)),flat,TOCOL(r,1),bad,FILTER(flat,COUNTIF('リスト'!$E:$E,flat)=0),IFERROR(TEXTJOIN(""\n"",TRUE,bad),""""))"),"")</f>
        <v/>
      </c>
      <c r="AC586" s="185"/>
      <c r="AD586" s="185"/>
    </row>
    <row r="587">
      <c r="A587" s="185"/>
      <c r="B587" s="185"/>
      <c r="C587" s="185"/>
      <c r="D587" s="185"/>
      <c r="E587" s="203"/>
      <c r="F587" s="203"/>
      <c r="G587" s="185"/>
      <c r="H587" s="185"/>
      <c r="I587" s="185"/>
      <c r="J587" s="185"/>
      <c r="K587" s="185"/>
      <c r="L587" s="185"/>
      <c r="M587" s="185"/>
      <c r="N587" s="185"/>
      <c r="O587" s="185"/>
      <c r="P587" s="185"/>
      <c r="Q587" s="185"/>
      <c r="R587" s="185"/>
      <c r="S587" s="185"/>
      <c r="T587" s="185"/>
      <c r="U587" s="185"/>
      <c r="V587" s="185"/>
      <c r="W587" s="185"/>
      <c r="X587" s="185"/>
      <c r="Y587" s="185"/>
      <c r="Z587" s="185"/>
      <c r="AA587" s="185"/>
      <c r="AB587" s="185" t="str">
        <f>IFERROR(__xludf.DUMMYFUNCTION("LET(width,COLUMN($AB$1)-COLUMN($G$1),r,INDEX($G587:$AAB587,1,SEQUENCE(1,width)),flat,TOCOL(r,1),bad,FILTER(flat,COUNTIF('リスト'!$E:$E,flat)=0),IFERROR(TEXTJOIN(""\n"",TRUE,bad),""""))"),"")</f>
        <v/>
      </c>
      <c r="AC587" s="185"/>
      <c r="AD587" s="185"/>
    </row>
    <row r="588">
      <c r="A588" s="185"/>
      <c r="B588" s="185"/>
      <c r="C588" s="185"/>
      <c r="D588" s="185"/>
      <c r="E588" s="203"/>
      <c r="F588" s="203"/>
      <c r="G588" s="185"/>
      <c r="H588" s="185"/>
      <c r="I588" s="185"/>
      <c r="J588" s="185"/>
      <c r="K588" s="185"/>
      <c r="L588" s="185"/>
      <c r="M588" s="185"/>
      <c r="N588" s="185"/>
      <c r="O588" s="185"/>
      <c r="P588" s="185"/>
      <c r="Q588" s="185"/>
      <c r="R588" s="185"/>
      <c r="S588" s="185"/>
      <c r="T588" s="185"/>
      <c r="U588" s="185"/>
      <c r="V588" s="185"/>
      <c r="W588" s="185"/>
      <c r="X588" s="185"/>
      <c r="Y588" s="185"/>
      <c r="Z588" s="185"/>
      <c r="AA588" s="185"/>
      <c r="AB588" s="185" t="str">
        <f>IFERROR(__xludf.DUMMYFUNCTION("LET(width,COLUMN($AB$1)-COLUMN($G$1),r,INDEX($G588:$AAB588,1,SEQUENCE(1,width)),flat,TOCOL(r,1),bad,FILTER(flat,COUNTIF('リスト'!$E:$E,flat)=0),IFERROR(TEXTJOIN(""\n"",TRUE,bad),""""))"),"")</f>
        <v/>
      </c>
      <c r="AC588" s="185"/>
      <c r="AD588" s="185"/>
    </row>
    <row r="589">
      <c r="A589" s="185"/>
      <c r="B589" s="185"/>
      <c r="C589" s="185"/>
      <c r="D589" s="185"/>
      <c r="E589" s="203"/>
      <c r="F589" s="203"/>
      <c r="G589" s="185"/>
      <c r="H589" s="185"/>
      <c r="I589" s="185"/>
      <c r="J589" s="185"/>
      <c r="K589" s="185"/>
      <c r="L589" s="185"/>
      <c r="M589" s="185"/>
      <c r="N589" s="185"/>
      <c r="O589" s="185"/>
      <c r="P589" s="185"/>
      <c r="Q589" s="185"/>
      <c r="R589" s="185"/>
      <c r="S589" s="185"/>
      <c r="T589" s="185"/>
      <c r="U589" s="185"/>
      <c r="V589" s="185"/>
      <c r="W589" s="185"/>
      <c r="X589" s="185"/>
      <c r="Y589" s="185"/>
      <c r="Z589" s="185"/>
      <c r="AA589" s="185"/>
      <c r="AB589" s="185" t="str">
        <f>IFERROR(__xludf.DUMMYFUNCTION("LET(width,COLUMN($AB$1)-COLUMN($G$1),r,INDEX($G589:$AAB589,1,SEQUENCE(1,width)),flat,TOCOL(r,1),bad,FILTER(flat,COUNTIF('リスト'!$E:$E,flat)=0),IFERROR(TEXTJOIN(""\n"",TRUE,bad),""""))"),"")</f>
        <v/>
      </c>
      <c r="AC589" s="185"/>
      <c r="AD589" s="185"/>
    </row>
    <row r="590">
      <c r="A590" s="185"/>
      <c r="B590" s="185"/>
      <c r="C590" s="185"/>
      <c r="D590" s="185"/>
      <c r="E590" s="203"/>
      <c r="F590" s="203"/>
      <c r="G590" s="185"/>
      <c r="H590" s="185"/>
      <c r="I590" s="185"/>
      <c r="J590" s="185"/>
      <c r="K590" s="185"/>
      <c r="L590" s="185"/>
      <c r="M590" s="185"/>
      <c r="N590" s="185"/>
      <c r="O590" s="185"/>
      <c r="P590" s="185"/>
      <c r="Q590" s="185"/>
      <c r="R590" s="185"/>
      <c r="S590" s="185"/>
      <c r="T590" s="185"/>
      <c r="U590" s="185"/>
      <c r="V590" s="185"/>
      <c r="W590" s="185"/>
      <c r="X590" s="185"/>
      <c r="Y590" s="185"/>
      <c r="Z590" s="185"/>
      <c r="AA590" s="185"/>
      <c r="AB590" s="185" t="str">
        <f>IFERROR(__xludf.DUMMYFUNCTION("LET(width,COLUMN($AB$1)-COLUMN($G$1),r,INDEX($G590:$AAB590,1,SEQUENCE(1,width)),flat,TOCOL(r,1),bad,FILTER(flat,COUNTIF('リスト'!$E:$E,flat)=0),IFERROR(TEXTJOIN(""\n"",TRUE,bad),""""))"),"")</f>
        <v/>
      </c>
      <c r="AC590" s="185"/>
      <c r="AD590" s="185"/>
    </row>
    <row r="591">
      <c r="A591" s="185"/>
      <c r="B591" s="185"/>
      <c r="C591" s="185"/>
      <c r="D591" s="185"/>
      <c r="E591" s="203"/>
      <c r="F591" s="203"/>
      <c r="G591" s="185"/>
      <c r="H591" s="185"/>
      <c r="I591" s="185"/>
      <c r="J591" s="185"/>
      <c r="K591" s="185"/>
      <c r="L591" s="185"/>
      <c r="M591" s="185"/>
      <c r="N591" s="185"/>
      <c r="O591" s="185"/>
      <c r="P591" s="185"/>
      <c r="Q591" s="185"/>
      <c r="R591" s="185"/>
      <c r="S591" s="185"/>
      <c r="T591" s="185"/>
      <c r="U591" s="185"/>
      <c r="V591" s="185"/>
      <c r="W591" s="185"/>
      <c r="X591" s="185"/>
      <c r="Y591" s="185"/>
      <c r="Z591" s="185"/>
      <c r="AA591" s="185"/>
      <c r="AB591" s="185" t="str">
        <f>IFERROR(__xludf.DUMMYFUNCTION("LET(width,COLUMN($AB$1)-COLUMN($G$1),r,INDEX($G591:$AAB591,1,SEQUENCE(1,width)),flat,TOCOL(r,1),bad,FILTER(flat,COUNTIF('リスト'!$E:$E,flat)=0),IFERROR(TEXTJOIN(""\n"",TRUE,bad),""""))"),"")</f>
        <v/>
      </c>
      <c r="AC591" s="185"/>
      <c r="AD591" s="185"/>
    </row>
    <row r="592">
      <c r="A592" s="185"/>
      <c r="B592" s="185"/>
      <c r="C592" s="185"/>
      <c r="D592" s="185"/>
      <c r="E592" s="203"/>
      <c r="F592" s="203"/>
      <c r="G592" s="185"/>
      <c r="H592" s="185"/>
      <c r="I592" s="185"/>
      <c r="J592" s="185"/>
      <c r="K592" s="185"/>
      <c r="L592" s="185"/>
      <c r="M592" s="185"/>
      <c r="N592" s="185"/>
      <c r="O592" s="185"/>
      <c r="P592" s="185"/>
      <c r="Q592" s="185"/>
      <c r="R592" s="185"/>
      <c r="S592" s="185"/>
      <c r="T592" s="185"/>
      <c r="U592" s="185"/>
      <c r="V592" s="185"/>
      <c r="W592" s="185"/>
      <c r="X592" s="185"/>
      <c r="Y592" s="185"/>
      <c r="Z592" s="185"/>
      <c r="AA592" s="185"/>
      <c r="AB592" s="185" t="str">
        <f>IFERROR(__xludf.DUMMYFUNCTION("LET(width,COLUMN($AB$1)-COLUMN($G$1),r,INDEX($G592:$AAB592,1,SEQUENCE(1,width)),flat,TOCOL(r,1),bad,FILTER(flat,COUNTIF('リスト'!$E:$E,flat)=0),IFERROR(TEXTJOIN(""\n"",TRUE,bad),""""))"),"")</f>
        <v/>
      </c>
      <c r="AC592" s="185"/>
      <c r="AD592" s="185"/>
    </row>
    <row r="593">
      <c r="A593" s="185"/>
      <c r="B593" s="185"/>
      <c r="C593" s="185"/>
      <c r="D593" s="185"/>
      <c r="E593" s="203"/>
      <c r="F593" s="203"/>
      <c r="G593" s="185"/>
      <c r="H593" s="185"/>
      <c r="I593" s="185"/>
      <c r="J593" s="185"/>
      <c r="K593" s="185"/>
      <c r="L593" s="185"/>
      <c r="M593" s="185"/>
      <c r="N593" s="185"/>
      <c r="O593" s="185"/>
      <c r="P593" s="185"/>
      <c r="Q593" s="185"/>
      <c r="R593" s="185"/>
      <c r="S593" s="185"/>
      <c r="T593" s="185"/>
      <c r="U593" s="185"/>
      <c r="V593" s="185"/>
      <c r="W593" s="185"/>
      <c r="X593" s="185"/>
      <c r="Y593" s="185"/>
      <c r="Z593" s="185"/>
      <c r="AA593" s="185"/>
      <c r="AB593" s="185" t="str">
        <f>IFERROR(__xludf.DUMMYFUNCTION("LET(width,COLUMN($AB$1)-COLUMN($G$1),r,INDEX($G593:$AAB593,1,SEQUENCE(1,width)),flat,TOCOL(r,1),bad,FILTER(flat,COUNTIF('リスト'!$E:$E,flat)=0),IFERROR(TEXTJOIN(""\n"",TRUE,bad),""""))"),"")</f>
        <v/>
      </c>
      <c r="AC593" s="185"/>
      <c r="AD593" s="185"/>
    </row>
    <row r="594">
      <c r="A594" s="185"/>
      <c r="B594" s="185"/>
      <c r="C594" s="185"/>
      <c r="D594" s="185"/>
      <c r="E594" s="203"/>
      <c r="F594" s="203"/>
      <c r="G594" s="185"/>
      <c r="H594" s="185"/>
      <c r="I594" s="185"/>
      <c r="J594" s="185"/>
      <c r="K594" s="185"/>
      <c r="L594" s="185"/>
      <c r="M594" s="185"/>
      <c r="N594" s="185"/>
      <c r="O594" s="185"/>
      <c r="P594" s="185"/>
      <c r="Q594" s="185"/>
      <c r="R594" s="185"/>
      <c r="S594" s="185"/>
      <c r="T594" s="185"/>
      <c r="U594" s="185"/>
      <c r="V594" s="185"/>
      <c r="W594" s="185"/>
      <c r="X594" s="185"/>
      <c r="Y594" s="185"/>
      <c r="Z594" s="185"/>
      <c r="AA594" s="185"/>
      <c r="AB594" s="185" t="str">
        <f>IFERROR(__xludf.DUMMYFUNCTION("LET(width,COLUMN($AB$1)-COLUMN($G$1),r,INDEX($G594:$AAB594,1,SEQUENCE(1,width)),flat,TOCOL(r,1),bad,FILTER(flat,COUNTIF('リスト'!$E:$E,flat)=0),IFERROR(TEXTJOIN(""\n"",TRUE,bad),""""))"),"")</f>
        <v/>
      </c>
      <c r="AC594" s="185"/>
      <c r="AD594" s="185"/>
    </row>
    <row r="595">
      <c r="A595" s="185"/>
      <c r="B595" s="185"/>
      <c r="C595" s="185"/>
      <c r="D595" s="185"/>
      <c r="E595" s="203"/>
      <c r="F595" s="203"/>
      <c r="G595" s="185"/>
      <c r="H595" s="185"/>
      <c r="I595" s="185"/>
      <c r="J595" s="185"/>
      <c r="K595" s="185"/>
      <c r="L595" s="185"/>
      <c r="M595" s="185"/>
      <c r="N595" s="185"/>
      <c r="O595" s="185"/>
      <c r="P595" s="185"/>
      <c r="Q595" s="185"/>
      <c r="R595" s="185"/>
      <c r="S595" s="185"/>
      <c r="T595" s="185"/>
      <c r="U595" s="185"/>
      <c r="V595" s="185"/>
      <c r="W595" s="185"/>
      <c r="X595" s="185"/>
      <c r="Y595" s="185"/>
      <c r="Z595" s="185"/>
      <c r="AA595" s="185"/>
      <c r="AB595" s="185" t="str">
        <f>IFERROR(__xludf.DUMMYFUNCTION("LET(width,COLUMN($AB$1)-COLUMN($G$1),r,INDEX($G595:$AAB595,1,SEQUENCE(1,width)),flat,TOCOL(r,1),bad,FILTER(flat,COUNTIF('リスト'!$E:$E,flat)=0),IFERROR(TEXTJOIN(""\n"",TRUE,bad),""""))"),"")</f>
        <v/>
      </c>
      <c r="AC595" s="185"/>
      <c r="AD595" s="185"/>
    </row>
    <row r="596">
      <c r="A596" s="185"/>
      <c r="B596" s="185"/>
      <c r="C596" s="185"/>
      <c r="D596" s="185"/>
      <c r="E596" s="203"/>
      <c r="F596" s="203"/>
      <c r="G596" s="185"/>
      <c r="H596" s="185"/>
      <c r="I596" s="185"/>
      <c r="J596" s="185"/>
      <c r="K596" s="185"/>
      <c r="L596" s="185"/>
      <c r="M596" s="185"/>
      <c r="N596" s="185"/>
      <c r="O596" s="185"/>
      <c r="P596" s="185"/>
      <c r="Q596" s="185"/>
      <c r="R596" s="185"/>
      <c r="S596" s="185"/>
      <c r="T596" s="185"/>
      <c r="U596" s="185"/>
      <c r="V596" s="185"/>
      <c r="W596" s="185"/>
      <c r="X596" s="185"/>
      <c r="Y596" s="185"/>
      <c r="Z596" s="185"/>
      <c r="AA596" s="185"/>
      <c r="AB596" s="185" t="str">
        <f>IFERROR(__xludf.DUMMYFUNCTION("LET(width,COLUMN($AB$1)-COLUMN($G$1),r,INDEX($G596:$AAB596,1,SEQUENCE(1,width)),flat,TOCOL(r,1),bad,FILTER(flat,COUNTIF('リスト'!$E:$E,flat)=0),IFERROR(TEXTJOIN(""\n"",TRUE,bad),""""))"),"")</f>
        <v/>
      </c>
      <c r="AC596" s="185"/>
      <c r="AD596" s="185"/>
    </row>
    <row r="597">
      <c r="A597" s="185"/>
      <c r="B597" s="185"/>
      <c r="C597" s="185"/>
      <c r="D597" s="185"/>
      <c r="E597" s="203"/>
      <c r="F597" s="203"/>
      <c r="G597" s="185"/>
      <c r="H597" s="185"/>
      <c r="I597" s="185"/>
      <c r="J597" s="185"/>
      <c r="K597" s="185"/>
      <c r="L597" s="185"/>
      <c r="M597" s="185"/>
      <c r="N597" s="185"/>
      <c r="O597" s="185"/>
      <c r="P597" s="185"/>
      <c r="Q597" s="185"/>
      <c r="R597" s="185"/>
      <c r="S597" s="185"/>
      <c r="T597" s="185"/>
      <c r="U597" s="185"/>
      <c r="V597" s="185"/>
      <c r="W597" s="185"/>
      <c r="X597" s="185"/>
      <c r="Y597" s="185"/>
      <c r="Z597" s="185"/>
      <c r="AA597" s="185"/>
      <c r="AB597" s="185" t="str">
        <f>IFERROR(__xludf.DUMMYFUNCTION("LET(width,COLUMN($AB$1)-COLUMN($G$1),r,INDEX($G597:$AAB597,1,SEQUENCE(1,width)),flat,TOCOL(r,1),bad,FILTER(flat,COUNTIF('リスト'!$E:$E,flat)=0),IFERROR(TEXTJOIN(""\n"",TRUE,bad),""""))"),"")</f>
        <v/>
      </c>
      <c r="AC597" s="185"/>
      <c r="AD597" s="185"/>
    </row>
    <row r="598">
      <c r="A598" s="185"/>
      <c r="B598" s="185"/>
      <c r="C598" s="185"/>
      <c r="D598" s="185"/>
      <c r="E598" s="203"/>
      <c r="F598" s="203"/>
      <c r="G598" s="185"/>
      <c r="H598" s="185"/>
      <c r="I598" s="185"/>
      <c r="J598" s="185"/>
      <c r="K598" s="185"/>
      <c r="L598" s="185"/>
      <c r="M598" s="185"/>
      <c r="N598" s="185"/>
      <c r="O598" s="185"/>
      <c r="P598" s="185"/>
      <c r="Q598" s="185"/>
      <c r="R598" s="185"/>
      <c r="S598" s="185"/>
      <c r="T598" s="185"/>
      <c r="U598" s="185"/>
      <c r="V598" s="185"/>
      <c r="W598" s="185"/>
      <c r="X598" s="185"/>
      <c r="Y598" s="185"/>
      <c r="Z598" s="185"/>
      <c r="AA598" s="185"/>
      <c r="AB598" s="185" t="str">
        <f>IFERROR(__xludf.DUMMYFUNCTION("LET(width,COLUMN($AB$1)-COLUMN($G$1),r,INDEX($G598:$AAB598,1,SEQUENCE(1,width)),flat,TOCOL(r,1),bad,FILTER(flat,COUNTIF('リスト'!$E:$E,flat)=0),IFERROR(TEXTJOIN(""\n"",TRUE,bad),""""))"),"")</f>
        <v/>
      </c>
      <c r="AC598" s="185"/>
      <c r="AD598" s="185"/>
    </row>
    <row r="599">
      <c r="A599" s="185"/>
      <c r="B599" s="185"/>
      <c r="C599" s="185"/>
      <c r="D599" s="185"/>
      <c r="E599" s="203"/>
      <c r="F599" s="203"/>
      <c r="G599" s="185"/>
      <c r="H599" s="185"/>
      <c r="I599" s="185"/>
      <c r="J599" s="185"/>
      <c r="K599" s="185"/>
      <c r="L599" s="185"/>
      <c r="M599" s="185"/>
      <c r="N599" s="185"/>
      <c r="O599" s="185"/>
      <c r="P599" s="185"/>
      <c r="Q599" s="185"/>
      <c r="R599" s="185"/>
      <c r="S599" s="185"/>
      <c r="T599" s="185"/>
      <c r="U599" s="185"/>
      <c r="V599" s="185"/>
      <c r="W599" s="185"/>
      <c r="X599" s="185"/>
      <c r="Y599" s="185"/>
      <c r="Z599" s="185"/>
      <c r="AA599" s="185"/>
      <c r="AB599" s="185" t="str">
        <f>IFERROR(__xludf.DUMMYFUNCTION("LET(width,COLUMN($AB$1)-COLUMN($G$1),r,INDEX($G599:$AAB599,1,SEQUENCE(1,width)),flat,TOCOL(r,1),bad,FILTER(flat,COUNTIF('リスト'!$E:$E,flat)=0),IFERROR(TEXTJOIN(""\n"",TRUE,bad),""""))"),"")</f>
        <v/>
      </c>
      <c r="AC599" s="185"/>
      <c r="AD599" s="185"/>
    </row>
    <row r="600">
      <c r="A600" s="185"/>
      <c r="B600" s="185"/>
      <c r="C600" s="185"/>
      <c r="D600" s="185"/>
      <c r="E600" s="203"/>
      <c r="F600" s="203"/>
      <c r="G600" s="185"/>
      <c r="H600" s="185"/>
      <c r="I600" s="185"/>
      <c r="J600" s="185"/>
      <c r="K600" s="185"/>
      <c r="L600" s="185"/>
      <c r="M600" s="185"/>
      <c r="N600" s="185"/>
      <c r="O600" s="185"/>
      <c r="P600" s="185"/>
      <c r="Q600" s="185"/>
      <c r="R600" s="185"/>
      <c r="S600" s="185"/>
      <c r="T600" s="185"/>
      <c r="U600" s="185"/>
      <c r="V600" s="185"/>
      <c r="W600" s="185"/>
      <c r="X600" s="185"/>
      <c r="Y600" s="185"/>
      <c r="Z600" s="185"/>
      <c r="AA600" s="185"/>
      <c r="AB600" s="185" t="str">
        <f>IFERROR(__xludf.DUMMYFUNCTION("LET(width,COLUMN($AB$1)-COLUMN($G$1),r,INDEX($G600:$AAB600,1,SEQUENCE(1,width)),flat,TOCOL(r,1),bad,FILTER(flat,COUNTIF('リスト'!$E:$E,flat)=0),IFERROR(TEXTJOIN(""\n"",TRUE,bad),""""))"),"")</f>
        <v/>
      </c>
      <c r="AC600" s="185"/>
      <c r="AD600" s="185"/>
    </row>
    <row r="601">
      <c r="A601" s="185"/>
      <c r="B601" s="185"/>
      <c r="C601" s="185"/>
      <c r="D601" s="185"/>
      <c r="E601" s="203"/>
      <c r="F601" s="203"/>
      <c r="G601" s="185"/>
      <c r="H601" s="185"/>
      <c r="I601" s="185"/>
      <c r="J601" s="185"/>
      <c r="K601" s="185"/>
      <c r="L601" s="185"/>
      <c r="M601" s="185"/>
      <c r="N601" s="185"/>
      <c r="O601" s="185"/>
      <c r="P601" s="185"/>
      <c r="Q601" s="185"/>
      <c r="R601" s="185"/>
      <c r="S601" s="185"/>
      <c r="T601" s="185"/>
      <c r="U601" s="185"/>
      <c r="V601" s="185"/>
      <c r="W601" s="185"/>
      <c r="X601" s="185"/>
      <c r="Y601" s="185"/>
      <c r="Z601" s="185"/>
      <c r="AA601" s="185"/>
      <c r="AB601" s="185" t="str">
        <f>IFERROR(__xludf.DUMMYFUNCTION("LET(width,COLUMN($AB$1)-COLUMN($G$1),r,INDEX($G601:$AAB601,1,SEQUENCE(1,width)),flat,TOCOL(r,1),bad,FILTER(flat,COUNTIF('リスト'!$E:$E,flat)=0),IFERROR(TEXTJOIN(""\n"",TRUE,bad),""""))"),"")</f>
        <v/>
      </c>
      <c r="AC601" s="185"/>
      <c r="AD601" s="185"/>
    </row>
    <row r="602">
      <c r="A602" s="185"/>
      <c r="B602" s="185"/>
      <c r="C602" s="185"/>
      <c r="D602" s="185"/>
      <c r="E602" s="203"/>
      <c r="F602" s="203"/>
      <c r="G602" s="185"/>
      <c r="H602" s="185"/>
      <c r="I602" s="185"/>
      <c r="J602" s="185"/>
      <c r="K602" s="185"/>
      <c r="L602" s="185"/>
      <c r="M602" s="185"/>
      <c r="N602" s="185"/>
      <c r="O602" s="185"/>
      <c r="P602" s="185"/>
      <c r="Q602" s="185"/>
      <c r="R602" s="185"/>
      <c r="S602" s="185"/>
      <c r="T602" s="185"/>
      <c r="U602" s="185"/>
      <c r="V602" s="185"/>
      <c r="W602" s="185"/>
      <c r="X602" s="185"/>
      <c r="Y602" s="185"/>
      <c r="Z602" s="185"/>
      <c r="AA602" s="185"/>
      <c r="AB602" s="185" t="str">
        <f>IFERROR(__xludf.DUMMYFUNCTION("LET(width,COLUMN($AB$1)-COLUMN($G$1),r,INDEX($G602:$AAB602,1,SEQUENCE(1,width)),flat,TOCOL(r,1),bad,FILTER(flat,COUNTIF('リスト'!$E:$E,flat)=0),IFERROR(TEXTJOIN(""\n"",TRUE,bad),""""))"),"")</f>
        <v/>
      </c>
      <c r="AC602" s="185"/>
      <c r="AD602" s="185"/>
    </row>
    <row r="603">
      <c r="A603" s="185"/>
      <c r="B603" s="185"/>
      <c r="C603" s="185"/>
      <c r="D603" s="185"/>
      <c r="E603" s="203"/>
      <c r="F603" s="203"/>
      <c r="G603" s="185"/>
      <c r="H603" s="185"/>
      <c r="I603" s="185"/>
      <c r="J603" s="185"/>
      <c r="K603" s="185"/>
      <c r="L603" s="185"/>
      <c r="M603" s="185"/>
      <c r="N603" s="185"/>
      <c r="O603" s="185"/>
      <c r="P603" s="185"/>
      <c r="Q603" s="185"/>
      <c r="R603" s="185"/>
      <c r="S603" s="185"/>
      <c r="T603" s="185"/>
      <c r="U603" s="185"/>
      <c r="V603" s="185"/>
      <c r="W603" s="185"/>
      <c r="X603" s="185"/>
      <c r="Y603" s="185"/>
      <c r="Z603" s="185"/>
      <c r="AA603" s="185"/>
      <c r="AB603" s="185" t="str">
        <f>IFERROR(__xludf.DUMMYFUNCTION("LET(width,COLUMN($AB$1)-COLUMN($G$1),r,INDEX($G603:$AAB603,1,SEQUENCE(1,width)),flat,TOCOL(r,1),bad,FILTER(flat,COUNTIF('リスト'!$E:$E,flat)=0),IFERROR(TEXTJOIN(""\n"",TRUE,bad),""""))"),"")</f>
        <v/>
      </c>
      <c r="AC603" s="185"/>
      <c r="AD603" s="185"/>
    </row>
    <row r="604">
      <c r="A604" s="185"/>
      <c r="B604" s="185"/>
      <c r="C604" s="185"/>
      <c r="D604" s="185"/>
      <c r="E604" s="203"/>
      <c r="F604" s="203"/>
      <c r="G604" s="185"/>
      <c r="H604" s="185"/>
      <c r="I604" s="185"/>
      <c r="J604" s="185"/>
      <c r="K604" s="185"/>
      <c r="L604" s="185"/>
      <c r="M604" s="185"/>
      <c r="N604" s="185"/>
      <c r="O604" s="185"/>
      <c r="P604" s="185"/>
      <c r="Q604" s="185"/>
      <c r="R604" s="185"/>
      <c r="S604" s="185"/>
      <c r="T604" s="185"/>
      <c r="U604" s="185"/>
      <c r="V604" s="185"/>
      <c r="W604" s="185"/>
      <c r="X604" s="185"/>
      <c r="Y604" s="185"/>
      <c r="Z604" s="185"/>
      <c r="AA604" s="185"/>
      <c r="AB604" s="185" t="str">
        <f>IFERROR(__xludf.DUMMYFUNCTION("LET(width,COLUMN($AB$1)-COLUMN($G$1),r,INDEX($G604:$AAB604,1,SEQUENCE(1,width)),flat,TOCOL(r,1),bad,FILTER(flat,COUNTIF('リスト'!$E:$E,flat)=0),IFERROR(TEXTJOIN(""\n"",TRUE,bad),""""))"),"")</f>
        <v/>
      </c>
      <c r="AC604" s="185"/>
      <c r="AD604" s="185"/>
    </row>
    <row r="605">
      <c r="A605" s="185"/>
      <c r="B605" s="185"/>
      <c r="C605" s="185"/>
      <c r="D605" s="185"/>
      <c r="E605" s="203"/>
      <c r="F605" s="203"/>
      <c r="G605" s="185"/>
      <c r="H605" s="185"/>
      <c r="I605" s="185"/>
      <c r="J605" s="185"/>
      <c r="K605" s="185"/>
      <c r="L605" s="185"/>
      <c r="M605" s="185"/>
      <c r="N605" s="185"/>
      <c r="O605" s="185"/>
      <c r="P605" s="185"/>
      <c r="Q605" s="185"/>
      <c r="R605" s="185"/>
      <c r="S605" s="185"/>
      <c r="T605" s="185"/>
      <c r="U605" s="185"/>
      <c r="V605" s="185"/>
      <c r="W605" s="185"/>
      <c r="X605" s="185"/>
      <c r="Y605" s="185"/>
      <c r="Z605" s="185"/>
      <c r="AA605" s="185"/>
      <c r="AB605" s="185" t="str">
        <f>IFERROR(__xludf.DUMMYFUNCTION("LET(width,COLUMN($AB$1)-COLUMN($G$1),r,INDEX($G605:$AAB605,1,SEQUENCE(1,width)),flat,TOCOL(r,1),bad,FILTER(flat,COUNTIF('リスト'!$E:$E,flat)=0),IFERROR(TEXTJOIN(""\n"",TRUE,bad),""""))"),"")</f>
        <v/>
      </c>
      <c r="AC605" s="185"/>
      <c r="AD605" s="185"/>
    </row>
    <row r="606">
      <c r="A606" s="185"/>
      <c r="B606" s="185"/>
      <c r="C606" s="185"/>
      <c r="D606" s="185"/>
      <c r="E606" s="203"/>
      <c r="F606" s="203"/>
      <c r="G606" s="185"/>
      <c r="H606" s="185"/>
      <c r="I606" s="185"/>
      <c r="J606" s="185"/>
      <c r="K606" s="185"/>
      <c r="L606" s="185"/>
      <c r="M606" s="185"/>
      <c r="N606" s="185"/>
      <c r="O606" s="185"/>
      <c r="P606" s="185"/>
      <c r="Q606" s="185"/>
      <c r="R606" s="185"/>
      <c r="S606" s="185"/>
      <c r="T606" s="185"/>
      <c r="U606" s="185"/>
      <c r="V606" s="185"/>
      <c r="W606" s="185"/>
      <c r="X606" s="185"/>
      <c r="Y606" s="185"/>
      <c r="Z606" s="185"/>
      <c r="AA606" s="185"/>
      <c r="AB606" s="185" t="str">
        <f>IFERROR(__xludf.DUMMYFUNCTION("LET(width,COLUMN($AB$1)-COLUMN($G$1),r,INDEX($G606:$AAB606,1,SEQUENCE(1,width)),flat,TOCOL(r,1),bad,FILTER(flat,COUNTIF('リスト'!$E:$E,flat)=0),IFERROR(TEXTJOIN(""\n"",TRUE,bad),""""))"),"")</f>
        <v/>
      </c>
      <c r="AC606" s="185"/>
      <c r="AD606" s="185"/>
    </row>
    <row r="607">
      <c r="A607" s="185"/>
      <c r="B607" s="185"/>
      <c r="C607" s="185"/>
      <c r="D607" s="185"/>
      <c r="E607" s="203"/>
      <c r="F607" s="203"/>
      <c r="G607" s="185"/>
      <c r="H607" s="185"/>
      <c r="I607" s="185"/>
      <c r="J607" s="185"/>
      <c r="K607" s="185"/>
      <c r="L607" s="185"/>
      <c r="M607" s="185"/>
      <c r="N607" s="185"/>
      <c r="O607" s="185"/>
      <c r="P607" s="185"/>
      <c r="Q607" s="185"/>
      <c r="R607" s="185"/>
      <c r="S607" s="185"/>
      <c r="T607" s="185"/>
      <c r="U607" s="185"/>
      <c r="V607" s="185"/>
      <c r="W607" s="185"/>
      <c r="X607" s="185"/>
      <c r="Y607" s="185"/>
      <c r="Z607" s="185"/>
      <c r="AA607" s="185"/>
      <c r="AB607" s="185" t="str">
        <f>IFERROR(__xludf.DUMMYFUNCTION("LET(width,COLUMN($AB$1)-COLUMN($G$1),r,INDEX($G607:$AAB607,1,SEQUENCE(1,width)),flat,TOCOL(r,1),bad,FILTER(flat,COUNTIF('リスト'!$E:$E,flat)=0),IFERROR(TEXTJOIN(""\n"",TRUE,bad),""""))"),"")</f>
        <v/>
      </c>
      <c r="AC607" s="185"/>
      <c r="AD607" s="185"/>
    </row>
    <row r="608">
      <c r="A608" s="185"/>
      <c r="B608" s="185"/>
      <c r="C608" s="185"/>
      <c r="D608" s="185"/>
      <c r="E608" s="203"/>
      <c r="F608" s="203"/>
      <c r="G608" s="185"/>
      <c r="H608" s="185"/>
      <c r="I608" s="185"/>
      <c r="J608" s="185"/>
      <c r="K608" s="185"/>
      <c r="L608" s="185"/>
      <c r="M608" s="185"/>
      <c r="N608" s="185"/>
      <c r="O608" s="185"/>
      <c r="P608" s="185"/>
      <c r="Q608" s="185"/>
      <c r="R608" s="185"/>
      <c r="S608" s="185"/>
      <c r="T608" s="185"/>
      <c r="U608" s="185"/>
      <c r="V608" s="185"/>
      <c r="W608" s="185"/>
      <c r="X608" s="185"/>
      <c r="Y608" s="185"/>
      <c r="Z608" s="185"/>
      <c r="AA608" s="185"/>
      <c r="AB608" s="185" t="str">
        <f>IFERROR(__xludf.DUMMYFUNCTION("LET(width,COLUMN($AB$1)-COLUMN($G$1),r,INDEX($G608:$AAB608,1,SEQUENCE(1,width)),flat,TOCOL(r,1),bad,FILTER(flat,COUNTIF('リスト'!$E:$E,flat)=0),IFERROR(TEXTJOIN(""\n"",TRUE,bad),""""))"),"")</f>
        <v/>
      </c>
      <c r="AC608" s="185"/>
      <c r="AD608" s="185"/>
    </row>
    <row r="609">
      <c r="A609" s="185"/>
      <c r="B609" s="185"/>
      <c r="C609" s="185"/>
      <c r="D609" s="185"/>
      <c r="E609" s="203"/>
      <c r="F609" s="203"/>
      <c r="G609" s="185"/>
      <c r="H609" s="185"/>
      <c r="I609" s="185"/>
      <c r="J609" s="185"/>
      <c r="K609" s="185"/>
      <c r="L609" s="185"/>
      <c r="M609" s="185"/>
      <c r="N609" s="185"/>
      <c r="O609" s="185"/>
      <c r="P609" s="185"/>
      <c r="Q609" s="185"/>
      <c r="R609" s="185"/>
      <c r="S609" s="185"/>
      <c r="T609" s="185"/>
      <c r="U609" s="185"/>
      <c r="V609" s="185"/>
      <c r="W609" s="185"/>
      <c r="X609" s="185"/>
      <c r="Y609" s="185"/>
      <c r="Z609" s="185"/>
      <c r="AA609" s="185"/>
      <c r="AB609" s="185" t="str">
        <f>IFERROR(__xludf.DUMMYFUNCTION("LET(width,COLUMN($AB$1)-COLUMN($G$1),r,INDEX($G609:$AAB609,1,SEQUENCE(1,width)),flat,TOCOL(r,1),bad,FILTER(flat,COUNTIF('リスト'!$E:$E,flat)=0),IFERROR(TEXTJOIN(""\n"",TRUE,bad),""""))"),"")</f>
        <v/>
      </c>
      <c r="AC609" s="185"/>
      <c r="AD609" s="185"/>
    </row>
    <row r="610">
      <c r="A610" s="185"/>
      <c r="B610" s="185"/>
      <c r="C610" s="185"/>
      <c r="D610" s="185"/>
      <c r="E610" s="203"/>
      <c r="F610" s="203"/>
      <c r="G610" s="185"/>
      <c r="H610" s="185"/>
      <c r="I610" s="185"/>
      <c r="J610" s="185"/>
      <c r="K610" s="185"/>
      <c r="L610" s="185"/>
      <c r="M610" s="185"/>
      <c r="N610" s="185"/>
      <c r="O610" s="185"/>
      <c r="P610" s="185"/>
      <c r="Q610" s="185"/>
      <c r="R610" s="185"/>
      <c r="S610" s="185"/>
      <c r="T610" s="185"/>
      <c r="U610" s="185"/>
      <c r="V610" s="185"/>
      <c r="W610" s="185"/>
      <c r="X610" s="185"/>
      <c r="Y610" s="185"/>
      <c r="Z610" s="185"/>
      <c r="AA610" s="185"/>
      <c r="AB610" s="185" t="str">
        <f>IFERROR(__xludf.DUMMYFUNCTION("LET(width,COLUMN($AB$1)-COLUMN($G$1),r,INDEX($G610:$AAB610,1,SEQUENCE(1,width)),flat,TOCOL(r,1),bad,FILTER(flat,COUNTIF('リスト'!$E:$E,flat)=0),IFERROR(TEXTJOIN(""\n"",TRUE,bad),""""))"),"")</f>
        <v/>
      </c>
      <c r="AC610" s="185"/>
      <c r="AD610" s="185"/>
    </row>
    <row r="611">
      <c r="A611" s="185"/>
      <c r="B611" s="185"/>
      <c r="C611" s="185"/>
      <c r="D611" s="185"/>
      <c r="E611" s="203"/>
      <c r="F611" s="203"/>
      <c r="G611" s="185"/>
      <c r="H611" s="185"/>
      <c r="I611" s="185"/>
      <c r="J611" s="185"/>
      <c r="K611" s="185"/>
      <c r="L611" s="185"/>
      <c r="M611" s="185"/>
      <c r="N611" s="185"/>
      <c r="O611" s="185"/>
      <c r="P611" s="185"/>
      <c r="Q611" s="185"/>
      <c r="R611" s="185"/>
      <c r="S611" s="185"/>
      <c r="T611" s="185"/>
      <c r="U611" s="185"/>
      <c r="V611" s="185"/>
      <c r="W611" s="185"/>
      <c r="X611" s="185"/>
      <c r="Y611" s="185"/>
      <c r="Z611" s="185"/>
      <c r="AA611" s="185"/>
      <c r="AB611" s="185" t="str">
        <f>IFERROR(__xludf.DUMMYFUNCTION("LET(width,COLUMN($AB$1)-COLUMN($G$1),r,INDEX($G611:$AAB611,1,SEQUENCE(1,width)),flat,TOCOL(r,1),bad,FILTER(flat,COUNTIF('リスト'!$E:$E,flat)=0),IFERROR(TEXTJOIN(""\n"",TRUE,bad),""""))"),"")</f>
        <v/>
      </c>
      <c r="AC611" s="185"/>
      <c r="AD611" s="185"/>
    </row>
    <row r="612">
      <c r="A612" s="185"/>
      <c r="B612" s="185"/>
      <c r="C612" s="185"/>
      <c r="D612" s="185"/>
      <c r="E612" s="203"/>
      <c r="F612" s="203"/>
      <c r="G612" s="185"/>
      <c r="H612" s="185"/>
      <c r="I612" s="185"/>
      <c r="J612" s="185"/>
      <c r="K612" s="185"/>
      <c r="L612" s="185"/>
      <c r="M612" s="185"/>
      <c r="N612" s="185"/>
      <c r="O612" s="185"/>
      <c r="P612" s="185"/>
      <c r="Q612" s="185"/>
      <c r="R612" s="185"/>
      <c r="S612" s="185"/>
      <c r="T612" s="185"/>
      <c r="U612" s="185"/>
      <c r="V612" s="185"/>
      <c r="W612" s="185"/>
      <c r="X612" s="185"/>
      <c r="Y612" s="185"/>
      <c r="Z612" s="185"/>
      <c r="AA612" s="185"/>
      <c r="AB612" s="185" t="str">
        <f>IFERROR(__xludf.DUMMYFUNCTION("LET(width,COLUMN($AB$1)-COLUMN($G$1),r,INDEX($G612:$AAB612,1,SEQUENCE(1,width)),flat,TOCOL(r,1),bad,FILTER(flat,COUNTIF('リスト'!$E:$E,flat)=0),IFERROR(TEXTJOIN(""\n"",TRUE,bad),""""))"),"")</f>
        <v/>
      </c>
      <c r="AC612" s="185"/>
      <c r="AD612" s="185"/>
    </row>
    <row r="613">
      <c r="A613" s="185"/>
      <c r="B613" s="185"/>
      <c r="C613" s="185"/>
      <c r="D613" s="185"/>
      <c r="E613" s="203"/>
      <c r="F613" s="203"/>
      <c r="G613" s="185"/>
      <c r="H613" s="185"/>
      <c r="I613" s="185"/>
      <c r="J613" s="185"/>
      <c r="K613" s="185"/>
      <c r="L613" s="185"/>
      <c r="M613" s="185"/>
      <c r="N613" s="185"/>
      <c r="O613" s="185"/>
      <c r="P613" s="185"/>
      <c r="Q613" s="185"/>
      <c r="R613" s="185"/>
      <c r="S613" s="185"/>
      <c r="T613" s="185"/>
      <c r="U613" s="185"/>
      <c r="V613" s="185"/>
      <c r="W613" s="185"/>
      <c r="X613" s="185"/>
      <c r="Y613" s="185"/>
      <c r="Z613" s="185"/>
      <c r="AA613" s="185"/>
      <c r="AB613" s="185" t="str">
        <f>IFERROR(__xludf.DUMMYFUNCTION("LET(width,COLUMN($AB$1)-COLUMN($G$1),r,INDEX($G613:$AAB613,1,SEQUENCE(1,width)),flat,TOCOL(r,1),bad,FILTER(flat,COUNTIF('リスト'!$E:$E,flat)=0),IFERROR(TEXTJOIN(""\n"",TRUE,bad),""""))"),"")</f>
        <v/>
      </c>
      <c r="AC613" s="185"/>
      <c r="AD613" s="185"/>
    </row>
    <row r="614">
      <c r="A614" s="185"/>
      <c r="B614" s="185"/>
      <c r="C614" s="185"/>
      <c r="D614" s="185"/>
      <c r="E614" s="203"/>
      <c r="F614" s="203"/>
      <c r="G614" s="185"/>
      <c r="H614" s="185"/>
      <c r="I614" s="185"/>
      <c r="J614" s="185"/>
      <c r="K614" s="185"/>
      <c r="L614" s="185"/>
      <c r="M614" s="185"/>
      <c r="N614" s="185"/>
      <c r="O614" s="185"/>
      <c r="P614" s="185"/>
      <c r="Q614" s="185"/>
      <c r="R614" s="185"/>
      <c r="S614" s="185"/>
      <c r="T614" s="185"/>
      <c r="U614" s="185"/>
      <c r="V614" s="185"/>
      <c r="W614" s="185"/>
      <c r="X614" s="185"/>
      <c r="Y614" s="185"/>
      <c r="Z614" s="185"/>
      <c r="AA614" s="185"/>
      <c r="AB614" s="185" t="str">
        <f>IFERROR(__xludf.DUMMYFUNCTION("LET(width,COLUMN($AB$1)-COLUMN($G$1),r,INDEX($G614:$AAB614,1,SEQUENCE(1,width)),flat,TOCOL(r,1),bad,FILTER(flat,COUNTIF('リスト'!$E:$E,flat)=0),IFERROR(TEXTJOIN(""\n"",TRUE,bad),""""))"),"")</f>
        <v/>
      </c>
      <c r="AC614" s="185"/>
      <c r="AD614" s="185"/>
    </row>
    <row r="615">
      <c r="A615" s="185"/>
      <c r="B615" s="185"/>
      <c r="C615" s="185"/>
      <c r="D615" s="185"/>
      <c r="E615" s="203"/>
      <c r="F615" s="203"/>
      <c r="G615" s="185"/>
      <c r="H615" s="185"/>
      <c r="I615" s="185"/>
      <c r="J615" s="185"/>
      <c r="K615" s="185"/>
      <c r="L615" s="185"/>
      <c r="M615" s="185"/>
      <c r="N615" s="185"/>
      <c r="O615" s="185"/>
      <c r="P615" s="185"/>
      <c r="Q615" s="185"/>
      <c r="R615" s="185"/>
      <c r="S615" s="185"/>
      <c r="T615" s="185"/>
      <c r="U615" s="185"/>
      <c r="V615" s="185"/>
      <c r="W615" s="185"/>
      <c r="X615" s="185"/>
      <c r="Y615" s="185"/>
      <c r="Z615" s="185"/>
      <c r="AA615" s="185"/>
      <c r="AB615" s="185" t="str">
        <f>IFERROR(__xludf.DUMMYFUNCTION("LET(width,COLUMN($AB$1)-COLUMN($G$1),r,INDEX($G615:$AAB615,1,SEQUENCE(1,width)),flat,TOCOL(r,1),bad,FILTER(flat,COUNTIF('リスト'!$E:$E,flat)=0),IFERROR(TEXTJOIN(""\n"",TRUE,bad),""""))"),"")</f>
        <v/>
      </c>
      <c r="AC615" s="185"/>
      <c r="AD615" s="185"/>
    </row>
    <row r="616">
      <c r="A616" s="185"/>
      <c r="B616" s="185"/>
      <c r="C616" s="185"/>
      <c r="D616" s="185"/>
      <c r="E616" s="203"/>
      <c r="F616" s="203"/>
      <c r="G616" s="185"/>
      <c r="H616" s="185"/>
      <c r="I616" s="185"/>
      <c r="J616" s="185"/>
      <c r="K616" s="185"/>
      <c r="L616" s="185"/>
      <c r="M616" s="185"/>
      <c r="N616" s="185"/>
      <c r="O616" s="185"/>
      <c r="P616" s="185"/>
      <c r="Q616" s="185"/>
      <c r="R616" s="185"/>
      <c r="S616" s="185"/>
      <c r="T616" s="185"/>
      <c r="U616" s="185"/>
      <c r="V616" s="185"/>
      <c r="W616" s="185"/>
      <c r="X616" s="185"/>
      <c r="Y616" s="185"/>
      <c r="Z616" s="185"/>
      <c r="AA616" s="185"/>
      <c r="AB616" s="185" t="str">
        <f>IFERROR(__xludf.DUMMYFUNCTION("LET(width,COLUMN($AB$1)-COLUMN($G$1),r,INDEX($G616:$AAB616,1,SEQUENCE(1,width)),flat,TOCOL(r,1),bad,FILTER(flat,COUNTIF('リスト'!$E:$E,flat)=0),IFERROR(TEXTJOIN(""\n"",TRUE,bad),""""))"),"")</f>
        <v/>
      </c>
      <c r="AC616" s="185"/>
      <c r="AD616" s="185"/>
    </row>
    <row r="617">
      <c r="A617" s="185"/>
      <c r="B617" s="185"/>
      <c r="C617" s="185"/>
      <c r="D617" s="185"/>
      <c r="E617" s="203"/>
      <c r="F617" s="203"/>
      <c r="G617" s="185"/>
      <c r="H617" s="185"/>
      <c r="I617" s="185"/>
      <c r="J617" s="185"/>
      <c r="K617" s="185"/>
      <c r="L617" s="185"/>
      <c r="M617" s="185"/>
      <c r="N617" s="185"/>
      <c r="O617" s="185"/>
      <c r="P617" s="185"/>
      <c r="Q617" s="185"/>
      <c r="R617" s="185"/>
      <c r="S617" s="185"/>
      <c r="T617" s="185"/>
      <c r="U617" s="185"/>
      <c r="V617" s="185"/>
      <c r="W617" s="185"/>
      <c r="X617" s="185"/>
      <c r="Y617" s="185"/>
      <c r="Z617" s="185"/>
      <c r="AA617" s="185"/>
      <c r="AB617" s="185" t="str">
        <f>IFERROR(__xludf.DUMMYFUNCTION("LET(width,COLUMN($AB$1)-COLUMN($G$1),r,INDEX($G617:$AAB617,1,SEQUENCE(1,width)),flat,TOCOL(r,1),bad,FILTER(flat,COUNTIF('リスト'!$E:$E,flat)=0),IFERROR(TEXTJOIN(""\n"",TRUE,bad),""""))"),"")</f>
        <v/>
      </c>
      <c r="AC617" s="185"/>
      <c r="AD617" s="185"/>
    </row>
    <row r="618">
      <c r="A618" s="185"/>
      <c r="B618" s="185"/>
      <c r="C618" s="185"/>
      <c r="D618" s="185"/>
      <c r="E618" s="203"/>
      <c r="F618" s="203"/>
      <c r="G618" s="185"/>
      <c r="H618" s="185"/>
      <c r="I618" s="185"/>
      <c r="J618" s="185"/>
      <c r="K618" s="185"/>
      <c r="L618" s="185"/>
      <c r="M618" s="185"/>
      <c r="N618" s="185"/>
      <c r="O618" s="185"/>
      <c r="P618" s="185"/>
      <c r="Q618" s="185"/>
      <c r="R618" s="185"/>
      <c r="S618" s="185"/>
      <c r="T618" s="185"/>
      <c r="U618" s="185"/>
      <c r="V618" s="185"/>
      <c r="W618" s="185"/>
      <c r="X618" s="185"/>
      <c r="Y618" s="185"/>
      <c r="Z618" s="185"/>
      <c r="AA618" s="185"/>
      <c r="AB618" s="185" t="str">
        <f>IFERROR(__xludf.DUMMYFUNCTION("LET(width,COLUMN($AB$1)-COLUMN($G$1),r,INDEX($G618:$AAB618,1,SEQUENCE(1,width)),flat,TOCOL(r,1),bad,FILTER(flat,COUNTIF('リスト'!$E:$E,flat)=0),IFERROR(TEXTJOIN(""\n"",TRUE,bad),""""))"),"")</f>
        <v/>
      </c>
      <c r="AC618" s="185"/>
      <c r="AD618" s="185"/>
    </row>
    <row r="619">
      <c r="A619" s="185"/>
      <c r="B619" s="185"/>
      <c r="C619" s="185"/>
      <c r="D619" s="185"/>
      <c r="E619" s="203"/>
      <c r="F619" s="203"/>
      <c r="G619" s="185"/>
      <c r="H619" s="185"/>
      <c r="I619" s="185"/>
      <c r="J619" s="185"/>
      <c r="K619" s="185"/>
      <c r="L619" s="185"/>
      <c r="M619" s="185"/>
      <c r="N619" s="185"/>
      <c r="O619" s="185"/>
      <c r="P619" s="185"/>
      <c r="Q619" s="185"/>
      <c r="R619" s="185"/>
      <c r="S619" s="185"/>
      <c r="T619" s="185"/>
      <c r="U619" s="185"/>
      <c r="V619" s="185"/>
      <c r="W619" s="185"/>
      <c r="X619" s="185"/>
      <c r="Y619" s="185"/>
      <c r="Z619" s="185"/>
      <c r="AA619" s="185"/>
      <c r="AB619" s="185" t="str">
        <f>IFERROR(__xludf.DUMMYFUNCTION("LET(width,COLUMN($AB$1)-COLUMN($G$1),r,INDEX($G619:$AAB619,1,SEQUENCE(1,width)),flat,TOCOL(r,1),bad,FILTER(flat,COUNTIF('リスト'!$E:$E,flat)=0),IFERROR(TEXTJOIN(""\n"",TRUE,bad),""""))"),"")</f>
        <v/>
      </c>
      <c r="AC619" s="185"/>
      <c r="AD619" s="185"/>
    </row>
    <row r="620">
      <c r="A620" s="185"/>
      <c r="B620" s="185"/>
      <c r="C620" s="185"/>
      <c r="D620" s="185"/>
      <c r="E620" s="203"/>
      <c r="F620" s="203"/>
      <c r="G620" s="185"/>
      <c r="H620" s="185"/>
      <c r="I620" s="185"/>
      <c r="J620" s="185"/>
      <c r="K620" s="185"/>
      <c r="L620" s="185"/>
      <c r="M620" s="185"/>
      <c r="N620" s="185"/>
      <c r="O620" s="185"/>
      <c r="P620" s="185"/>
      <c r="Q620" s="185"/>
      <c r="R620" s="185"/>
      <c r="S620" s="185"/>
      <c r="T620" s="185"/>
      <c r="U620" s="185"/>
      <c r="V620" s="185"/>
      <c r="W620" s="185"/>
      <c r="X620" s="185"/>
      <c r="Y620" s="185"/>
      <c r="Z620" s="185"/>
      <c r="AA620" s="185"/>
      <c r="AB620" s="185" t="str">
        <f>IFERROR(__xludf.DUMMYFUNCTION("LET(width,COLUMN($AB$1)-COLUMN($G$1),r,INDEX($G620:$AAB620,1,SEQUENCE(1,width)),flat,TOCOL(r,1),bad,FILTER(flat,COUNTIF('リスト'!$E:$E,flat)=0),IFERROR(TEXTJOIN(""\n"",TRUE,bad),""""))"),"")</f>
        <v/>
      </c>
      <c r="AC620" s="185"/>
      <c r="AD620" s="185"/>
    </row>
    <row r="621">
      <c r="A621" s="185"/>
      <c r="B621" s="185"/>
      <c r="C621" s="185"/>
      <c r="D621" s="185"/>
      <c r="E621" s="203"/>
      <c r="F621" s="203"/>
      <c r="G621" s="185"/>
      <c r="H621" s="185"/>
      <c r="I621" s="185"/>
      <c r="J621" s="185"/>
      <c r="K621" s="185"/>
      <c r="L621" s="185"/>
      <c r="M621" s="185"/>
      <c r="N621" s="185"/>
      <c r="O621" s="185"/>
      <c r="P621" s="185"/>
      <c r="Q621" s="185"/>
      <c r="R621" s="185"/>
      <c r="S621" s="185"/>
      <c r="T621" s="185"/>
      <c r="U621" s="185"/>
      <c r="V621" s="185"/>
      <c r="W621" s="185"/>
      <c r="X621" s="185"/>
      <c r="Y621" s="185"/>
      <c r="Z621" s="185"/>
      <c r="AA621" s="185"/>
      <c r="AB621" s="185" t="str">
        <f>IFERROR(__xludf.DUMMYFUNCTION("LET(width,COLUMN($AB$1)-COLUMN($G$1),r,INDEX($G621:$AAB621,1,SEQUENCE(1,width)),flat,TOCOL(r,1),bad,FILTER(flat,COUNTIF('リスト'!$E:$E,flat)=0),IFERROR(TEXTJOIN(""\n"",TRUE,bad),""""))"),"")</f>
        <v/>
      </c>
      <c r="AC621" s="185"/>
      <c r="AD621" s="185"/>
    </row>
    <row r="622">
      <c r="A622" s="185"/>
      <c r="B622" s="185"/>
      <c r="C622" s="185"/>
      <c r="D622" s="185"/>
      <c r="E622" s="203"/>
      <c r="F622" s="203"/>
      <c r="G622" s="185"/>
      <c r="H622" s="185"/>
      <c r="I622" s="185"/>
      <c r="J622" s="185"/>
      <c r="K622" s="185"/>
      <c r="L622" s="185"/>
      <c r="M622" s="185"/>
      <c r="N622" s="185"/>
      <c r="O622" s="185"/>
      <c r="P622" s="185"/>
      <c r="Q622" s="185"/>
      <c r="R622" s="185"/>
      <c r="S622" s="185"/>
      <c r="T622" s="185"/>
      <c r="U622" s="185"/>
      <c r="V622" s="185"/>
      <c r="W622" s="185"/>
      <c r="X622" s="185"/>
      <c r="Y622" s="185"/>
      <c r="Z622" s="185"/>
      <c r="AA622" s="185"/>
      <c r="AB622" s="185" t="str">
        <f>IFERROR(__xludf.DUMMYFUNCTION("LET(width,COLUMN($AB$1)-COLUMN($G$1),r,INDEX($G622:$AAB622,1,SEQUENCE(1,width)),flat,TOCOL(r,1),bad,FILTER(flat,COUNTIF('リスト'!$E:$E,flat)=0),IFERROR(TEXTJOIN(""\n"",TRUE,bad),""""))"),"")</f>
        <v/>
      </c>
      <c r="AC622" s="185"/>
      <c r="AD622" s="185"/>
    </row>
    <row r="623">
      <c r="A623" s="185"/>
      <c r="B623" s="185"/>
      <c r="C623" s="185"/>
      <c r="D623" s="185"/>
      <c r="E623" s="203"/>
      <c r="F623" s="203"/>
      <c r="G623" s="185"/>
      <c r="H623" s="185"/>
      <c r="I623" s="185"/>
      <c r="J623" s="185"/>
      <c r="K623" s="185"/>
      <c r="L623" s="185"/>
      <c r="M623" s="185"/>
      <c r="N623" s="185"/>
      <c r="O623" s="185"/>
      <c r="P623" s="185"/>
      <c r="Q623" s="185"/>
      <c r="R623" s="185"/>
      <c r="S623" s="185"/>
      <c r="T623" s="185"/>
      <c r="U623" s="185"/>
      <c r="V623" s="185"/>
      <c r="W623" s="185"/>
      <c r="X623" s="185"/>
      <c r="Y623" s="185"/>
      <c r="Z623" s="185"/>
      <c r="AA623" s="185"/>
      <c r="AB623" s="185" t="str">
        <f>IFERROR(__xludf.DUMMYFUNCTION("LET(width,COLUMN($AB$1)-COLUMN($G$1),r,INDEX($G623:$AAB623,1,SEQUENCE(1,width)),flat,TOCOL(r,1),bad,FILTER(flat,COUNTIF('リスト'!$E:$E,flat)=0),IFERROR(TEXTJOIN(""\n"",TRUE,bad),""""))"),"")</f>
        <v/>
      </c>
      <c r="AC623" s="185"/>
      <c r="AD623" s="185"/>
    </row>
    <row r="624">
      <c r="A624" s="185"/>
      <c r="B624" s="185"/>
      <c r="C624" s="185"/>
      <c r="D624" s="185"/>
      <c r="E624" s="203"/>
      <c r="F624" s="203"/>
      <c r="G624" s="185"/>
      <c r="H624" s="185"/>
      <c r="I624" s="185"/>
      <c r="J624" s="185"/>
      <c r="K624" s="185"/>
      <c r="L624" s="185"/>
      <c r="M624" s="185"/>
      <c r="N624" s="185"/>
      <c r="O624" s="185"/>
      <c r="P624" s="185"/>
      <c r="Q624" s="185"/>
      <c r="R624" s="185"/>
      <c r="S624" s="185"/>
      <c r="T624" s="185"/>
      <c r="U624" s="185"/>
      <c r="V624" s="185"/>
      <c r="W624" s="185"/>
      <c r="X624" s="185"/>
      <c r="Y624" s="185"/>
      <c r="Z624" s="185"/>
      <c r="AA624" s="185"/>
      <c r="AB624" s="185" t="str">
        <f>IFERROR(__xludf.DUMMYFUNCTION("LET(width,COLUMN($AB$1)-COLUMN($G$1),r,INDEX($G624:$AAB624,1,SEQUENCE(1,width)),flat,TOCOL(r,1),bad,FILTER(flat,COUNTIF('リスト'!$E:$E,flat)=0),IFERROR(TEXTJOIN(""\n"",TRUE,bad),""""))"),"")</f>
        <v/>
      </c>
      <c r="AC624" s="185"/>
      <c r="AD624" s="185"/>
    </row>
    <row r="625">
      <c r="A625" s="185"/>
      <c r="B625" s="185"/>
      <c r="C625" s="185"/>
      <c r="D625" s="185"/>
      <c r="E625" s="203"/>
      <c r="F625" s="203"/>
      <c r="G625" s="185"/>
      <c r="H625" s="185"/>
      <c r="I625" s="185"/>
      <c r="J625" s="185"/>
      <c r="K625" s="185"/>
      <c r="L625" s="185"/>
      <c r="M625" s="185"/>
      <c r="N625" s="185"/>
      <c r="O625" s="185"/>
      <c r="P625" s="185"/>
      <c r="Q625" s="185"/>
      <c r="R625" s="185"/>
      <c r="S625" s="185"/>
      <c r="T625" s="185"/>
      <c r="U625" s="185"/>
      <c r="V625" s="185"/>
      <c r="W625" s="185"/>
      <c r="X625" s="185"/>
      <c r="Y625" s="185"/>
      <c r="Z625" s="185"/>
      <c r="AA625" s="185"/>
      <c r="AB625" s="185" t="str">
        <f>IFERROR(__xludf.DUMMYFUNCTION("LET(width,COLUMN($AB$1)-COLUMN($G$1),r,INDEX($G625:$AAB625,1,SEQUENCE(1,width)),flat,TOCOL(r,1),bad,FILTER(flat,COUNTIF('リスト'!$E:$E,flat)=0),IFERROR(TEXTJOIN(""\n"",TRUE,bad),""""))"),"")</f>
        <v/>
      </c>
      <c r="AC625" s="185"/>
      <c r="AD625" s="185"/>
    </row>
    <row r="626">
      <c r="A626" s="185"/>
      <c r="B626" s="185"/>
      <c r="C626" s="185"/>
      <c r="D626" s="185"/>
      <c r="E626" s="203"/>
      <c r="F626" s="203"/>
      <c r="G626" s="185"/>
      <c r="H626" s="185"/>
      <c r="I626" s="185"/>
      <c r="J626" s="185"/>
      <c r="K626" s="185"/>
      <c r="L626" s="185"/>
      <c r="M626" s="185"/>
      <c r="N626" s="185"/>
      <c r="O626" s="185"/>
      <c r="P626" s="185"/>
      <c r="Q626" s="185"/>
      <c r="R626" s="185"/>
      <c r="S626" s="185"/>
      <c r="T626" s="185"/>
      <c r="U626" s="185"/>
      <c r="V626" s="185"/>
      <c r="W626" s="185"/>
      <c r="X626" s="185"/>
      <c r="Y626" s="185"/>
      <c r="Z626" s="185"/>
      <c r="AA626" s="185"/>
      <c r="AB626" s="185" t="str">
        <f>IFERROR(__xludf.DUMMYFUNCTION("LET(width,COLUMN($AB$1)-COLUMN($G$1),r,INDEX($G626:$AAB626,1,SEQUENCE(1,width)),flat,TOCOL(r,1),bad,FILTER(flat,COUNTIF('リスト'!$E:$E,flat)=0),IFERROR(TEXTJOIN(""\n"",TRUE,bad),""""))"),"")</f>
        <v/>
      </c>
      <c r="AC626" s="185"/>
      <c r="AD626" s="185"/>
    </row>
    <row r="627">
      <c r="A627" s="185"/>
      <c r="B627" s="185"/>
      <c r="C627" s="185"/>
      <c r="D627" s="185"/>
      <c r="E627" s="203"/>
      <c r="F627" s="203"/>
      <c r="G627" s="185"/>
      <c r="H627" s="185"/>
      <c r="I627" s="185"/>
      <c r="J627" s="185"/>
      <c r="K627" s="185"/>
      <c r="L627" s="185"/>
      <c r="M627" s="185"/>
      <c r="N627" s="185"/>
      <c r="O627" s="185"/>
      <c r="P627" s="185"/>
      <c r="Q627" s="185"/>
      <c r="R627" s="185"/>
      <c r="S627" s="185"/>
      <c r="T627" s="185"/>
      <c r="U627" s="185"/>
      <c r="V627" s="185"/>
      <c r="W627" s="185"/>
      <c r="X627" s="185"/>
      <c r="Y627" s="185"/>
      <c r="Z627" s="185"/>
      <c r="AA627" s="185"/>
      <c r="AB627" s="185" t="str">
        <f>IFERROR(__xludf.DUMMYFUNCTION("LET(width,COLUMN($AB$1)-COLUMN($G$1),r,INDEX($G627:$AAB627,1,SEQUENCE(1,width)),flat,TOCOL(r,1),bad,FILTER(flat,COUNTIF('リスト'!$E:$E,flat)=0),IFERROR(TEXTJOIN(""\n"",TRUE,bad),""""))"),"")</f>
        <v/>
      </c>
      <c r="AC627" s="185"/>
      <c r="AD627" s="185"/>
    </row>
    <row r="628">
      <c r="A628" s="185"/>
      <c r="B628" s="185"/>
      <c r="C628" s="185"/>
      <c r="D628" s="185"/>
      <c r="E628" s="203"/>
      <c r="F628" s="203"/>
      <c r="G628" s="185"/>
      <c r="H628" s="185"/>
      <c r="I628" s="185"/>
      <c r="J628" s="185"/>
      <c r="K628" s="185"/>
      <c r="L628" s="185"/>
      <c r="M628" s="185"/>
      <c r="N628" s="185"/>
      <c r="O628" s="185"/>
      <c r="P628" s="185"/>
      <c r="Q628" s="185"/>
      <c r="R628" s="185"/>
      <c r="S628" s="185"/>
      <c r="T628" s="185"/>
      <c r="U628" s="185"/>
      <c r="V628" s="185"/>
      <c r="W628" s="185"/>
      <c r="X628" s="185"/>
      <c r="Y628" s="185"/>
      <c r="Z628" s="185"/>
      <c r="AA628" s="185"/>
      <c r="AB628" s="185" t="str">
        <f>IFERROR(__xludf.DUMMYFUNCTION("LET(width,COLUMN($AB$1)-COLUMN($G$1),r,INDEX($G628:$AAB628,1,SEQUENCE(1,width)),flat,TOCOL(r,1),bad,FILTER(flat,COUNTIF('リスト'!$E:$E,flat)=0),IFERROR(TEXTJOIN(""\n"",TRUE,bad),""""))"),"")</f>
        <v/>
      </c>
      <c r="AC628" s="185"/>
      <c r="AD628" s="185"/>
    </row>
    <row r="629">
      <c r="A629" s="185"/>
      <c r="B629" s="185"/>
      <c r="C629" s="185"/>
      <c r="D629" s="185"/>
      <c r="E629" s="203"/>
      <c r="F629" s="203"/>
      <c r="G629" s="185"/>
      <c r="H629" s="185"/>
      <c r="I629" s="185"/>
      <c r="J629" s="185"/>
      <c r="K629" s="185"/>
      <c r="L629" s="185"/>
      <c r="M629" s="185"/>
      <c r="N629" s="185"/>
      <c r="O629" s="185"/>
      <c r="P629" s="185"/>
      <c r="Q629" s="185"/>
      <c r="R629" s="185"/>
      <c r="S629" s="185"/>
      <c r="T629" s="185"/>
      <c r="U629" s="185"/>
      <c r="V629" s="185"/>
      <c r="W629" s="185"/>
      <c r="X629" s="185"/>
      <c r="Y629" s="185"/>
      <c r="Z629" s="185"/>
      <c r="AA629" s="185"/>
      <c r="AB629" s="185" t="str">
        <f>IFERROR(__xludf.DUMMYFUNCTION("LET(width,COLUMN($AB$1)-COLUMN($G$1),r,INDEX($G629:$AAB629,1,SEQUENCE(1,width)),flat,TOCOL(r,1),bad,FILTER(flat,COUNTIF('リスト'!$E:$E,flat)=0),IFERROR(TEXTJOIN(""\n"",TRUE,bad),""""))"),"")</f>
        <v/>
      </c>
      <c r="AC629" s="185"/>
      <c r="AD629" s="185"/>
    </row>
    <row r="630">
      <c r="A630" s="185"/>
      <c r="B630" s="185"/>
      <c r="C630" s="185"/>
      <c r="D630" s="185"/>
      <c r="E630" s="203"/>
      <c r="F630" s="203"/>
      <c r="G630" s="185"/>
      <c r="H630" s="185"/>
      <c r="I630" s="185"/>
      <c r="J630" s="185"/>
      <c r="K630" s="185"/>
      <c r="L630" s="185"/>
      <c r="M630" s="185"/>
      <c r="N630" s="185"/>
      <c r="O630" s="185"/>
      <c r="P630" s="185"/>
      <c r="Q630" s="185"/>
      <c r="R630" s="185"/>
      <c r="S630" s="185"/>
      <c r="T630" s="185"/>
      <c r="U630" s="185"/>
      <c r="V630" s="185"/>
      <c r="W630" s="185"/>
      <c r="X630" s="185"/>
      <c r="Y630" s="185"/>
      <c r="Z630" s="185"/>
      <c r="AA630" s="185"/>
      <c r="AB630" s="185" t="str">
        <f>IFERROR(__xludf.DUMMYFUNCTION("LET(width,COLUMN($AB$1)-COLUMN($G$1),r,INDEX($G630:$AAB630,1,SEQUENCE(1,width)),flat,TOCOL(r,1),bad,FILTER(flat,COUNTIF('リスト'!$E:$E,flat)=0),IFERROR(TEXTJOIN(""\n"",TRUE,bad),""""))"),"")</f>
        <v/>
      </c>
      <c r="AC630" s="185"/>
      <c r="AD630" s="185"/>
    </row>
    <row r="631">
      <c r="A631" s="185"/>
      <c r="B631" s="185"/>
      <c r="C631" s="185"/>
      <c r="D631" s="185"/>
      <c r="E631" s="203"/>
      <c r="F631" s="203"/>
      <c r="G631" s="185"/>
      <c r="H631" s="185"/>
      <c r="I631" s="185"/>
      <c r="J631" s="185"/>
      <c r="K631" s="185"/>
      <c r="L631" s="185"/>
      <c r="M631" s="185"/>
      <c r="N631" s="185"/>
      <c r="O631" s="185"/>
      <c r="P631" s="185"/>
      <c r="Q631" s="185"/>
      <c r="R631" s="185"/>
      <c r="S631" s="185"/>
      <c r="T631" s="185"/>
      <c r="U631" s="185"/>
      <c r="V631" s="185"/>
      <c r="W631" s="185"/>
      <c r="X631" s="185"/>
      <c r="Y631" s="185"/>
      <c r="Z631" s="185"/>
      <c r="AA631" s="185"/>
      <c r="AB631" s="185" t="str">
        <f>IFERROR(__xludf.DUMMYFUNCTION("LET(width,COLUMN($AB$1)-COLUMN($G$1),r,INDEX($G631:$AAB631,1,SEQUENCE(1,width)),flat,TOCOL(r,1),bad,FILTER(flat,COUNTIF('リスト'!$E:$E,flat)=0),IFERROR(TEXTJOIN(""\n"",TRUE,bad),""""))"),"")</f>
        <v/>
      </c>
      <c r="AC631" s="185"/>
      <c r="AD631" s="185"/>
    </row>
    <row r="632">
      <c r="A632" s="185"/>
      <c r="B632" s="185"/>
      <c r="C632" s="185"/>
      <c r="D632" s="185"/>
      <c r="E632" s="203"/>
      <c r="F632" s="203"/>
      <c r="G632" s="185"/>
      <c r="H632" s="185"/>
      <c r="I632" s="185"/>
      <c r="J632" s="185"/>
      <c r="K632" s="185"/>
      <c r="L632" s="185"/>
      <c r="M632" s="185"/>
      <c r="N632" s="185"/>
      <c r="O632" s="185"/>
      <c r="P632" s="185"/>
      <c r="Q632" s="185"/>
      <c r="R632" s="185"/>
      <c r="S632" s="185"/>
      <c r="T632" s="185"/>
      <c r="U632" s="185"/>
      <c r="V632" s="185"/>
      <c r="W632" s="185"/>
      <c r="X632" s="185"/>
      <c r="Y632" s="185"/>
      <c r="Z632" s="185"/>
      <c r="AA632" s="185"/>
      <c r="AB632" s="185" t="str">
        <f>IFERROR(__xludf.DUMMYFUNCTION("LET(width,COLUMN($AB$1)-COLUMN($G$1),r,INDEX($G632:$AAB632,1,SEQUENCE(1,width)),flat,TOCOL(r,1),bad,FILTER(flat,COUNTIF('リスト'!$E:$E,flat)=0),IFERROR(TEXTJOIN(""\n"",TRUE,bad),""""))"),"")</f>
        <v/>
      </c>
      <c r="AC632" s="185"/>
      <c r="AD632" s="185"/>
    </row>
    <row r="633">
      <c r="A633" s="185"/>
      <c r="B633" s="185"/>
      <c r="C633" s="185"/>
      <c r="D633" s="185"/>
      <c r="E633" s="203"/>
      <c r="F633" s="203"/>
      <c r="G633" s="185"/>
      <c r="H633" s="185"/>
      <c r="I633" s="185"/>
      <c r="J633" s="185"/>
      <c r="K633" s="185"/>
      <c r="L633" s="185"/>
      <c r="M633" s="185"/>
      <c r="N633" s="185"/>
      <c r="O633" s="185"/>
      <c r="P633" s="185"/>
      <c r="Q633" s="185"/>
      <c r="R633" s="185"/>
      <c r="S633" s="185"/>
      <c r="T633" s="185"/>
      <c r="U633" s="185"/>
      <c r="V633" s="185"/>
      <c r="W633" s="185"/>
      <c r="X633" s="185"/>
      <c r="Y633" s="185"/>
      <c r="Z633" s="185"/>
      <c r="AA633" s="185"/>
      <c r="AB633" s="185" t="str">
        <f>IFERROR(__xludf.DUMMYFUNCTION("LET(width,COLUMN($AB$1)-COLUMN($G$1),r,INDEX($G633:$AAB633,1,SEQUENCE(1,width)),flat,TOCOL(r,1),bad,FILTER(flat,COUNTIF('リスト'!$E:$E,flat)=0),IFERROR(TEXTJOIN(""\n"",TRUE,bad),""""))"),"")</f>
        <v/>
      </c>
      <c r="AC633" s="185"/>
      <c r="AD633" s="185"/>
    </row>
    <row r="634">
      <c r="A634" s="185"/>
      <c r="B634" s="185"/>
      <c r="C634" s="185"/>
      <c r="D634" s="185"/>
      <c r="E634" s="203"/>
      <c r="F634" s="203"/>
      <c r="G634" s="185"/>
      <c r="H634" s="185"/>
      <c r="I634" s="185"/>
      <c r="J634" s="185"/>
      <c r="K634" s="185"/>
      <c r="L634" s="185"/>
      <c r="M634" s="185"/>
      <c r="N634" s="185"/>
      <c r="O634" s="185"/>
      <c r="P634" s="185"/>
      <c r="Q634" s="185"/>
      <c r="R634" s="185"/>
      <c r="S634" s="185"/>
      <c r="T634" s="185"/>
      <c r="U634" s="185"/>
      <c r="V634" s="185"/>
      <c r="W634" s="185"/>
      <c r="X634" s="185"/>
      <c r="Y634" s="185"/>
      <c r="Z634" s="185"/>
      <c r="AA634" s="185"/>
      <c r="AB634" s="185" t="str">
        <f>IFERROR(__xludf.DUMMYFUNCTION("LET(width,COLUMN($AB$1)-COLUMN($G$1),r,INDEX($G634:$AAB634,1,SEQUENCE(1,width)),flat,TOCOL(r,1),bad,FILTER(flat,COUNTIF('リスト'!$E:$E,flat)=0),IFERROR(TEXTJOIN(""\n"",TRUE,bad),""""))"),"")</f>
        <v/>
      </c>
      <c r="AC634" s="185"/>
      <c r="AD634" s="185"/>
    </row>
    <row r="635">
      <c r="A635" s="185"/>
      <c r="B635" s="185"/>
      <c r="C635" s="185"/>
      <c r="D635" s="185"/>
      <c r="E635" s="203"/>
      <c r="F635" s="203"/>
      <c r="G635" s="185"/>
      <c r="H635" s="185"/>
      <c r="I635" s="185"/>
      <c r="J635" s="185"/>
      <c r="K635" s="185"/>
      <c r="L635" s="185"/>
      <c r="M635" s="185"/>
      <c r="N635" s="185"/>
      <c r="O635" s="185"/>
      <c r="P635" s="185"/>
      <c r="Q635" s="185"/>
      <c r="R635" s="185"/>
      <c r="S635" s="185"/>
      <c r="T635" s="185"/>
      <c r="U635" s="185"/>
      <c r="V635" s="185"/>
      <c r="W635" s="185"/>
      <c r="X635" s="185"/>
      <c r="Y635" s="185"/>
      <c r="Z635" s="185"/>
      <c r="AA635" s="185"/>
      <c r="AB635" s="185" t="str">
        <f>IFERROR(__xludf.DUMMYFUNCTION("LET(width,COLUMN($AB$1)-COLUMN($G$1),r,INDEX($G635:$AAB635,1,SEQUENCE(1,width)),flat,TOCOL(r,1),bad,FILTER(flat,COUNTIF('リスト'!$E:$E,flat)=0),IFERROR(TEXTJOIN(""\n"",TRUE,bad),""""))"),"")</f>
        <v/>
      </c>
      <c r="AC635" s="185"/>
      <c r="AD635" s="185"/>
    </row>
    <row r="636">
      <c r="A636" s="185"/>
      <c r="B636" s="185"/>
      <c r="C636" s="185"/>
      <c r="D636" s="185"/>
      <c r="E636" s="203"/>
      <c r="F636" s="203"/>
      <c r="G636" s="185"/>
      <c r="H636" s="185"/>
      <c r="I636" s="185"/>
      <c r="J636" s="185"/>
      <c r="K636" s="185"/>
      <c r="L636" s="185"/>
      <c r="M636" s="185"/>
      <c r="N636" s="185"/>
      <c r="O636" s="185"/>
      <c r="P636" s="185"/>
      <c r="Q636" s="185"/>
      <c r="R636" s="185"/>
      <c r="S636" s="185"/>
      <c r="T636" s="185"/>
      <c r="U636" s="185"/>
      <c r="V636" s="185"/>
      <c r="W636" s="185"/>
      <c r="X636" s="185"/>
      <c r="Y636" s="185"/>
      <c r="Z636" s="185"/>
      <c r="AA636" s="185"/>
      <c r="AB636" s="185" t="str">
        <f>IFERROR(__xludf.DUMMYFUNCTION("LET(width,COLUMN($AB$1)-COLUMN($G$1),r,INDEX($G636:$AAB636,1,SEQUENCE(1,width)),flat,TOCOL(r,1),bad,FILTER(flat,COUNTIF('リスト'!$E:$E,flat)=0),IFERROR(TEXTJOIN(""\n"",TRUE,bad),""""))"),"")</f>
        <v/>
      </c>
      <c r="AC636" s="185"/>
      <c r="AD636" s="185"/>
    </row>
    <row r="637">
      <c r="A637" s="185"/>
      <c r="B637" s="185"/>
      <c r="C637" s="185"/>
      <c r="D637" s="185"/>
      <c r="E637" s="203"/>
      <c r="F637" s="203"/>
      <c r="G637" s="185"/>
      <c r="H637" s="185"/>
      <c r="I637" s="185"/>
      <c r="J637" s="185"/>
      <c r="K637" s="185"/>
      <c r="L637" s="185"/>
      <c r="M637" s="185"/>
      <c r="N637" s="185"/>
      <c r="O637" s="185"/>
      <c r="P637" s="185"/>
      <c r="Q637" s="185"/>
      <c r="R637" s="185"/>
      <c r="S637" s="185"/>
      <c r="T637" s="185"/>
      <c r="U637" s="185"/>
      <c r="V637" s="185"/>
      <c r="W637" s="185"/>
      <c r="X637" s="185"/>
      <c r="Y637" s="185"/>
      <c r="Z637" s="185"/>
      <c r="AA637" s="185"/>
      <c r="AB637" s="185" t="str">
        <f>IFERROR(__xludf.DUMMYFUNCTION("LET(width,COLUMN($AB$1)-COLUMN($G$1),r,INDEX($G637:$AAB637,1,SEQUENCE(1,width)),flat,TOCOL(r,1),bad,FILTER(flat,COUNTIF('リスト'!$E:$E,flat)=0),IFERROR(TEXTJOIN(""\n"",TRUE,bad),""""))"),"")</f>
        <v/>
      </c>
      <c r="AC637" s="185"/>
      <c r="AD637" s="185"/>
    </row>
    <row r="638">
      <c r="A638" s="185"/>
      <c r="B638" s="185"/>
      <c r="C638" s="185"/>
      <c r="D638" s="185"/>
      <c r="E638" s="203"/>
      <c r="F638" s="203"/>
      <c r="G638" s="185"/>
      <c r="H638" s="185"/>
      <c r="I638" s="185"/>
      <c r="J638" s="185"/>
      <c r="K638" s="185"/>
      <c r="L638" s="185"/>
      <c r="M638" s="185"/>
      <c r="N638" s="185"/>
      <c r="O638" s="185"/>
      <c r="P638" s="185"/>
      <c r="Q638" s="185"/>
      <c r="R638" s="185"/>
      <c r="S638" s="185"/>
      <c r="T638" s="185"/>
      <c r="U638" s="185"/>
      <c r="V638" s="185"/>
      <c r="W638" s="185"/>
      <c r="X638" s="185"/>
      <c r="Y638" s="185"/>
      <c r="Z638" s="185"/>
      <c r="AA638" s="185"/>
      <c r="AB638" s="185" t="str">
        <f>IFERROR(__xludf.DUMMYFUNCTION("LET(width,COLUMN($AB$1)-COLUMN($G$1),r,INDEX($G638:$AAB638,1,SEQUENCE(1,width)),flat,TOCOL(r,1),bad,FILTER(flat,COUNTIF('リスト'!$E:$E,flat)=0),IFERROR(TEXTJOIN(""\n"",TRUE,bad),""""))"),"")</f>
        <v/>
      </c>
      <c r="AC638" s="185"/>
      <c r="AD638" s="185"/>
    </row>
    <row r="639">
      <c r="A639" s="185"/>
      <c r="B639" s="185"/>
      <c r="C639" s="185"/>
      <c r="D639" s="185"/>
      <c r="E639" s="203"/>
      <c r="F639" s="203"/>
      <c r="G639" s="185"/>
      <c r="H639" s="185"/>
      <c r="I639" s="185"/>
      <c r="J639" s="185"/>
      <c r="K639" s="185"/>
      <c r="L639" s="185"/>
      <c r="M639" s="185"/>
      <c r="N639" s="185"/>
      <c r="O639" s="185"/>
      <c r="P639" s="185"/>
      <c r="Q639" s="185"/>
      <c r="R639" s="185"/>
      <c r="S639" s="185"/>
      <c r="T639" s="185"/>
      <c r="U639" s="185"/>
      <c r="V639" s="185"/>
      <c r="W639" s="185"/>
      <c r="X639" s="185"/>
      <c r="Y639" s="185"/>
      <c r="Z639" s="185"/>
      <c r="AA639" s="185"/>
      <c r="AB639" s="185" t="str">
        <f>IFERROR(__xludf.DUMMYFUNCTION("LET(width,COLUMN($AB$1)-COLUMN($G$1),r,INDEX($G639:$AAB639,1,SEQUENCE(1,width)),flat,TOCOL(r,1),bad,FILTER(flat,COUNTIF('リスト'!$E:$E,flat)=0),IFERROR(TEXTJOIN(""\n"",TRUE,bad),""""))"),"")</f>
        <v/>
      </c>
      <c r="AC639" s="185"/>
      <c r="AD639" s="185"/>
    </row>
    <row r="640">
      <c r="A640" s="185"/>
      <c r="B640" s="185"/>
      <c r="C640" s="185"/>
      <c r="D640" s="185"/>
      <c r="E640" s="203"/>
      <c r="F640" s="203"/>
      <c r="G640" s="185"/>
      <c r="H640" s="185"/>
      <c r="I640" s="185"/>
      <c r="J640" s="185"/>
      <c r="K640" s="185"/>
      <c r="L640" s="185"/>
      <c r="M640" s="185"/>
      <c r="N640" s="185"/>
      <c r="O640" s="185"/>
      <c r="P640" s="185"/>
      <c r="Q640" s="185"/>
      <c r="R640" s="185"/>
      <c r="S640" s="185"/>
      <c r="T640" s="185"/>
      <c r="U640" s="185"/>
      <c r="V640" s="185"/>
      <c r="W640" s="185"/>
      <c r="X640" s="185"/>
      <c r="Y640" s="185"/>
      <c r="Z640" s="185"/>
      <c r="AA640" s="185"/>
      <c r="AB640" s="185" t="str">
        <f>IFERROR(__xludf.DUMMYFUNCTION("LET(width,COLUMN($AB$1)-COLUMN($G$1),r,INDEX($G640:$AAB640,1,SEQUENCE(1,width)),flat,TOCOL(r,1),bad,FILTER(flat,COUNTIF('リスト'!$E:$E,flat)=0),IFERROR(TEXTJOIN(""\n"",TRUE,bad),""""))"),"")</f>
        <v/>
      </c>
      <c r="AC640" s="185"/>
      <c r="AD640" s="185"/>
    </row>
    <row r="641">
      <c r="A641" s="185"/>
      <c r="B641" s="185"/>
      <c r="C641" s="185"/>
      <c r="D641" s="185"/>
      <c r="E641" s="203"/>
      <c r="F641" s="203"/>
      <c r="G641" s="185"/>
      <c r="H641" s="185"/>
      <c r="I641" s="185"/>
      <c r="J641" s="185"/>
      <c r="K641" s="185"/>
      <c r="L641" s="185"/>
      <c r="M641" s="185"/>
      <c r="N641" s="185"/>
      <c r="O641" s="185"/>
      <c r="P641" s="185"/>
      <c r="Q641" s="185"/>
      <c r="R641" s="185"/>
      <c r="S641" s="185"/>
      <c r="T641" s="185"/>
      <c r="U641" s="185"/>
      <c r="V641" s="185"/>
      <c r="W641" s="185"/>
      <c r="X641" s="185"/>
      <c r="Y641" s="185"/>
      <c r="Z641" s="185"/>
      <c r="AA641" s="185"/>
      <c r="AB641" s="185" t="str">
        <f>IFERROR(__xludf.DUMMYFUNCTION("LET(width,COLUMN($AB$1)-COLUMN($G$1),r,INDEX($G641:$AAB641,1,SEQUENCE(1,width)),flat,TOCOL(r,1),bad,FILTER(flat,COUNTIF('リスト'!$E:$E,flat)=0),IFERROR(TEXTJOIN(""\n"",TRUE,bad),""""))"),"")</f>
        <v/>
      </c>
      <c r="AC641" s="185"/>
      <c r="AD641" s="185"/>
    </row>
    <row r="642">
      <c r="A642" s="185"/>
      <c r="B642" s="185"/>
      <c r="C642" s="185"/>
      <c r="D642" s="185"/>
      <c r="E642" s="203"/>
      <c r="F642" s="203"/>
      <c r="G642" s="185"/>
      <c r="H642" s="185"/>
      <c r="I642" s="185"/>
      <c r="J642" s="185"/>
      <c r="K642" s="185"/>
      <c r="L642" s="185"/>
      <c r="M642" s="185"/>
      <c r="N642" s="185"/>
      <c r="O642" s="185"/>
      <c r="P642" s="185"/>
      <c r="Q642" s="185"/>
      <c r="R642" s="185"/>
      <c r="S642" s="185"/>
      <c r="T642" s="185"/>
      <c r="U642" s="185"/>
      <c r="V642" s="185"/>
      <c r="W642" s="185"/>
      <c r="X642" s="185"/>
      <c r="Y642" s="185"/>
      <c r="Z642" s="185"/>
      <c r="AA642" s="185"/>
      <c r="AB642" s="185" t="str">
        <f>IFERROR(__xludf.DUMMYFUNCTION("LET(width,COLUMN($AB$1)-COLUMN($G$1),r,INDEX($G642:$AAB642,1,SEQUENCE(1,width)),flat,TOCOL(r,1),bad,FILTER(flat,COUNTIF('リスト'!$E:$E,flat)=0),IFERROR(TEXTJOIN(""\n"",TRUE,bad),""""))"),"")</f>
        <v/>
      </c>
      <c r="AC642" s="185"/>
      <c r="AD642" s="185"/>
    </row>
    <row r="643">
      <c r="A643" s="185"/>
      <c r="B643" s="185"/>
      <c r="C643" s="185"/>
      <c r="D643" s="185"/>
      <c r="E643" s="203"/>
      <c r="F643" s="203"/>
      <c r="G643" s="185"/>
      <c r="H643" s="185"/>
      <c r="I643" s="185"/>
      <c r="J643" s="185"/>
      <c r="K643" s="185"/>
      <c r="L643" s="185"/>
      <c r="M643" s="185"/>
      <c r="N643" s="185"/>
      <c r="O643" s="185"/>
      <c r="P643" s="185"/>
      <c r="Q643" s="185"/>
      <c r="R643" s="185"/>
      <c r="S643" s="185"/>
      <c r="T643" s="185"/>
      <c r="U643" s="185"/>
      <c r="V643" s="185"/>
      <c r="W643" s="185"/>
      <c r="X643" s="185"/>
      <c r="Y643" s="185"/>
      <c r="Z643" s="185"/>
      <c r="AA643" s="185"/>
      <c r="AB643" s="185" t="str">
        <f>IFERROR(__xludf.DUMMYFUNCTION("LET(width,COLUMN($AB$1)-COLUMN($G$1),r,INDEX($G643:$AAB643,1,SEQUENCE(1,width)),flat,TOCOL(r,1),bad,FILTER(flat,COUNTIF('リスト'!$E:$E,flat)=0),IFERROR(TEXTJOIN(""\n"",TRUE,bad),""""))"),"")</f>
        <v/>
      </c>
      <c r="AC643" s="185"/>
      <c r="AD643" s="185"/>
    </row>
    <row r="644">
      <c r="A644" s="185"/>
      <c r="B644" s="185"/>
      <c r="C644" s="185"/>
      <c r="D644" s="185"/>
      <c r="E644" s="203"/>
      <c r="F644" s="203"/>
      <c r="G644" s="185"/>
      <c r="H644" s="185"/>
      <c r="I644" s="185"/>
      <c r="J644" s="185"/>
      <c r="K644" s="185"/>
      <c r="L644" s="185"/>
      <c r="M644" s="185"/>
      <c r="N644" s="185"/>
      <c r="O644" s="185"/>
      <c r="P644" s="185"/>
      <c r="Q644" s="185"/>
      <c r="R644" s="185"/>
      <c r="S644" s="185"/>
      <c r="T644" s="185"/>
      <c r="U644" s="185"/>
      <c r="V644" s="185"/>
      <c r="W644" s="185"/>
      <c r="X644" s="185"/>
      <c r="Y644" s="185"/>
      <c r="Z644" s="185"/>
      <c r="AA644" s="185"/>
      <c r="AB644" s="185" t="str">
        <f>IFERROR(__xludf.DUMMYFUNCTION("LET(width,COLUMN($AB$1)-COLUMN($G$1),r,INDEX($G644:$AAB644,1,SEQUENCE(1,width)),flat,TOCOL(r,1),bad,FILTER(flat,COUNTIF('リスト'!$E:$E,flat)=0),IFERROR(TEXTJOIN(""\n"",TRUE,bad),""""))"),"")</f>
        <v/>
      </c>
      <c r="AC644" s="185"/>
      <c r="AD644" s="185"/>
    </row>
    <row r="645">
      <c r="A645" s="185"/>
      <c r="B645" s="185"/>
      <c r="C645" s="185"/>
      <c r="D645" s="185"/>
      <c r="E645" s="203"/>
      <c r="F645" s="203"/>
      <c r="G645" s="185"/>
      <c r="H645" s="185"/>
      <c r="I645" s="185"/>
      <c r="J645" s="185"/>
      <c r="K645" s="185"/>
      <c r="L645" s="185"/>
      <c r="M645" s="185"/>
      <c r="N645" s="185"/>
      <c r="O645" s="185"/>
      <c r="P645" s="185"/>
      <c r="Q645" s="185"/>
      <c r="R645" s="185"/>
      <c r="S645" s="185"/>
      <c r="T645" s="185"/>
      <c r="U645" s="185"/>
      <c r="V645" s="185"/>
      <c r="W645" s="185"/>
      <c r="X645" s="185"/>
      <c r="Y645" s="185"/>
      <c r="Z645" s="185"/>
      <c r="AA645" s="185"/>
      <c r="AB645" s="185" t="str">
        <f>IFERROR(__xludf.DUMMYFUNCTION("LET(width,COLUMN($AB$1)-COLUMN($G$1),r,INDEX($G645:$AAB645,1,SEQUENCE(1,width)),flat,TOCOL(r,1),bad,FILTER(flat,COUNTIF('リスト'!$E:$E,flat)=0),IFERROR(TEXTJOIN(""\n"",TRUE,bad),""""))"),"")</f>
        <v/>
      </c>
      <c r="AC645" s="185"/>
      <c r="AD645" s="185"/>
    </row>
    <row r="646">
      <c r="A646" s="185"/>
      <c r="B646" s="185"/>
      <c r="C646" s="185"/>
      <c r="D646" s="185"/>
      <c r="E646" s="203"/>
      <c r="F646" s="203"/>
      <c r="G646" s="185"/>
      <c r="H646" s="185"/>
      <c r="I646" s="185"/>
      <c r="J646" s="185"/>
      <c r="K646" s="185"/>
      <c r="L646" s="185"/>
      <c r="M646" s="185"/>
      <c r="N646" s="185"/>
      <c r="O646" s="185"/>
      <c r="P646" s="185"/>
      <c r="Q646" s="185"/>
      <c r="R646" s="185"/>
      <c r="S646" s="185"/>
      <c r="T646" s="185"/>
      <c r="U646" s="185"/>
      <c r="V646" s="185"/>
      <c r="W646" s="185"/>
      <c r="X646" s="185"/>
      <c r="Y646" s="185"/>
      <c r="Z646" s="185"/>
      <c r="AA646" s="185"/>
      <c r="AB646" s="185" t="str">
        <f>IFERROR(__xludf.DUMMYFUNCTION("LET(width,COLUMN($AB$1)-COLUMN($G$1),r,INDEX($G646:$AAB646,1,SEQUENCE(1,width)),flat,TOCOL(r,1),bad,FILTER(flat,COUNTIF('リスト'!$E:$E,flat)=0),IFERROR(TEXTJOIN(""\n"",TRUE,bad),""""))"),"")</f>
        <v/>
      </c>
      <c r="AC646" s="185"/>
      <c r="AD646" s="185"/>
    </row>
    <row r="647">
      <c r="A647" s="185"/>
      <c r="B647" s="185"/>
      <c r="C647" s="185"/>
      <c r="D647" s="185"/>
      <c r="E647" s="203"/>
      <c r="F647" s="203"/>
      <c r="G647" s="185"/>
      <c r="H647" s="185"/>
      <c r="I647" s="185"/>
      <c r="J647" s="185"/>
      <c r="K647" s="185"/>
      <c r="L647" s="185"/>
      <c r="M647" s="185"/>
      <c r="N647" s="185"/>
      <c r="O647" s="185"/>
      <c r="P647" s="185"/>
      <c r="Q647" s="185"/>
      <c r="R647" s="185"/>
      <c r="S647" s="185"/>
      <c r="T647" s="185"/>
      <c r="U647" s="185"/>
      <c r="V647" s="185"/>
      <c r="W647" s="185"/>
      <c r="X647" s="185"/>
      <c r="Y647" s="185"/>
      <c r="Z647" s="185"/>
      <c r="AA647" s="185"/>
      <c r="AB647" s="185" t="str">
        <f>IFERROR(__xludf.DUMMYFUNCTION("LET(width,COLUMN($AB$1)-COLUMN($G$1),r,INDEX($G647:$AAB647,1,SEQUENCE(1,width)),flat,TOCOL(r,1),bad,FILTER(flat,COUNTIF('リスト'!$E:$E,flat)=0),IFERROR(TEXTJOIN(""\n"",TRUE,bad),""""))"),"")</f>
        <v/>
      </c>
      <c r="AC647" s="185"/>
      <c r="AD647" s="185"/>
    </row>
    <row r="648">
      <c r="A648" s="185"/>
      <c r="B648" s="185"/>
      <c r="C648" s="185"/>
      <c r="D648" s="185"/>
      <c r="E648" s="203"/>
      <c r="F648" s="203"/>
      <c r="G648" s="185"/>
      <c r="H648" s="185"/>
      <c r="I648" s="185"/>
      <c r="J648" s="185"/>
      <c r="K648" s="185"/>
      <c r="L648" s="185"/>
      <c r="M648" s="185"/>
      <c r="N648" s="185"/>
      <c r="O648" s="185"/>
      <c r="P648" s="185"/>
      <c r="Q648" s="185"/>
      <c r="R648" s="185"/>
      <c r="S648" s="185"/>
      <c r="T648" s="185"/>
      <c r="U648" s="185"/>
      <c r="V648" s="185"/>
      <c r="W648" s="185"/>
      <c r="X648" s="185"/>
      <c r="Y648" s="185"/>
      <c r="Z648" s="185"/>
      <c r="AA648" s="185"/>
      <c r="AB648" s="185" t="str">
        <f>IFERROR(__xludf.DUMMYFUNCTION("LET(width,COLUMN($AB$1)-COLUMN($G$1),r,INDEX($G648:$AAB648,1,SEQUENCE(1,width)),flat,TOCOL(r,1),bad,FILTER(flat,COUNTIF('リスト'!$E:$E,flat)=0),IFERROR(TEXTJOIN(""\n"",TRUE,bad),""""))"),"")</f>
        <v/>
      </c>
      <c r="AC648" s="185"/>
      <c r="AD648" s="185"/>
    </row>
    <row r="649">
      <c r="A649" s="185"/>
      <c r="B649" s="185"/>
      <c r="C649" s="185"/>
      <c r="D649" s="185"/>
      <c r="E649" s="203"/>
      <c r="F649" s="203"/>
      <c r="G649" s="185"/>
      <c r="H649" s="185"/>
      <c r="I649" s="185"/>
      <c r="J649" s="185"/>
      <c r="K649" s="185"/>
      <c r="L649" s="185"/>
      <c r="M649" s="185"/>
      <c r="N649" s="185"/>
      <c r="O649" s="185"/>
      <c r="P649" s="185"/>
      <c r="Q649" s="185"/>
      <c r="R649" s="185"/>
      <c r="S649" s="185"/>
      <c r="T649" s="185"/>
      <c r="U649" s="185"/>
      <c r="V649" s="185"/>
      <c r="W649" s="185"/>
      <c r="X649" s="185"/>
      <c r="Y649" s="185"/>
      <c r="Z649" s="185"/>
      <c r="AA649" s="185"/>
      <c r="AB649" s="185" t="str">
        <f>IFERROR(__xludf.DUMMYFUNCTION("LET(width,COLUMN($AB$1)-COLUMN($G$1),r,INDEX($G649:$AAB649,1,SEQUENCE(1,width)),flat,TOCOL(r,1),bad,FILTER(flat,COUNTIF('リスト'!$E:$E,flat)=0),IFERROR(TEXTJOIN(""\n"",TRUE,bad),""""))"),"")</f>
        <v/>
      </c>
      <c r="AC649" s="185"/>
      <c r="AD649" s="185"/>
    </row>
    <row r="650">
      <c r="A650" s="185"/>
      <c r="B650" s="185"/>
      <c r="C650" s="185"/>
      <c r="D650" s="185"/>
      <c r="E650" s="203"/>
      <c r="F650" s="203"/>
      <c r="G650" s="185"/>
      <c r="H650" s="185"/>
      <c r="I650" s="185"/>
      <c r="J650" s="185"/>
      <c r="K650" s="185"/>
      <c r="L650" s="185"/>
      <c r="M650" s="185"/>
      <c r="N650" s="185"/>
      <c r="O650" s="185"/>
      <c r="P650" s="185"/>
      <c r="Q650" s="185"/>
      <c r="R650" s="185"/>
      <c r="S650" s="185"/>
      <c r="T650" s="185"/>
      <c r="U650" s="185"/>
      <c r="V650" s="185"/>
      <c r="W650" s="185"/>
      <c r="X650" s="185"/>
      <c r="Y650" s="185"/>
      <c r="Z650" s="185"/>
      <c r="AA650" s="185"/>
      <c r="AB650" s="185" t="str">
        <f>IFERROR(__xludf.DUMMYFUNCTION("LET(width,COLUMN($AB$1)-COLUMN($G$1),r,INDEX($G650:$AAB650,1,SEQUENCE(1,width)),flat,TOCOL(r,1),bad,FILTER(flat,COUNTIF('リスト'!$E:$E,flat)=0),IFERROR(TEXTJOIN(""\n"",TRUE,bad),""""))"),"")</f>
        <v/>
      </c>
      <c r="AC650" s="185"/>
      <c r="AD650" s="185"/>
    </row>
    <row r="651">
      <c r="A651" s="185"/>
      <c r="B651" s="185"/>
      <c r="C651" s="185"/>
      <c r="D651" s="185"/>
      <c r="E651" s="203"/>
      <c r="F651" s="203"/>
      <c r="G651" s="185"/>
      <c r="H651" s="185"/>
      <c r="I651" s="185"/>
      <c r="J651" s="185"/>
      <c r="K651" s="185"/>
      <c r="L651" s="185"/>
      <c r="M651" s="185"/>
      <c r="N651" s="185"/>
      <c r="O651" s="185"/>
      <c r="P651" s="185"/>
      <c r="Q651" s="185"/>
      <c r="R651" s="185"/>
      <c r="S651" s="185"/>
      <c r="T651" s="185"/>
      <c r="U651" s="185"/>
      <c r="V651" s="185"/>
      <c r="W651" s="185"/>
      <c r="X651" s="185"/>
      <c r="Y651" s="185"/>
      <c r="Z651" s="185"/>
      <c r="AA651" s="185"/>
      <c r="AB651" s="185" t="str">
        <f>IFERROR(__xludf.DUMMYFUNCTION("LET(width,COLUMN($AB$1)-COLUMN($G$1),r,INDEX($G651:$AAB651,1,SEQUENCE(1,width)),flat,TOCOL(r,1),bad,FILTER(flat,COUNTIF('リスト'!$E:$E,flat)=0),IFERROR(TEXTJOIN(""\n"",TRUE,bad),""""))"),"")</f>
        <v/>
      </c>
      <c r="AC651" s="185"/>
      <c r="AD651" s="185"/>
    </row>
    <row r="652">
      <c r="A652" s="185"/>
      <c r="B652" s="185"/>
      <c r="C652" s="185"/>
      <c r="D652" s="185"/>
      <c r="E652" s="203"/>
      <c r="F652" s="203"/>
      <c r="G652" s="185"/>
      <c r="H652" s="185"/>
      <c r="I652" s="185"/>
      <c r="J652" s="185"/>
      <c r="K652" s="185"/>
      <c r="L652" s="185"/>
      <c r="M652" s="185"/>
      <c r="N652" s="185"/>
      <c r="O652" s="185"/>
      <c r="P652" s="185"/>
      <c r="Q652" s="185"/>
      <c r="R652" s="185"/>
      <c r="S652" s="185"/>
      <c r="T652" s="185"/>
      <c r="U652" s="185"/>
      <c r="V652" s="185"/>
      <c r="W652" s="185"/>
      <c r="X652" s="185"/>
      <c r="Y652" s="185"/>
      <c r="Z652" s="185"/>
      <c r="AA652" s="185"/>
      <c r="AB652" s="185" t="str">
        <f>IFERROR(__xludf.DUMMYFUNCTION("LET(width,COLUMN($AB$1)-COLUMN($G$1),r,INDEX($G652:$AAB652,1,SEQUENCE(1,width)),flat,TOCOL(r,1),bad,FILTER(flat,COUNTIF('リスト'!$E:$E,flat)=0),IFERROR(TEXTJOIN(""\n"",TRUE,bad),""""))"),"")</f>
        <v/>
      </c>
      <c r="AC652" s="185"/>
      <c r="AD652" s="185"/>
    </row>
    <row r="653">
      <c r="A653" s="185"/>
      <c r="B653" s="185"/>
      <c r="C653" s="185"/>
      <c r="D653" s="185"/>
      <c r="E653" s="203"/>
      <c r="F653" s="203"/>
      <c r="G653" s="185"/>
      <c r="H653" s="185"/>
      <c r="I653" s="185"/>
      <c r="J653" s="185"/>
      <c r="K653" s="185"/>
      <c r="L653" s="185"/>
      <c r="M653" s="185"/>
      <c r="N653" s="185"/>
      <c r="O653" s="185"/>
      <c r="P653" s="185"/>
      <c r="Q653" s="185"/>
      <c r="R653" s="185"/>
      <c r="S653" s="185"/>
      <c r="T653" s="185"/>
      <c r="U653" s="185"/>
      <c r="V653" s="185"/>
      <c r="W653" s="185"/>
      <c r="X653" s="185"/>
      <c r="Y653" s="185"/>
      <c r="Z653" s="185"/>
      <c r="AA653" s="185"/>
      <c r="AB653" s="185" t="str">
        <f>IFERROR(__xludf.DUMMYFUNCTION("LET(width,COLUMN($AB$1)-COLUMN($G$1),r,INDEX($G653:$AAB653,1,SEQUENCE(1,width)),flat,TOCOL(r,1),bad,FILTER(flat,COUNTIF('リスト'!$E:$E,flat)=0),IFERROR(TEXTJOIN(""\n"",TRUE,bad),""""))"),"")</f>
        <v/>
      </c>
      <c r="AC653" s="185"/>
      <c r="AD653" s="185"/>
    </row>
    <row r="654">
      <c r="A654" s="185"/>
      <c r="B654" s="185"/>
      <c r="C654" s="185"/>
      <c r="D654" s="185"/>
      <c r="E654" s="203"/>
      <c r="F654" s="203"/>
      <c r="G654" s="185"/>
      <c r="H654" s="185"/>
      <c r="I654" s="185"/>
      <c r="J654" s="185"/>
      <c r="K654" s="185"/>
      <c r="L654" s="185"/>
      <c r="M654" s="185"/>
      <c r="N654" s="185"/>
      <c r="O654" s="185"/>
      <c r="P654" s="185"/>
      <c r="Q654" s="185"/>
      <c r="R654" s="185"/>
      <c r="S654" s="185"/>
      <c r="T654" s="185"/>
      <c r="U654" s="185"/>
      <c r="V654" s="185"/>
      <c r="W654" s="185"/>
      <c r="X654" s="185"/>
      <c r="Y654" s="185"/>
      <c r="Z654" s="185"/>
      <c r="AA654" s="185"/>
      <c r="AB654" s="185" t="str">
        <f>IFERROR(__xludf.DUMMYFUNCTION("LET(width,COLUMN($AB$1)-COLUMN($G$1),r,INDEX($G654:$AAB654,1,SEQUENCE(1,width)),flat,TOCOL(r,1),bad,FILTER(flat,COUNTIF('リスト'!$E:$E,flat)=0),IFERROR(TEXTJOIN(""\n"",TRUE,bad),""""))"),"")</f>
        <v/>
      </c>
      <c r="AC654" s="185"/>
      <c r="AD654" s="185"/>
    </row>
    <row r="655">
      <c r="A655" s="185"/>
      <c r="B655" s="185"/>
      <c r="C655" s="185"/>
      <c r="D655" s="185"/>
      <c r="E655" s="203"/>
      <c r="F655" s="203"/>
      <c r="G655" s="185"/>
      <c r="H655" s="185"/>
      <c r="I655" s="185"/>
      <c r="J655" s="185"/>
      <c r="K655" s="185"/>
      <c r="L655" s="185"/>
      <c r="M655" s="185"/>
      <c r="N655" s="185"/>
      <c r="O655" s="185"/>
      <c r="P655" s="185"/>
      <c r="Q655" s="185"/>
      <c r="R655" s="185"/>
      <c r="S655" s="185"/>
      <c r="T655" s="185"/>
      <c r="U655" s="185"/>
      <c r="V655" s="185"/>
      <c r="W655" s="185"/>
      <c r="X655" s="185"/>
      <c r="Y655" s="185"/>
      <c r="Z655" s="185"/>
      <c r="AA655" s="185"/>
      <c r="AB655" s="185" t="str">
        <f>IFERROR(__xludf.DUMMYFUNCTION("LET(width,COLUMN($AB$1)-COLUMN($G$1),r,INDEX($G655:$AAB655,1,SEQUENCE(1,width)),flat,TOCOL(r,1),bad,FILTER(flat,COUNTIF('リスト'!$E:$E,flat)=0),IFERROR(TEXTJOIN(""\n"",TRUE,bad),""""))"),"")</f>
        <v/>
      </c>
      <c r="AC655" s="185"/>
      <c r="AD655" s="185"/>
    </row>
    <row r="656">
      <c r="A656" s="185"/>
      <c r="B656" s="185"/>
      <c r="C656" s="185"/>
      <c r="D656" s="185"/>
      <c r="E656" s="203"/>
      <c r="F656" s="203"/>
      <c r="G656" s="185"/>
      <c r="H656" s="185"/>
      <c r="I656" s="185"/>
      <c r="J656" s="185"/>
      <c r="K656" s="185"/>
      <c r="L656" s="185"/>
      <c r="M656" s="185"/>
      <c r="N656" s="185"/>
      <c r="O656" s="185"/>
      <c r="P656" s="185"/>
      <c r="Q656" s="185"/>
      <c r="R656" s="185"/>
      <c r="S656" s="185"/>
      <c r="T656" s="185"/>
      <c r="U656" s="185"/>
      <c r="V656" s="185"/>
      <c r="W656" s="185"/>
      <c r="X656" s="185"/>
      <c r="Y656" s="185"/>
      <c r="Z656" s="185"/>
      <c r="AA656" s="185"/>
      <c r="AB656" s="185" t="str">
        <f>IFERROR(__xludf.DUMMYFUNCTION("LET(width,COLUMN($AB$1)-COLUMN($G$1),r,INDEX($G656:$AAB656,1,SEQUENCE(1,width)),flat,TOCOL(r,1),bad,FILTER(flat,COUNTIF('リスト'!$E:$E,flat)=0),IFERROR(TEXTJOIN(""\n"",TRUE,bad),""""))"),"")</f>
        <v/>
      </c>
      <c r="AC656" s="185"/>
      <c r="AD656" s="185"/>
    </row>
    <row r="657">
      <c r="A657" s="185"/>
      <c r="B657" s="185"/>
      <c r="C657" s="185"/>
      <c r="D657" s="185"/>
      <c r="E657" s="203"/>
      <c r="F657" s="203"/>
      <c r="G657" s="185"/>
      <c r="H657" s="185"/>
      <c r="I657" s="185"/>
      <c r="J657" s="185"/>
      <c r="K657" s="185"/>
      <c r="L657" s="185"/>
      <c r="M657" s="185"/>
      <c r="N657" s="185"/>
      <c r="O657" s="185"/>
      <c r="P657" s="185"/>
      <c r="Q657" s="185"/>
      <c r="R657" s="185"/>
      <c r="S657" s="185"/>
      <c r="T657" s="185"/>
      <c r="U657" s="185"/>
      <c r="V657" s="185"/>
      <c r="W657" s="185"/>
      <c r="X657" s="185"/>
      <c r="Y657" s="185"/>
      <c r="Z657" s="185"/>
      <c r="AA657" s="185"/>
      <c r="AB657" s="185" t="str">
        <f>IFERROR(__xludf.DUMMYFUNCTION("LET(width,COLUMN($AB$1)-COLUMN($G$1),r,INDEX($G657:$AAB657,1,SEQUENCE(1,width)),flat,TOCOL(r,1),bad,FILTER(flat,COUNTIF('リスト'!$E:$E,flat)=0),IFERROR(TEXTJOIN(""\n"",TRUE,bad),""""))"),"")</f>
        <v/>
      </c>
      <c r="AC657" s="185"/>
      <c r="AD657" s="185"/>
    </row>
    <row r="658">
      <c r="A658" s="185"/>
      <c r="B658" s="185"/>
      <c r="C658" s="185"/>
      <c r="D658" s="185"/>
      <c r="E658" s="203"/>
      <c r="F658" s="203"/>
      <c r="G658" s="185"/>
      <c r="H658" s="185"/>
      <c r="I658" s="185"/>
      <c r="J658" s="185"/>
      <c r="K658" s="185"/>
      <c r="L658" s="185"/>
      <c r="M658" s="185"/>
      <c r="N658" s="185"/>
      <c r="O658" s="185"/>
      <c r="P658" s="185"/>
      <c r="Q658" s="185"/>
      <c r="R658" s="185"/>
      <c r="S658" s="185"/>
      <c r="T658" s="185"/>
      <c r="U658" s="185"/>
      <c r="V658" s="185"/>
      <c r="W658" s="185"/>
      <c r="X658" s="185"/>
      <c r="Y658" s="185"/>
      <c r="Z658" s="185"/>
      <c r="AA658" s="185"/>
      <c r="AB658" s="185" t="str">
        <f>IFERROR(__xludf.DUMMYFUNCTION("LET(width,COLUMN($AB$1)-COLUMN($G$1),r,INDEX($G658:$AAB658,1,SEQUENCE(1,width)),flat,TOCOL(r,1),bad,FILTER(flat,COUNTIF('リスト'!$E:$E,flat)=0),IFERROR(TEXTJOIN(""\n"",TRUE,bad),""""))"),"")</f>
        <v/>
      </c>
      <c r="AC658" s="185"/>
      <c r="AD658" s="185"/>
    </row>
    <row r="659">
      <c r="A659" s="185"/>
      <c r="B659" s="185"/>
      <c r="C659" s="185"/>
      <c r="D659" s="185"/>
      <c r="E659" s="203"/>
      <c r="F659" s="203"/>
      <c r="G659" s="185"/>
      <c r="H659" s="185"/>
      <c r="I659" s="185"/>
      <c r="J659" s="185"/>
      <c r="K659" s="185"/>
      <c r="L659" s="185"/>
      <c r="M659" s="185"/>
      <c r="N659" s="185"/>
      <c r="O659" s="185"/>
      <c r="P659" s="185"/>
      <c r="Q659" s="185"/>
      <c r="R659" s="185"/>
      <c r="S659" s="185"/>
      <c r="T659" s="185"/>
      <c r="U659" s="185"/>
      <c r="V659" s="185"/>
      <c r="W659" s="185"/>
      <c r="X659" s="185"/>
      <c r="Y659" s="185"/>
      <c r="Z659" s="185"/>
      <c r="AA659" s="185"/>
      <c r="AB659" s="185" t="str">
        <f>IFERROR(__xludf.DUMMYFUNCTION("LET(width,COLUMN($AB$1)-COLUMN($G$1),r,INDEX($G659:$AAB659,1,SEQUENCE(1,width)),flat,TOCOL(r,1),bad,FILTER(flat,COUNTIF('リスト'!$E:$E,flat)=0),IFERROR(TEXTJOIN(""\n"",TRUE,bad),""""))"),"")</f>
        <v/>
      </c>
      <c r="AC659" s="185"/>
      <c r="AD659" s="185"/>
    </row>
    <row r="660">
      <c r="A660" s="185"/>
      <c r="B660" s="185"/>
      <c r="C660" s="185"/>
      <c r="D660" s="185"/>
      <c r="E660" s="203"/>
      <c r="F660" s="203"/>
      <c r="G660" s="185"/>
      <c r="H660" s="185"/>
      <c r="I660" s="185"/>
      <c r="J660" s="185"/>
      <c r="K660" s="185"/>
      <c r="L660" s="185"/>
      <c r="M660" s="185"/>
      <c r="N660" s="185"/>
      <c r="O660" s="185"/>
      <c r="P660" s="185"/>
      <c r="Q660" s="185"/>
      <c r="R660" s="185"/>
      <c r="S660" s="185"/>
      <c r="T660" s="185"/>
      <c r="U660" s="185"/>
      <c r="V660" s="185"/>
      <c r="W660" s="185"/>
      <c r="X660" s="185"/>
      <c r="Y660" s="185"/>
      <c r="Z660" s="185"/>
      <c r="AA660" s="185"/>
      <c r="AB660" s="185" t="str">
        <f>IFERROR(__xludf.DUMMYFUNCTION("LET(width,COLUMN($AB$1)-COLUMN($G$1),r,INDEX($G660:$AAB660,1,SEQUENCE(1,width)),flat,TOCOL(r,1),bad,FILTER(flat,COUNTIF('リスト'!$E:$E,flat)=0),IFERROR(TEXTJOIN(""\n"",TRUE,bad),""""))"),"")</f>
        <v/>
      </c>
      <c r="AC660" s="185"/>
      <c r="AD660" s="185"/>
    </row>
    <row r="661">
      <c r="A661" s="185"/>
      <c r="B661" s="185"/>
      <c r="C661" s="185"/>
      <c r="D661" s="185"/>
      <c r="E661" s="203"/>
      <c r="F661" s="203"/>
      <c r="G661" s="185"/>
      <c r="H661" s="185"/>
      <c r="I661" s="185"/>
      <c r="J661" s="185"/>
      <c r="K661" s="185"/>
      <c r="L661" s="185"/>
      <c r="M661" s="185"/>
      <c r="N661" s="185"/>
      <c r="O661" s="185"/>
      <c r="P661" s="185"/>
      <c r="Q661" s="185"/>
      <c r="R661" s="185"/>
      <c r="S661" s="185"/>
      <c r="T661" s="185"/>
      <c r="U661" s="185"/>
      <c r="V661" s="185"/>
      <c r="W661" s="185"/>
      <c r="X661" s="185"/>
      <c r="Y661" s="185"/>
      <c r="Z661" s="185"/>
      <c r="AA661" s="185"/>
      <c r="AB661" s="185" t="str">
        <f>IFERROR(__xludf.DUMMYFUNCTION("LET(width,COLUMN($AB$1)-COLUMN($G$1),r,INDEX($G661:$AAB661,1,SEQUENCE(1,width)),flat,TOCOL(r,1),bad,FILTER(flat,COUNTIF('リスト'!$E:$E,flat)=0),IFERROR(TEXTJOIN(""\n"",TRUE,bad),""""))"),"")</f>
        <v/>
      </c>
      <c r="AC661" s="185"/>
      <c r="AD661" s="185"/>
    </row>
    <row r="662">
      <c r="A662" s="185"/>
      <c r="B662" s="185"/>
      <c r="C662" s="185"/>
      <c r="D662" s="185"/>
      <c r="E662" s="203"/>
      <c r="F662" s="203"/>
      <c r="G662" s="185"/>
      <c r="H662" s="185"/>
      <c r="I662" s="185"/>
      <c r="J662" s="185"/>
      <c r="K662" s="185"/>
      <c r="L662" s="185"/>
      <c r="M662" s="185"/>
      <c r="N662" s="185"/>
      <c r="O662" s="185"/>
      <c r="P662" s="185"/>
      <c r="Q662" s="185"/>
      <c r="R662" s="185"/>
      <c r="S662" s="185"/>
      <c r="T662" s="185"/>
      <c r="U662" s="185"/>
      <c r="V662" s="185"/>
      <c r="W662" s="185"/>
      <c r="X662" s="185"/>
      <c r="Y662" s="185"/>
      <c r="Z662" s="185"/>
      <c r="AA662" s="185"/>
      <c r="AB662" s="185" t="str">
        <f>IFERROR(__xludf.DUMMYFUNCTION("LET(width,COLUMN($AB$1)-COLUMN($G$1),r,INDEX($G662:$AAB662,1,SEQUENCE(1,width)),flat,TOCOL(r,1),bad,FILTER(flat,COUNTIF('リスト'!$E:$E,flat)=0),IFERROR(TEXTJOIN(""\n"",TRUE,bad),""""))"),"")</f>
        <v/>
      </c>
      <c r="AC662" s="185"/>
      <c r="AD662" s="185"/>
    </row>
    <row r="663">
      <c r="A663" s="185"/>
      <c r="B663" s="185"/>
      <c r="C663" s="185"/>
      <c r="D663" s="185"/>
      <c r="E663" s="203"/>
      <c r="F663" s="203"/>
      <c r="G663" s="185"/>
      <c r="H663" s="185"/>
      <c r="I663" s="185"/>
      <c r="J663" s="185"/>
      <c r="K663" s="185"/>
      <c r="L663" s="185"/>
      <c r="M663" s="185"/>
      <c r="N663" s="185"/>
      <c r="O663" s="185"/>
      <c r="P663" s="185"/>
      <c r="Q663" s="185"/>
      <c r="R663" s="185"/>
      <c r="S663" s="185"/>
      <c r="T663" s="185"/>
      <c r="U663" s="185"/>
      <c r="V663" s="185"/>
      <c r="W663" s="185"/>
      <c r="X663" s="185"/>
      <c r="Y663" s="185"/>
      <c r="Z663" s="185"/>
      <c r="AA663" s="185"/>
      <c r="AB663" s="185" t="str">
        <f>IFERROR(__xludf.DUMMYFUNCTION("LET(width,COLUMN($AB$1)-COLUMN($G$1),r,INDEX($G663:$AAB663,1,SEQUENCE(1,width)),flat,TOCOL(r,1),bad,FILTER(flat,COUNTIF('リスト'!$E:$E,flat)=0),IFERROR(TEXTJOIN(""\n"",TRUE,bad),""""))"),"")</f>
        <v/>
      </c>
      <c r="AC663" s="185"/>
      <c r="AD663" s="185"/>
    </row>
    <row r="664">
      <c r="A664" s="185"/>
      <c r="B664" s="185"/>
      <c r="C664" s="185"/>
      <c r="D664" s="185"/>
      <c r="E664" s="203"/>
      <c r="F664" s="203"/>
      <c r="G664" s="185"/>
      <c r="H664" s="185"/>
      <c r="I664" s="185"/>
      <c r="J664" s="185"/>
      <c r="K664" s="185"/>
      <c r="L664" s="185"/>
      <c r="M664" s="185"/>
      <c r="N664" s="185"/>
      <c r="O664" s="185"/>
      <c r="P664" s="185"/>
      <c r="Q664" s="185"/>
      <c r="R664" s="185"/>
      <c r="S664" s="185"/>
      <c r="T664" s="185"/>
      <c r="U664" s="185"/>
      <c r="V664" s="185"/>
      <c r="W664" s="185"/>
      <c r="X664" s="185"/>
      <c r="Y664" s="185"/>
      <c r="Z664" s="185"/>
      <c r="AA664" s="185"/>
      <c r="AB664" s="185" t="str">
        <f>IFERROR(__xludf.DUMMYFUNCTION("LET(width,COLUMN($AB$1)-COLUMN($G$1),r,INDEX($G664:$AAB664,1,SEQUENCE(1,width)),flat,TOCOL(r,1),bad,FILTER(flat,COUNTIF('リスト'!$E:$E,flat)=0),IFERROR(TEXTJOIN(""\n"",TRUE,bad),""""))"),"")</f>
        <v/>
      </c>
      <c r="AC664" s="185"/>
      <c r="AD664" s="185"/>
    </row>
    <row r="665">
      <c r="A665" s="185"/>
      <c r="B665" s="185"/>
      <c r="C665" s="185"/>
      <c r="D665" s="185"/>
      <c r="E665" s="203"/>
      <c r="F665" s="203"/>
      <c r="G665" s="185"/>
      <c r="H665" s="185"/>
      <c r="I665" s="185"/>
      <c r="J665" s="185"/>
      <c r="K665" s="185"/>
      <c r="L665" s="185"/>
      <c r="M665" s="185"/>
      <c r="N665" s="185"/>
      <c r="O665" s="185"/>
      <c r="P665" s="185"/>
      <c r="Q665" s="185"/>
      <c r="R665" s="185"/>
      <c r="S665" s="185"/>
      <c r="T665" s="185"/>
      <c r="U665" s="185"/>
      <c r="V665" s="185"/>
      <c r="W665" s="185"/>
      <c r="X665" s="185"/>
      <c r="Y665" s="185"/>
      <c r="Z665" s="185"/>
      <c r="AA665" s="185"/>
      <c r="AB665" s="185" t="str">
        <f>IFERROR(__xludf.DUMMYFUNCTION("LET(width,COLUMN($AB$1)-COLUMN($G$1),r,INDEX($G665:$AAB665,1,SEQUENCE(1,width)),flat,TOCOL(r,1),bad,FILTER(flat,COUNTIF('リスト'!$E:$E,flat)=0),IFERROR(TEXTJOIN(""\n"",TRUE,bad),""""))"),"")</f>
        <v/>
      </c>
      <c r="AC665" s="185"/>
      <c r="AD665" s="185"/>
    </row>
    <row r="666">
      <c r="A666" s="185"/>
      <c r="B666" s="185"/>
      <c r="C666" s="185"/>
      <c r="D666" s="185"/>
      <c r="E666" s="203"/>
      <c r="F666" s="203"/>
      <c r="G666" s="185"/>
      <c r="H666" s="185"/>
      <c r="I666" s="185"/>
      <c r="J666" s="185"/>
      <c r="K666" s="185"/>
      <c r="L666" s="185"/>
      <c r="M666" s="185"/>
      <c r="N666" s="185"/>
      <c r="O666" s="185"/>
      <c r="P666" s="185"/>
      <c r="Q666" s="185"/>
      <c r="R666" s="185"/>
      <c r="S666" s="185"/>
      <c r="T666" s="185"/>
      <c r="U666" s="185"/>
      <c r="V666" s="185"/>
      <c r="W666" s="185"/>
      <c r="X666" s="185"/>
      <c r="Y666" s="185"/>
      <c r="Z666" s="185"/>
      <c r="AA666" s="185"/>
      <c r="AB666" s="185" t="str">
        <f>IFERROR(__xludf.DUMMYFUNCTION("LET(width,COLUMN($AB$1)-COLUMN($G$1),r,INDEX($G666:$AAB666,1,SEQUENCE(1,width)),flat,TOCOL(r,1),bad,FILTER(flat,COUNTIF('リスト'!$E:$E,flat)=0),IFERROR(TEXTJOIN(""\n"",TRUE,bad),""""))"),"")</f>
        <v/>
      </c>
      <c r="AC666" s="185"/>
      <c r="AD666" s="185"/>
    </row>
    <row r="667">
      <c r="A667" s="185"/>
      <c r="B667" s="185"/>
      <c r="C667" s="185"/>
      <c r="D667" s="185"/>
      <c r="E667" s="203"/>
      <c r="F667" s="203"/>
      <c r="G667" s="185"/>
      <c r="H667" s="185"/>
      <c r="I667" s="185"/>
      <c r="J667" s="185"/>
      <c r="K667" s="185"/>
      <c r="L667" s="185"/>
      <c r="M667" s="185"/>
      <c r="N667" s="185"/>
      <c r="O667" s="185"/>
      <c r="P667" s="185"/>
      <c r="Q667" s="185"/>
      <c r="R667" s="185"/>
      <c r="S667" s="185"/>
      <c r="T667" s="185"/>
      <c r="U667" s="185"/>
      <c r="V667" s="185"/>
      <c r="W667" s="185"/>
      <c r="X667" s="185"/>
      <c r="Y667" s="185"/>
      <c r="Z667" s="185"/>
      <c r="AA667" s="185"/>
      <c r="AB667" s="185" t="str">
        <f>IFERROR(__xludf.DUMMYFUNCTION("LET(width,COLUMN($AB$1)-COLUMN($G$1),r,INDEX($G667:$AAB667,1,SEQUENCE(1,width)),flat,TOCOL(r,1),bad,FILTER(flat,COUNTIF('リスト'!$E:$E,flat)=0),IFERROR(TEXTJOIN(""\n"",TRUE,bad),""""))"),"")</f>
        <v/>
      </c>
      <c r="AC667" s="185"/>
      <c r="AD667" s="185"/>
    </row>
    <row r="668">
      <c r="A668" s="185"/>
      <c r="B668" s="185"/>
      <c r="C668" s="185"/>
      <c r="D668" s="185"/>
      <c r="E668" s="203"/>
      <c r="F668" s="203"/>
      <c r="G668" s="185"/>
      <c r="H668" s="185"/>
      <c r="I668" s="185"/>
      <c r="J668" s="185"/>
      <c r="K668" s="185"/>
      <c r="L668" s="185"/>
      <c r="M668" s="185"/>
      <c r="N668" s="185"/>
      <c r="O668" s="185"/>
      <c r="P668" s="185"/>
      <c r="Q668" s="185"/>
      <c r="R668" s="185"/>
      <c r="S668" s="185"/>
      <c r="T668" s="185"/>
      <c r="U668" s="185"/>
      <c r="V668" s="185"/>
      <c r="W668" s="185"/>
      <c r="X668" s="185"/>
      <c r="Y668" s="185"/>
      <c r="Z668" s="185"/>
      <c r="AA668" s="185"/>
      <c r="AB668" s="185" t="str">
        <f>IFERROR(__xludf.DUMMYFUNCTION("LET(width,COLUMN($AB$1)-COLUMN($G$1),r,INDEX($G668:$AAB668,1,SEQUENCE(1,width)),flat,TOCOL(r,1),bad,FILTER(flat,COUNTIF('リスト'!$E:$E,flat)=0),IFERROR(TEXTJOIN(""\n"",TRUE,bad),""""))"),"")</f>
        <v/>
      </c>
      <c r="AC668" s="185"/>
      <c r="AD668" s="185"/>
    </row>
    <row r="669">
      <c r="A669" s="185"/>
      <c r="B669" s="185"/>
      <c r="C669" s="185"/>
      <c r="D669" s="185"/>
      <c r="E669" s="203"/>
      <c r="F669" s="203"/>
      <c r="G669" s="185"/>
      <c r="H669" s="185"/>
      <c r="I669" s="185"/>
      <c r="J669" s="185"/>
      <c r="K669" s="185"/>
      <c r="L669" s="185"/>
      <c r="M669" s="185"/>
      <c r="N669" s="185"/>
      <c r="O669" s="185"/>
      <c r="P669" s="185"/>
      <c r="Q669" s="185"/>
      <c r="R669" s="185"/>
      <c r="S669" s="185"/>
      <c r="T669" s="185"/>
      <c r="U669" s="185"/>
      <c r="V669" s="185"/>
      <c r="W669" s="185"/>
      <c r="X669" s="185"/>
      <c r="Y669" s="185"/>
      <c r="Z669" s="185"/>
      <c r="AA669" s="185"/>
      <c r="AB669" s="185" t="str">
        <f>IFERROR(__xludf.DUMMYFUNCTION("LET(width,COLUMN($AB$1)-COLUMN($G$1),r,INDEX($G669:$AAB669,1,SEQUENCE(1,width)),flat,TOCOL(r,1),bad,FILTER(flat,COUNTIF('リスト'!$E:$E,flat)=0),IFERROR(TEXTJOIN(""\n"",TRUE,bad),""""))"),"")</f>
        <v/>
      </c>
      <c r="AC669" s="185"/>
      <c r="AD669" s="185"/>
    </row>
    <row r="670">
      <c r="A670" s="185"/>
      <c r="B670" s="185"/>
      <c r="C670" s="185"/>
      <c r="D670" s="185"/>
      <c r="E670" s="203"/>
      <c r="F670" s="203"/>
      <c r="G670" s="185"/>
      <c r="H670" s="185"/>
      <c r="I670" s="185"/>
      <c r="J670" s="185"/>
      <c r="K670" s="185"/>
      <c r="L670" s="185"/>
      <c r="M670" s="185"/>
      <c r="N670" s="185"/>
      <c r="O670" s="185"/>
      <c r="P670" s="185"/>
      <c r="Q670" s="185"/>
      <c r="R670" s="185"/>
      <c r="S670" s="185"/>
      <c r="T670" s="185"/>
      <c r="U670" s="185"/>
      <c r="V670" s="185"/>
      <c r="W670" s="185"/>
      <c r="X670" s="185"/>
      <c r="Y670" s="185"/>
      <c r="Z670" s="185"/>
      <c r="AA670" s="185"/>
      <c r="AB670" s="185" t="str">
        <f>IFERROR(__xludf.DUMMYFUNCTION("LET(width,COLUMN($AB$1)-COLUMN($G$1),r,INDEX($G670:$AAB670,1,SEQUENCE(1,width)),flat,TOCOL(r,1),bad,FILTER(flat,COUNTIF('リスト'!$E:$E,flat)=0),IFERROR(TEXTJOIN(""\n"",TRUE,bad),""""))"),"")</f>
        <v/>
      </c>
      <c r="AC670" s="185"/>
      <c r="AD670" s="185"/>
    </row>
    <row r="671">
      <c r="A671" s="185"/>
      <c r="B671" s="185"/>
      <c r="C671" s="185"/>
      <c r="D671" s="185"/>
      <c r="E671" s="203"/>
      <c r="F671" s="203"/>
      <c r="G671" s="185"/>
      <c r="H671" s="185"/>
      <c r="I671" s="185"/>
      <c r="J671" s="185"/>
      <c r="K671" s="185"/>
      <c r="L671" s="185"/>
      <c r="M671" s="185"/>
      <c r="N671" s="185"/>
      <c r="O671" s="185"/>
      <c r="P671" s="185"/>
      <c r="Q671" s="185"/>
      <c r="R671" s="185"/>
      <c r="S671" s="185"/>
      <c r="T671" s="185"/>
      <c r="U671" s="185"/>
      <c r="V671" s="185"/>
      <c r="W671" s="185"/>
      <c r="X671" s="185"/>
      <c r="Y671" s="185"/>
      <c r="Z671" s="185"/>
      <c r="AA671" s="185"/>
      <c r="AB671" s="185" t="str">
        <f>IFERROR(__xludf.DUMMYFUNCTION("LET(width,COLUMN($AB$1)-COLUMN($G$1),r,INDEX($G671:$AAB671,1,SEQUENCE(1,width)),flat,TOCOL(r,1),bad,FILTER(flat,COUNTIF('リスト'!$E:$E,flat)=0),IFERROR(TEXTJOIN(""\n"",TRUE,bad),""""))"),"")</f>
        <v/>
      </c>
      <c r="AC671" s="185"/>
      <c r="AD671" s="185"/>
    </row>
    <row r="672">
      <c r="A672" s="185"/>
      <c r="B672" s="185"/>
      <c r="C672" s="185"/>
      <c r="D672" s="185"/>
      <c r="E672" s="203"/>
      <c r="F672" s="203"/>
      <c r="G672" s="185"/>
      <c r="H672" s="185"/>
      <c r="I672" s="185"/>
      <c r="J672" s="185"/>
      <c r="K672" s="185"/>
      <c r="L672" s="185"/>
      <c r="M672" s="185"/>
      <c r="N672" s="185"/>
      <c r="O672" s="185"/>
      <c r="P672" s="185"/>
      <c r="Q672" s="185"/>
      <c r="R672" s="185"/>
      <c r="S672" s="185"/>
      <c r="T672" s="185"/>
      <c r="U672" s="185"/>
      <c r="V672" s="185"/>
      <c r="W672" s="185"/>
      <c r="X672" s="185"/>
      <c r="Y672" s="185"/>
      <c r="Z672" s="185"/>
      <c r="AA672" s="185"/>
      <c r="AB672" s="185" t="str">
        <f>IFERROR(__xludf.DUMMYFUNCTION("LET(width,COLUMN($AB$1)-COLUMN($G$1),r,INDEX($G672:$AAB672,1,SEQUENCE(1,width)),flat,TOCOL(r,1),bad,FILTER(flat,COUNTIF('リスト'!$E:$E,flat)=0),IFERROR(TEXTJOIN(""\n"",TRUE,bad),""""))"),"")</f>
        <v/>
      </c>
      <c r="AC672" s="185"/>
      <c r="AD672" s="185"/>
    </row>
    <row r="673">
      <c r="A673" s="185"/>
      <c r="B673" s="185"/>
      <c r="C673" s="185"/>
      <c r="D673" s="185"/>
      <c r="E673" s="203"/>
      <c r="F673" s="203"/>
      <c r="G673" s="185"/>
      <c r="H673" s="185"/>
      <c r="I673" s="185"/>
      <c r="J673" s="185"/>
      <c r="K673" s="185"/>
      <c r="L673" s="185"/>
      <c r="M673" s="185"/>
      <c r="N673" s="185"/>
      <c r="O673" s="185"/>
      <c r="P673" s="185"/>
      <c r="Q673" s="185"/>
      <c r="R673" s="185"/>
      <c r="S673" s="185"/>
      <c r="T673" s="185"/>
      <c r="U673" s="185"/>
      <c r="V673" s="185"/>
      <c r="W673" s="185"/>
      <c r="X673" s="185"/>
      <c r="Y673" s="185"/>
      <c r="Z673" s="185"/>
      <c r="AA673" s="185"/>
      <c r="AB673" s="185" t="str">
        <f>IFERROR(__xludf.DUMMYFUNCTION("LET(width,COLUMN($AB$1)-COLUMN($G$1),r,INDEX($G673:$AAB673,1,SEQUENCE(1,width)),flat,TOCOL(r,1),bad,FILTER(flat,COUNTIF('リスト'!$E:$E,flat)=0),IFERROR(TEXTJOIN(""\n"",TRUE,bad),""""))"),"")</f>
        <v/>
      </c>
      <c r="AC673" s="185"/>
      <c r="AD673" s="185"/>
    </row>
    <row r="674">
      <c r="A674" s="185"/>
      <c r="B674" s="185"/>
      <c r="C674" s="185"/>
      <c r="D674" s="185"/>
      <c r="E674" s="203"/>
      <c r="F674" s="203"/>
      <c r="G674" s="185"/>
      <c r="H674" s="185"/>
      <c r="I674" s="185"/>
      <c r="J674" s="185"/>
      <c r="K674" s="185"/>
      <c r="L674" s="185"/>
      <c r="M674" s="185"/>
      <c r="N674" s="185"/>
      <c r="O674" s="185"/>
      <c r="P674" s="185"/>
      <c r="Q674" s="185"/>
      <c r="R674" s="185"/>
      <c r="S674" s="185"/>
      <c r="T674" s="185"/>
      <c r="U674" s="185"/>
      <c r="V674" s="185"/>
      <c r="W674" s="185"/>
      <c r="X674" s="185"/>
      <c r="Y674" s="185"/>
      <c r="Z674" s="185"/>
      <c r="AA674" s="185"/>
      <c r="AB674" s="185" t="str">
        <f>IFERROR(__xludf.DUMMYFUNCTION("LET(width,COLUMN($AB$1)-COLUMN($G$1),r,INDEX($G674:$AAB674,1,SEQUENCE(1,width)),flat,TOCOL(r,1),bad,FILTER(flat,COUNTIF('リスト'!$E:$E,flat)=0),IFERROR(TEXTJOIN(""\n"",TRUE,bad),""""))"),"")</f>
        <v/>
      </c>
      <c r="AC674" s="185"/>
      <c r="AD674" s="185"/>
    </row>
    <row r="675">
      <c r="A675" s="185"/>
      <c r="B675" s="185"/>
      <c r="C675" s="185"/>
      <c r="D675" s="185"/>
      <c r="E675" s="203"/>
      <c r="F675" s="203"/>
      <c r="G675" s="185"/>
      <c r="H675" s="185"/>
      <c r="I675" s="185"/>
      <c r="J675" s="185"/>
      <c r="K675" s="185"/>
      <c r="L675" s="185"/>
      <c r="M675" s="185"/>
      <c r="N675" s="185"/>
      <c r="O675" s="185"/>
      <c r="P675" s="185"/>
      <c r="Q675" s="185"/>
      <c r="R675" s="185"/>
      <c r="S675" s="185"/>
      <c r="T675" s="185"/>
      <c r="U675" s="185"/>
      <c r="V675" s="185"/>
      <c r="W675" s="185"/>
      <c r="X675" s="185"/>
      <c r="Y675" s="185"/>
      <c r="Z675" s="185"/>
      <c r="AA675" s="185"/>
      <c r="AB675" s="185" t="str">
        <f>IFERROR(__xludf.DUMMYFUNCTION("LET(width,COLUMN($AB$1)-COLUMN($G$1),r,INDEX($G675:$AAB675,1,SEQUENCE(1,width)),flat,TOCOL(r,1),bad,FILTER(flat,COUNTIF('リスト'!$E:$E,flat)=0),IFERROR(TEXTJOIN(""\n"",TRUE,bad),""""))"),"")</f>
        <v/>
      </c>
      <c r="AC675" s="185"/>
      <c r="AD675" s="185"/>
    </row>
    <row r="676">
      <c r="A676" s="185"/>
      <c r="B676" s="185"/>
      <c r="C676" s="185"/>
      <c r="D676" s="185"/>
      <c r="E676" s="203"/>
      <c r="F676" s="203"/>
      <c r="G676" s="185"/>
      <c r="H676" s="185"/>
      <c r="I676" s="185"/>
      <c r="J676" s="185"/>
      <c r="K676" s="185"/>
      <c r="L676" s="185"/>
      <c r="M676" s="185"/>
      <c r="N676" s="185"/>
      <c r="O676" s="185"/>
      <c r="P676" s="185"/>
      <c r="Q676" s="185"/>
      <c r="R676" s="185"/>
      <c r="S676" s="185"/>
      <c r="T676" s="185"/>
      <c r="U676" s="185"/>
      <c r="V676" s="185"/>
      <c r="W676" s="185"/>
      <c r="X676" s="185"/>
      <c r="Y676" s="185"/>
      <c r="Z676" s="185"/>
      <c r="AA676" s="185"/>
      <c r="AB676" s="185" t="str">
        <f>IFERROR(__xludf.DUMMYFUNCTION("LET(width,COLUMN($AB$1)-COLUMN($G$1),r,INDEX($G676:$AAB676,1,SEQUENCE(1,width)),flat,TOCOL(r,1),bad,FILTER(flat,COUNTIF('リスト'!$E:$E,flat)=0),IFERROR(TEXTJOIN(""\n"",TRUE,bad),""""))"),"")</f>
        <v/>
      </c>
      <c r="AC676" s="185"/>
      <c r="AD676" s="185"/>
    </row>
    <row r="677">
      <c r="A677" s="185"/>
      <c r="B677" s="185"/>
      <c r="C677" s="185"/>
      <c r="D677" s="185"/>
      <c r="E677" s="203"/>
      <c r="F677" s="203"/>
      <c r="G677" s="185"/>
      <c r="H677" s="185"/>
      <c r="I677" s="185"/>
      <c r="J677" s="185"/>
      <c r="K677" s="185"/>
      <c r="L677" s="185"/>
      <c r="M677" s="185"/>
      <c r="N677" s="185"/>
      <c r="O677" s="185"/>
      <c r="P677" s="185"/>
      <c r="Q677" s="185"/>
      <c r="R677" s="185"/>
      <c r="S677" s="185"/>
      <c r="T677" s="185"/>
      <c r="U677" s="185"/>
      <c r="V677" s="185"/>
      <c r="W677" s="185"/>
      <c r="X677" s="185"/>
      <c r="Y677" s="185"/>
      <c r="Z677" s="185"/>
      <c r="AA677" s="185"/>
      <c r="AB677" s="185" t="str">
        <f>IFERROR(__xludf.DUMMYFUNCTION("LET(width,COLUMN($AB$1)-COLUMN($G$1),r,INDEX($G677:$AAB677,1,SEQUENCE(1,width)),flat,TOCOL(r,1),bad,FILTER(flat,COUNTIF('リスト'!$E:$E,flat)=0),IFERROR(TEXTJOIN(""\n"",TRUE,bad),""""))"),"")</f>
        <v/>
      </c>
      <c r="AC677" s="185"/>
      <c r="AD677" s="185"/>
    </row>
    <row r="678">
      <c r="A678" s="185"/>
      <c r="B678" s="185"/>
      <c r="C678" s="185"/>
      <c r="D678" s="185"/>
      <c r="E678" s="203"/>
      <c r="F678" s="203"/>
      <c r="G678" s="185"/>
      <c r="H678" s="185"/>
      <c r="I678" s="185"/>
      <c r="J678" s="185"/>
      <c r="K678" s="185"/>
      <c r="L678" s="185"/>
      <c r="M678" s="185"/>
      <c r="N678" s="185"/>
      <c r="O678" s="185"/>
      <c r="P678" s="185"/>
      <c r="Q678" s="185"/>
      <c r="R678" s="185"/>
      <c r="S678" s="185"/>
      <c r="T678" s="185"/>
      <c r="U678" s="185"/>
      <c r="V678" s="185"/>
      <c r="W678" s="185"/>
      <c r="X678" s="185"/>
      <c r="Y678" s="185"/>
      <c r="Z678" s="185"/>
      <c r="AA678" s="185"/>
      <c r="AB678" s="185" t="str">
        <f>IFERROR(__xludf.DUMMYFUNCTION("LET(width,COLUMN($AB$1)-COLUMN($G$1),r,INDEX($G678:$AAB678,1,SEQUENCE(1,width)),flat,TOCOL(r,1),bad,FILTER(flat,COUNTIF('リスト'!$E:$E,flat)=0),IFERROR(TEXTJOIN(""\n"",TRUE,bad),""""))"),"")</f>
        <v/>
      </c>
      <c r="AC678" s="185"/>
      <c r="AD678" s="185"/>
    </row>
    <row r="679">
      <c r="A679" s="185"/>
      <c r="B679" s="185"/>
      <c r="C679" s="185"/>
      <c r="D679" s="185"/>
      <c r="E679" s="203"/>
      <c r="F679" s="203"/>
      <c r="G679" s="185"/>
      <c r="H679" s="185"/>
      <c r="I679" s="185"/>
      <c r="J679" s="185"/>
      <c r="K679" s="185"/>
      <c r="L679" s="185"/>
      <c r="M679" s="185"/>
      <c r="N679" s="185"/>
      <c r="O679" s="185"/>
      <c r="P679" s="185"/>
      <c r="Q679" s="185"/>
      <c r="R679" s="185"/>
      <c r="S679" s="185"/>
      <c r="T679" s="185"/>
      <c r="U679" s="185"/>
      <c r="V679" s="185"/>
      <c r="W679" s="185"/>
      <c r="X679" s="185"/>
      <c r="Y679" s="185"/>
      <c r="Z679" s="185"/>
      <c r="AA679" s="185"/>
      <c r="AB679" s="185" t="str">
        <f>IFERROR(__xludf.DUMMYFUNCTION("LET(width,COLUMN($AB$1)-COLUMN($G$1),r,INDEX($G679:$AAB679,1,SEQUENCE(1,width)),flat,TOCOL(r,1),bad,FILTER(flat,COUNTIF('リスト'!$E:$E,flat)=0),IFERROR(TEXTJOIN(""\n"",TRUE,bad),""""))"),"")</f>
        <v/>
      </c>
      <c r="AC679" s="185"/>
      <c r="AD679" s="185"/>
    </row>
    <row r="680">
      <c r="A680" s="185"/>
      <c r="B680" s="185"/>
      <c r="C680" s="185"/>
      <c r="D680" s="185"/>
      <c r="E680" s="203"/>
      <c r="F680" s="203"/>
      <c r="G680" s="185"/>
      <c r="H680" s="185"/>
      <c r="I680" s="185"/>
      <c r="J680" s="185"/>
      <c r="K680" s="185"/>
      <c r="L680" s="185"/>
      <c r="M680" s="185"/>
      <c r="N680" s="185"/>
      <c r="O680" s="185"/>
      <c r="P680" s="185"/>
      <c r="Q680" s="185"/>
      <c r="R680" s="185"/>
      <c r="S680" s="185"/>
      <c r="T680" s="185"/>
      <c r="U680" s="185"/>
      <c r="V680" s="185"/>
      <c r="W680" s="185"/>
      <c r="X680" s="185"/>
      <c r="Y680" s="185"/>
      <c r="Z680" s="185"/>
      <c r="AA680" s="185"/>
      <c r="AB680" s="185" t="str">
        <f>IFERROR(__xludf.DUMMYFUNCTION("LET(width,COLUMN($AB$1)-COLUMN($G$1),r,INDEX($G680:$AAB680,1,SEQUENCE(1,width)),flat,TOCOL(r,1),bad,FILTER(flat,COUNTIF('リスト'!$E:$E,flat)=0),IFERROR(TEXTJOIN(""\n"",TRUE,bad),""""))"),"")</f>
        <v/>
      </c>
      <c r="AC680" s="185"/>
      <c r="AD680" s="185"/>
    </row>
    <row r="681">
      <c r="A681" s="185"/>
      <c r="B681" s="185"/>
      <c r="C681" s="185"/>
      <c r="D681" s="185"/>
      <c r="E681" s="203"/>
      <c r="F681" s="203"/>
      <c r="G681" s="185"/>
      <c r="H681" s="185"/>
      <c r="I681" s="185"/>
      <c r="J681" s="185"/>
      <c r="K681" s="185"/>
      <c r="L681" s="185"/>
      <c r="M681" s="185"/>
      <c r="N681" s="185"/>
      <c r="O681" s="185"/>
      <c r="P681" s="185"/>
      <c r="Q681" s="185"/>
      <c r="R681" s="185"/>
      <c r="S681" s="185"/>
      <c r="T681" s="185"/>
      <c r="U681" s="185"/>
      <c r="V681" s="185"/>
      <c r="W681" s="185"/>
      <c r="X681" s="185"/>
      <c r="Y681" s="185"/>
      <c r="Z681" s="185"/>
      <c r="AA681" s="185"/>
      <c r="AB681" s="185" t="str">
        <f>IFERROR(__xludf.DUMMYFUNCTION("LET(width,COLUMN($AB$1)-COLUMN($G$1),r,INDEX($G681:$AAB681,1,SEQUENCE(1,width)),flat,TOCOL(r,1),bad,FILTER(flat,COUNTIF('リスト'!$E:$E,flat)=0),IFERROR(TEXTJOIN(""\n"",TRUE,bad),""""))"),"")</f>
        <v/>
      </c>
      <c r="AC681" s="185"/>
      <c r="AD681" s="185"/>
    </row>
    <row r="682">
      <c r="A682" s="185"/>
      <c r="B682" s="185"/>
      <c r="C682" s="185"/>
      <c r="D682" s="185"/>
      <c r="E682" s="203"/>
      <c r="F682" s="203"/>
      <c r="G682" s="185"/>
      <c r="H682" s="185"/>
      <c r="I682" s="185"/>
      <c r="J682" s="185"/>
      <c r="K682" s="185"/>
      <c r="L682" s="185"/>
      <c r="M682" s="185"/>
      <c r="N682" s="185"/>
      <c r="O682" s="185"/>
      <c r="P682" s="185"/>
      <c r="Q682" s="185"/>
      <c r="R682" s="185"/>
      <c r="S682" s="185"/>
      <c r="T682" s="185"/>
      <c r="U682" s="185"/>
      <c r="V682" s="185"/>
      <c r="W682" s="185"/>
      <c r="X682" s="185"/>
      <c r="Y682" s="185"/>
      <c r="Z682" s="185"/>
      <c r="AA682" s="185"/>
      <c r="AB682" s="185" t="str">
        <f>IFERROR(__xludf.DUMMYFUNCTION("LET(width,COLUMN($AB$1)-COLUMN($G$1),r,INDEX($G682:$AAB682,1,SEQUENCE(1,width)),flat,TOCOL(r,1),bad,FILTER(flat,COUNTIF('リスト'!$E:$E,flat)=0),IFERROR(TEXTJOIN(""\n"",TRUE,bad),""""))"),"")</f>
        <v/>
      </c>
      <c r="AC682" s="185"/>
      <c r="AD682" s="185"/>
    </row>
    <row r="683">
      <c r="A683" s="185"/>
      <c r="B683" s="185"/>
      <c r="C683" s="185"/>
      <c r="D683" s="185"/>
      <c r="E683" s="203"/>
      <c r="F683" s="203"/>
      <c r="G683" s="185"/>
      <c r="H683" s="185"/>
      <c r="I683" s="185"/>
      <c r="J683" s="185"/>
      <c r="K683" s="185"/>
      <c r="L683" s="185"/>
      <c r="M683" s="185"/>
      <c r="N683" s="185"/>
      <c r="O683" s="185"/>
      <c r="P683" s="185"/>
      <c r="Q683" s="185"/>
      <c r="R683" s="185"/>
      <c r="S683" s="185"/>
      <c r="T683" s="185"/>
      <c r="U683" s="185"/>
      <c r="V683" s="185"/>
      <c r="W683" s="185"/>
      <c r="X683" s="185"/>
      <c r="Y683" s="185"/>
      <c r="Z683" s="185"/>
      <c r="AA683" s="185"/>
      <c r="AB683" s="185" t="str">
        <f>IFERROR(__xludf.DUMMYFUNCTION("LET(width,COLUMN($AB$1)-COLUMN($G$1),r,INDEX($G683:$AAB683,1,SEQUENCE(1,width)),flat,TOCOL(r,1),bad,FILTER(flat,COUNTIF('リスト'!$E:$E,flat)=0),IFERROR(TEXTJOIN(""\n"",TRUE,bad),""""))"),"")</f>
        <v/>
      </c>
      <c r="AC683" s="185"/>
      <c r="AD683" s="185"/>
    </row>
    <row r="684">
      <c r="A684" s="185"/>
      <c r="B684" s="185"/>
      <c r="C684" s="185"/>
      <c r="D684" s="185"/>
      <c r="E684" s="203"/>
      <c r="F684" s="203"/>
      <c r="G684" s="185"/>
      <c r="H684" s="185"/>
      <c r="I684" s="185"/>
      <c r="J684" s="185"/>
      <c r="K684" s="185"/>
      <c r="L684" s="185"/>
      <c r="M684" s="185"/>
      <c r="N684" s="185"/>
      <c r="O684" s="185"/>
      <c r="P684" s="185"/>
      <c r="Q684" s="185"/>
      <c r="R684" s="185"/>
      <c r="S684" s="185"/>
      <c r="T684" s="185"/>
      <c r="U684" s="185"/>
      <c r="V684" s="185"/>
      <c r="W684" s="185"/>
      <c r="X684" s="185"/>
      <c r="Y684" s="185"/>
      <c r="Z684" s="185"/>
      <c r="AA684" s="185"/>
      <c r="AB684" s="185" t="str">
        <f>IFERROR(__xludf.DUMMYFUNCTION("LET(width,COLUMN($AB$1)-COLUMN($G$1),r,INDEX($G684:$AAB684,1,SEQUENCE(1,width)),flat,TOCOL(r,1),bad,FILTER(flat,COUNTIF('リスト'!$E:$E,flat)=0),IFERROR(TEXTJOIN(""\n"",TRUE,bad),""""))"),"")</f>
        <v/>
      </c>
      <c r="AC684" s="185"/>
      <c r="AD684" s="185"/>
    </row>
    <row r="685">
      <c r="A685" s="185"/>
      <c r="B685" s="185"/>
      <c r="C685" s="185"/>
      <c r="D685" s="185"/>
      <c r="E685" s="203"/>
      <c r="F685" s="203"/>
      <c r="G685" s="185"/>
      <c r="H685" s="185"/>
      <c r="I685" s="185"/>
      <c r="J685" s="185"/>
      <c r="K685" s="185"/>
      <c r="L685" s="185"/>
      <c r="M685" s="185"/>
      <c r="N685" s="185"/>
      <c r="O685" s="185"/>
      <c r="P685" s="185"/>
      <c r="Q685" s="185"/>
      <c r="R685" s="185"/>
      <c r="S685" s="185"/>
      <c r="T685" s="185"/>
      <c r="U685" s="185"/>
      <c r="V685" s="185"/>
      <c r="W685" s="185"/>
      <c r="X685" s="185"/>
      <c r="Y685" s="185"/>
      <c r="Z685" s="185"/>
      <c r="AA685" s="185"/>
      <c r="AB685" s="185" t="str">
        <f>IFERROR(__xludf.DUMMYFUNCTION("LET(width,COLUMN($AB$1)-COLUMN($G$1),r,INDEX($G685:$AAB685,1,SEQUENCE(1,width)),flat,TOCOL(r,1),bad,FILTER(flat,COUNTIF('リスト'!$E:$E,flat)=0),IFERROR(TEXTJOIN(""\n"",TRUE,bad),""""))"),"")</f>
        <v/>
      </c>
      <c r="AC685" s="185"/>
      <c r="AD685" s="185"/>
    </row>
    <row r="686">
      <c r="A686" s="185"/>
      <c r="B686" s="185"/>
      <c r="C686" s="185"/>
      <c r="D686" s="185"/>
      <c r="E686" s="203"/>
      <c r="F686" s="203"/>
      <c r="G686" s="185"/>
      <c r="H686" s="185"/>
      <c r="I686" s="185"/>
      <c r="J686" s="185"/>
      <c r="K686" s="185"/>
      <c r="L686" s="185"/>
      <c r="M686" s="185"/>
      <c r="N686" s="185"/>
      <c r="O686" s="185"/>
      <c r="P686" s="185"/>
      <c r="Q686" s="185"/>
      <c r="R686" s="185"/>
      <c r="S686" s="185"/>
      <c r="T686" s="185"/>
      <c r="U686" s="185"/>
      <c r="V686" s="185"/>
      <c r="W686" s="185"/>
      <c r="X686" s="185"/>
      <c r="Y686" s="185"/>
      <c r="Z686" s="185"/>
      <c r="AA686" s="185"/>
      <c r="AB686" s="185" t="str">
        <f>IFERROR(__xludf.DUMMYFUNCTION("LET(width,COLUMN($AB$1)-COLUMN($G$1),r,INDEX($G686:$AAB686,1,SEQUENCE(1,width)),flat,TOCOL(r,1),bad,FILTER(flat,COUNTIF('リスト'!$E:$E,flat)=0),IFERROR(TEXTJOIN(""\n"",TRUE,bad),""""))"),"")</f>
        <v/>
      </c>
      <c r="AC686" s="185"/>
      <c r="AD686" s="185"/>
    </row>
    <row r="687">
      <c r="A687" s="185"/>
      <c r="B687" s="185"/>
      <c r="C687" s="185"/>
      <c r="D687" s="185"/>
      <c r="E687" s="203"/>
      <c r="F687" s="203"/>
      <c r="G687" s="185"/>
      <c r="H687" s="185"/>
      <c r="I687" s="185"/>
      <c r="J687" s="185"/>
      <c r="K687" s="185"/>
      <c r="L687" s="185"/>
      <c r="M687" s="185"/>
      <c r="N687" s="185"/>
      <c r="O687" s="185"/>
      <c r="P687" s="185"/>
      <c r="Q687" s="185"/>
      <c r="R687" s="185"/>
      <c r="S687" s="185"/>
      <c r="T687" s="185"/>
      <c r="U687" s="185"/>
      <c r="V687" s="185"/>
      <c r="W687" s="185"/>
      <c r="X687" s="185"/>
      <c r="Y687" s="185"/>
      <c r="Z687" s="185"/>
      <c r="AA687" s="185"/>
      <c r="AB687" s="185" t="str">
        <f>IFERROR(__xludf.DUMMYFUNCTION("LET(width,COLUMN($AB$1)-COLUMN($G$1),r,INDEX($G687:$AAB687,1,SEQUENCE(1,width)),flat,TOCOL(r,1),bad,FILTER(flat,COUNTIF('リスト'!$E:$E,flat)=0),IFERROR(TEXTJOIN(""\n"",TRUE,bad),""""))"),"")</f>
        <v/>
      </c>
      <c r="AC687" s="185"/>
      <c r="AD687" s="185"/>
    </row>
    <row r="688">
      <c r="A688" s="185"/>
      <c r="B688" s="185"/>
      <c r="C688" s="185"/>
      <c r="D688" s="185"/>
      <c r="E688" s="203"/>
      <c r="F688" s="203"/>
      <c r="G688" s="185"/>
      <c r="H688" s="185"/>
      <c r="I688" s="185"/>
      <c r="J688" s="185"/>
      <c r="K688" s="185"/>
      <c r="L688" s="185"/>
      <c r="M688" s="185"/>
      <c r="N688" s="185"/>
      <c r="O688" s="185"/>
      <c r="P688" s="185"/>
      <c r="Q688" s="185"/>
      <c r="R688" s="185"/>
      <c r="S688" s="185"/>
      <c r="T688" s="185"/>
      <c r="U688" s="185"/>
      <c r="V688" s="185"/>
      <c r="W688" s="185"/>
      <c r="X688" s="185"/>
      <c r="Y688" s="185"/>
      <c r="Z688" s="185"/>
      <c r="AA688" s="185"/>
      <c r="AB688" s="185" t="str">
        <f>IFERROR(__xludf.DUMMYFUNCTION("LET(width,COLUMN($AB$1)-COLUMN($G$1),r,INDEX($G688:$AAB688,1,SEQUENCE(1,width)),flat,TOCOL(r,1),bad,FILTER(flat,COUNTIF('リスト'!$E:$E,flat)=0),IFERROR(TEXTJOIN(""\n"",TRUE,bad),""""))"),"")</f>
        <v/>
      </c>
      <c r="AC688" s="185"/>
      <c r="AD688" s="185"/>
    </row>
    <row r="689">
      <c r="A689" s="185"/>
      <c r="B689" s="185"/>
      <c r="C689" s="185"/>
      <c r="D689" s="185"/>
      <c r="E689" s="203"/>
      <c r="F689" s="203"/>
      <c r="G689" s="185"/>
      <c r="H689" s="185"/>
      <c r="I689" s="185"/>
      <c r="J689" s="185"/>
      <c r="K689" s="185"/>
      <c r="L689" s="185"/>
      <c r="M689" s="185"/>
      <c r="N689" s="185"/>
      <c r="O689" s="185"/>
      <c r="P689" s="185"/>
      <c r="Q689" s="185"/>
      <c r="R689" s="185"/>
      <c r="S689" s="185"/>
      <c r="T689" s="185"/>
      <c r="U689" s="185"/>
      <c r="V689" s="185"/>
      <c r="W689" s="185"/>
      <c r="X689" s="185"/>
      <c r="Y689" s="185"/>
      <c r="Z689" s="185"/>
      <c r="AA689" s="185"/>
      <c r="AB689" s="185" t="str">
        <f>IFERROR(__xludf.DUMMYFUNCTION("LET(width,COLUMN($AB$1)-COLUMN($G$1),r,INDEX($G689:$AAB689,1,SEQUENCE(1,width)),flat,TOCOL(r,1),bad,FILTER(flat,COUNTIF('リスト'!$E:$E,flat)=0),IFERROR(TEXTJOIN(""\n"",TRUE,bad),""""))"),"")</f>
        <v/>
      </c>
      <c r="AC689" s="185"/>
      <c r="AD689" s="185"/>
    </row>
    <row r="690">
      <c r="A690" s="185"/>
      <c r="B690" s="185"/>
      <c r="C690" s="185"/>
      <c r="D690" s="185"/>
      <c r="E690" s="203"/>
      <c r="F690" s="203"/>
      <c r="G690" s="185"/>
      <c r="H690" s="185"/>
      <c r="I690" s="185"/>
      <c r="J690" s="185"/>
      <c r="K690" s="185"/>
      <c r="L690" s="185"/>
      <c r="M690" s="185"/>
      <c r="N690" s="185"/>
      <c r="O690" s="185"/>
      <c r="P690" s="185"/>
      <c r="Q690" s="185"/>
      <c r="R690" s="185"/>
      <c r="S690" s="185"/>
      <c r="T690" s="185"/>
      <c r="U690" s="185"/>
      <c r="V690" s="185"/>
      <c r="W690" s="185"/>
      <c r="X690" s="185"/>
      <c r="Y690" s="185"/>
      <c r="Z690" s="185"/>
      <c r="AA690" s="185"/>
      <c r="AB690" s="185" t="str">
        <f>IFERROR(__xludf.DUMMYFUNCTION("LET(width,COLUMN($AB$1)-COLUMN($G$1),r,INDEX($G690:$AAB690,1,SEQUENCE(1,width)),flat,TOCOL(r,1),bad,FILTER(flat,COUNTIF('リスト'!$E:$E,flat)=0),IFERROR(TEXTJOIN(""\n"",TRUE,bad),""""))"),"")</f>
        <v/>
      </c>
      <c r="AC690" s="185"/>
      <c r="AD690" s="185"/>
    </row>
    <row r="691">
      <c r="A691" s="185"/>
      <c r="B691" s="185"/>
      <c r="C691" s="185"/>
      <c r="D691" s="185"/>
      <c r="E691" s="203"/>
      <c r="F691" s="203"/>
      <c r="G691" s="185"/>
      <c r="H691" s="185"/>
      <c r="I691" s="185"/>
      <c r="J691" s="185"/>
      <c r="K691" s="185"/>
      <c r="L691" s="185"/>
      <c r="M691" s="185"/>
      <c r="N691" s="185"/>
      <c r="O691" s="185"/>
      <c r="P691" s="185"/>
      <c r="Q691" s="185"/>
      <c r="R691" s="185"/>
      <c r="S691" s="185"/>
      <c r="T691" s="185"/>
      <c r="U691" s="185"/>
      <c r="V691" s="185"/>
      <c r="W691" s="185"/>
      <c r="X691" s="185"/>
      <c r="Y691" s="185"/>
      <c r="Z691" s="185"/>
      <c r="AA691" s="185"/>
      <c r="AB691" s="185" t="str">
        <f>IFERROR(__xludf.DUMMYFUNCTION("LET(width,COLUMN($AB$1)-COLUMN($G$1),r,INDEX($G691:$AAB691,1,SEQUENCE(1,width)),flat,TOCOL(r,1),bad,FILTER(flat,COUNTIF('リスト'!$E:$E,flat)=0),IFERROR(TEXTJOIN(""\n"",TRUE,bad),""""))"),"")</f>
        <v/>
      </c>
      <c r="AC691" s="185"/>
      <c r="AD691" s="185"/>
    </row>
    <row r="692">
      <c r="A692" s="185"/>
      <c r="B692" s="185"/>
      <c r="C692" s="185"/>
      <c r="D692" s="185"/>
      <c r="E692" s="203"/>
      <c r="F692" s="203"/>
      <c r="G692" s="185"/>
      <c r="H692" s="185"/>
      <c r="I692" s="185"/>
      <c r="J692" s="185"/>
      <c r="K692" s="185"/>
      <c r="L692" s="185"/>
      <c r="M692" s="185"/>
      <c r="N692" s="185"/>
      <c r="O692" s="185"/>
      <c r="P692" s="185"/>
      <c r="Q692" s="185"/>
      <c r="R692" s="185"/>
      <c r="S692" s="185"/>
      <c r="T692" s="185"/>
      <c r="U692" s="185"/>
      <c r="V692" s="185"/>
      <c r="W692" s="185"/>
      <c r="X692" s="185"/>
      <c r="Y692" s="185"/>
      <c r="Z692" s="185"/>
      <c r="AA692" s="185"/>
      <c r="AB692" s="185" t="str">
        <f>IFERROR(__xludf.DUMMYFUNCTION("LET(width,COLUMN($AB$1)-COLUMN($G$1),r,INDEX($G692:$AAB692,1,SEQUENCE(1,width)),flat,TOCOL(r,1),bad,FILTER(flat,COUNTIF('リスト'!$E:$E,flat)=0),IFERROR(TEXTJOIN(""\n"",TRUE,bad),""""))"),"")</f>
        <v/>
      </c>
      <c r="AC692" s="185"/>
      <c r="AD692" s="185"/>
    </row>
    <row r="693">
      <c r="A693" s="185"/>
      <c r="B693" s="185"/>
      <c r="C693" s="185"/>
      <c r="D693" s="185"/>
      <c r="E693" s="203"/>
      <c r="F693" s="203"/>
      <c r="G693" s="185"/>
      <c r="H693" s="185"/>
      <c r="I693" s="185"/>
      <c r="J693" s="185"/>
      <c r="K693" s="185"/>
      <c r="L693" s="185"/>
      <c r="M693" s="185"/>
      <c r="N693" s="185"/>
      <c r="O693" s="185"/>
      <c r="P693" s="185"/>
      <c r="Q693" s="185"/>
      <c r="R693" s="185"/>
      <c r="S693" s="185"/>
      <c r="T693" s="185"/>
      <c r="U693" s="185"/>
      <c r="V693" s="185"/>
      <c r="W693" s="185"/>
      <c r="X693" s="185"/>
      <c r="Y693" s="185"/>
      <c r="Z693" s="185"/>
      <c r="AA693" s="185"/>
      <c r="AB693" s="185" t="str">
        <f>IFERROR(__xludf.DUMMYFUNCTION("LET(width,COLUMN($AB$1)-COLUMN($G$1),r,INDEX($G693:$AAB693,1,SEQUENCE(1,width)),flat,TOCOL(r,1),bad,FILTER(flat,COUNTIF('リスト'!$E:$E,flat)=0),IFERROR(TEXTJOIN(""\n"",TRUE,bad),""""))"),"")</f>
        <v/>
      </c>
      <c r="AC693" s="185"/>
      <c r="AD693" s="185"/>
    </row>
    <row r="694">
      <c r="A694" s="185"/>
      <c r="B694" s="185"/>
      <c r="C694" s="185"/>
      <c r="D694" s="185"/>
      <c r="E694" s="203"/>
      <c r="F694" s="203"/>
      <c r="G694" s="185"/>
      <c r="H694" s="185"/>
      <c r="I694" s="185"/>
      <c r="J694" s="185"/>
      <c r="K694" s="185"/>
      <c r="L694" s="185"/>
      <c r="M694" s="185"/>
      <c r="N694" s="185"/>
      <c r="O694" s="185"/>
      <c r="P694" s="185"/>
      <c r="Q694" s="185"/>
      <c r="R694" s="185"/>
      <c r="S694" s="185"/>
      <c r="T694" s="185"/>
      <c r="U694" s="185"/>
      <c r="V694" s="185"/>
      <c r="W694" s="185"/>
      <c r="X694" s="185"/>
      <c r="Y694" s="185"/>
      <c r="Z694" s="185"/>
      <c r="AA694" s="185"/>
      <c r="AB694" s="185" t="str">
        <f>IFERROR(__xludf.DUMMYFUNCTION("LET(width,COLUMN($AB$1)-COLUMN($G$1),r,INDEX($G694:$AAB694,1,SEQUENCE(1,width)),flat,TOCOL(r,1),bad,FILTER(flat,COUNTIF('リスト'!$E:$E,flat)=0),IFERROR(TEXTJOIN(""\n"",TRUE,bad),""""))"),"")</f>
        <v/>
      </c>
      <c r="AC694" s="185"/>
      <c r="AD694" s="185"/>
    </row>
    <row r="695">
      <c r="A695" s="185"/>
      <c r="B695" s="185"/>
      <c r="C695" s="185"/>
      <c r="D695" s="185"/>
      <c r="E695" s="203"/>
      <c r="F695" s="203"/>
      <c r="G695" s="185"/>
      <c r="H695" s="185"/>
      <c r="I695" s="185"/>
      <c r="J695" s="185"/>
      <c r="K695" s="185"/>
      <c r="L695" s="185"/>
      <c r="M695" s="185"/>
      <c r="N695" s="185"/>
      <c r="O695" s="185"/>
      <c r="P695" s="185"/>
      <c r="Q695" s="185"/>
      <c r="R695" s="185"/>
      <c r="S695" s="185"/>
      <c r="T695" s="185"/>
      <c r="U695" s="185"/>
      <c r="V695" s="185"/>
      <c r="W695" s="185"/>
      <c r="X695" s="185"/>
      <c r="Y695" s="185"/>
      <c r="Z695" s="185"/>
      <c r="AA695" s="185"/>
      <c r="AB695" s="185" t="str">
        <f>IFERROR(__xludf.DUMMYFUNCTION("LET(width,COLUMN($AB$1)-COLUMN($G$1),r,INDEX($G695:$AAB695,1,SEQUENCE(1,width)),flat,TOCOL(r,1),bad,FILTER(flat,COUNTIF('リスト'!$E:$E,flat)=0),IFERROR(TEXTJOIN(""\n"",TRUE,bad),""""))"),"")</f>
        <v/>
      </c>
      <c r="AC695" s="185"/>
      <c r="AD695" s="185"/>
    </row>
    <row r="696">
      <c r="A696" s="185"/>
      <c r="B696" s="185"/>
      <c r="C696" s="185"/>
      <c r="D696" s="185"/>
      <c r="E696" s="203"/>
      <c r="F696" s="203"/>
      <c r="G696" s="185"/>
      <c r="H696" s="185"/>
      <c r="I696" s="185"/>
      <c r="J696" s="185"/>
      <c r="K696" s="185"/>
      <c r="L696" s="185"/>
      <c r="M696" s="185"/>
      <c r="N696" s="185"/>
      <c r="O696" s="185"/>
      <c r="P696" s="185"/>
      <c r="Q696" s="185"/>
      <c r="R696" s="185"/>
      <c r="S696" s="185"/>
      <c r="T696" s="185"/>
      <c r="U696" s="185"/>
      <c r="V696" s="185"/>
      <c r="W696" s="185"/>
      <c r="X696" s="185"/>
      <c r="Y696" s="185"/>
      <c r="Z696" s="185"/>
      <c r="AA696" s="185"/>
      <c r="AB696" s="185" t="str">
        <f>IFERROR(__xludf.DUMMYFUNCTION("LET(width,COLUMN($AB$1)-COLUMN($G$1),r,INDEX($G696:$AAB696,1,SEQUENCE(1,width)),flat,TOCOL(r,1),bad,FILTER(flat,COUNTIF('リスト'!$E:$E,flat)=0),IFERROR(TEXTJOIN(""\n"",TRUE,bad),""""))"),"")</f>
        <v/>
      </c>
      <c r="AC696" s="185"/>
      <c r="AD696" s="185"/>
    </row>
    <row r="697">
      <c r="A697" s="185"/>
      <c r="B697" s="185"/>
      <c r="C697" s="185"/>
      <c r="D697" s="185"/>
      <c r="E697" s="203"/>
      <c r="F697" s="203"/>
      <c r="G697" s="185"/>
      <c r="H697" s="185"/>
      <c r="I697" s="185"/>
      <c r="J697" s="185"/>
      <c r="K697" s="185"/>
      <c r="L697" s="185"/>
      <c r="M697" s="185"/>
      <c r="N697" s="185"/>
      <c r="O697" s="185"/>
      <c r="P697" s="185"/>
      <c r="Q697" s="185"/>
      <c r="R697" s="185"/>
      <c r="S697" s="185"/>
      <c r="T697" s="185"/>
      <c r="U697" s="185"/>
      <c r="V697" s="185"/>
      <c r="W697" s="185"/>
      <c r="X697" s="185"/>
      <c r="Y697" s="185"/>
      <c r="Z697" s="185"/>
      <c r="AA697" s="185"/>
      <c r="AB697" s="185" t="str">
        <f>IFERROR(__xludf.DUMMYFUNCTION("LET(width,COLUMN($AB$1)-COLUMN($G$1),r,INDEX($G697:$AAB697,1,SEQUENCE(1,width)),flat,TOCOL(r,1),bad,FILTER(flat,COUNTIF('リスト'!$E:$E,flat)=0),IFERROR(TEXTJOIN(""\n"",TRUE,bad),""""))"),"")</f>
        <v/>
      </c>
      <c r="AC697" s="185"/>
      <c r="AD697" s="185"/>
    </row>
    <row r="698">
      <c r="A698" s="185"/>
      <c r="B698" s="185"/>
      <c r="C698" s="185"/>
      <c r="D698" s="185"/>
      <c r="E698" s="203"/>
      <c r="F698" s="203"/>
      <c r="G698" s="185"/>
      <c r="H698" s="185"/>
      <c r="I698" s="185"/>
      <c r="J698" s="185"/>
      <c r="K698" s="185"/>
      <c r="L698" s="185"/>
      <c r="M698" s="185"/>
      <c r="N698" s="185"/>
      <c r="O698" s="185"/>
      <c r="P698" s="185"/>
      <c r="Q698" s="185"/>
      <c r="R698" s="185"/>
      <c r="S698" s="185"/>
      <c r="T698" s="185"/>
      <c r="U698" s="185"/>
      <c r="V698" s="185"/>
      <c r="W698" s="185"/>
      <c r="X698" s="185"/>
      <c r="Y698" s="185"/>
      <c r="Z698" s="185"/>
      <c r="AA698" s="185"/>
      <c r="AB698" s="185" t="str">
        <f>IFERROR(__xludf.DUMMYFUNCTION("LET(width,COLUMN($AB$1)-COLUMN($G$1),r,INDEX($G698:$AAB698,1,SEQUENCE(1,width)),flat,TOCOL(r,1),bad,FILTER(flat,COUNTIF('リスト'!$E:$E,flat)=0),IFERROR(TEXTJOIN(""\n"",TRUE,bad),""""))"),"")</f>
        <v/>
      </c>
      <c r="AC698" s="185"/>
      <c r="AD698" s="185"/>
    </row>
    <row r="699">
      <c r="A699" s="185"/>
      <c r="B699" s="185"/>
      <c r="C699" s="185"/>
      <c r="D699" s="185"/>
      <c r="E699" s="203"/>
      <c r="F699" s="203"/>
      <c r="G699" s="185"/>
      <c r="H699" s="185"/>
      <c r="I699" s="185"/>
      <c r="J699" s="185"/>
      <c r="K699" s="185"/>
      <c r="L699" s="185"/>
      <c r="M699" s="185"/>
      <c r="N699" s="185"/>
      <c r="O699" s="185"/>
      <c r="P699" s="185"/>
      <c r="Q699" s="185"/>
      <c r="R699" s="185"/>
      <c r="S699" s="185"/>
      <c r="T699" s="185"/>
      <c r="U699" s="185"/>
      <c r="V699" s="185"/>
      <c r="W699" s="185"/>
      <c r="X699" s="185"/>
      <c r="Y699" s="185"/>
      <c r="Z699" s="185"/>
      <c r="AA699" s="185"/>
      <c r="AB699" s="185" t="str">
        <f>IFERROR(__xludf.DUMMYFUNCTION("LET(width,COLUMN($AB$1)-COLUMN($G$1),r,INDEX($G699:$AAB699,1,SEQUENCE(1,width)),flat,TOCOL(r,1),bad,FILTER(flat,COUNTIF('リスト'!$E:$E,flat)=0),IFERROR(TEXTJOIN(""\n"",TRUE,bad),""""))"),"")</f>
        <v/>
      </c>
      <c r="AC699" s="185"/>
      <c r="AD699" s="185"/>
    </row>
    <row r="700">
      <c r="A700" s="185"/>
      <c r="B700" s="185"/>
      <c r="C700" s="185"/>
      <c r="D700" s="185"/>
      <c r="E700" s="203"/>
      <c r="F700" s="203"/>
      <c r="G700" s="185"/>
      <c r="H700" s="185"/>
      <c r="I700" s="185"/>
      <c r="J700" s="185"/>
      <c r="K700" s="185"/>
      <c r="L700" s="185"/>
      <c r="M700" s="185"/>
      <c r="N700" s="185"/>
      <c r="O700" s="185"/>
      <c r="P700" s="185"/>
      <c r="Q700" s="185"/>
      <c r="R700" s="185"/>
      <c r="S700" s="185"/>
      <c r="T700" s="185"/>
      <c r="U700" s="185"/>
      <c r="V700" s="185"/>
      <c r="W700" s="185"/>
      <c r="X700" s="185"/>
      <c r="Y700" s="185"/>
      <c r="Z700" s="185"/>
      <c r="AA700" s="185"/>
      <c r="AB700" s="185" t="str">
        <f>IFERROR(__xludf.DUMMYFUNCTION("LET(width,COLUMN($AB$1)-COLUMN($G$1),r,INDEX($G700:$AAB700,1,SEQUENCE(1,width)),flat,TOCOL(r,1),bad,FILTER(flat,COUNTIF('リスト'!$E:$E,flat)=0),IFERROR(TEXTJOIN(""\n"",TRUE,bad),""""))"),"")</f>
        <v/>
      </c>
      <c r="AC700" s="185"/>
      <c r="AD700" s="185"/>
    </row>
    <row r="701">
      <c r="A701" s="185"/>
      <c r="B701" s="185"/>
      <c r="C701" s="185"/>
      <c r="D701" s="185"/>
      <c r="E701" s="203"/>
      <c r="F701" s="203"/>
      <c r="G701" s="185"/>
      <c r="H701" s="185"/>
      <c r="I701" s="185"/>
      <c r="J701" s="185"/>
      <c r="K701" s="185"/>
      <c r="L701" s="185"/>
      <c r="M701" s="185"/>
      <c r="N701" s="185"/>
      <c r="O701" s="185"/>
      <c r="P701" s="185"/>
      <c r="Q701" s="185"/>
      <c r="R701" s="185"/>
      <c r="S701" s="185"/>
      <c r="T701" s="185"/>
      <c r="U701" s="185"/>
      <c r="V701" s="185"/>
      <c r="W701" s="185"/>
      <c r="X701" s="185"/>
      <c r="Y701" s="185"/>
      <c r="Z701" s="185"/>
      <c r="AA701" s="185"/>
      <c r="AB701" s="185" t="str">
        <f>IFERROR(__xludf.DUMMYFUNCTION("LET(width,COLUMN($AB$1)-COLUMN($G$1),r,INDEX($G701:$AAB701,1,SEQUENCE(1,width)),flat,TOCOL(r,1),bad,FILTER(flat,COUNTIF('リスト'!$E:$E,flat)=0),IFERROR(TEXTJOIN(""\n"",TRUE,bad),""""))"),"")</f>
        <v/>
      </c>
      <c r="AC701" s="185"/>
      <c r="AD701" s="185"/>
    </row>
    <row r="702">
      <c r="A702" s="185"/>
      <c r="B702" s="185"/>
      <c r="C702" s="185"/>
      <c r="D702" s="185"/>
      <c r="E702" s="203"/>
      <c r="F702" s="203"/>
      <c r="G702" s="185"/>
      <c r="H702" s="185"/>
      <c r="I702" s="185"/>
      <c r="J702" s="185"/>
      <c r="K702" s="185"/>
      <c r="L702" s="185"/>
      <c r="M702" s="185"/>
      <c r="N702" s="185"/>
      <c r="O702" s="185"/>
      <c r="P702" s="185"/>
      <c r="Q702" s="185"/>
      <c r="R702" s="185"/>
      <c r="S702" s="185"/>
      <c r="T702" s="185"/>
      <c r="U702" s="185"/>
      <c r="V702" s="185"/>
      <c r="W702" s="185"/>
      <c r="X702" s="185"/>
      <c r="Y702" s="185"/>
      <c r="Z702" s="185"/>
      <c r="AA702" s="185"/>
      <c r="AB702" s="185" t="str">
        <f>IFERROR(__xludf.DUMMYFUNCTION("LET(width,COLUMN($AB$1)-COLUMN($G$1),r,INDEX($G702:$AAB702,1,SEQUENCE(1,width)),flat,TOCOL(r,1),bad,FILTER(flat,COUNTIF('リスト'!$E:$E,flat)=0),IFERROR(TEXTJOIN(""\n"",TRUE,bad),""""))"),"")</f>
        <v/>
      </c>
      <c r="AC702" s="185"/>
      <c r="AD702" s="185"/>
    </row>
    <row r="703">
      <c r="A703" s="185"/>
      <c r="B703" s="185"/>
      <c r="C703" s="185"/>
      <c r="D703" s="185"/>
      <c r="E703" s="203"/>
      <c r="F703" s="203"/>
      <c r="G703" s="185"/>
      <c r="H703" s="185"/>
      <c r="I703" s="185"/>
      <c r="J703" s="185"/>
      <c r="K703" s="185"/>
      <c r="L703" s="185"/>
      <c r="M703" s="185"/>
      <c r="N703" s="185"/>
      <c r="O703" s="185"/>
      <c r="P703" s="185"/>
      <c r="Q703" s="185"/>
      <c r="R703" s="185"/>
      <c r="S703" s="185"/>
      <c r="T703" s="185"/>
      <c r="U703" s="185"/>
      <c r="V703" s="185"/>
      <c r="W703" s="185"/>
      <c r="X703" s="185"/>
      <c r="Y703" s="185"/>
      <c r="Z703" s="185"/>
      <c r="AA703" s="185"/>
      <c r="AB703" s="185" t="str">
        <f>IFERROR(__xludf.DUMMYFUNCTION("LET(width,COLUMN($AB$1)-COLUMN($G$1),r,INDEX($G703:$AAB703,1,SEQUENCE(1,width)),flat,TOCOL(r,1),bad,FILTER(flat,COUNTIF('リスト'!$E:$E,flat)=0),IFERROR(TEXTJOIN(""\n"",TRUE,bad),""""))"),"")</f>
        <v/>
      </c>
      <c r="AC703" s="185"/>
      <c r="AD703" s="185"/>
    </row>
    <row r="704">
      <c r="A704" s="185"/>
      <c r="B704" s="185"/>
      <c r="C704" s="185"/>
      <c r="D704" s="185"/>
      <c r="E704" s="203"/>
      <c r="F704" s="203"/>
      <c r="G704" s="185"/>
      <c r="H704" s="185"/>
      <c r="I704" s="185"/>
      <c r="J704" s="185"/>
      <c r="K704" s="185"/>
      <c r="L704" s="185"/>
      <c r="M704" s="185"/>
      <c r="N704" s="185"/>
      <c r="O704" s="185"/>
      <c r="P704" s="185"/>
      <c r="Q704" s="185"/>
      <c r="R704" s="185"/>
      <c r="S704" s="185"/>
      <c r="T704" s="185"/>
      <c r="U704" s="185"/>
      <c r="V704" s="185"/>
      <c r="W704" s="185"/>
      <c r="X704" s="185"/>
      <c r="Y704" s="185"/>
      <c r="Z704" s="185"/>
      <c r="AA704" s="185"/>
      <c r="AB704" s="185" t="str">
        <f>IFERROR(__xludf.DUMMYFUNCTION("LET(width,COLUMN($AB$1)-COLUMN($G$1),r,INDEX($G704:$AAB704,1,SEQUENCE(1,width)),flat,TOCOL(r,1),bad,FILTER(flat,COUNTIF('リスト'!$E:$E,flat)=0),IFERROR(TEXTJOIN(""\n"",TRUE,bad),""""))"),"")</f>
        <v/>
      </c>
      <c r="AC704" s="185"/>
      <c r="AD704" s="185"/>
    </row>
    <row r="705">
      <c r="A705" s="185"/>
      <c r="B705" s="185"/>
      <c r="C705" s="185"/>
      <c r="D705" s="185"/>
      <c r="E705" s="203"/>
      <c r="F705" s="203"/>
      <c r="G705" s="185"/>
      <c r="H705" s="185"/>
      <c r="I705" s="185"/>
      <c r="J705" s="185"/>
      <c r="K705" s="185"/>
      <c r="L705" s="185"/>
      <c r="M705" s="185"/>
      <c r="N705" s="185"/>
      <c r="O705" s="185"/>
      <c r="P705" s="185"/>
      <c r="Q705" s="185"/>
      <c r="R705" s="185"/>
      <c r="S705" s="185"/>
      <c r="T705" s="185"/>
      <c r="U705" s="185"/>
      <c r="V705" s="185"/>
      <c r="W705" s="185"/>
      <c r="X705" s="185"/>
      <c r="Y705" s="185"/>
      <c r="Z705" s="185"/>
      <c r="AA705" s="185"/>
      <c r="AB705" s="185" t="str">
        <f>IFERROR(__xludf.DUMMYFUNCTION("LET(width,COLUMN($AB$1)-COLUMN($G$1),r,INDEX($G705:$AAB705,1,SEQUENCE(1,width)),flat,TOCOL(r,1),bad,FILTER(flat,COUNTIF('リスト'!$E:$E,flat)=0),IFERROR(TEXTJOIN(""\n"",TRUE,bad),""""))"),"")</f>
        <v/>
      </c>
      <c r="AC705" s="185"/>
      <c r="AD705" s="185"/>
    </row>
    <row r="706">
      <c r="A706" s="185"/>
      <c r="B706" s="185"/>
      <c r="C706" s="185"/>
      <c r="D706" s="185"/>
      <c r="E706" s="203"/>
      <c r="F706" s="203"/>
      <c r="G706" s="185"/>
      <c r="H706" s="185"/>
      <c r="I706" s="185"/>
      <c r="J706" s="185"/>
      <c r="K706" s="185"/>
      <c r="L706" s="185"/>
      <c r="M706" s="185"/>
      <c r="N706" s="185"/>
      <c r="O706" s="185"/>
      <c r="P706" s="185"/>
      <c r="Q706" s="185"/>
      <c r="R706" s="185"/>
      <c r="S706" s="185"/>
      <c r="T706" s="185"/>
      <c r="U706" s="185"/>
      <c r="V706" s="185"/>
      <c r="W706" s="185"/>
      <c r="X706" s="185"/>
      <c r="Y706" s="185"/>
      <c r="Z706" s="185"/>
      <c r="AA706" s="185"/>
      <c r="AB706" s="185" t="str">
        <f>IFERROR(__xludf.DUMMYFUNCTION("LET(width,COLUMN($AB$1)-COLUMN($G$1),r,INDEX($G706:$AAB706,1,SEQUENCE(1,width)),flat,TOCOL(r,1),bad,FILTER(flat,COUNTIF('リスト'!$E:$E,flat)=0),IFERROR(TEXTJOIN(""\n"",TRUE,bad),""""))"),"")</f>
        <v/>
      </c>
      <c r="AC706" s="185"/>
      <c r="AD706" s="185"/>
    </row>
    <row r="707">
      <c r="A707" s="185"/>
      <c r="B707" s="185"/>
      <c r="C707" s="185"/>
      <c r="D707" s="185"/>
      <c r="E707" s="203"/>
      <c r="F707" s="203"/>
      <c r="G707" s="185"/>
      <c r="H707" s="185"/>
      <c r="I707" s="185"/>
      <c r="J707" s="185"/>
      <c r="K707" s="185"/>
      <c r="L707" s="185"/>
      <c r="M707" s="185"/>
      <c r="N707" s="185"/>
      <c r="O707" s="185"/>
      <c r="P707" s="185"/>
      <c r="Q707" s="185"/>
      <c r="R707" s="185"/>
      <c r="S707" s="185"/>
      <c r="T707" s="185"/>
      <c r="U707" s="185"/>
      <c r="V707" s="185"/>
      <c r="W707" s="185"/>
      <c r="X707" s="185"/>
      <c r="Y707" s="185"/>
      <c r="Z707" s="185"/>
      <c r="AA707" s="185"/>
      <c r="AB707" s="185" t="str">
        <f>IFERROR(__xludf.DUMMYFUNCTION("LET(width,COLUMN($AB$1)-COLUMN($G$1),r,INDEX($G707:$AAB707,1,SEQUENCE(1,width)),flat,TOCOL(r,1),bad,FILTER(flat,COUNTIF('リスト'!$E:$E,flat)=0),IFERROR(TEXTJOIN(""\n"",TRUE,bad),""""))"),"")</f>
        <v/>
      </c>
      <c r="AC707" s="185"/>
      <c r="AD707" s="185"/>
    </row>
    <row r="708">
      <c r="A708" s="185"/>
      <c r="B708" s="185"/>
      <c r="C708" s="185"/>
      <c r="D708" s="185"/>
      <c r="E708" s="203"/>
      <c r="F708" s="203"/>
      <c r="G708" s="185"/>
      <c r="H708" s="185"/>
      <c r="I708" s="185"/>
      <c r="J708" s="185"/>
      <c r="K708" s="185"/>
      <c r="L708" s="185"/>
      <c r="M708" s="185"/>
      <c r="N708" s="185"/>
      <c r="O708" s="185"/>
      <c r="P708" s="185"/>
      <c r="Q708" s="185"/>
      <c r="R708" s="185"/>
      <c r="S708" s="185"/>
      <c r="T708" s="185"/>
      <c r="U708" s="185"/>
      <c r="V708" s="185"/>
      <c r="W708" s="185"/>
      <c r="X708" s="185"/>
      <c r="Y708" s="185"/>
      <c r="Z708" s="185"/>
      <c r="AA708" s="185"/>
      <c r="AB708" s="185" t="str">
        <f>IFERROR(__xludf.DUMMYFUNCTION("LET(width,COLUMN($AB$1)-COLUMN($G$1),r,INDEX($G708:$AAB708,1,SEQUENCE(1,width)),flat,TOCOL(r,1),bad,FILTER(flat,COUNTIF('リスト'!$E:$E,flat)=0),IFERROR(TEXTJOIN(""\n"",TRUE,bad),""""))"),"")</f>
        <v/>
      </c>
      <c r="AC708" s="185"/>
      <c r="AD708" s="185"/>
    </row>
    <row r="709">
      <c r="A709" s="185"/>
      <c r="B709" s="185"/>
      <c r="C709" s="185"/>
      <c r="D709" s="185"/>
      <c r="E709" s="203"/>
      <c r="F709" s="203"/>
      <c r="G709" s="185"/>
      <c r="H709" s="185"/>
      <c r="I709" s="185"/>
      <c r="J709" s="185"/>
      <c r="K709" s="185"/>
      <c r="L709" s="185"/>
      <c r="M709" s="185"/>
      <c r="N709" s="185"/>
      <c r="O709" s="185"/>
      <c r="P709" s="185"/>
      <c r="Q709" s="185"/>
      <c r="R709" s="185"/>
      <c r="S709" s="185"/>
      <c r="T709" s="185"/>
      <c r="U709" s="185"/>
      <c r="V709" s="185"/>
      <c r="W709" s="185"/>
      <c r="X709" s="185"/>
      <c r="Y709" s="185"/>
      <c r="Z709" s="185"/>
      <c r="AA709" s="185"/>
      <c r="AB709" s="185" t="str">
        <f>IFERROR(__xludf.DUMMYFUNCTION("LET(width,COLUMN($AB$1)-COLUMN($G$1),r,INDEX($G709:$AAB709,1,SEQUENCE(1,width)),flat,TOCOL(r,1),bad,FILTER(flat,COUNTIF('リスト'!$E:$E,flat)=0),IFERROR(TEXTJOIN(""\n"",TRUE,bad),""""))"),"")</f>
        <v/>
      </c>
      <c r="AC709" s="185"/>
      <c r="AD709" s="185"/>
    </row>
    <row r="710">
      <c r="A710" s="185"/>
      <c r="B710" s="185"/>
      <c r="C710" s="185"/>
      <c r="D710" s="185"/>
      <c r="E710" s="203"/>
      <c r="F710" s="203"/>
      <c r="G710" s="185"/>
      <c r="H710" s="185"/>
      <c r="I710" s="185"/>
      <c r="J710" s="185"/>
      <c r="K710" s="185"/>
      <c r="L710" s="185"/>
      <c r="M710" s="185"/>
      <c r="N710" s="185"/>
      <c r="O710" s="185"/>
      <c r="P710" s="185"/>
      <c r="Q710" s="185"/>
      <c r="R710" s="185"/>
      <c r="S710" s="185"/>
      <c r="T710" s="185"/>
      <c r="U710" s="185"/>
      <c r="V710" s="185"/>
      <c r="W710" s="185"/>
      <c r="X710" s="185"/>
      <c r="Y710" s="185"/>
      <c r="Z710" s="185"/>
      <c r="AA710" s="185"/>
      <c r="AB710" s="185" t="str">
        <f>IFERROR(__xludf.DUMMYFUNCTION("LET(width,COLUMN($AB$1)-COLUMN($G$1),r,INDEX($G710:$AAB710,1,SEQUENCE(1,width)),flat,TOCOL(r,1),bad,FILTER(flat,COUNTIF('リスト'!$E:$E,flat)=0),IFERROR(TEXTJOIN(""\n"",TRUE,bad),""""))"),"")</f>
        <v/>
      </c>
      <c r="AC710" s="185"/>
      <c r="AD710" s="185"/>
    </row>
    <row r="711">
      <c r="A711" s="185"/>
      <c r="B711" s="185"/>
      <c r="C711" s="185"/>
      <c r="D711" s="185"/>
      <c r="E711" s="203"/>
      <c r="F711" s="203"/>
      <c r="G711" s="185"/>
      <c r="H711" s="185"/>
      <c r="I711" s="185"/>
      <c r="J711" s="185"/>
      <c r="K711" s="185"/>
      <c r="L711" s="185"/>
      <c r="M711" s="185"/>
      <c r="N711" s="185"/>
      <c r="O711" s="185"/>
      <c r="P711" s="185"/>
      <c r="Q711" s="185"/>
      <c r="R711" s="185"/>
      <c r="S711" s="185"/>
      <c r="T711" s="185"/>
      <c r="U711" s="185"/>
      <c r="V711" s="185"/>
      <c r="W711" s="185"/>
      <c r="X711" s="185"/>
      <c r="Y711" s="185"/>
      <c r="Z711" s="185"/>
      <c r="AA711" s="185"/>
      <c r="AB711" s="185" t="str">
        <f>IFERROR(__xludf.DUMMYFUNCTION("LET(width,COLUMN($AB$1)-COLUMN($G$1),r,INDEX($G711:$AAB711,1,SEQUENCE(1,width)),flat,TOCOL(r,1),bad,FILTER(flat,COUNTIF('リスト'!$E:$E,flat)=0),IFERROR(TEXTJOIN(""\n"",TRUE,bad),""""))"),"")</f>
        <v/>
      </c>
      <c r="AC711" s="185"/>
      <c r="AD711" s="185"/>
    </row>
    <row r="712">
      <c r="A712" s="185"/>
      <c r="B712" s="185"/>
      <c r="C712" s="185"/>
      <c r="D712" s="185"/>
      <c r="E712" s="203"/>
      <c r="F712" s="203"/>
      <c r="G712" s="185"/>
      <c r="H712" s="185"/>
      <c r="I712" s="185"/>
      <c r="J712" s="185"/>
      <c r="K712" s="185"/>
      <c r="L712" s="185"/>
      <c r="M712" s="185"/>
      <c r="N712" s="185"/>
      <c r="O712" s="185"/>
      <c r="P712" s="185"/>
      <c r="Q712" s="185"/>
      <c r="R712" s="185"/>
      <c r="S712" s="185"/>
      <c r="T712" s="185"/>
      <c r="U712" s="185"/>
      <c r="V712" s="185"/>
      <c r="W712" s="185"/>
      <c r="X712" s="185"/>
      <c r="Y712" s="185"/>
      <c r="Z712" s="185"/>
      <c r="AA712" s="185"/>
      <c r="AB712" s="185" t="str">
        <f>IFERROR(__xludf.DUMMYFUNCTION("LET(width,COLUMN($AB$1)-COLUMN($G$1),r,INDEX($G712:$AAB712,1,SEQUENCE(1,width)),flat,TOCOL(r,1),bad,FILTER(flat,COUNTIF('リスト'!$E:$E,flat)=0),IFERROR(TEXTJOIN(""\n"",TRUE,bad),""""))"),"")</f>
        <v/>
      </c>
      <c r="AC712" s="185"/>
      <c r="AD712" s="185"/>
    </row>
    <row r="713">
      <c r="A713" s="185"/>
      <c r="B713" s="185"/>
      <c r="C713" s="185"/>
      <c r="D713" s="185"/>
      <c r="E713" s="203"/>
      <c r="F713" s="203"/>
      <c r="G713" s="185"/>
      <c r="H713" s="185"/>
      <c r="I713" s="185"/>
      <c r="J713" s="185"/>
      <c r="K713" s="185"/>
      <c r="L713" s="185"/>
      <c r="M713" s="185"/>
      <c r="N713" s="185"/>
      <c r="O713" s="185"/>
      <c r="P713" s="185"/>
      <c r="Q713" s="185"/>
      <c r="R713" s="185"/>
      <c r="S713" s="185"/>
      <c r="T713" s="185"/>
      <c r="U713" s="185"/>
      <c r="V713" s="185"/>
      <c r="W713" s="185"/>
      <c r="X713" s="185"/>
      <c r="Y713" s="185"/>
      <c r="Z713" s="185"/>
      <c r="AA713" s="185"/>
      <c r="AB713" s="185" t="str">
        <f>IFERROR(__xludf.DUMMYFUNCTION("LET(width,COLUMN($AB$1)-COLUMN($G$1),r,INDEX($G713:$AAB713,1,SEQUENCE(1,width)),flat,TOCOL(r,1),bad,FILTER(flat,COUNTIF('リスト'!$E:$E,flat)=0),IFERROR(TEXTJOIN(""\n"",TRUE,bad),""""))"),"")</f>
        <v/>
      </c>
      <c r="AC713" s="185"/>
      <c r="AD713" s="185"/>
    </row>
    <row r="714">
      <c r="A714" s="185"/>
      <c r="B714" s="185"/>
      <c r="C714" s="185"/>
      <c r="D714" s="185"/>
      <c r="E714" s="203"/>
      <c r="F714" s="203"/>
      <c r="G714" s="185"/>
      <c r="H714" s="185"/>
      <c r="I714" s="185"/>
      <c r="J714" s="185"/>
      <c r="K714" s="185"/>
      <c r="L714" s="185"/>
      <c r="M714" s="185"/>
      <c r="N714" s="185"/>
      <c r="O714" s="185"/>
      <c r="P714" s="185"/>
      <c r="Q714" s="185"/>
      <c r="R714" s="185"/>
      <c r="S714" s="185"/>
      <c r="T714" s="185"/>
      <c r="U714" s="185"/>
      <c r="V714" s="185"/>
      <c r="W714" s="185"/>
      <c r="X714" s="185"/>
      <c r="Y714" s="185"/>
      <c r="Z714" s="185"/>
      <c r="AA714" s="185"/>
      <c r="AB714" s="185" t="str">
        <f>IFERROR(__xludf.DUMMYFUNCTION("LET(width,COLUMN($AB$1)-COLUMN($G$1),r,INDEX($G714:$AAB714,1,SEQUENCE(1,width)),flat,TOCOL(r,1),bad,FILTER(flat,COUNTIF('リスト'!$E:$E,flat)=0),IFERROR(TEXTJOIN(""\n"",TRUE,bad),""""))"),"")</f>
        <v/>
      </c>
      <c r="AC714" s="185"/>
      <c r="AD714" s="185"/>
    </row>
    <row r="715">
      <c r="A715" s="185"/>
      <c r="B715" s="185"/>
      <c r="C715" s="185"/>
      <c r="D715" s="185"/>
      <c r="E715" s="203"/>
      <c r="F715" s="203"/>
      <c r="G715" s="185"/>
      <c r="H715" s="185"/>
      <c r="I715" s="185"/>
      <c r="J715" s="185"/>
      <c r="K715" s="185"/>
      <c r="L715" s="185"/>
      <c r="M715" s="185"/>
      <c r="N715" s="185"/>
      <c r="O715" s="185"/>
      <c r="P715" s="185"/>
      <c r="Q715" s="185"/>
      <c r="R715" s="185"/>
      <c r="S715" s="185"/>
      <c r="T715" s="185"/>
      <c r="U715" s="185"/>
      <c r="V715" s="185"/>
      <c r="W715" s="185"/>
      <c r="X715" s="185"/>
      <c r="Y715" s="185"/>
      <c r="Z715" s="185"/>
      <c r="AA715" s="185"/>
      <c r="AB715" s="185" t="str">
        <f>IFERROR(__xludf.DUMMYFUNCTION("LET(width,COLUMN($AB$1)-COLUMN($G$1),r,INDEX($G715:$AAB715,1,SEQUENCE(1,width)),flat,TOCOL(r,1),bad,FILTER(flat,COUNTIF('リスト'!$E:$E,flat)=0),IFERROR(TEXTJOIN(""\n"",TRUE,bad),""""))"),"")</f>
        <v/>
      </c>
      <c r="AC715" s="185"/>
      <c r="AD715" s="185"/>
    </row>
    <row r="716">
      <c r="A716" s="185"/>
      <c r="B716" s="185"/>
      <c r="C716" s="185"/>
      <c r="D716" s="185"/>
      <c r="E716" s="203"/>
      <c r="F716" s="203"/>
      <c r="G716" s="185"/>
      <c r="H716" s="185"/>
      <c r="I716" s="185"/>
      <c r="J716" s="185"/>
      <c r="K716" s="185"/>
      <c r="L716" s="185"/>
      <c r="M716" s="185"/>
      <c r="N716" s="185"/>
      <c r="O716" s="185"/>
      <c r="P716" s="185"/>
      <c r="Q716" s="185"/>
      <c r="R716" s="185"/>
      <c r="S716" s="185"/>
      <c r="T716" s="185"/>
      <c r="U716" s="185"/>
      <c r="V716" s="185"/>
      <c r="W716" s="185"/>
      <c r="X716" s="185"/>
      <c r="Y716" s="185"/>
      <c r="Z716" s="185"/>
      <c r="AA716" s="185"/>
      <c r="AB716" s="185" t="str">
        <f>IFERROR(__xludf.DUMMYFUNCTION("LET(width,COLUMN($AB$1)-COLUMN($G$1),r,INDEX($G716:$AAB716,1,SEQUENCE(1,width)),flat,TOCOL(r,1),bad,FILTER(flat,COUNTIF('リスト'!$E:$E,flat)=0),IFERROR(TEXTJOIN(""\n"",TRUE,bad),""""))"),"")</f>
        <v/>
      </c>
      <c r="AC716" s="185"/>
      <c r="AD716" s="185"/>
    </row>
    <row r="717">
      <c r="A717" s="185"/>
      <c r="B717" s="185"/>
      <c r="C717" s="185"/>
      <c r="D717" s="185"/>
      <c r="E717" s="203"/>
      <c r="F717" s="203"/>
      <c r="G717" s="185"/>
      <c r="H717" s="185"/>
      <c r="I717" s="185"/>
      <c r="J717" s="185"/>
      <c r="K717" s="185"/>
      <c r="L717" s="185"/>
      <c r="M717" s="185"/>
      <c r="N717" s="185"/>
      <c r="O717" s="185"/>
      <c r="P717" s="185"/>
      <c r="Q717" s="185"/>
      <c r="R717" s="185"/>
      <c r="S717" s="185"/>
      <c r="T717" s="185"/>
      <c r="U717" s="185"/>
      <c r="V717" s="185"/>
      <c r="W717" s="185"/>
      <c r="X717" s="185"/>
      <c r="Y717" s="185"/>
      <c r="Z717" s="185"/>
      <c r="AA717" s="185"/>
      <c r="AB717" s="185" t="str">
        <f>IFERROR(__xludf.DUMMYFUNCTION("LET(width,COLUMN($AB$1)-COLUMN($G$1),r,INDEX($G717:$AAB717,1,SEQUENCE(1,width)),flat,TOCOL(r,1),bad,FILTER(flat,COUNTIF('リスト'!$E:$E,flat)=0),IFERROR(TEXTJOIN(""\n"",TRUE,bad),""""))"),"")</f>
        <v/>
      </c>
      <c r="AC717" s="185"/>
      <c r="AD717" s="185"/>
    </row>
    <row r="718">
      <c r="A718" s="185"/>
      <c r="B718" s="185"/>
      <c r="C718" s="185"/>
      <c r="D718" s="185"/>
      <c r="E718" s="203"/>
      <c r="F718" s="203"/>
      <c r="G718" s="185"/>
      <c r="H718" s="185"/>
      <c r="I718" s="185"/>
      <c r="J718" s="185"/>
      <c r="K718" s="185"/>
      <c r="L718" s="185"/>
      <c r="M718" s="185"/>
      <c r="N718" s="185"/>
      <c r="O718" s="185"/>
      <c r="P718" s="185"/>
      <c r="Q718" s="185"/>
      <c r="R718" s="185"/>
      <c r="S718" s="185"/>
      <c r="T718" s="185"/>
      <c r="U718" s="185"/>
      <c r="V718" s="185"/>
      <c r="W718" s="185"/>
      <c r="X718" s="185"/>
      <c r="Y718" s="185"/>
      <c r="Z718" s="185"/>
      <c r="AA718" s="185"/>
      <c r="AB718" s="185" t="str">
        <f>IFERROR(__xludf.DUMMYFUNCTION("LET(width,COLUMN($AB$1)-COLUMN($G$1),r,INDEX($G718:$AAB718,1,SEQUENCE(1,width)),flat,TOCOL(r,1),bad,FILTER(flat,COUNTIF('リスト'!$E:$E,flat)=0),IFERROR(TEXTJOIN(""\n"",TRUE,bad),""""))"),"")</f>
        <v/>
      </c>
      <c r="AC718" s="185"/>
      <c r="AD718" s="185"/>
    </row>
    <row r="719">
      <c r="A719" s="185"/>
      <c r="B719" s="185"/>
      <c r="C719" s="185"/>
      <c r="D719" s="185"/>
      <c r="E719" s="203"/>
      <c r="F719" s="203"/>
      <c r="G719" s="185"/>
      <c r="H719" s="185"/>
      <c r="I719" s="185"/>
      <c r="J719" s="185"/>
      <c r="K719" s="185"/>
      <c r="L719" s="185"/>
      <c r="M719" s="185"/>
      <c r="N719" s="185"/>
      <c r="O719" s="185"/>
      <c r="P719" s="185"/>
      <c r="Q719" s="185"/>
      <c r="R719" s="185"/>
      <c r="S719" s="185"/>
      <c r="T719" s="185"/>
      <c r="U719" s="185"/>
      <c r="V719" s="185"/>
      <c r="W719" s="185"/>
      <c r="X719" s="185"/>
      <c r="Y719" s="185"/>
      <c r="Z719" s="185"/>
      <c r="AA719" s="185"/>
      <c r="AB719" s="185" t="str">
        <f>IFERROR(__xludf.DUMMYFUNCTION("LET(width,COLUMN($AB$1)-COLUMN($G$1),r,INDEX($G719:$AAB719,1,SEQUENCE(1,width)),flat,TOCOL(r,1),bad,FILTER(flat,COUNTIF('リスト'!$E:$E,flat)=0),IFERROR(TEXTJOIN(""\n"",TRUE,bad),""""))"),"")</f>
        <v/>
      </c>
      <c r="AC719" s="185"/>
      <c r="AD719" s="185"/>
    </row>
    <row r="720">
      <c r="A720" s="185"/>
      <c r="B720" s="185"/>
      <c r="C720" s="185"/>
      <c r="D720" s="185"/>
      <c r="E720" s="203"/>
      <c r="F720" s="203"/>
      <c r="G720" s="185"/>
      <c r="H720" s="185"/>
      <c r="I720" s="185"/>
      <c r="J720" s="185"/>
      <c r="K720" s="185"/>
      <c r="L720" s="185"/>
      <c r="M720" s="185"/>
      <c r="N720" s="185"/>
      <c r="O720" s="185"/>
      <c r="P720" s="185"/>
      <c r="Q720" s="185"/>
      <c r="R720" s="185"/>
      <c r="S720" s="185"/>
      <c r="T720" s="185"/>
      <c r="U720" s="185"/>
      <c r="V720" s="185"/>
      <c r="W720" s="185"/>
      <c r="X720" s="185"/>
      <c r="Y720" s="185"/>
      <c r="Z720" s="185"/>
      <c r="AA720" s="185"/>
      <c r="AB720" s="185" t="str">
        <f>IFERROR(__xludf.DUMMYFUNCTION("LET(width,COLUMN($AB$1)-COLUMN($G$1),r,INDEX($G720:$AAB720,1,SEQUENCE(1,width)),flat,TOCOL(r,1),bad,FILTER(flat,COUNTIF('リスト'!$E:$E,flat)=0),IFERROR(TEXTJOIN(""\n"",TRUE,bad),""""))"),"")</f>
        <v/>
      </c>
      <c r="AC720" s="185"/>
      <c r="AD720" s="185"/>
    </row>
    <row r="721">
      <c r="A721" s="185"/>
      <c r="B721" s="185"/>
      <c r="C721" s="185"/>
      <c r="D721" s="185"/>
      <c r="E721" s="203"/>
      <c r="F721" s="203"/>
      <c r="G721" s="185"/>
      <c r="H721" s="185"/>
      <c r="I721" s="185"/>
      <c r="J721" s="185"/>
      <c r="K721" s="185"/>
      <c r="L721" s="185"/>
      <c r="M721" s="185"/>
      <c r="N721" s="185"/>
      <c r="O721" s="185"/>
      <c r="P721" s="185"/>
      <c r="Q721" s="185"/>
      <c r="R721" s="185"/>
      <c r="S721" s="185"/>
      <c r="T721" s="185"/>
      <c r="U721" s="185"/>
      <c r="V721" s="185"/>
      <c r="W721" s="185"/>
      <c r="X721" s="185"/>
      <c r="Y721" s="185"/>
      <c r="Z721" s="185"/>
      <c r="AA721" s="185"/>
      <c r="AB721" s="185" t="str">
        <f>IFERROR(__xludf.DUMMYFUNCTION("LET(width,COLUMN($AB$1)-COLUMN($G$1),r,INDEX($G721:$AAB721,1,SEQUENCE(1,width)),flat,TOCOL(r,1),bad,FILTER(flat,COUNTIF('リスト'!$E:$E,flat)=0),IFERROR(TEXTJOIN(""\n"",TRUE,bad),""""))"),"")</f>
        <v/>
      </c>
      <c r="AC721" s="185"/>
      <c r="AD721" s="185"/>
    </row>
    <row r="722">
      <c r="A722" s="185"/>
      <c r="B722" s="185"/>
      <c r="C722" s="185"/>
      <c r="D722" s="185"/>
      <c r="E722" s="203"/>
      <c r="F722" s="203"/>
      <c r="G722" s="185"/>
      <c r="H722" s="185"/>
      <c r="I722" s="185"/>
      <c r="J722" s="185"/>
      <c r="K722" s="185"/>
      <c r="L722" s="185"/>
      <c r="M722" s="185"/>
      <c r="N722" s="185"/>
      <c r="O722" s="185"/>
      <c r="P722" s="185"/>
      <c r="Q722" s="185"/>
      <c r="R722" s="185"/>
      <c r="S722" s="185"/>
      <c r="T722" s="185"/>
      <c r="U722" s="185"/>
      <c r="V722" s="185"/>
      <c r="W722" s="185"/>
      <c r="X722" s="185"/>
      <c r="Y722" s="185"/>
      <c r="Z722" s="185"/>
      <c r="AA722" s="185"/>
      <c r="AB722" s="185" t="str">
        <f>IFERROR(__xludf.DUMMYFUNCTION("LET(width,COLUMN($AB$1)-COLUMN($G$1),r,INDEX($G722:$AAB722,1,SEQUENCE(1,width)),flat,TOCOL(r,1),bad,FILTER(flat,COUNTIF('リスト'!$E:$E,flat)=0),IFERROR(TEXTJOIN(""\n"",TRUE,bad),""""))"),"")</f>
        <v/>
      </c>
      <c r="AC722" s="185"/>
      <c r="AD722" s="185"/>
    </row>
    <row r="723">
      <c r="A723" s="185"/>
      <c r="B723" s="185"/>
      <c r="C723" s="185"/>
      <c r="D723" s="185"/>
      <c r="E723" s="203"/>
      <c r="F723" s="203"/>
      <c r="G723" s="185"/>
      <c r="H723" s="185"/>
      <c r="I723" s="185"/>
      <c r="J723" s="185"/>
      <c r="K723" s="185"/>
      <c r="L723" s="185"/>
      <c r="M723" s="185"/>
      <c r="N723" s="185"/>
      <c r="O723" s="185"/>
      <c r="P723" s="185"/>
      <c r="Q723" s="185"/>
      <c r="R723" s="185"/>
      <c r="S723" s="185"/>
      <c r="T723" s="185"/>
      <c r="U723" s="185"/>
      <c r="V723" s="185"/>
      <c r="W723" s="185"/>
      <c r="X723" s="185"/>
      <c r="Y723" s="185"/>
      <c r="Z723" s="185"/>
      <c r="AA723" s="185"/>
      <c r="AB723" s="185" t="str">
        <f>IFERROR(__xludf.DUMMYFUNCTION("LET(width,COLUMN($AB$1)-COLUMN($G$1),r,INDEX($G723:$AAB723,1,SEQUENCE(1,width)),flat,TOCOL(r,1),bad,FILTER(flat,COUNTIF('リスト'!$E:$E,flat)=0),IFERROR(TEXTJOIN(""\n"",TRUE,bad),""""))"),"")</f>
        <v/>
      </c>
      <c r="AC723" s="185"/>
      <c r="AD723" s="185"/>
    </row>
    <row r="724">
      <c r="A724" s="185"/>
      <c r="B724" s="185"/>
      <c r="C724" s="185"/>
      <c r="D724" s="185"/>
      <c r="E724" s="203"/>
      <c r="F724" s="203"/>
      <c r="G724" s="185"/>
      <c r="H724" s="185"/>
      <c r="I724" s="185"/>
      <c r="J724" s="185"/>
      <c r="K724" s="185"/>
      <c r="L724" s="185"/>
      <c r="M724" s="185"/>
      <c r="N724" s="185"/>
      <c r="O724" s="185"/>
      <c r="P724" s="185"/>
      <c r="Q724" s="185"/>
      <c r="R724" s="185"/>
      <c r="S724" s="185"/>
      <c r="T724" s="185"/>
      <c r="U724" s="185"/>
      <c r="V724" s="185"/>
      <c r="W724" s="185"/>
      <c r="X724" s="185"/>
      <c r="Y724" s="185"/>
      <c r="Z724" s="185"/>
      <c r="AA724" s="185"/>
      <c r="AB724" s="185" t="str">
        <f>IFERROR(__xludf.DUMMYFUNCTION("LET(width,COLUMN($AB$1)-COLUMN($G$1),r,INDEX($G724:$AAB724,1,SEQUENCE(1,width)),flat,TOCOL(r,1),bad,FILTER(flat,COUNTIF('リスト'!$E:$E,flat)=0),IFERROR(TEXTJOIN(""\n"",TRUE,bad),""""))"),"")</f>
        <v/>
      </c>
      <c r="AC724" s="185"/>
      <c r="AD724" s="185"/>
    </row>
    <row r="725">
      <c r="A725" s="185"/>
      <c r="B725" s="185"/>
      <c r="C725" s="185"/>
      <c r="D725" s="185"/>
      <c r="E725" s="203"/>
      <c r="F725" s="203"/>
      <c r="G725" s="185"/>
      <c r="H725" s="185"/>
      <c r="I725" s="185"/>
      <c r="J725" s="185"/>
      <c r="K725" s="185"/>
      <c r="L725" s="185"/>
      <c r="M725" s="185"/>
      <c r="N725" s="185"/>
      <c r="O725" s="185"/>
      <c r="P725" s="185"/>
      <c r="Q725" s="185"/>
      <c r="R725" s="185"/>
      <c r="S725" s="185"/>
      <c r="T725" s="185"/>
      <c r="U725" s="185"/>
      <c r="V725" s="185"/>
      <c r="W725" s="185"/>
      <c r="X725" s="185"/>
      <c r="Y725" s="185"/>
      <c r="Z725" s="185"/>
      <c r="AA725" s="185"/>
      <c r="AB725" s="185" t="str">
        <f>IFERROR(__xludf.DUMMYFUNCTION("LET(width,COLUMN($AB$1)-COLUMN($G$1),r,INDEX($G725:$AAB725,1,SEQUENCE(1,width)),flat,TOCOL(r,1),bad,FILTER(flat,COUNTIF('リスト'!$E:$E,flat)=0),IFERROR(TEXTJOIN(""\n"",TRUE,bad),""""))"),"")</f>
        <v/>
      </c>
      <c r="AC725" s="185"/>
      <c r="AD725" s="185"/>
    </row>
    <row r="726">
      <c r="A726" s="185"/>
      <c r="B726" s="185"/>
      <c r="C726" s="185"/>
      <c r="D726" s="185"/>
      <c r="E726" s="203"/>
      <c r="F726" s="203"/>
      <c r="G726" s="185"/>
      <c r="H726" s="185"/>
      <c r="I726" s="185"/>
      <c r="J726" s="185"/>
      <c r="K726" s="185"/>
      <c r="L726" s="185"/>
      <c r="M726" s="185"/>
      <c r="N726" s="185"/>
      <c r="O726" s="185"/>
      <c r="P726" s="185"/>
      <c r="Q726" s="185"/>
      <c r="R726" s="185"/>
      <c r="S726" s="185"/>
      <c r="T726" s="185"/>
      <c r="U726" s="185"/>
      <c r="V726" s="185"/>
      <c r="W726" s="185"/>
      <c r="X726" s="185"/>
      <c r="Y726" s="185"/>
      <c r="Z726" s="185"/>
      <c r="AA726" s="185"/>
      <c r="AB726" s="185" t="str">
        <f>IFERROR(__xludf.DUMMYFUNCTION("LET(width,COLUMN($AB$1)-COLUMN($G$1),r,INDEX($G726:$AAB726,1,SEQUENCE(1,width)),flat,TOCOL(r,1),bad,FILTER(flat,COUNTIF('リスト'!$E:$E,flat)=0),IFERROR(TEXTJOIN(""\n"",TRUE,bad),""""))"),"")</f>
        <v/>
      </c>
      <c r="AC726" s="185"/>
      <c r="AD726" s="185"/>
    </row>
    <row r="727">
      <c r="A727" s="185"/>
      <c r="B727" s="185"/>
      <c r="C727" s="185"/>
      <c r="D727" s="185"/>
      <c r="E727" s="203"/>
      <c r="F727" s="203"/>
      <c r="G727" s="185"/>
      <c r="H727" s="185"/>
      <c r="I727" s="185"/>
      <c r="J727" s="185"/>
      <c r="K727" s="185"/>
      <c r="L727" s="185"/>
      <c r="M727" s="185"/>
      <c r="N727" s="185"/>
      <c r="O727" s="185"/>
      <c r="P727" s="185"/>
      <c r="Q727" s="185"/>
      <c r="R727" s="185"/>
      <c r="S727" s="185"/>
      <c r="T727" s="185"/>
      <c r="U727" s="185"/>
      <c r="V727" s="185"/>
      <c r="W727" s="185"/>
      <c r="X727" s="185"/>
      <c r="Y727" s="185"/>
      <c r="Z727" s="185"/>
      <c r="AA727" s="185"/>
      <c r="AB727" s="185" t="str">
        <f>IFERROR(__xludf.DUMMYFUNCTION("LET(width,COLUMN($AB$1)-COLUMN($G$1),r,INDEX($G727:$AAB727,1,SEQUENCE(1,width)),flat,TOCOL(r,1),bad,FILTER(flat,COUNTIF('リスト'!$E:$E,flat)=0),IFERROR(TEXTJOIN(""\n"",TRUE,bad),""""))"),"")</f>
        <v/>
      </c>
      <c r="AC727" s="185"/>
      <c r="AD727" s="185"/>
    </row>
    <row r="728">
      <c r="A728" s="185"/>
      <c r="B728" s="185"/>
      <c r="C728" s="185"/>
      <c r="D728" s="185"/>
      <c r="E728" s="203"/>
      <c r="F728" s="203"/>
      <c r="G728" s="185"/>
      <c r="H728" s="185"/>
      <c r="I728" s="185"/>
      <c r="J728" s="185"/>
      <c r="K728" s="185"/>
      <c r="L728" s="185"/>
      <c r="M728" s="185"/>
      <c r="N728" s="185"/>
      <c r="O728" s="185"/>
      <c r="P728" s="185"/>
      <c r="Q728" s="185"/>
      <c r="R728" s="185"/>
      <c r="S728" s="185"/>
      <c r="T728" s="185"/>
      <c r="U728" s="185"/>
      <c r="V728" s="185"/>
      <c r="W728" s="185"/>
      <c r="X728" s="185"/>
      <c r="Y728" s="185"/>
      <c r="Z728" s="185"/>
      <c r="AA728" s="185"/>
      <c r="AB728" s="185" t="str">
        <f>IFERROR(__xludf.DUMMYFUNCTION("LET(width,COLUMN($AB$1)-COLUMN($G$1),r,INDEX($G728:$AAB728,1,SEQUENCE(1,width)),flat,TOCOL(r,1),bad,FILTER(flat,COUNTIF('リスト'!$E:$E,flat)=0),IFERROR(TEXTJOIN(""\n"",TRUE,bad),""""))"),"")</f>
        <v/>
      </c>
      <c r="AC728" s="185"/>
      <c r="AD728" s="185"/>
    </row>
    <row r="729">
      <c r="A729" s="185"/>
      <c r="B729" s="185"/>
      <c r="C729" s="185"/>
      <c r="D729" s="185"/>
      <c r="E729" s="203"/>
      <c r="F729" s="203"/>
      <c r="G729" s="185"/>
      <c r="H729" s="185"/>
      <c r="I729" s="185"/>
      <c r="J729" s="185"/>
      <c r="K729" s="185"/>
      <c r="L729" s="185"/>
      <c r="M729" s="185"/>
      <c r="N729" s="185"/>
      <c r="O729" s="185"/>
      <c r="P729" s="185"/>
      <c r="Q729" s="185"/>
      <c r="R729" s="185"/>
      <c r="S729" s="185"/>
      <c r="T729" s="185"/>
      <c r="U729" s="185"/>
      <c r="V729" s="185"/>
      <c r="W729" s="185"/>
      <c r="X729" s="185"/>
      <c r="Y729" s="185"/>
      <c r="Z729" s="185"/>
      <c r="AA729" s="185"/>
      <c r="AB729" s="185" t="str">
        <f>IFERROR(__xludf.DUMMYFUNCTION("LET(width,COLUMN($AB$1)-COLUMN($G$1),r,INDEX($G729:$AAB729,1,SEQUENCE(1,width)),flat,TOCOL(r,1),bad,FILTER(flat,COUNTIF('リスト'!$E:$E,flat)=0),IFERROR(TEXTJOIN(""\n"",TRUE,bad),""""))"),"")</f>
        <v/>
      </c>
      <c r="AC729" s="185"/>
      <c r="AD729" s="185"/>
    </row>
    <row r="730">
      <c r="A730" s="185"/>
      <c r="B730" s="185"/>
      <c r="C730" s="185"/>
      <c r="D730" s="185"/>
      <c r="E730" s="203"/>
      <c r="F730" s="203"/>
      <c r="G730" s="185"/>
      <c r="H730" s="185"/>
      <c r="I730" s="185"/>
      <c r="J730" s="185"/>
      <c r="K730" s="185"/>
      <c r="L730" s="185"/>
      <c r="M730" s="185"/>
      <c r="N730" s="185"/>
      <c r="O730" s="185"/>
      <c r="P730" s="185"/>
      <c r="Q730" s="185"/>
      <c r="R730" s="185"/>
      <c r="S730" s="185"/>
      <c r="T730" s="185"/>
      <c r="U730" s="185"/>
      <c r="V730" s="185"/>
      <c r="W730" s="185"/>
      <c r="X730" s="185"/>
      <c r="Y730" s="185"/>
      <c r="Z730" s="185"/>
      <c r="AA730" s="185"/>
      <c r="AB730" s="185" t="str">
        <f>IFERROR(__xludf.DUMMYFUNCTION("LET(width,COLUMN($AB$1)-COLUMN($G$1),r,INDEX($G730:$AAB730,1,SEQUENCE(1,width)),flat,TOCOL(r,1),bad,FILTER(flat,COUNTIF('リスト'!$E:$E,flat)=0),IFERROR(TEXTJOIN(""\n"",TRUE,bad),""""))"),"")</f>
        <v/>
      </c>
      <c r="AC730" s="185"/>
      <c r="AD730" s="185"/>
    </row>
    <row r="731">
      <c r="A731" s="185"/>
      <c r="B731" s="185"/>
      <c r="C731" s="185"/>
      <c r="D731" s="185"/>
      <c r="E731" s="203"/>
      <c r="F731" s="203"/>
      <c r="G731" s="185"/>
      <c r="H731" s="185"/>
      <c r="I731" s="185"/>
      <c r="J731" s="185"/>
      <c r="K731" s="185"/>
      <c r="L731" s="185"/>
      <c r="M731" s="185"/>
      <c r="N731" s="185"/>
      <c r="O731" s="185"/>
      <c r="P731" s="185"/>
      <c r="Q731" s="185"/>
      <c r="R731" s="185"/>
      <c r="S731" s="185"/>
      <c r="T731" s="185"/>
      <c r="U731" s="185"/>
      <c r="V731" s="185"/>
      <c r="W731" s="185"/>
      <c r="X731" s="185"/>
      <c r="Y731" s="185"/>
      <c r="Z731" s="185"/>
      <c r="AA731" s="185"/>
      <c r="AB731" s="185" t="str">
        <f>IFERROR(__xludf.DUMMYFUNCTION("LET(width,COLUMN($AB$1)-COLUMN($G$1),r,INDEX($G731:$AAB731,1,SEQUENCE(1,width)),flat,TOCOL(r,1),bad,FILTER(flat,COUNTIF('リスト'!$E:$E,flat)=0),IFERROR(TEXTJOIN(""\n"",TRUE,bad),""""))"),"")</f>
        <v/>
      </c>
      <c r="AC731" s="185"/>
      <c r="AD731" s="185"/>
    </row>
    <row r="732">
      <c r="A732" s="185"/>
      <c r="B732" s="185"/>
      <c r="C732" s="185"/>
      <c r="D732" s="185"/>
      <c r="E732" s="203"/>
      <c r="F732" s="203"/>
      <c r="G732" s="185"/>
      <c r="H732" s="185"/>
      <c r="I732" s="185"/>
      <c r="J732" s="185"/>
      <c r="K732" s="185"/>
      <c r="L732" s="185"/>
      <c r="M732" s="185"/>
      <c r="N732" s="185"/>
      <c r="O732" s="185"/>
      <c r="P732" s="185"/>
      <c r="Q732" s="185"/>
      <c r="R732" s="185"/>
      <c r="S732" s="185"/>
      <c r="T732" s="185"/>
      <c r="U732" s="185"/>
      <c r="V732" s="185"/>
      <c r="W732" s="185"/>
      <c r="X732" s="185"/>
      <c r="Y732" s="185"/>
      <c r="Z732" s="185"/>
      <c r="AA732" s="185"/>
      <c r="AB732" s="185" t="str">
        <f>IFERROR(__xludf.DUMMYFUNCTION("LET(width,COLUMN($AB$1)-COLUMN($G$1),r,INDEX($G732:$AAB732,1,SEQUENCE(1,width)),flat,TOCOL(r,1),bad,FILTER(flat,COUNTIF('リスト'!$E:$E,flat)=0),IFERROR(TEXTJOIN(""\n"",TRUE,bad),""""))"),"")</f>
        <v/>
      </c>
      <c r="AC732" s="185"/>
      <c r="AD732" s="185"/>
    </row>
    <row r="733">
      <c r="A733" s="185"/>
      <c r="B733" s="185"/>
      <c r="C733" s="185"/>
      <c r="D733" s="185"/>
      <c r="E733" s="203"/>
      <c r="F733" s="203"/>
      <c r="G733" s="185"/>
      <c r="H733" s="185"/>
      <c r="I733" s="185"/>
      <c r="J733" s="185"/>
      <c r="K733" s="185"/>
      <c r="L733" s="185"/>
      <c r="M733" s="185"/>
      <c r="N733" s="185"/>
      <c r="O733" s="185"/>
      <c r="P733" s="185"/>
      <c r="Q733" s="185"/>
      <c r="R733" s="185"/>
      <c r="S733" s="185"/>
      <c r="T733" s="185"/>
      <c r="U733" s="185"/>
      <c r="V733" s="185"/>
      <c r="W733" s="185"/>
      <c r="X733" s="185"/>
      <c r="Y733" s="185"/>
      <c r="Z733" s="185"/>
      <c r="AA733" s="185"/>
      <c r="AB733" s="185" t="str">
        <f>IFERROR(__xludf.DUMMYFUNCTION("LET(width,COLUMN($AB$1)-COLUMN($G$1),r,INDEX($G733:$AAB733,1,SEQUENCE(1,width)),flat,TOCOL(r,1),bad,FILTER(flat,COUNTIF('リスト'!$E:$E,flat)=0),IFERROR(TEXTJOIN(""\n"",TRUE,bad),""""))"),"")</f>
        <v/>
      </c>
      <c r="AC733" s="185"/>
      <c r="AD733" s="185"/>
    </row>
    <row r="734">
      <c r="A734" s="185"/>
      <c r="B734" s="185"/>
      <c r="C734" s="185"/>
      <c r="D734" s="185"/>
      <c r="E734" s="203"/>
      <c r="F734" s="203"/>
      <c r="G734" s="185"/>
      <c r="H734" s="185"/>
      <c r="I734" s="185"/>
      <c r="J734" s="185"/>
      <c r="K734" s="185"/>
      <c r="L734" s="185"/>
      <c r="M734" s="185"/>
      <c r="N734" s="185"/>
      <c r="O734" s="185"/>
      <c r="P734" s="185"/>
      <c r="Q734" s="185"/>
      <c r="R734" s="185"/>
      <c r="S734" s="185"/>
      <c r="T734" s="185"/>
      <c r="U734" s="185"/>
      <c r="V734" s="185"/>
      <c r="W734" s="185"/>
      <c r="X734" s="185"/>
      <c r="Y734" s="185"/>
      <c r="Z734" s="185"/>
      <c r="AA734" s="185"/>
      <c r="AB734" s="185" t="str">
        <f>IFERROR(__xludf.DUMMYFUNCTION("LET(width,COLUMN($AB$1)-COLUMN($G$1),r,INDEX($G734:$AAB734,1,SEQUENCE(1,width)),flat,TOCOL(r,1),bad,FILTER(flat,COUNTIF('リスト'!$E:$E,flat)=0),IFERROR(TEXTJOIN(""\n"",TRUE,bad),""""))"),"")</f>
        <v/>
      </c>
      <c r="AC734" s="185"/>
      <c r="AD734" s="185"/>
    </row>
    <row r="735">
      <c r="A735" s="185"/>
      <c r="B735" s="185"/>
      <c r="C735" s="185"/>
      <c r="D735" s="185"/>
      <c r="E735" s="203"/>
      <c r="F735" s="203"/>
      <c r="G735" s="185"/>
      <c r="H735" s="185"/>
      <c r="I735" s="185"/>
      <c r="J735" s="185"/>
      <c r="K735" s="185"/>
      <c r="L735" s="185"/>
      <c r="M735" s="185"/>
      <c r="N735" s="185"/>
      <c r="O735" s="185"/>
      <c r="P735" s="185"/>
      <c r="Q735" s="185"/>
      <c r="R735" s="185"/>
      <c r="S735" s="185"/>
      <c r="T735" s="185"/>
      <c r="U735" s="185"/>
      <c r="V735" s="185"/>
      <c r="W735" s="185"/>
      <c r="X735" s="185"/>
      <c r="Y735" s="185"/>
      <c r="Z735" s="185"/>
      <c r="AA735" s="185"/>
      <c r="AB735" s="185" t="str">
        <f>IFERROR(__xludf.DUMMYFUNCTION("LET(width,COLUMN($AB$1)-COLUMN($G$1),r,INDEX($G735:$AAB735,1,SEQUENCE(1,width)),flat,TOCOL(r,1),bad,FILTER(flat,COUNTIF('リスト'!$E:$E,flat)=0),IFERROR(TEXTJOIN(""\n"",TRUE,bad),""""))"),"")</f>
        <v/>
      </c>
      <c r="AC735" s="185"/>
      <c r="AD735" s="185"/>
    </row>
    <row r="736">
      <c r="A736" s="185"/>
      <c r="B736" s="185"/>
      <c r="C736" s="185"/>
      <c r="D736" s="185"/>
      <c r="E736" s="203"/>
      <c r="F736" s="203"/>
      <c r="G736" s="185"/>
      <c r="H736" s="185"/>
      <c r="I736" s="185"/>
      <c r="J736" s="185"/>
      <c r="K736" s="185"/>
      <c r="L736" s="185"/>
      <c r="M736" s="185"/>
      <c r="N736" s="185"/>
      <c r="O736" s="185"/>
      <c r="P736" s="185"/>
      <c r="Q736" s="185"/>
      <c r="R736" s="185"/>
      <c r="S736" s="185"/>
      <c r="T736" s="185"/>
      <c r="U736" s="185"/>
      <c r="V736" s="185"/>
      <c r="W736" s="185"/>
      <c r="X736" s="185"/>
      <c r="Y736" s="185"/>
      <c r="Z736" s="185"/>
      <c r="AA736" s="185"/>
      <c r="AB736" s="185" t="str">
        <f>IFERROR(__xludf.DUMMYFUNCTION("LET(width,COLUMN($AB$1)-COLUMN($G$1),r,INDEX($G736:$AAB736,1,SEQUENCE(1,width)),flat,TOCOL(r,1),bad,FILTER(flat,COUNTIF('リスト'!$E:$E,flat)=0),IFERROR(TEXTJOIN(""\n"",TRUE,bad),""""))"),"")</f>
        <v/>
      </c>
      <c r="AC736" s="185"/>
      <c r="AD736" s="185"/>
    </row>
    <row r="737">
      <c r="A737" s="185"/>
      <c r="B737" s="185"/>
      <c r="C737" s="185"/>
      <c r="D737" s="185"/>
      <c r="E737" s="203"/>
      <c r="F737" s="203"/>
      <c r="G737" s="185"/>
      <c r="H737" s="185"/>
      <c r="I737" s="185"/>
      <c r="J737" s="185"/>
      <c r="K737" s="185"/>
      <c r="L737" s="185"/>
      <c r="M737" s="185"/>
      <c r="N737" s="185"/>
      <c r="O737" s="185"/>
      <c r="P737" s="185"/>
      <c r="Q737" s="185"/>
      <c r="R737" s="185"/>
      <c r="S737" s="185"/>
      <c r="T737" s="185"/>
      <c r="U737" s="185"/>
      <c r="V737" s="185"/>
      <c r="W737" s="185"/>
      <c r="X737" s="185"/>
      <c r="Y737" s="185"/>
      <c r="Z737" s="185"/>
      <c r="AA737" s="185"/>
      <c r="AB737" s="185" t="str">
        <f>IFERROR(__xludf.DUMMYFUNCTION("LET(width,COLUMN($AB$1)-COLUMN($G$1),r,INDEX($G737:$AAB737,1,SEQUENCE(1,width)),flat,TOCOL(r,1),bad,FILTER(flat,COUNTIF('リスト'!$E:$E,flat)=0),IFERROR(TEXTJOIN(""\n"",TRUE,bad),""""))"),"")</f>
        <v/>
      </c>
      <c r="AC737" s="185"/>
      <c r="AD737" s="185"/>
    </row>
    <row r="738">
      <c r="A738" s="185"/>
      <c r="B738" s="185"/>
      <c r="C738" s="185"/>
      <c r="D738" s="185"/>
      <c r="E738" s="203"/>
      <c r="F738" s="203"/>
      <c r="G738" s="185"/>
      <c r="H738" s="185"/>
      <c r="I738" s="185"/>
      <c r="J738" s="185"/>
      <c r="K738" s="185"/>
      <c r="L738" s="185"/>
      <c r="M738" s="185"/>
      <c r="N738" s="185"/>
      <c r="O738" s="185"/>
      <c r="P738" s="185"/>
      <c r="Q738" s="185"/>
      <c r="R738" s="185"/>
      <c r="S738" s="185"/>
      <c r="T738" s="185"/>
      <c r="U738" s="185"/>
      <c r="V738" s="185"/>
      <c r="W738" s="185"/>
      <c r="X738" s="185"/>
      <c r="Y738" s="185"/>
      <c r="Z738" s="185"/>
      <c r="AA738" s="185"/>
      <c r="AB738" s="185" t="str">
        <f>IFERROR(__xludf.DUMMYFUNCTION("LET(width,COLUMN($AB$1)-COLUMN($G$1),r,INDEX($G738:$AAB738,1,SEQUENCE(1,width)),flat,TOCOL(r,1),bad,FILTER(flat,COUNTIF('リスト'!$E:$E,flat)=0),IFERROR(TEXTJOIN(""\n"",TRUE,bad),""""))"),"")</f>
        <v/>
      </c>
      <c r="AC738" s="185"/>
      <c r="AD738" s="185"/>
    </row>
    <row r="739">
      <c r="A739" s="185"/>
      <c r="B739" s="185"/>
      <c r="C739" s="185"/>
      <c r="D739" s="185"/>
      <c r="E739" s="203"/>
      <c r="F739" s="203"/>
      <c r="G739" s="185"/>
      <c r="H739" s="185"/>
      <c r="I739" s="185"/>
      <c r="J739" s="185"/>
      <c r="K739" s="185"/>
      <c r="L739" s="185"/>
      <c r="M739" s="185"/>
      <c r="N739" s="185"/>
      <c r="O739" s="185"/>
      <c r="P739" s="185"/>
      <c r="Q739" s="185"/>
      <c r="R739" s="185"/>
      <c r="S739" s="185"/>
      <c r="T739" s="185"/>
      <c r="U739" s="185"/>
      <c r="V739" s="185"/>
      <c r="W739" s="185"/>
      <c r="X739" s="185"/>
      <c r="Y739" s="185"/>
      <c r="Z739" s="185"/>
      <c r="AA739" s="185"/>
      <c r="AB739" s="185" t="str">
        <f>IFERROR(__xludf.DUMMYFUNCTION("LET(width,COLUMN($AB$1)-COLUMN($G$1),r,INDEX($G739:$AAB739,1,SEQUENCE(1,width)),flat,TOCOL(r,1),bad,FILTER(flat,COUNTIF('リスト'!$E:$E,flat)=0),IFERROR(TEXTJOIN(""\n"",TRUE,bad),""""))"),"")</f>
        <v/>
      </c>
      <c r="AC739" s="185"/>
      <c r="AD739" s="185"/>
    </row>
    <row r="740">
      <c r="A740" s="185"/>
      <c r="B740" s="185"/>
      <c r="C740" s="185"/>
      <c r="D740" s="185"/>
      <c r="E740" s="203"/>
      <c r="F740" s="203"/>
      <c r="G740" s="185"/>
      <c r="H740" s="185"/>
      <c r="I740" s="185"/>
      <c r="J740" s="185"/>
      <c r="K740" s="185"/>
      <c r="L740" s="185"/>
      <c r="M740" s="185"/>
      <c r="N740" s="185"/>
      <c r="O740" s="185"/>
      <c r="P740" s="185"/>
      <c r="Q740" s="185"/>
      <c r="R740" s="185"/>
      <c r="S740" s="185"/>
      <c r="T740" s="185"/>
      <c r="U740" s="185"/>
      <c r="V740" s="185"/>
      <c r="W740" s="185"/>
      <c r="X740" s="185"/>
      <c r="Y740" s="185"/>
      <c r="Z740" s="185"/>
      <c r="AA740" s="185"/>
      <c r="AB740" s="185" t="str">
        <f>IFERROR(__xludf.DUMMYFUNCTION("LET(width,COLUMN($AB$1)-COLUMN($G$1),r,INDEX($G740:$AAB740,1,SEQUENCE(1,width)),flat,TOCOL(r,1),bad,FILTER(flat,COUNTIF('リスト'!$E:$E,flat)=0),IFERROR(TEXTJOIN(""\n"",TRUE,bad),""""))"),"")</f>
        <v/>
      </c>
      <c r="AC740" s="185"/>
      <c r="AD740" s="185"/>
    </row>
    <row r="741">
      <c r="A741" s="185"/>
      <c r="B741" s="185"/>
      <c r="C741" s="185"/>
      <c r="D741" s="185"/>
      <c r="E741" s="203"/>
      <c r="F741" s="203"/>
      <c r="G741" s="185"/>
      <c r="H741" s="185"/>
      <c r="I741" s="185"/>
      <c r="J741" s="185"/>
      <c r="K741" s="185"/>
      <c r="L741" s="185"/>
      <c r="M741" s="185"/>
      <c r="N741" s="185"/>
      <c r="O741" s="185"/>
      <c r="P741" s="185"/>
      <c r="Q741" s="185"/>
      <c r="R741" s="185"/>
      <c r="S741" s="185"/>
      <c r="T741" s="185"/>
      <c r="U741" s="185"/>
      <c r="V741" s="185"/>
      <c r="W741" s="185"/>
      <c r="X741" s="185"/>
      <c r="Y741" s="185"/>
      <c r="Z741" s="185"/>
      <c r="AA741" s="185"/>
      <c r="AB741" s="185" t="str">
        <f>IFERROR(__xludf.DUMMYFUNCTION("LET(width,COLUMN($AB$1)-COLUMN($G$1),r,INDEX($G741:$AAB741,1,SEQUENCE(1,width)),flat,TOCOL(r,1),bad,FILTER(flat,COUNTIF('リスト'!$E:$E,flat)=0),IFERROR(TEXTJOIN(""\n"",TRUE,bad),""""))"),"")</f>
        <v/>
      </c>
      <c r="AC741" s="185"/>
      <c r="AD741" s="185"/>
    </row>
    <row r="742">
      <c r="A742" s="185"/>
      <c r="B742" s="185"/>
      <c r="C742" s="185"/>
      <c r="D742" s="185"/>
      <c r="E742" s="203"/>
      <c r="F742" s="203"/>
      <c r="G742" s="185"/>
      <c r="H742" s="185"/>
      <c r="I742" s="185"/>
      <c r="J742" s="185"/>
      <c r="K742" s="185"/>
      <c r="L742" s="185"/>
      <c r="M742" s="185"/>
      <c r="N742" s="185"/>
      <c r="O742" s="185"/>
      <c r="P742" s="185"/>
      <c r="Q742" s="185"/>
      <c r="R742" s="185"/>
      <c r="S742" s="185"/>
      <c r="T742" s="185"/>
      <c r="U742" s="185"/>
      <c r="V742" s="185"/>
      <c r="W742" s="185"/>
      <c r="X742" s="185"/>
      <c r="Y742" s="185"/>
      <c r="Z742" s="185"/>
      <c r="AA742" s="185"/>
      <c r="AB742" s="185" t="str">
        <f>IFERROR(__xludf.DUMMYFUNCTION("LET(width,COLUMN($AB$1)-COLUMN($G$1),r,INDEX($G742:$AAB742,1,SEQUENCE(1,width)),flat,TOCOL(r,1),bad,FILTER(flat,COUNTIF('リスト'!$E:$E,flat)=0),IFERROR(TEXTJOIN(""\n"",TRUE,bad),""""))"),"")</f>
        <v/>
      </c>
      <c r="AC742" s="185"/>
      <c r="AD742" s="185"/>
    </row>
    <row r="743">
      <c r="A743" s="185"/>
      <c r="B743" s="185"/>
      <c r="C743" s="185"/>
      <c r="D743" s="185"/>
      <c r="E743" s="203"/>
      <c r="F743" s="203"/>
      <c r="G743" s="185"/>
      <c r="H743" s="185"/>
      <c r="I743" s="185"/>
      <c r="J743" s="185"/>
      <c r="K743" s="185"/>
      <c r="L743" s="185"/>
      <c r="M743" s="185"/>
      <c r="N743" s="185"/>
      <c r="O743" s="185"/>
      <c r="P743" s="185"/>
      <c r="Q743" s="185"/>
      <c r="R743" s="185"/>
      <c r="S743" s="185"/>
      <c r="T743" s="185"/>
      <c r="U743" s="185"/>
      <c r="V743" s="185"/>
      <c r="W743" s="185"/>
      <c r="X743" s="185"/>
      <c r="Y743" s="185"/>
      <c r="Z743" s="185"/>
      <c r="AA743" s="185"/>
      <c r="AB743" s="185" t="str">
        <f>IFERROR(__xludf.DUMMYFUNCTION("LET(width,COLUMN($AB$1)-COLUMN($G$1),r,INDEX($G743:$AAB743,1,SEQUENCE(1,width)),flat,TOCOL(r,1),bad,FILTER(flat,COUNTIF('リスト'!$E:$E,flat)=0),IFERROR(TEXTJOIN(""\n"",TRUE,bad),""""))"),"")</f>
        <v/>
      </c>
      <c r="AC743" s="185"/>
      <c r="AD743" s="185"/>
    </row>
    <row r="744">
      <c r="A744" s="185"/>
      <c r="B744" s="185"/>
      <c r="C744" s="185"/>
      <c r="D744" s="185"/>
      <c r="E744" s="203"/>
      <c r="F744" s="203"/>
      <c r="G744" s="185"/>
      <c r="H744" s="185"/>
      <c r="I744" s="185"/>
      <c r="J744" s="185"/>
      <c r="K744" s="185"/>
      <c r="L744" s="185"/>
      <c r="M744" s="185"/>
      <c r="N744" s="185"/>
      <c r="O744" s="185"/>
      <c r="P744" s="185"/>
      <c r="Q744" s="185"/>
      <c r="R744" s="185"/>
      <c r="S744" s="185"/>
      <c r="T744" s="185"/>
      <c r="U744" s="185"/>
      <c r="V744" s="185"/>
      <c r="W744" s="185"/>
      <c r="X744" s="185"/>
      <c r="Y744" s="185"/>
      <c r="Z744" s="185"/>
      <c r="AA744" s="185"/>
      <c r="AB744" s="185" t="str">
        <f>IFERROR(__xludf.DUMMYFUNCTION("LET(width,COLUMN($AB$1)-COLUMN($G$1),r,INDEX($G744:$AAB744,1,SEQUENCE(1,width)),flat,TOCOL(r,1),bad,FILTER(flat,COUNTIF('リスト'!$E:$E,flat)=0),IFERROR(TEXTJOIN(""\n"",TRUE,bad),""""))"),"")</f>
        <v/>
      </c>
      <c r="AC744" s="185"/>
      <c r="AD744" s="185"/>
    </row>
    <row r="745">
      <c r="A745" s="185"/>
      <c r="B745" s="185"/>
      <c r="C745" s="185"/>
      <c r="D745" s="185"/>
      <c r="E745" s="203"/>
      <c r="F745" s="203"/>
      <c r="G745" s="185"/>
      <c r="H745" s="185"/>
      <c r="I745" s="185"/>
      <c r="J745" s="185"/>
      <c r="K745" s="185"/>
      <c r="L745" s="185"/>
      <c r="M745" s="185"/>
      <c r="N745" s="185"/>
      <c r="O745" s="185"/>
      <c r="P745" s="185"/>
      <c r="Q745" s="185"/>
      <c r="R745" s="185"/>
      <c r="S745" s="185"/>
      <c r="T745" s="185"/>
      <c r="U745" s="185"/>
      <c r="V745" s="185"/>
      <c r="W745" s="185"/>
      <c r="X745" s="185"/>
      <c r="Y745" s="185"/>
      <c r="Z745" s="185"/>
      <c r="AA745" s="185"/>
      <c r="AB745" s="185" t="str">
        <f>IFERROR(__xludf.DUMMYFUNCTION("LET(width,COLUMN($AB$1)-COLUMN($G$1),r,INDEX($G745:$AAB745,1,SEQUENCE(1,width)),flat,TOCOL(r,1),bad,FILTER(flat,COUNTIF('リスト'!$E:$E,flat)=0),IFERROR(TEXTJOIN(""\n"",TRUE,bad),""""))"),"")</f>
        <v/>
      </c>
      <c r="AC745" s="185"/>
      <c r="AD745" s="185"/>
    </row>
    <row r="746">
      <c r="A746" s="185"/>
      <c r="B746" s="185"/>
      <c r="C746" s="185"/>
      <c r="D746" s="185"/>
      <c r="E746" s="203"/>
      <c r="F746" s="203"/>
      <c r="G746" s="185"/>
      <c r="H746" s="185"/>
      <c r="I746" s="185"/>
      <c r="J746" s="185"/>
      <c r="K746" s="185"/>
      <c r="L746" s="185"/>
      <c r="M746" s="185"/>
      <c r="N746" s="185"/>
      <c r="O746" s="185"/>
      <c r="P746" s="185"/>
      <c r="Q746" s="185"/>
      <c r="R746" s="185"/>
      <c r="S746" s="185"/>
      <c r="T746" s="185"/>
      <c r="U746" s="185"/>
      <c r="V746" s="185"/>
      <c r="W746" s="185"/>
      <c r="X746" s="185"/>
      <c r="Y746" s="185"/>
      <c r="Z746" s="185"/>
      <c r="AA746" s="185"/>
      <c r="AB746" s="185" t="str">
        <f>IFERROR(__xludf.DUMMYFUNCTION("LET(width,COLUMN($AB$1)-COLUMN($G$1),r,INDEX($G746:$AAB746,1,SEQUENCE(1,width)),flat,TOCOL(r,1),bad,FILTER(flat,COUNTIF('リスト'!$E:$E,flat)=0),IFERROR(TEXTJOIN(""\n"",TRUE,bad),""""))"),"")</f>
        <v/>
      </c>
      <c r="AC746" s="185"/>
      <c r="AD746" s="185"/>
    </row>
    <row r="747">
      <c r="A747" s="185"/>
      <c r="B747" s="185"/>
      <c r="C747" s="185"/>
      <c r="D747" s="185"/>
      <c r="E747" s="203"/>
      <c r="F747" s="203"/>
      <c r="G747" s="185"/>
      <c r="H747" s="185"/>
      <c r="I747" s="185"/>
      <c r="J747" s="185"/>
      <c r="K747" s="185"/>
      <c r="L747" s="185"/>
      <c r="M747" s="185"/>
      <c r="N747" s="185"/>
      <c r="O747" s="185"/>
      <c r="P747" s="185"/>
      <c r="Q747" s="185"/>
      <c r="R747" s="185"/>
      <c r="S747" s="185"/>
      <c r="T747" s="185"/>
      <c r="U747" s="185"/>
      <c r="V747" s="185"/>
      <c r="W747" s="185"/>
      <c r="X747" s="185"/>
      <c r="Y747" s="185"/>
      <c r="Z747" s="185"/>
      <c r="AA747" s="185"/>
      <c r="AB747" s="185" t="str">
        <f>IFERROR(__xludf.DUMMYFUNCTION("LET(width,COLUMN($AB$1)-COLUMN($G$1),r,INDEX($G747:$AAB747,1,SEQUENCE(1,width)),flat,TOCOL(r,1),bad,FILTER(flat,COUNTIF('リスト'!$E:$E,flat)=0),IFERROR(TEXTJOIN(""\n"",TRUE,bad),""""))"),"")</f>
        <v/>
      </c>
      <c r="AC747" s="185"/>
      <c r="AD747" s="185"/>
    </row>
    <row r="748">
      <c r="A748" s="185"/>
      <c r="B748" s="185"/>
      <c r="C748" s="185"/>
      <c r="D748" s="185"/>
      <c r="E748" s="203"/>
      <c r="F748" s="203"/>
      <c r="G748" s="185"/>
      <c r="H748" s="185"/>
      <c r="I748" s="185"/>
      <c r="J748" s="185"/>
      <c r="K748" s="185"/>
      <c r="L748" s="185"/>
      <c r="M748" s="185"/>
      <c r="N748" s="185"/>
      <c r="O748" s="185"/>
      <c r="P748" s="185"/>
      <c r="Q748" s="185"/>
      <c r="R748" s="185"/>
      <c r="S748" s="185"/>
      <c r="T748" s="185"/>
      <c r="U748" s="185"/>
      <c r="V748" s="185"/>
      <c r="W748" s="185"/>
      <c r="X748" s="185"/>
      <c r="Y748" s="185"/>
      <c r="Z748" s="185"/>
      <c r="AA748" s="185"/>
      <c r="AB748" s="185" t="str">
        <f>IFERROR(__xludf.DUMMYFUNCTION("LET(width,COLUMN($AB$1)-COLUMN($G$1),r,INDEX($G748:$AAB748,1,SEQUENCE(1,width)),flat,TOCOL(r,1),bad,FILTER(flat,COUNTIF('リスト'!$E:$E,flat)=0),IFERROR(TEXTJOIN(""\n"",TRUE,bad),""""))"),"")</f>
        <v/>
      </c>
      <c r="AC748" s="185"/>
      <c r="AD748" s="185"/>
    </row>
    <row r="749">
      <c r="A749" s="185"/>
      <c r="B749" s="185"/>
      <c r="C749" s="185"/>
      <c r="D749" s="185"/>
      <c r="E749" s="203"/>
      <c r="F749" s="203"/>
      <c r="G749" s="185"/>
      <c r="H749" s="185"/>
      <c r="I749" s="185"/>
      <c r="J749" s="185"/>
      <c r="K749" s="185"/>
      <c r="L749" s="185"/>
      <c r="M749" s="185"/>
      <c r="N749" s="185"/>
      <c r="O749" s="185"/>
      <c r="P749" s="185"/>
      <c r="Q749" s="185"/>
      <c r="R749" s="185"/>
      <c r="S749" s="185"/>
      <c r="T749" s="185"/>
      <c r="U749" s="185"/>
      <c r="V749" s="185"/>
      <c r="W749" s="185"/>
      <c r="X749" s="185"/>
      <c r="Y749" s="185"/>
      <c r="Z749" s="185"/>
      <c r="AA749" s="185"/>
      <c r="AB749" s="185" t="str">
        <f>IFERROR(__xludf.DUMMYFUNCTION("LET(width,COLUMN($AB$1)-COLUMN($G$1),r,INDEX($G749:$AAB749,1,SEQUENCE(1,width)),flat,TOCOL(r,1),bad,FILTER(flat,COUNTIF('リスト'!$E:$E,flat)=0),IFERROR(TEXTJOIN(""\n"",TRUE,bad),""""))"),"")</f>
        <v/>
      </c>
      <c r="AC749" s="185"/>
      <c r="AD749" s="185"/>
    </row>
    <row r="750">
      <c r="A750" s="185"/>
      <c r="B750" s="185"/>
      <c r="C750" s="185"/>
      <c r="D750" s="185"/>
      <c r="E750" s="203"/>
      <c r="F750" s="203"/>
      <c r="G750" s="185"/>
      <c r="H750" s="185"/>
      <c r="I750" s="185"/>
      <c r="J750" s="185"/>
      <c r="K750" s="185"/>
      <c r="L750" s="185"/>
      <c r="M750" s="185"/>
      <c r="N750" s="185"/>
      <c r="O750" s="185"/>
      <c r="P750" s="185"/>
      <c r="Q750" s="185"/>
      <c r="R750" s="185"/>
      <c r="S750" s="185"/>
      <c r="T750" s="185"/>
      <c r="U750" s="185"/>
      <c r="V750" s="185"/>
      <c r="W750" s="185"/>
      <c r="X750" s="185"/>
      <c r="Y750" s="185"/>
      <c r="Z750" s="185"/>
      <c r="AA750" s="185"/>
      <c r="AB750" s="185" t="str">
        <f>IFERROR(__xludf.DUMMYFUNCTION("LET(width,COLUMN($AB$1)-COLUMN($G$1),r,INDEX($G750:$AAB750,1,SEQUENCE(1,width)),flat,TOCOL(r,1),bad,FILTER(flat,COUNTIF('リスト'!$E:$E,flat)=0),IFERROR(TEXTJOIN(""\n"",TRUE,bad),""""))"),"")</f>
        <v/>
      </c>
      <c r="AC750" s="185"/>
      <c r="AD750" s="185"/>
    </row>
    <row r="751">
      <c r="A751" s="185"/>
      <c r="B751" s="185"/>
      <c r="C751" s="185"/>
      <c r="D751" s="185"/>
      <c r="E751" s="203"/>
      <c r="F751" s="203"/>
      <c r="G751" s="185"/>
      <c r="H751" s="185"/>
      <c r="I751" s="185"/>
      <c r="J751" s="185"/>
      <c r="K751" s="185"/>
      <c r="L751" s="185"/>
      <c r="M751" s="185"/>
      <c r="N751" s="185"/>
      <c r="O751" s="185"/>
      <c r="P751" s="185"/>
      <c r="Q751" s="185"/>
      <c r="R751" s="185"/>
      <c r="S751" s="185"/>
      <c r="T751" s="185"/>
      <c r="U751" s="185"/>
      <c r="V751" s="185"/>
      <c r="W751" s="185"/>
      <c r="X751" s="185"/>
      <c r="Y751" s="185"/>
      <c r="Z751" s="185"/>
      <c r="AA751" s="185"/>
      <c r="AB751" s="185" t="str">
        <f>IFERROR(__xludf.DUMMYFUNCTION("LET(width,COLUMN($AB$1)-COLUMN($G$1),r,INDEX($G751:$AAB751,1,SEQUENCE(1,width)),flat,TOCOL(r,1),bad,FILTER(flat,COUNTIF('リスト'!$E:$E,flat)=0),IFERROR(TEXTJOIN(""\n"",TRUE,bad),""""))"),"")</f>
        <v/>
      </c>
      <c r="AC751" s="185"/>
      <c r="AD751" s="185"/>
    </row>
    <row r="752">
      <c r="A752" s="185"/>
      <c r="B752" s="185"/>
      <c r="C752" s="185"/>
      <c r="D752" s="185"/>
      <c r="E752" s="203"/>
      <c r="F752" s="203"/>
      <c r="G752" s="185"/>
      <c r="H752" s="185"/>
      <c r="I752" s="185"/>
      <c r="J752" s="185"/>
      <c r="K752" s="185"/>
      <c r="L752" s="185"/>
      <c r="M752" s="185"/>
      <c r="N752" s="185"/>
      <c r="O752" s="185"/>
      <c r="P752" s="185"/>
      <c r="Q752" s="185"/>
      <c r="R752" s="185"/>
      <c r="S752" s="185"/>
      <c r="T752" s="185"/>
      <c r="U752" s="185"/>
      <c r="V752" s="185"/>
      <c r="W752" s="185"/>
      <c r="X752" s="185"/>
      <c r="Y752" s="185"/>
      <c r="Z752" s="185"/>
      <c r="AA752" s="185"/>
      <c r="AB752" s="185" t="str">
        <f>IFERROR(__xludf.DUMMYFUNCTION("LET(width,COLUMN($AB$1)-COLUMN($G$1),r,INDEX($G752:$AAB752,1,SEQUENCE(1,width)),flat,TOCOL(r,1),bad,FILTER(flat,COUNTIF('リスト'!$E:$E,flat)=0),IFERROR(TEXTJOIN(""\n"",TRUE,bad),""""))"),"")</f>
        <v/>
      </c>
      <c r="AC752" s="185"/>
      <c r="AD752" s="185"/>
    </row>
    <row r="753">
      <c r="A753" s="185"/>
      <c r="B753" s="185"/>
      <c r="C753" s="185"/>
      <c r="D753" s="185"/>
      <c r="E753" s="203"/>
      <c r="F753" s="203"/>
      <c r="G753" s="185"/>
      <c r="H753" s="185"/>
      <c r="I753" s="185"/>
      <c r="J753" s="185"/>
      <c r="K753" s="185"/>
      <c r="L753" s="185"/>
      <c r="M753" s="185"/>
      <c r="N753" s="185"/>
      <c r="O753" s="185"/>
      <c r="P753" s="185"/>
      <c r="Q753" s="185"/>
      <c r="R753" s="185"/>
      <c r="S753" s="185"/>
      <c r="T753" s="185"/>
      <c r="U753" s="185"/>
      <c r="V753" s="185"/>
      <c r="W753" s="185"/>
      <c r="X753" s="185"/>
      <c r="Y753" s="185"/>
      <c r="Z753" s="185"/>
      <c r="AA753" s="185"/>
      <c r="AB753" s="185" t="str">
        <f>IFERROR(__xludf.DUMMYFUNCTION("LET(width,COLUMN($AB$1)-COLUMN($G$1),r,INDEX($G753:$AAB753,1,SEQUENCE(1,width)),flat,TOCOL(r,1),bad,FILTER(flat,COUNTIF('リスト'!$E:$E,flat)=0),IFERROR(TEXTJOIN(""\n"",TRUE,bad),""""))"),"")</f>
        <v/>
      </c>
      <c r="AC753" s="185"/>
      <c r="AD753" s="185"/>
    </row>
    <row r="754">
      <c r="A754" s="185"/>
      <c r="B754" s="185"/>
      <c r="C754" s="185"/>
      <c r="D754" s="185"/>
      <c r="E754" s="203"/>
      <c r="F754" s="203"/>
      <c r="G754" s="185"/>
      <c r="H754" s="185"/>
      <c r="I754" s="185"/>
      <c r="J754" s="185"/>
      <c r="K754" s="185"/>
      <c r="L754" s="185"/>
      <c r="M754" s="185"/>
      <c r="N754" s="185"/>
      <c r="O754" s="185"/>
      <c r="P754" s="185"/>
      <c r="Q754" s="185"/>
      <c r="R754" s="185"/>
      <c r="S754" s="185"/>
      <c r="T754" s="185"/>
      <c r="U754" s="185"/>
      <c r="V754" s="185"/>
      <c r="W754" s="185"/>
      <c r="X754" s="185"/>
      <c r="Y754" s="185"/>
      <c r="Z754" s="185"/>
      <c r="AA754" s="185"/>
      <c r="AB754" s="185" t="str">
        <f>IFERROR(__xludf.DUMMYFUNCTION("LET(width,COLUMN($AB$1)-COLUMN($G$1),r,INDEX($G754:$AAB754,1,SEQUENCE(1,width)),flat,TOCOL(r,1),bad,FILTER(flat,COUNTIF('リスト'!$E:$E,flat)=0),IFERROR(TEXTJOIN(""\n"",TRUE,bad),""""))"),"")</f>
        <v/>
      </c>
      <c r="AC754" s="185"/>
      <c r="AD754" s="185"/>
    </row>
    <row r="755">
      <c r="A755" s="185"/>
      <c r="B755" s="185"/>
      <c r="C755" s="185"/>
      <c r="D755" s="185"/>
      <c r="E755" s="203"/>
      <c r="F755" s="203"/>
      <c r="G755" s="185"/>
      <c r="H755" s="185"/>
      <c r="I755" s="185"/>
      <c r="J755" s="185"/>
      <c r="K755" s="185"/>
      <c r="L755" s="185"/>
      <c r="M755" s="185"/>
      <c r="N755" s="185"/>
      <c r="O755" s="185"/>
      <c r="P755" s="185"/>
      <c r="Q755" s="185"/>
      <c r="R755" s="185"/>
      <c r="S755" s="185"/>
      <c r="T755" s="185"/>
      <c r="U755" s="185"/>
      <c r="V755" s="185"/>
      <c r="W755" s="185"/>
      <c r="X755" s="185"/>
      <c r="Y755" s="185"/>
      <c r="Z755" s="185"/>
      <c r="AA755" s="185"/>
      <c r="AB755" s="185" t="str">
        <f>IFERROR(__xludf.DUMMYFUNCTION("LET(width,COLUMN($AB$1)-COLUMN($G$1),r,INDEX($G755:$AAB755,1,SEQUENCE(1,width)),flat,TOCOL(r,1),bad,FILTER(flat,COUNTIF('リスト'!$E:$E,flat)=0),IFERROR(TEXTJOIN(""\n"",TRUE,bad),""""))"),"")</f>
        <v/>
      </c>
      <c r="AC755" s="185"/>
      <c r="AD755" s="185"/>
    </row>
    <row r="756">
      <c r="A756" s="185"/>
      <c r="B756" s="185"/>
      <c r="C756" s="185"/>
      <c r="D756" s="185"/>
      <c r="E756" s="203"/>
      <c r="F756" s="203"/>
      <c r="G756" s="185"/>
      <c r="H756" s="185"/>
      <c r="I756" s="185"/>
      <c r="J756" s="185"/>
      <c r="K756" s="185"/>
      <c r="L756" s="185"/>
      <c r="M756" s="185"/>
      <c r="N756" s="185"/>
      <c r="O756" s="185"/>
      <c r="P756" s="185"/>
      <c r="Q756" s="185"/>
      <c r="R756" s="185"/>
      <c r="S756" s="185"/>
      <c r="T756" s="185"/>
      <c r="U756" s="185"/>
      <c r="V756" s="185"/>
      <c r="W756" s="185"/>
      <c r="X756" s="185"/>
      <c r="Y756" s="185"/>
      <c r="Z756" s="185"/>
      <c r="AA756" s="185"/>
      <c r="AB756" s="185" t="str">
        <f>IFERROR(__xludf.DUMMYFUNCTION("LET(width,COLUMN($AB$1)-COLUMN($G$1),r,INDEX($G756:$AAB756,1,SEQUENCE(1,width)),flat,TOCOL(r,1),bad,FILTER(flat,COUNTIF('リスト'!$E:$E,flat)=0),IFERROR(TEXTJOIN(""\n"",TRUE,bad),""""))"),"")</f>
        <v/>
      </c>
      <c r="AC756" s="185"/>
      <c r="AD756" s="185"/>
    </row>
    <row r="757">
      <c r="A757" s="185"/>
      <c r="B757" s="185"/>
      <c r="C757" s="185"/>
      <c r="D757" s="185"/>
      <c r="E757" s="203"/>
      <c r="F757" s="203"/>
      <c r="G757" s="185"/>
      <c r="H757" s="185"/>
      <c r="I757" s="185"/>
      <c r="J757" s="185"/>
      <c r="K757" s="185"/>
      <c r="L757" s="185"/>
      <c r="M757" s="185"/>
      <c r="N757" s="185"/>
      <c r="O757" s="185"/>
      <c r="P757" s="185"/>
      <c r="Q757" s="185"/>
      <c r="R757" s="185"/>
      <c r="S757" s="185"/>
      <c r="T757" s="185"/>
      <c r="U757" s="185"/>
      <c r="V757" s="185"/>
      <c r="W757" s="185"/>
      <c r="X757" s="185"/>
      <c r="Y757" s="185"/>
      <c r="Z757" s="185"/>
      <c r="AA757" s="185"/>
      <c r="AB757" s="185" t="str">
        <f>IFERROR(__xludf.DUMMYFUNCTION("LET(width,COLUMN($AB$1)-COLUMN($G$1),r,INDEX($G757:$AAB757,1,SEQUENCE(1,width)),flat,TOCOL(r,1),bad,FILTER(flat,COUNTIF('リスト'!$E:$E,flat)=0),IFERROR(TEXTJOIN(""\n"",TRUE,bad),""""))"),"")</f>
        <v/>
      </c>
      <c r="AC757" s="185"/>
      <c r="AD757" s="185"/>
    </row>
    <row r="758">
      <c r="A758" s="185"/>
      <c r="B758" s="185"/>
      <c r="C758" s="185"/>
      <c r="D758" s="185"/>
      <c r="E758" s="203"/>
      <c r="F758" s="203"/>
      <c r="G758" s="185"/>
      <c r="H758" s="185"/>
      <c r="I758" s="185"/>
      <c r="J758" s="185"/>
      <c r="K758" s="185"/>
      <c r="L758" s="185"/>
      <c r="M758" s="185"/>
      <c r="N758" s="185"/>
      <c r="O758" s="185"/>
      <c r="P758" s="185"/>
      <c r="Q758" s="185"/>
      <c r="R758" s="185"/>
      <c r="S758" s="185"/>
      <c r="T758" s="185"/>
      <c r="U758" s="185"/>
      <c r="V758" s="185"/>
      <c r="W758" s="185"/>
      <c r="X758" s="185"/>
      <c r="Y758" s="185"/>
      <c r="Z758" s="185"/>
      <c r="AA758" s="185"/>
      <c r="AB758" s="185" t="str">
        <f>IFERROR(__xludf.DUMMYFUNCTION("LET(width,COLUMN($AB$1)-COLUMN($G$1),r,INDEX($G758:$AAB758,1,SEQUENCE(1,width)),flat,TOCOL(r,1),bad,FILTER(flat,COUNTIF('リスト'!$E:$E,flat)=0),IFERROR(TEXTJOIN(""\n"",TRUE,bad),""""))"),"")</f>
        <v/>
      </c>
      <c r="AC758" s="185"/>
      <c r="AD758" s="185"/>
    </row>
    <row r="759">
      <c r="A759" s="185"/>
      <c r="B759" s="185"/>
      <c r="C759" s="185"/>
      <c r="D759" s="185"/>
      <c r="E759" s="203"/>
      <c r="F759" s="203"/>
      <c r="G759" s="185"/>
      <c r="H759" s="185"/>
      <c r="I759" s="185"/>
      <c r="J759" s="185"/>
      <c r="K759" s="185"/>
      <c r="L759" s="185"/>
      <c r="M759" s="185"/>
      <c r="N759" s="185"/>
      <c r="O759" s="185"/>
      <c r="P759" s="185"/>
      <c r="Q759" s="185"/>
      <c r="R759" s="185"/>
      <c r="S759" s="185"/>
      <c r="T759" s="185"/>
      <c r="U759" s="185"/>
      <c r="V759" s="185"/>
      <c r="W759" s="185"/>
      <c r="X759" s="185"/>
      <c r="Y759" s="185"/>
      <c r="Z759" s="185"/>
      <c r="AA759" s="185"/>
      <c r="AB759" s="185" t="str">
        <f>IFERROR(__xludf.DUMMYFUNCTION("LET(width,COLUMN($AB$1)-COLUMN($G$1),r,INDEX($G759:$AAB759,1,SEQUENCE(1,width)),flat,TOCOL(r,1),bad,FILTER(flat,COUNTIF('リスト'!$E:$E,flat)=0),IFERROR(TEXTJOIN(""\n"",TRUE,bad),""""))"),"")</f>
        <v/>
      </c>
      <c r="AC759" s="185"/>
      <c r="AD759" s="185"/>
    </row>
    <row r="760">
      <c r="A760" s="185"/>
      <c r="B760" s="185"/>
      <c r="C760" s="185"/>
      <c r="D760" s="185"/>
      <c r="E760" s="203"/>
      <c r="F760" s="203"/>
      <c r="G760" s="185"/>
      <c r="H760" s="185"/>
      <c r="I760" s="185"/>
      <c r="J760" s="185"/>
      <c r="K760" s="185"/>
      <c r="L760" s="185"/>
      <c r="M760" s="185"/>
      <c r="N760" s="185"/>
      <c r="O760" s="185"/>
      <c r="P760" s="185"/>
      <c r="Q760" s="185"/>
      <c r="R760" s="185"/>
      <c r="S760" s="185"/>
      <c r="T760" s="185"/>
      <c r="U760" s="185"/>
      <c r="V760" s="185"/>
      <c r="W760" s="185"/>
      <c r="X760" s="185"/>
      <c r="Y760" s="185"/>
      <c r="Z760" s="185"/>
      <c r="AA760" s="185"/>
      <c r="AB760" s="185" t="str">
        <f>IFERROR(__xludf.DUMMYFUNCTION("LET(width,COLUMN($AB$1)-COLUMN($G$1),r,INDEX($G760:$AAB760,1,SEQUENCE(1,width)),flat,TOCOL(r,1),bad,FILTER(flat,COUNTIF('リスト'!$E:$E,flat)=0),IFERROR(TEXTJOIN(""\n"",TRUE,bad),""""))"),"")</f>
        <v/>
      </c>
      <c r="AC760" s="185"/>
      <c r="AD760" s="185"/>
    </row>
    <row r="761">
      <c r="A761" s="185"/>
      <c r="B761" s="185"/>
      <c r="C761" s="185"/>
      <c r="D761" s="185"/>
      <c r="E761" s="203"/>
      <c r="F761" s="203"/>
      <c r="G761" s="185"/>
      <c r="H761" s="185"/>
      <c r="I761" s="185"/>
      <c r="J761" s="185"/>
      <c r="K761" s="185"/>
      <c r="L761" s="185"/>
      <c r="M761" s="185"/>
      <c r="N761" s="185"/>
      <c r="O761" s="185"/>
      <c r="P761" s="185"/>
      <c r="Q761" s="185"/>
      <c r="R761" s="185"/>
      <c r="S761" s="185"/>
      <c r="T761" s="185"/>
      <c r="U761" s="185"/>
      <c r="V761" s="185"/>
      <c r="W761" s="185"/>
      <c r="X761" s="185"/>
      <c r="Y761" s="185"/>
      <c r="Z761" s="185"/>
      <c r="AA761" s="185"/>
      <c r="AB761" s="185" t="str">
        <f>IFERROR(__xludf.DUMMYFUNCTION("LET(width,COLUMN($AB$1)-COLUMN($G$1),r,INDEX($G761:$AAB761,1,SEQUENCE(1,width)),flat,TOCOL(r,1),bad,FILTER(flat,COUNTIF('リスト'!$E:$E,flat)=0),IFERROR(TEXTJOIN(""\n"",TRUE,bad),""""))"),"")</f>
        <v/>
      </c>
      <c r="AC761" s="185"/>
      <c r="AD761" s="185"/>
    </row>
    <row r="762">
      <c r="A762" s="185"/>
      <c r="B762" s="185"/>
      <c r="C762" s="185"/>
      <c r="D762" s="185"/>
      <c r="E762" s="203"/>
      <c r="F762" s="203"/>
      <c r="G762" s="185"/>
      <c r="H762" s="185"/>
      <c r="I762" s="185"/>
      <c r="J762" s="185"/>
      <c r="K762" s="185"/>
      <c r="L762" s="185"/>
      <c r="M762" s="185"/>
      <c r="N762" s="185"/>
      <c r="O762" s="185"/>
      <c r="P762" s="185"/>
      <c r="Q762" s="185"/>
      <c r="R762" s="185"/>
      <c r="S762" s="185"/>
      <c r="T762" s="185"/>
      <c r="U762" s="185"/>
      <c r="V762" s="185"/>
      <c r="W762" s="185"/>
      <c r="X762" s="185"/>
      <c r="Y762" s="185"/>
      <c r="Z762" s="185"/>
      <c r="AA762" s="185"/>
      <c r="AB762" s="185" t="str">
        <f>IFERROR(__xludf.DUMMYFUNCTION("LET(width,COLUMN($AB$1)-COLUMN($G$1),r,INDEX($G762:$AAB762,1,SEQUENCE(1,width)),flat,TOCOL(r,1),bad,FILTER(flat,COUNTIF('リスト'!$E:$E,flat)=0),IFERROR(TEXTJOIN(""\n"",TRUE,bad),""""))"),"")</f>
        <v/>
      </c>
      <c r="AC762" s="185"/>
      <c r="AD762" s="185"/>
    </row>
    <row r="763">
      <c r="A763" s="185"/>
      <c r="B763" s="185"/>
      <c r="C763" s="185"/>
      <c r="D763" s="185"/>
      <c r="E763" s="203"/>
      <c r="F763" s="203"/>
      <c r="G763" s="185"/>
      <c r="H763" s="185"/>
      <c r="I763" s="185"/>
      <c r="J763" s="185"/>
      <c r="K763" s="185"/>
      <c r="L763" s="185"/>
      <c r="M763" s="185"/>
      <c r="N763" s="185"/>
      <c r="O763" s="185"/>
      <c r="P763" s="185"/>
      <c r="Q763" s="185"/>
      <c r="R763" s="185"/>
      <c r="S763" s="185"/>
      <c r="T763" s="185"/>
      <c r="U763" s="185"/>
      <c r="V763" s="185"/>
      <c r="W763" s="185"/>
      <c r="X763" s="185"/>
      <c r="Y763" s="185"/>
      <c r="Z763" s="185"/>
      <c r="AA763" s="185"/>
      <c r="AB763" s="185" t="str">
        <f>IFERROR(__xludf.DUMMYFUNCTION("LET(width,COLUMN($AB$1)-COLUMN($G$1),r,INDEX($G763:$AAB763,1,SEQUENCE(1,width)),flat,TOCOL(r,1),bad,FILTER(flat,COUNTIF('リスト'!$E:$E,flat)=0),IFERROR(TEXTJOIN(""\n"",TRUE,bad),""""))"),"")</f>
        <v/>
      </c>
      <c r="AC763" s="185"/>
      <c r="AD763" s="185"/>
    </row>
    <row r="764">
      <c r="A764" s="185"/>
      <c r="B764" s="185"/>
      <c r="C764" s="185"/>
      <c r="D764" s="185"/>
      <c r="E764" s="203"/>
      <c r="F764" s="203"/>
      <c r="G764" s="185"/>
      <c r="H764" s="185"/>
      <c r="I764" s="185"/>
      <c r="J764" s="185"/>
      <c r="K764" s="185"/>
      <c r="L764" s="185"/>
      <c r="M764" s="185"/>
      <c r="N764" s="185"/>
      <c r="O764" s="185"/>
      <c r="P764" s="185"/>
      <c r="Q764" s="185"/>
      <c r="R764" s="185"/>
      <c r="S764" s="185"/>
      <c r="T764" s="185"/>
      <c r="U764" s="185"/>
      <c r="V764" s="185"/>
      <c r="W764" s="185"/>
      <c r="X764" s="185"/>
      <c r="Y764" s="185"/>
      <c r="Z764" s="185"/>
      <c r="AA764" s="185"/>
      <c r="AB764" s="185" t="str">
        <f>IFERROR(__xludf.DUMMYFUNCTION("LET(width,COLUMN($AB$1)-COLUMN($G$1),r,INDEX($G764:$AAB764,1,SEQUENCE(1,width)),flat,TOCOL(r,1),bad,FILTER(flat,COUNTIF('リスト'!$E:$E,flat)=0),IFERROR(TEXTJOIN(""\n"",TRUE,bad),""""))"),"")</f>
        <v/>
      </c>
      <c r="AC764" s="185"/>
      <c r="AD764" s="185"/>
    </row>
    <row r="765">
      <c r="A765" s="185"/>
      <c r="B765" s="185"/>
      <c r="C765" s="185"/>
      <c r="D765" s="185"/>
      <c r="E765" s="203"/>
      <c r="F765" s="203"/>
      <c r="G765" s="185"/>
      <c r="H765" s="185"/>
      <c r="I765" s="185"/>
      <c r="J765" s="185"/>
      <c r="K765" s="185"/>
      <c r="L765" s="185"/>
      <c r="M765" s="185"/>
      <c r="N765" s="185"/>
      <c r="O765" s="185"/>
      <c r="P765" s="185"/>
      <c r="Q765" s="185"/>
      <c r="R765" s="185"/>
      <c r="S765" s="185"/>
      <c r="T765" s="185"/>
      <c r="U765" s="185"/>
      <c r="V765" s="185"/>
      <c r="W765" s="185"/>
      <c r="X765" s="185"/>
      <c r="Y765" s="185"/>
      <c r="Z765" s="185"/>
      <c r="AA765" s="185"/>
      <c r="AB765" s="185" t="str">
        <f>IFERROR(__xludf.DUMMYFUNCTION("LET(width,COLUMN($AB$1)-COLUMN($G$1),r,INDEX($G765:$AAB765,1,SEQUENCE(1,width)),flat,TOCOL(r,1),bad,FILTER(flat,COUNTIF('リスト'!$E:$E,flat)=0),IFERROR(TEXTJOIN(""\n"",TRUE,bad),""""))"),"")</f>
        <v/>
      </c>
      <c r="AC765" s="185"/>
      <c r="AD765" s="185"/>
    </row>
    <row r="766">
      <c r="A766" s="185"/>
      <c r="B766" s="185"/>
      <c r="C766" s="185"/>
      <c r="D766" s="185"/>
      <c r="E766" s="203"/>
      <c r="F766" s="203"/>
      <c r="G766" s="185"/>
      <c r="H766" s="185"/>
      <c r="I766" s="185"/>
      <c r="J766" s="185"/>
      <c r="K766" s="185"/>
      <c r="L766" s="185"/>
      <c r="M766" s="185"/>
      <c r="N766" s="185"/>
      <c r="O766" s="185"/>
      <c r="P766" s="185"/>
      <c r="Q766" s="185"/>
      <c r="R766" s="185"/>
      <c r="S766" s="185"/>
      <c r="T766" s="185"/>
      <c r="U766" s="185"/>
      <c r="V766" s="185"/>
      <c r="W766" s="185"/>
      <c r="X766" s="185"/>
      <c r="Y766" s="185"/>
      <c r="Z766" s="185"/>
      <c r="AA766" s="185"/>
      <c r="AB766" s="185" t="str">
        <f>IFERROR(__xludf.DUMMYFUNCTION("LET(width,COLUMN($AB$1)-COLUMN($G$1),r,INDEX($G766:$AAB766,1,SEQUENCE(1,width)),flat,TOCOL(r,1),bad,FILTER(flat,COUNTIF('リスト'!$E:$E,flat)=0),IFERROR(TEXTJOIN(""\n"",TRUE,bad),""""))"),"")</f>
        <v/>
      </c>
      <c r="AC766" s="185"/>
      <c r="AD766" s="185"/>
    </row>
    <row r="767">
      <c r="A767" s="185"/>
      <c r="B767" s="185"/>
      <c r="C767" s="185"/>
      <c r="D767" s="185"/>
      <c r="E767" s="203"/>
      <c r="F767" s="203"/>
      <c r="G767" s="185"/>
      <c r="H767" s="185"/>
      <c r="I767" s="185"/>
      <c r="J767" s="185"/>
      <c r="K767" s="185"/>
      <c r="L767" s="185"/>
      <c r="M767" s="185"/>
      <c r="N767" s="185"/>
      <c r="O767" s="185"/>
      <c r="P767" s="185"/>
      <c r="Q767" s="185"/>
      <c r="R767" s="185"/>
      <c r="S767" s="185"/>
      <c r="T767" s="185"/>
      <c r="U767" s="185"/>
      <c r="V767" s="185"/>
      <c r="W767" s="185"/>
      <c r="X767" s="185"/>
      <c r="Y767" s="185"/>
      <c r="Z767" s="185"/>
      <c r="AA767" s="185"/>
      <c r="AB767" s="185" t="str">
        <f>IFERROR(__xludf.DUMMYFUNCTION("LET(width,COLUMN($AB$1)-COLUMN($G$1),r,INDEX($G767:$AAB767,1,SEQUENCE(1,width)),flat,TOCOL(r,1),bad,FILTER(flat,COUNTIF('リスト'!$E:$E,flat)=0),IFERROR(TEXTJOIN(""\n"",TRUE,bad),""""))"),"")</f>
        <v/>
      </c>
      <c r="AC767" s="185"/>
      <c r="AD767" s="185"/>
    </row>
    <row r="768">
      <c r="A768" s="185"/>
      <c r="B768" s="185"/>
      <c r="C768" s="185"/>
      <c r="D768" s="185"/>
      <c r="E768" s="203"/>
      <c r="F768" s="203"/>
      <c r="G768" s="185"/>
      <c r="H768" s="185"/>
      <c r="I768" s="185"/>
      <c r="J768" s="185"/>
      <c r="K768" s="185"/>
      <c r="L768" s="185"/>
      <c r="M768" s="185"/>
      <c r="N768" s="185"/>
      <c r="O768" s="185"/>
      <c r="P768" s="185"/>
      <c r="Q768" s="185"/>
      <c r="R768" s="185"/>
      <c r="S768" s="185"/>
      <c r="T768" s="185"/>
      <c r="U768" s="185"/>
      <c r="V768" s="185"/>
      <c r="W768" s="185"/>
      <c r="X768" s="185"/>
      <c r="Y768" s="185"/>
      <c r="Z768" s="185"/>
      <c r="AA768" s="185"/>
      <c r="AB768" s="185" t="str">
        <f>IFERROR(__xludf.DUMMYFUNCTION("LET(width,COLUMN($AB$1)-COLUMN($G$1),r,INDEX($G768:$AAB768,1,SEQUENCE(1,width)),flat,TOCOL(r,1),bad,FILTER(flat,COUNTIF('リスト'!$E:$E,flat)=0),IFERROR(TEXTJOIN(""\n"",TRUE,bad),""""))"),"")</f>
        <v/>
      </c>
      <c r="AC768" s="185"/>
      <c r="AD768" s="185"/>
    </row>
    <row r="769">
      <c r="A769" s="185"/>
      <c r="B769" s="185"/>
      <c r="C769" s="185"/>
      <c r="D769" s="185"/>
      <c r="E769" s="203"/>
      <c r="F769" s="203"/>
      <c r="G769" s="185"/>
      <c r="H769" s="185"/>
      <c r="I769" s="185"/>
      <c r="J769" s="185"/>
      <c r="K769" s="185"/>
      <c r="L769" s="185"/>
      <c r="M769" s="185"/>
      <c r="N769" s="185"/>
      <c r="O769" s="185"/>
      <c r="P769" s="185"/>
      <c r="Q769" s="185"/>
      <c r="R769" s="185"/>
      <c r="S769" s="185"/>
      <c r="T769" s="185"/>
      <c r="U769" s="185"/>
      <c r="V769" s="185"/>
      <c r="W769" s="185"/>
      <c r="X769" s="185"/>
      <c r="Y769" s="185"/>
      <c r="Z769" s="185"/>
      <c r="AA769" s="185"/>
      <c r="AB769" s="185" t="str">
        <f>IFERROR(__xludf.DUMMYFUNCTION("LET(width,COLUMN($AB$1)-COLUMN($G$1),r,INDEX($G769:$AAB769,1,SEQUENCE(1,width)),flat,TOCOL(r,1),bad,FILTER(flat,COUNTIF('リスト'!$E:$E,flat)=0),IFERROR(TEXTJOIN(""\n"",TRUE,bad),""""))"),"")</f>
        <v/>
      </c>
      <c r="AC769" s="185"/>
      <c r="AD769" s="185"/>
    </row>
    <row r="770">
      <c r="A770" s="185"/>
      <c r="B770" s="185"/>
      <c r="C770" s="185"/>
      <c r="D770" s="185"/>
      <c r="E770" s="203"/>
      <c r="F770" s="203"/>
      <c r="G770" s="185"/>
      <c r="H770" s="185"/>
      <c r="I770" s="185"/>
      <c r="J770" s="185"/>
      <c r="K770" s="185"/>
      <c r="L770" s="185"/>
      <c r="M770" s="185"/>
      <c r="N770" s="185"/>
      <c r="O770" s="185"/>
      <c r="P770" s="185"/>
      <c r="Q770" s="185"/>
      <c r="R770" s="185"/>
      <c r="S770" s="185"/>
      <c r="T770" s="185"/>
      <c r="U770" s="185"/>
      <c r="V770" s="185"/>
      <c r="W770" s="185"/>
      <c r="X770" s="185"/>
      <c r="Y770" s="185"/>
      <c r="Z770" s="185"/>
      <c r="AA770" s="185"/>
      <c r="AB770" s="185" t="str">
        <f>IFERROR(__xludf.DUMMYFUNCTION("LET(width,COLUMN($AB$1)-COLUMN($G$1),r,INDEX($G770:$AAB770,1,SEQUENCE(1,width)),flat,TOCOL(r,1),bad,FILTER(flat,COUNTIF('リスト'!$E:$E,flat)=0),IFERROR(TEXTJOIN(""\n"",TRUE,bad),""""))"),"")</f>
        <v/>
      </c>
      <c r="AC770" s="185"/>
      <c r="AD770" s="185"/>
    </row>
    <row r="771">
      <c r="A771" s="185"/>
      <c r="B771" s="185"/>
      <c r="C771" s="185"/>
      <c r="D771" s="185"/>
      <c r="E771" s="203"/>
      <c r="F771" s="203"/>
      <c r="G771" s="185"/>
      <c r="H771" s="185"/>
      <c r="I771" s="185"/>
      <c r="J771" s="185"/>
      <c r="K771" s="185"/>
      <c r="L771" s="185"/>
      <c r="M771" s="185"/>
      <c r="N771" s="185"/>
      <c r="O771" s="185"/>
      <c r="P771" s="185"/>
      <c r="Q771" s="185"/>
      <c r="R771" s="185"/>
      <c r="S771" s="185"/>
      <c r="T771" s="185"/>
      <c r="U771" s="185"/>
      <c r="V771" s="185"/>
      <c r="W771" s="185"/>
      <c r="X771" s="185"/>
      <c r="Y771" s="185"/>
      <c r="Z771" s="185"/>
      <c r="AA771" s="185"/>
      <c r="AB771" s="185" t="str">
        <f>IFERROR(__xludf.DUMMYFUNCTION("LET(width,COLUMN($AB$1)-COLUMN($G$1),r,INDEX($G771:$AAB771,1,SEQUENCE(1,width)),flat,TOCOL(r,1),bad,FILTER(flat,COUNTIF('リスト'!$E:$E,flat)=0),IFERROR(TEXTJOIN(""\n"",TRUE,bad),""""))"),"")</f>
        <v/>
      </c>
      <c r="AC771" s="185"/>
      <c r="AD771" s="185"/>
    </row>
    <row r="772">
      <c r="A772" s="185"/>
      <c r="B772" s="185"/>
      <c r="C772" s="185"/>
      <c r="D772" s="185"/>
      <c r="E772" s="203"/>
      <c r="F772" s="203"/>
      <c r="G772" s="185"/>
      <c r="H772" s="185"/>
      <c r="I772" s="185"/>
      <c r="J772" s="185"/>
      <c r="K772" s="185"/>
      <c r="L772" s="185"/>
      <c r="M772" s="185"/>
      <c r="N772" s="185"/>
      <c r="O772" s="185"/>
      <c r="P772" s="185"/>
      <c r="Q772" s="185"/>
      <c r="R772" s="185"/>
      <c r="S772" s="185"/>
      <c r="T772" s="185"/>
      <c r="U772" s="185"/>
      <c r="V772" s="185"/>
      <c r="W772" s="185"/>
      <c r="X772" s="185"/>
      <c r="Y772" s="185"/>
      <c r="Z772" s="185"/>
      <c r="AA772" s="185"/>
      <c r="AB772" s="185" t="str">
        <f>IFERROR(__xludf.DUMMYFUNCTION("LET(width,COLUMN($AB$1)-COLUMN($G$1),r,INDEX($G772:$AAB772,1,SEQUENCE(1,width)),flat,TOCOL(r,1),bad,FILTER(flat,COUNTIF('リスト'!$E:$E,flat)=0),IFERROR(TEXTJOIN(""\n"",TRUE,bad),""""))"),"")</f>
        <v/>
      </c>
      <c r="AC772" s="185"/>
      <c r="AD772" s="185"/>
    </row>
    <row r="773">
      <c r="A773" s="185"/>
      <c r="B773" s="185"/>
      <c r="C773" s="185"/>
      <c r="D773" s="185"/>
      <c r="E773" s="203"/>
      <c r="F773" s="203"/>
      <c r="G773" s="185"/>
      <c r="H773" s="185"/>
      <c r="I773" s="185"/>
      <c r="J773" s="185"/>
      <c r="K773" s="185"/>
      <c r="L773" s="185"/>
      <c r="M773" s="185"/>
      <c r="N773" s="185"/>
      <c r="O773" s="185"/>
      <c r="P773" s="185"/>
      <c r="Q773" s="185"/>
      <c r="R773" s="185"/>
      <c r="S773" s="185"/>
      <c r="T773" s="185"/>
      <c r="U773" s="185"/>
      <c r="V773" s="185"/>
      <c r="W773" s="185"/>
      <c r="X773" s="185"/>
      <c r="Y773" s="185"/>
      <c r="Z773" s="185"/>
      <c r="AA773" s="185"/>
      <c r="AB773" s="185" t="str">
        <f>IFERROR(__xludf.DUMMYFUNCTION("LET(width,COLUMN($AB$1)-COLUMN($G$1),r,INDEX($G773:$AAB773,1,SEQUENCE(1,width)),flat,TOCOL(r,1),bad,FILTER(flat,COUNTIF('リスト'!$E:$E,flat)=0),IFERROR(TEXTJOIN(""\n"",TRUE,bad),""""))"),"")</f>
        <v/>
      </c>
      <c r="AC773" s="185"/>
      <c r="AD773" s="185"/>
    </row>
    <row r="774">
      <c r="A774" s="185"/>
      <c r="B774" s="185"/>
      <c r="C774" s="185"/>
      <c r="D774" s="185"/>
      <c r="E774" s="203"/>
      <c r="F774" s="203"/>
      <c r="G774" s="185"/>
      <c r="H774" s="185"/>
      <c r="I774" s="185"/>
      <c r="J774" s="185"/>
      <c r="K774" s="185"/>
      <c r="L774" s="185"/>
      <c r="M774" s="185"/>
      <c r="N774" s="185"/>
      <c r="O774" s="185"/>
      <c r="P774" s="185"/>
      <c r="Q774" s="185"/>
      <c r="R774" s="185"/>
      <c r="S774" s="185"/>
      <c r="T774" s="185"/>
      <c r="U774" s="185"/>
      <c r="V774" s="185"/>
      <c r="W774" s="185"/>
      <c r="X774" s="185"/>
      <c r="Y774" s="185"/>
      <c r="Z774" s="185"/>
      <c r="AA774" s="185"/>
      <c r="AB774" s="185" t="str">
        <f>IFERROR(__xludf.DUMMYFUNCTION("LET(width,COLUMN($AB$1)-COLUMN($G$1),r,INDEX($G774:$AAB774,1,SEQUENCE(1,width)),flat,TOCOL(r,1),bad,FILTER(flat,COUNTIF('リスト'!$E:$E,flat)=0),IFERROR(TEXTJOIN(""\n"",TRUE,bad),""""))"),"")</f>
        <v/>
      </c>
      <c r="AC774" s="185"/>
      <c r="AD774" s="185"/>
    </row>
    <row r="775">
      <c r="A775" s="185"/>
      <c r="B775" s="185"/>
      <c r="C775" s="185"/>
      <c r="D775" s="185"/>
      <c r="E775" s="203"/>
      <c r="F775" s="203"/>
      <c r="G775" s="185"/>
      <c r="H775" s="185"/>
      <c r="I775" s="185"/>
      <c r="J775" s="185"/>
      <c r="K775" s="185"/>
      <c r="L775" s="185"/>
      <c r="M775" s="185"/>
      <c r="N775" s="185"/>
      <c r="O775" s="185"/>
      <c r="P775" s="185"/>
      <c r="Q775" s="185"/>
      <c r="R775" s="185"/>
      <c r="S775" s="185"/>
      <c r="T775" s="185"/>
      <c r="U775" s="185"/>
      <c r="V775" s="185"/>
      <c r="W775" s="185"/>
      <c r="X775" s="185"/>
      <c r="Y775" s="185"/>
      <c r="Z775" s="185"/>
      <c r="AA775" s="185"/>
      <c r="AB775" s="185" t="str">
        <f>IFERROR(__xludf.DUMMYFUNCTION("LET(width,COLUMN($AB$1)-COLUMN($G$1),r,INDEX($G775:$AAB775,1,SEQUENCE(1,width)),flat,TOCOL(r,1),bad,FILTER(flat,COUNTIF('リスト'!$E:$E,flat)=0),IFERROR(TEXTJOIN(""\n"",TRUE,bad),""""))"),"")</f>
        <v/>
      </c>
      <c r="AC775" s="185"/>
      <c r="AD775" s="185"/>
    </row>
    <row r="776">
      <c r="A776" s="185"/>
      <c r="B776" s="185"/>
      <c r="C776" s="185"/>
      <c r="D776" s="185"/>
      <c r="E776" s="203"/>
      <c r="F776" s="203"/>
      <c r="G776" s="185"/>
      <c r="H776" s="185"/>
      <c r="I776" s="185"/>
      <c r="J776" s="185"/>
      <c r="K776" s="185"/>
      <c r="L776" s="185"/>
      <c r="M776" s="185"/>
      <c r="N776" s="185"/>
      <c r="O776" s="185"/>
      <c r="P776" s="185"/>
      <c r="Q776" s="185"/>
      <c r="R776" s="185"/>
      <c r="S776" s="185"/>
      <c r="T776" s="185"/>
      <c r="U776" s="185"/>
      <c r="V776" s="185"/>
      <c r="W776" s="185"/>
      <c r="X776" s="185"/>
      <c r="Y776" s="185"/>
      <c r="Z776" s="185"/>
      <c r="AA776" s="185"/>
      <c r="AB776" s="185" t="str">
        <f>IFERROR(__xludf.DUMMYFUNCTION("LET(width,COLUMN($AB$1)-COLUMN($G$1),r,INDEX($G776:$AAB776,1,SEQUENCE(1,width)),flat,TOCOL(r,1),bad,FILTER(flat,COUNTIF('リスト'!$E:$E,flat)=0),IFERROR(TEXTJOIN(""\n"",TRUE,bad),""""))"),"")</f>
        <v/>
      </c>
      <c r="AC776" s="185"/>
      <c r="AD776" s="185"/>
    </row>
    <row r="777">
      <c r="A777" s="185"/>
      <c r="B777" s="185"/>
      <c r="C777" s="185"/>
      <c r="D777" s="185"/>
      <c r="E777" s="203"/>
      <c r="F777" s="203"/>
      <c r="G777" s="185"/>
      <c r="H777" s="185"/>
      <c r="I777" s="185"/>
      <c r="J777" s="185"/>
      <c r="K777" s="185"/>
      <c r="L777" s="185"/>
      <c r="M777" s="185"/>
      <c r="N777" s="185"/>
      <c r="O777" s="185"/>
      <c r="P777" s="185"/>
      <c r="Q777" s="185"/>
      <c r="R777" s="185"/>
      <c r="S777" s="185"/>
      <c r="T777" s="185"/>
      <c r="U777" s="185"/>
      <c r="V777" s="185"/>
      <c r="W777" s="185"/>
      <c r="X777" s="185"/>
      <c r="Y777" s="185"/>
      <c r="Z777" s="185"/>
      <c r="AA777" s="185"/>
      <c r="AB777" s="185" t="str">
        <f>IFERROR(__xludf.DUMMYFUNCTION("LET(width,COLUMN($AB$1)-COLUMN($G$1),r,INDEX($G777:$AAB777,1,SEQUENCE(1,width)),flat,TOCOL(r,1),bad,FILTER(flat,COUNTIF('リスト'!$E:$E,flat)=0),IFERROR(TEXTJOIN(""\n"",TRUE,bad),""""))"),"")</f>
        <v/>
      </c>
      <c r="AC777" s="185"/>
      <c r="AD777" s="185"/>
    </row>
    <row r="778">
      <c r="A778" s="185"/>
      <c r="B778" s="185"/>
      <c r="C778" s="185"/>
      <c r="D778" s="185"/>
      <c r="E778" s="203"/>
      <c r="F778" s="203"/>
      <c r="G778" s="185"/>
      <c r="H778" s="185"/>
      <c r="I778" s="185"/>
      <c r="J778" s="185"/>
      <c r="K778" s="185"/>
      <c r="L778" s="185"/>
      <c r="M778" s="185"/>
      <c r="N778" s="185"/>
      <c r="O778" s="185"/>
      <c r="P778" s="185"/>
      <c r="Q778" s="185"/>
      <c r="R778" s="185"/>
      <c r="S778" s="185"/>
      <c r="T778" s="185"/>
      <c r="U778" s="185"/>
      <c r="V778" s="185"/>
      <c r="W778" s="185"/>
      <c r="X778" s="185"/>
      <c r="Y778" s="185"/>
      <c r="Z778" s="185"/>
      <c r="AA778" s="185"/>
      <c r="AB778" s="185" t="str">
        <f>IFERROR(__xludf.DUMMYFUNCTION("LET(width,COLUMN($AB$1)-COLUMN($G$1),r,INDEX($G778:$AAB778,1,SEQUENCE(1,width)),flat,TOCOL(r,1),bad,FILTER(flat,COUNTIF('リスト'!$E:$E,flat)=0),IFERROR(TEXTJOIN(""\n"",TRUE,bad),""""))"),"")</f>
        <v/>
      </c>
      <c r="AC778" s="185"/>
      <c r="AD778" s="185"/>
    </row>
    <row r="779">
      <c r="A779" s="185"/>
      <c r="B779" s="185"/>
      <c r="C779" s="185"/>
      <c r="D779" s="185"/>
      <c r="E779" s="203"/>
      <c r="F779" s="203"/>
      <c r="G779" s="185"/>
      <c r="H779" s="185"/>
      <c r="I779" s="185"/>
      <c r="J779" s="185"/>
      <c r="K779" s="185"/>
      <c r="L779" s="185"/>
      <c r="M779" s="185"/>
      <c r="N779" s="185"/>
      <c r="O779" s="185"/>
      <c r="P779" s="185"/>
      <c r="Q779" s="185"/>
      <c r="R779" s="185"/>
      <c r="S779" s="185"/>
      <c r="T779" s="185"/>
      <c r="U779" s="185"/>
      <c r="V779" s="185"/>
      <c r="W779" s="185"/>
      <c r="X779" s="185"/>
      <c r="Y779" s="185"/>
      <c r="Z779" s="185"/>
      <c r="AA779" s="185"/>
      <c r="AB779" s="185" t="str">
        <f>IFERROR(__xludf.DUMMYFUNCTION("LET(width,COLUMN($AB$1)-COLUMN($G$1),r,INDEX($G779:$AAB779,1,SEQUENCE(1,width)),flat,TOCOL(r,1),bad,FILTER(flat,COUNTIF('リスト'!$E:$E,flat)=0),IFERROR(TEXTJOIN(""\n"",TRUE,bad),""""))"),"")</f>
        <v/>
      </c>
      <c r="AC779" s="185"/>
      <c r="AD779" s="185"/>
    </row>
    <row r="780">
      <c r="A780" s="185"/>
      <c r="B780" s="185"/>
      <c r="C780" s="185"/>
      <c r="D780" s="185"/>
      <c r="E780" s="203"/>
      <c r="F780" s="203"/>
      <c r="G780" s="185"/>
      <c r="H780" s="185"/>
      <c r="I780" s="185"/>
      <c r="J780" s="185"/>
      <c r="K780" s="185"/>
      <c r="L780" s="185"/>
      <c r="M780" s="185"/>
      <c r="N780" s="185"/>
      <c r="O780" s="185"/>
      <c r="P780" s="185"/>
      <c r="Q780" s="185"/>
      <c r="R780" s="185"/>
      <c r="S780" s="185"/>
      <c r="T780" s="185"/>
      <c r="U780" s="185"/>
      <c r="V780" s="185"/>
      <c r="W780" s="185"/>
      <c r="X780" s="185"/>
      <c r="Y780" s="185"/>
      <c r="Z780" s="185"/>
      <c r="AA780" s="185"/>
      <c r="AB780" s="185" t="str">
        <f>IFERROR(__xludf.DUMMYFUNCTION("LET(width,COLUMN($AB$1)-COLUMN($G$1),r,INDEX($G780:$AAB780,1,SEQUENCE(1,width)),flat,TOCOL(r,1),bad,FILTER(flat,COUNTIF('リスト'!$E:$E,flat)=0),IFERROR(TEXTJOIN(""\n"",TRUE,bad),""""))"),"")</f>
        <v/>
      </c>
      <c r="AC780" s="185"/>
      <c r="AD780" s="185"/>
    </row>
    <row r="781">
      <c r="A781" s="185"/>
      <c r="B781" s="185"/>
      <c r="C781" s="185"/>
      <c r="D781" s="185"/>
      <c r="E781" s="203"/>
      <c r="F781" s="203"/>
      <c r="G781" s="185"/>
      <c r="H781" s="185"/>
      <c r="I781" s="185"/>
      <c r="J781" s="185"/>
      <c r="K781" s="185"/>
      <c r="L781" s="185"/>
      <c r="M781" s="185"/>
      <c r="N781" s="185"/>
      <c r="O781" s="185"/>
      <c r="P781" s="185"/>
      <c r="Q781" s="185"/>
      <c r="R781" s="185"/>
      <c r="S781" s="185"/>
      <c r="T781" s="185"/>
      <c r="U781" s="185"/>
      <c r="V781" s="185"/>
      <c r="W781" s="185"/>
      <c r="X781" s="185"/>
      <c r="Y781" s="185"/>
      <c r="Z781" s="185"/>
      <c r="AA781" s="185"/>
      <c r="AB781" s="185" t="str">
        <f>IFERROR(__xludf.DUMMYFUNCTION("LET(width,COLUMN($AB$1)-COLUMN($G$1),r,INDEX($G781:$AAB781,1,SEQUENCE(1,width)),flat,TOCOL(r,1),bad,FILTER(flat,COUNTIF('リスト'!$E:$E,flat)=0),IFERROR(TEXTJOIN(""\n"",TRUE,bad),""""))"),"")</f>
        <v/>
      </c>
      <c r="AC781" s="185"/>
      <c r="AD781" s="185"/>
    </row>
    <row r="782">
      <c r="A782" s="185"/>
      <c r="B782" s="185"/>
      <c r="C782" s="185"/>
      <c r="D782" s="185"/>
      <c r="E782" s="203"/>
      <c r="F782" s="203"/>
      <c r="G782" s="185"/>
      <c r="H782" s="185"/>
      <c r="I782" s="185"/>
      <c r="J782" s="185"/>
      <c r="K782" s="185"/>
      <c r="L782" s="185"/>
      <c r="M782" s="185"/>
      <c r="N782" s="185"/>
      <c r="O782" s="185"/>
      <c r="P782" s="185"/>
      <c r="Q782" s="185"/>
      <c r="R782" s="185"/>
      <c r="S782" s="185"/>
      <c r="T782" s="185"/>
      <c r="U782" s="185"/>
      <c r="V782" s="185"/>
      <c r="W782" s="185"/>
      <c r="X782" s="185"/>
      <c r="Y782" s="185"/>
      <c r="Z782" s="185"/>
      <c r="AA782" s="185"/>
      <c r="AB782" s="185" t="str">
        <f>IFERROR(__xludf.DUMMYFUNCTION("LET(width,COLUMN($AB$1)-COLUMN($G$1),r,INDEX($G782:$AAB782,1,SEQUENCE(1,width)),flat,TOCOL(r,1),bad,FILTER(flat,COUNTIF('リスト'!$E:$E,flat)=0),IFERROR(TEXTJOIN(""\n"",TRUE,bad),""""))"),"")</f>
        <v/>
      </c>
      <c r="AC782" s="185"/>
      <c r="AD782" s="185"/>
    </row>
    <row r="783">
      <c r="A783" s="185"/>
      <c r="B783" s="185"/>
      <c r="C783" s="185"/>
      <c r="D783" s="185"/>
      <c r="E783" s="203"/>
      <c r="F783" s="203"/>
      <c r="G783" s="185"/>
      <c r="H783" s="185"/>
      <c r="I783" s="185"/>
      <c r="J783" s="185"/>
      <c r="K783" s="185"/>
      <c r="L783" s="185"/>
      <c r="M783" s="185"/>
      <c r="N783" s="185"/>
      <c r="O783" s="185"/>
      <c r="P783" s="185"/>
      <c r="Q783" s="185"/>
      <c r="R783" s="185"/>
      <c r="S783" s="185"/>
      <c r="T783" s="185"/>
      <c r="U783" s="185"/>
      <c r="V783" s="185"/>
      <c r="W783" s="185"/>
      <c r="X783" s="185"/>
      <c r="Y783" s="185"/>
      <c r="Z783" s="185"/>
      <c r="AA783" s="185"/>
      <c r="AB783" s="185" t="str">
        <f>IFERROR(__xludf.DUMMYFUNCTION("LET(width,COLUMN($AB$1)-COLUMN($G$1),r,INDEX($G783:$AAB783,1,SEQUENCE(1,width)),flat,TOCOL(r,1),bad,FILTER(flat,COUNTIF('リスト'!$E:$E,flat)=0),IFERROR(TEXTJOIN(""\n"",TRUE,bad),""""))"),"")</f>
        <v/>
      </c>
      <c r="AC783" s="185"/>
      <c r="AD783" s="185"/>
    </row>
    <row r="784">
      <c r="A784" s="185"/>
      <c r="B784" s="185"/>
      <c r="C784" s="185"/>
      <c r="D784" s="185"/>
      <c r="E784" s="203"/>
      <c r="F784" s="203"/>
      <c r="G784" s="185"/>
      <c r="H784" s="185"/>
      <c r="I784" s="185"/>
      <c r="J784" s="185"/>
      <c r="K784" s="185"/>
      <c r="L784" s="185"/>
      <c r="M784" s="185"/>
      <c r="N784" s="185"/>
      <c r="O784" s="185"/>
      <c r="P784" s="185"/>
      <c r="Q784" s="185"/>
      <c r="R784" s="185"/>
      <c r="S784" s="185"/>
      <c r="T784" s="185"/>
      <c r="U784" s="185"/>
      <c r="V784" s="185"/>
      <c r="W784" s="185"/>
      <c r="X784" s="185"/>
      <c r="Y784" s="185"/>
      <c r="Z784" s="185"/>
      <c r="AA784" s="185"/>
      <c r="AB784" s="185" t="str">
        <f>IFERROR(__xludf.DUMMYFUNCTION("LET(width,COLUMN($AB$1)-COLUMN($G$1),r,INDEX($G784:$AAB784,1,SEQUENCE(1,width)),flat,TOCOL(r,1),bad,FILTER(flat,COUNTIF('リスト'!$E:$E,flat)=0),IFERROR(TEXTJOIN(""\n"",TRUE,bad),""""))"),"")</f>
        <v/>
      </c>
      <c r="AC784" s="185"/>
      <c r="AD784" s="185"/>
    </row>
    <row r="785">
      <c r="A785" s="185"/>
      <c r="B785" s="185"/>
      <c r="C785" s="185"/>
      <c r="D785" s="185"/>
      <c r="E785" s="203"/>
      <c r="F785" s="203"/>
      <c r="G785" s="185"/>
      <c r="H785" s="185"/>
      <c r="I785" s="185"/>
      <c r="J785" s="185"/>
      <c r="K785" s="185"/>
      <c r="L785" s="185"/>
      <c r="M785" s="185"/>
      <c r="N785" s="185"/>
      <c r="O785" s="185"/>
      <c r="P785" s="185"/>
      <c r="Q785" s="185"/>
      <c r="R785" s="185"/>
      <c r="S785" s="185"/>
      <c r="T785" s="185"/>
      <c r="U785" s="185"/>
      <c r="V785" s="185"/>
      <c r="W785" s="185"/>
      <c r="X785" s="185"/>
      <c r="Y785" s="185"/>
      <c r="Z785" s="185"/>
      <c r="AA785" s="185"/>
      <c r="AB785" s="185" t="str">
        <f>IFERROR(__xludf.DUMMYFUNCTION("LET(width,COLUMN($AB$1)-COLUMN($G$1),r,INDEX($G785:$AAB785,1,SEQUENCE(1,width)),flat,TOCOL(r,1),bad,FILTER(flat,COUNTIF('リスト'!$E:$E,flat)=0),IFERROR(TEXTJOIN(""\n"",TRUE,bad),""""))"),"")</f>
        <v/>
      </c>
      <c r="AC785" s="185"/>
      <c r="AD785" s="185"/>
    </row>
    <row r="786">
      <c r="A786" s="185"/>
      <c r="B786" s="185"/>
      <c r="C786" s="185"/>
      <c r="D786" s="185"/>
      <c r="E786" s="203"/>
      <c r="F786" s="203"/>
      <c r="G786" s="185"/>
      <c r="H786" s="185"/>
      <c r="I786" s="185"/>
      <c r="J786" s="185"/>
      <c r="K786" s="185"/>
      <c r="L786" s="185"/>
      <c r="M786" s="185"/>
      <c r="N786" s="185"/>
      <c r="O786" s="185"/>
      <c r="P786" s="185"/>
      <c r="Q786" s="185"/>
      <c r="R786" s="185"/>
      <c r="S786" s="185"/>
      <c r="T786" s="185"/>
      <c r="U786" s="185"/>
      <c r="V786" s="185"/>
      <c r="W786" s="185"/>
      <c r="X786" s="185"/>
      <c r="Y786" s="185"/>
      <c r="Z786" s="185"/>
      <c r="AA786" s="185"/>
      <c r="AB786" s="185" t="str">
        <f>IFERROR(__xludf.DUMMYFUNCTION("LET(width,COLUMN($AB$1)-COLUMN($G$1),r,INDEX($G786:$AAB786,1,SEQUENCE(1,width)),flat,TOCOL(r,1),bad,FILTER(flat,COUNTIF('リスト'!$E:$E,flat)=0),IFERROR(TEXTJOIN(""\n"",TRUE,bad),""""))"),"")</f>
        <v/>
      </c>
      <c r="AC786" s="185"/>
      <c r="AD786" s="185"/>
    </row>
    <row r="787">
      <c r="A787" s="185"/>
      <c r="B787" s="185"/>
      <c r="C787" s="185"/>
      <c r="D787" s="185"/>
      <c r="E787" s="203"/>
      <c r="F787" s="203"/>
      <c r="G787" s="185"/>
      <c r="H787" s="185"/>
      <c r="I787" s="185"/>
      <c r="J787" s="185"/>
      <c r="K787" s="185"/>
      <c r="L787" s="185"/>
      <c r="M787" s="185"/>
      <c r="N787" s="185"/>
      <c r="O787" s="185"/>
      <c r="P787" s="185"/>
      <c r="Q787" s="185"/>
      <c r="R787" s="185"/>
      <c r="S787" s="185"/>
      <c r="T787" s="185"/>
      <c r="U787" s="185"/>
      <c r="V787" s="185"/>
      <c r="W787" s="185"/>
      <c r="X787" s="185"/>
      <c r="Y787" s="185"/>
      <c r="Z787" s="185"/>
      <c r="AA787" s="185"/>
      <c r="AB787" s="185" t="str">
        <f>IFERROR(__xludf.DUMMYFUNCTION("LET(width,COLUMN($AB$1)-COLUMN($G$1),r,INDEX($G787:$AAB787,1,SEQUENCE(1,width)),flat,TOCOL(r,1),bad,FILTER(flat,COUNTIF('リスト'!$E:$E,flat)=0),IFERROR(TEXTJOIN(""\n"",TRUE,bad),""""))"),"")</f>
        <v/>
      </c>
      <c r="AC787" s="185"/>
      <c r="AD787" s="185"/>
    </row>
    <row r="788">
      <c r="A788" s="185"/>
      <c r="B788" s="185"/>
      <c r="C788" s="185"/>
      <c r="D788" s="185"/>
      <c r="E788" s="203"/>
      <c r="F788" s="203"/>
      <c r="G788" s="185"/>
      <c r="H788" s="185"/>
      <c r="I788" s="185"/>
      <c r="J788" s="185"/>
      <c r="K788" s="185"/>
      <c r="L788" s="185"/>
      <c r="M788" s="185"/>
      <c r="N788" s="185"/>
      <c r="O788" s="185"/>
      <c r="P788" s="185"/>
      <c r="Q788" s="185"/>
      <c r="R788" s="185"/>
      <c r="S788" s="185"/>
      <c r="T788" s="185"/>
      <c r="U788" s="185"/>
      <c r="V788" s="185"/>
      <c r="W788" s="185"/>
      <c r="X788" s="185"/>
      <c r="Y788" s="185"/>
      <c r="Z788" s="185"/>
      <c r="AA788" s="185"/>
      <c r="AB788" s="185" t="str">
        <f>IFERROR(__xludf.DUMMYFUNCTION("LET(width,COLUMN($AB$1)-COLUMN($G$1),r,INDEX($G788:$AAB788,1,SEQUENCE(1,width)),flat,TOCOL(r,1),bad,FILTER(flat,COUNTIF('リスト'!$E:$E,flat)=0),IFERROR(TEXTJOIN(""\n"",TRUE,bad),""""))"),"")</f>
        <v/>
      </c>
      <c r="AC788" s="185"/>
      <c r="AD788" s="185"/>
    </row>
    <row r="789">
      <c r="A789" s="185"/>
      <c r="B789" s="185"/>
      <c r="C789" s="185"/>
      <c r="D789" s="185"/>
      <c r="E789" s="203"/>
      <c r="F789" s="203"/>
      <c r="G789" s="185"/>
      <c r="H789" s="185"/>
      <c r="I789" s="185"/>
      <c r="J789" s="185"/>
      <c r="K789" s="185"/>
      <c r="L789" s="185"/>
      <c r="M789" s="185"/>
      <c r="N789" s="185"/>
      <c r="O789" s="185"/>
      <c r="P789" s="185"/>
      <c r="Q789" s="185"/>
      <c r="R789" s="185"/>
      <c r="S789" s="185"/>
      <c r="T789" s="185"/>
      <c r="U789" s="185"/>
      <c r="V789" s="185"/>
      <c r="W789" s="185"/>
      <c r="X789" s="185"/>
      <c r="Y789" s="185"/>
      <c r="Z789" s="185"/>
      <c r="AA789" s="185"/>
      <c r="AB789" s="185" t="str">
        <f>IFERROR(__xludf.DUMMYFUNCTION("LET(width,COLUMN($AB$1)-COLUMN($G$1),r,INDEX($G789:$AAB789,1,SEQUENCE(1,width)),flat,TOCOL(r,1),bad,FILTER(flat,COUNTIF('リスト'!$E:$E,flat)=0),IFERROR(TEXTJOIN(""\n"",TRUE,bad),""""))"),"")</f>
        <v/>
      </c>
      <c r="AC789" s="185"/>
      <c r="AD789" s="185"/>
    </row>
    <row r="790">
      <c r="A790" s="185"/>
      <c r="B790" s="185"/>
      <c r="C790" s="185"/>
      <c r="D790" s="185"/>
      <c r="E790" s="203"/>
      <c r="F790" s="203"/>
      <c r="G790" s="185"/>
      <c r="H790" s="185"/>
      <c r="I790" s="185"/>
      <c r="J790" s="185"/>
      <c r="K790" s="185"/>
      <c r="L790" s="185"/>
      <c r="M790" s="185"/>
      <c r="N790" s="185"/>
      <c r="O790" s="185"/>
      <c r="P790" s="185"/>
      <c r="Q790" s="185"/>
      <c r="R790" s="185"/>
      <c r="S790" s="185"/>
      <c r="T790" s="185"/>
      <c r="U790" s="185"/>
      <c r="V790" s="185"/>
      <c r="W790" s="185"/>
      <c r="X790" s="185"/>
      <c r="Y790" s="185"/>
      <c r="Z790" s="185"/>
      <c r="AA790" s="185"/>
      <c r="AB790" s="185" t="str">
        <f>IFERROR(__xludf.DUMMYFUNCTION("LET(width,COLUMN($AB$1)-COLUMN($G$1),r,INDEX($G790:$AAB790,1,SEQUENCE(1,width)),flat,TOCOL(r,1),bad,FILTER(flat,COUNTIF('リスト'!$E:$E,flat)=0),IFERROR(TEXTJOIN(""\n"",TRUE,bad),""""))"),"")</f>
        <v/>
      </c>
      <c r="AC790" s="185"/>
      <c r="AD790" s="185"/>
    </row>
    <row r="791">
      <c r="A791" s="185"/>
      <c r="B791" s="185"/>
      <c r="C791" s="185"/>
      <c r="D791" s="185"/>
      <c r="E791" s="203"/>
      <c r="F791" s="203"/>
      <c r="G791" s="185"/>
      <c r="H791" s="185"/>
      <c r="I791" s="185"/>
      <c r="J791" s="185"/>
      <c r="K791" s="185"/>
      <c r="L791" s="185"/>
      <c r="M791" s="185"/>
      <c r="N791" s="185"/>
      <c r="O791" s="185"/>
      <c r="P791" s="185"/>
      <c r="Q791" s="185"/>
      <c r="R791" s="185"/>
      <c r="S791" s="185"/>
      <c r="T791" s="185"/>
      <c r="U791" s="185"/>
      <c r="V791" s="185"/>
      <c r="W791" s="185"/>
      <c r="X791" s="185"/>
      <c r="Y791" s="185"/>
      <c r="Z791" s="185"/>
      <c r="AA791" s="185"/>
      <c r="AB791" s="185" t="str">
        <f>IFERROR(__xludf.DUMMYFUNCTION("LET(width,COLUMN($AB$1)-COLUMN($G$1),r,INDEX($G791:$AAB791,1,SEQUENCE(1,width)),flat,TOCOL(r,1),bad,FILTER(flat,COUNTIF('リスト'!$E:$E,flat)=0),IFERROR(TEXTJOIN(""\n"",TRUE,bad),""""))"),"")</f>
        <v/>
      </c>
      <c r="AC791" s="185"/>
      <c r="AD791" s="185"/>
    </row>
    <row r="792">
      <c r="A792" s="185"/>
      <c r="B792" s="185"/>
      <c r="C792" s="185"/>
      <c r="D792" s="185"/>
      <c r="E792" s="203"/>
      <c r="F792" s="203"/>
      <c r="G792" s="185"/>
      <c r="H792" s="185"/>
      <c r="I792" s="185"/>
      <c r="J792" s="185"/>
      <c r="K792" s="185"/>
      <c r="L792" s="185"/>
      <c r="M792" s="185"/>
      <c r="N792" s="185"/>
      <c r="O792" s="185"/>
      <c r="P792" s="185"/>
      <c r="Q792" s="185"/>
      <c r="R792" s="185"/>
      <c r="S792" s="185"/>
      <c r="T792" s="185"/>
      <c r="U792" s="185"/>
      <c r="V792" s="185"/>
      <c r="W792" s="185"/>
      <c r="X792" s="185"/>
      <c r="Y792" s="185"/>
      <c r="Z792" s="185"/>
      <c r="AA792" s="185"/>
      <c r="AB792" s="185" t="str">
        <f>IFERROR(__xludf.DUMMYFUNCTION("LET(width,COLUMN($AB$1)-COLUMN($G$1),r,INDEX($G792:$AAB792,1,SEQUENCE(1,width)),flat,TOCOL(r,1),bad,FILTER(flat,COUNTIF('リスト'!$E:$E,flat)=0),IFERROR(TEXTJOIN(""\n"",TRUE,bad),""""))"),"")</f>
        <v/>
      </c>
      <c r="AC792" s="185"/>
      <c r="AD792" s="185"/>
    </row>
    <row r="793">
      <c r="A793" s="185"/>
      <c r="B793" s="185"/>
      <c r="C793" s="185"/>
      <c r="D793" s="185"/>
      <c r="E793" s="203"/>
      <c r="F793" s="203"/>
      <c r="G793" s="185"/>
      <c r="H793" s="185"/>
      <c r="I793" s="185"/>
      <c r="J793" s="185"/>
      <c r="K793" s="185"/>
      <c r="L793" s="185"/>
      <c r="M793" s="185"/>
      <c r="N793" s="185"/>
      <c r="O793" s="185"/>
      <c r="P793" s="185"/>
      <c r="Q793" s="185"/>
      <c r="R793" s="185"/>
      <c r="S793" s="185"/>
      <c r="T793" s="185"/>
      <c r="U793" s="185"/>
      <c r="V793" s="185"/>
      <c r="W793" s="185"/>
      <c r="X793" s="185"/>
      <c r="Y793" s="185"/>
      <c r="Z793" s="185"/>
      <c r="AA793" s="185"/>
      <c r="AB793" s="185" t="str">
        <f>IFERROR(__xludf.DUMMYFUNCTION("LET(width,COLUMN($AB$1)-COLUMN($G$1),r,INDEX($G793:$AAB793,1,SEQUENCE(1,width)),flat,TOCOL(r,1),bad,FILTER(flat,COUNTIF('リスト'!$E:$E,flat)=0),IFERROR(TEXTJOIN(""\n"",TRUE,bad),""""))"),"")</f>
        <v/>
      </c>
      <c r="AC793" s="185"/>
      <c r="AD793" s="185"/>
    </row>
    <row r="794">
      <c r="A794" s="185"/>
      <c r="B794" s="185"/>
      <c r="C794" s="185"/>
      <c r="D794" s="185"/>
      <c r="E794" s="203"/>
      <c r="F794" s="203"/>
      <c r="G794" s="185"/>
      <c r="H794" s="185"/>
      <c r="I794" s="185"/>
      <c r="J794" s="185"/>
      <c r="K794" s="185"/>
      <c r="L794" s="185"/>
      <c r="M794" s="185"/>
      <c r="N794" s="185"/>
      <c r="O794" s="185"/>
      <c r="P794" s="185"/>
      <c r="Q794" s="185"/>
      <c r="R794" s="185"/>
      <c r="S794" s="185"/>
      <c r="T794" s="185"/>
      <c r="U794" s="185"/>
      <c r="V794" s="185"/>
      <c r="W794" s="185"/>
      <c r="X794" s="185"/>
      <c r="Y794" s="185"/>
      <c r="Z794" s="185"/>
      <c r="AA794" s="185"/>
      <c r="AB794" s="185" t="str">
        <f>IFERROR(__xludf.DUMMYFUNCTION("LET(width,COLUMN($AB$1)-COLUMN($G$1),r,INDEX($G794:$AAB794,1,SEQUENCE(1,width)),flat,TOCOL(r,1),bad,FILTER(flat,COUNTIF('リスト'!$E:$E,flat)=0),IFERROR(TEXTJOIN(""\n"",TRUE,bad),""""))"),"")</f>
        <v/>
      </c>
      <c r="AC794" s="185"/>
      <c r="AD794" s="185"/>
    </row>
    <row r="795">
      <c r="A795" s="185"/>
      <c r="B795" s="185"/>
      <c r="C795" s="185"/>
      <c r="D795" s="185"/>
      <c r="E795" s="203"/>
      <c r="F795" s="203"/>
      <c r="G795" s="185"/>
      <c r="H795" s="185"/>
      <c r="I795" s="185"/>
      <c r="J795" s="185"/>
      <c r="K795" s="185"/>
      <c r="L795" s="185"/>
      <c r="M795" s="185"/>
      <c r="N795" s="185"/>
      <c r="O795" s="185"/>
      <c r="P795" s="185"/>
      <c r="Q795" s="185"/>
      <c r="R795" s="185"/>
      <c r="S795" s="185"/>
      <c r="T795" s="185"/>
      <c r="U795" s="185"/>
      <c r="V795" s="185"/>
      <c r="W795" s="185"/>
      <c r="X795" s="185"/>
      <c r="Y795" s="185"/>
      <c r="Z795" s="185"/>
      <c r="AA795" s="185"/>
      <c r="AB795" s="185" t="str">
        <f>IFERROR(__xludf.DUMMYFUNCTION("LET(width,COLUMN($AB$1)-COLUMN($G$1),r,INDEX($G795:$AAB795,1,SEQUENCE(1,width)),flat,TOCOL(r,1),bad,FILTER(flat,COUNTIF('リスト'!$E:$E,flat)=0),IFERROR(TEXTJOIN(""\n"",TRUE,bad),""""))"),"")</f>
        <v/>
      </c>
      <c r="AC795" s="185"/>
      <c r="AD795" s="185"/>
    </row>
    <row r="796">
      <c r="A796" s="185"/>
      <c r="B796" s="185"/>
      <c r="C796" s="185"/>
      <c r="D796" s="185"/>
      <c r="E796" s="203"/>
      <c r="F796" s="203"/>
      <c r="G796" s="185"/>
      <c r="H796" s="185"/>
      <c r="I796" s="185"/>
      <c r="J796" s="185"/>
      <c r="K796" s="185"/>
      <c r="L796" s="185"/>
      <c r="M796" s="185"/>
      <c r="N796" s="185"/>
      <c r="O796" s="185"/>
      <c r="P796" s="185"/>
      <c r="Q796" s="185"/>
      <c r="R796" s="185"/>
      <c r="S796" s="185"/>
      <c r="T796" s="185"/>
      <c r="U796" s="185"/>
      <c r="V796" s="185"/>
      <c r="W796" s="185"/>
      <c r="X796" s="185"/>
      <c r="Y796" s="185"/>
      <c r="Z796" s="185"/>
      <c r="AA796" s="185"/>
      <c r="AB796" s="185" t="str">
        <f>IFERROR(__xludf.DUMMYFUNCTION("LET(width,COLUMN($AB$1)-COLUMN($G$1),r,INDEX($G796:$AAB796,1,SEQUENCE(1,width)),flat,TOCOL(r,1),bad,FILTER(flat,COUNTIF('リスト'!$E:$E,flat)=0),IFERROR(TEXTJOIN(""\n"",TRUE,bad),""""))"),"")</f>
        <v/>
      </c>
      <c r="AC796" s="185"/>
      <c r="AD796" s="185"/>
    </row>
    <row r="797">
      <c r="A797" s="185"/>
      <c r="B797" s="185"/>
      <c r="C797" s="185"/>
      <c r="D797" s="185"/>
      <c r="E797" s="203"/>
      <c r="F797" s="203"/>
      <c r="G797" s="185"/>
      <c r="H797" s="185"/>
      <c r="I797" s="185"/>
      <c r="J797" s="185"/>
      <c r="K797" s="185"/>
      <c r="L797" s="185"/>
      <c r="M797" s="185"/>
      <c r="N797" s="185"/>
      <c r="O797" s="185"/>
      <c r="P797" s="185"/>
      <c r="Q797" s="185"/>
      <c r="R797" s="185"/>
      <c r="S797" s="185"/>
      <c r="T797" s="185"/>
      <c r="U797" s="185"/>
      <c r="V797" s="185"/>
      <c r="W797" s="185"/>
      <c r="X797" s="185"/>
      <c r="Y797" s="185"/>
      <c r="Z797" s="185"/>
      <c r="AA797" s="185"/>
      <c r="AB797" s="185" t="str">
        <f>IFERROR(__xludf.DUMMYFUNCTION("LET(width,COLUMN($AB$1)-COLUMN($G$1),r,INDEX($G797:$AAB797,1,SEQUENCE(1,width)),flat,TOCOL(r,1),bad,FILTER(flat,COUNTIF('リスト'!$E:$E,flat)=0),IFERROR(TEXTJOIN(""\n"",TRUE,bad),""""))"),"")</f>
        <v/>
      </c>
      <c r="AC797" s="185"/>
      <c r="AD797" s="185"/>
    </row>
    <row r="798">
      <c r="A798" s="185"/>
      <c r="B798" s="185"/>
      <c r="C798" s="185"/>
      <c r="D798" s="185"/>
      <c r="E798" s="203"/>
      <c r="F798" s="203"/>
      <c r="G798" s="185"/>
      <c r="H798" s="185"/>
      <c r="I798" s="185"/>
      <c r="J798" s="185"/>
      <c r="K798" s="185"/>
      <c r="L798" s="185"/>
      <c r="M798" s="185"/>
      <c r="N798" s="185"/>
      <c r="O798" s="185"/>
      <c r="P798" s="185"/>
      <c r="Q798" s="185"/>
      <c r="R798" s="185"/>
      <c r="S798" s="185"/>
      <c r="T798" s="185"/>
      <c r="U798" s="185"/>
      <c r="V798" s="185"/>
      <c r="W798" s="185"/>
      <c r="X798" s="185"/>
      <c r="Y798" s="185"/>
      <c r="Z798" s="185"/>
      <c r="AA798" s="185"/>
      <c r="AB798" s="185" t="str">
        <f>IFERROR(__xludf.DUMMYFUNCTION("LET(width,COLUMN($AB$1)-COLUMN($G$1),r,INDEX($G798:$AAB798,1,SEQUENCE(1,width)),flat,TOCOL(r,1),bad,FILTER(flat,COUNTIF('リスト'!$E:$E,flat)=0),IFERROR(TEXTJOIN(""\n"",TRUE,bad),""""))"),"")</f>
        <v/>
      </c>
      <c r="AC798" s="185"/>
      <c r="AD798" s="185"/>
    </row>
    <row r="799">
      <c r="A799" s="185"/>
      <c r="B799" s="185"/>
      <c r="C799" s="185"/>
      <c r="D799" s="185"/>
      <c r="E799" s="203"/>
      <c r="F799" s="203"/>
      <c r="G799" s="185"/>
      <c r="H799" s="185"/>
      <c r="I799" s="185"/>
      <c r="J799" s="185"/>
      <c r="K799" s="185"/>
      <c r="L799" s="185"/>
      <c r="M799" s="185"/>
      <c r="N799" s="185"/>
      <c r="O799" s="185"/>
      <c r="P799" s="185"/>
      <c r="Q799" s="185"/>
      <c r="R799" s="185"/>
      <c r="S799" s="185"/>
      <c r="T799" s="185"/>
      <c r="U799" s="185"/>
      <c r="V799" s="185"/>
      <c r="W799" s="185"/>
      <c r="X799" s="185"/>
      <c r="Y799" s="185"/>
      <c r="Z799" s="185"/>
      <c r="AA799" s="185"/>
      <c r="AB799" s="185" t="str">
        <f>IFERROR(__xludf.DUMMYFUNCTION("LET(width,COLUMN($AB$1)-COLUMN($G$1),r,INDEX($G799:$AAB799,1,SEQUENCE(1,width)),flat,TOCOL(r,1),bad,FILTER(flat,COUNTIF('リスト'!$E:$E,flat)=0),IFERROR(TEXTJOIN(""\n"",TRUE,bad),""""))"),"")</f>
        <v/>
      </c>
      <c r="AC799" s="185"/>
      <c r="AD799" s="185"/>
    </row>
    <row r="800">
      <c r="A800" s="185"/>
      <c r="B800" s="185"/>
      <c r="C800" s="185"/>
      <c r="D800" s="185"/>
      <c r="E800" s="203"/>
      <c r="F800" s="203"/>
      <c r="G800" s="185"/>
      <c r="H800" s="185"/>
      <c r="I800" s="185"/>
      <c r="J800" s="185"/>
      <c r="K800" s="185"/>
      <c r="L800" s="185"/>
      <c r="M800" s="185"/>
      <c r="N800" s="185"/>
      <c r="O800" s="185"/>
      <c r="P800" s="185"/>
      <c r="Q800" s="185"/>
      <c r="R800" s="185"/>
      <c r="S800" s="185"/>
      <c r="T800" s="185"/>
      <c r="U800" s="185"/>
      <c r="V800" s="185"/>
      <c r="W800" s="185"/>
      <c r="X800" s="185"/>
      <c r="Y800" s="185"/>
      <c r="Z800" s="185"/>
      <c r="AA800" s="185"/>
      <c r="AB800" s="185" t="str">
        <f>IFERROR(__xludf.DUMMYFUNCTION("LET(width,COLUMN($AB$1)-COLUMN($G$1),r,INDEX($G800:$AAB800,1,SEQUENCE(1,width)),flat,TOCOL(r,1),bad,FILTER(flat,COUNTIF('リスト'!$E:$E,flat)=0),IFERROR(TEXTJOIN(""\n"",TRUE,bad),""""))"),"")</f>
        <v/>
      </c>
      <c r="AC800" s="185"/>
      <c r="AD800" s="185"/>
    </row>
    <row r="801">
      <c r="A801" s="185"/>
      <c r="B801" s="185"/>
      <c r="C801" s="185"/>
      <c r="D801" s="185"/>
      <c r="E801" s="203"/>
      <c r="F801" s="203"/>
      <c r="G801" s="185"/>
      <c r="H801" s="185"/>
      <c r="I801" s="185"/>
      <c r="J801" s="185"/>
      <c r="K801" s="185"/>
      <c r="L801" s="185"/>
      <c r="M801" s="185"/>
      <c r="N801" s="185"/>
      <c r="O801" s="185"/>
      <c r="P801" s="185"/>
      <c r="Q801" s="185"/>
      <c r="R801" s="185"/>
      <c r="S801" s="185"/>
      <c r="T801" s="185"/>
      <c r="U801" s="185"/>
      <c r="V801" s="185"/>
      <c r="W801" s="185"/>
      <c r="X801" s="185"/>
      <c r="Y801" s="185"/>
      <c r="Z801" s="185"/>
      <c r="AA801" s="185"/>
      <c r="AB801" s="185" t="str">
        <f>IFERROR(__xludf.DUMMYFUNCTION("LET(width,COLUMN($AB$1)-COLUMN($G$1),r,INDEX($G801:$AAB801,1,SEQUENCE(1,width)),flat,TOCOL(r,1),bad,FILTER(flat,COUNTIF('リスト'!$E:$E,flat)=0),IFERROR(TEXTJOIN(""\n"",TRUE,bad),""""))"),"")</f>
        <v/>
      </c>
      <c r="AC801" s="185"/>
      <c r="AD801" s="185"/>
    </row>
    <row r="802">
      <c r="A802" s="185"/>
      <c r="B802" s="185"/>
      <c r="C802" s="185"/>
      <c r="D802" s="185"/>
      <c r="E802" s="203"/>
      <c r="F802" s="203"/>
      <c r="G802" s="185"/>
      <c r="H802" s="185"/>
      <c r="I802" s="185"/>
      <c r="J802" s="185"/>
      <c r="K802" s="185"/>
      <c r="L802" s="185"/>
      <c r="M802" s="185"/>
      <c r="N802" s="185"/>
      <c r="O802" s="185"/>
      <c r="P802" s="185"/>
      <c r="Q802" s="185"/>
      <c r="R802" s="185"/>
      <c r="S802" s="185"/>
      <c r="T802" s="185"/>
      <c r="U802" s="185"/>
      <c r="V802" s="185"/>
      <c r="W802" s="185"/>
      <c r="X802" s="185"/>
      <c r="Y802" s="185"/>
      <c r="Z802" s="185"/>
      <c r="AA802" s="185"/>
      <c r="AB802" s="185" t="str">
        <f>IFERROR(__xludf.DUMMYFUNCTION("LET(width,COLUMN($AB$1)-COLUMN($G$1),r,INDEX($G802:$AAB802,1,SEQUENCE(1,width)),flat,TOCOL(r,1),bad,FILTER(flat,COUNTIF('リスト'!$E:$E,flat)=0),IFERROR(TEXTJOIN(""\n"",TRUE,bad),""""))"),"")</f>
        <v/>
      </c>
      <c r="AC802" s="185"/>
      <c r="AD802" s="185"/>
    </row>
    <row r="803">
      <c r="A803" s="185"/>
      <c r="B803" s="185"/>
      <c r="C803" s="185"/>
      <c r="D803" s="185"/>
      <c r="E803" s="203"/>
      <c r="F803" s="203"/>
      <c r="G803" s="185"/>
      <c r="H803" s="185"/>
      <c r="I803" s="185"/>
      <c r="J803" s="185"/>
      <c r="K803" s="185"/>
      <c r="L803" s="185"/>
      <c r="M803" s="185"/>
      <c r="N803" s="185"/>
      <c r="O803" s="185"/>
      <c r="P803" s="185"/>
      <c r="Q803" s="185"/>
      <c r="R803" s="185"/>
      <c r="S803" s="185"/>
      <c r="T803" s="185"/>
      <c r="U803" s="185"/>
      <c r="V803" s="185"/>
      <c r="W803" s="185"/>
      <c r="X803" s="185"/>
      <c r="Y803" s="185"/>
      <c r="Z803" s="185"/>
      <c r="AA803" s="185"/>
      <c r="AB803" s="185" t="str">
        <f>IFERROR(__xludf.DUMMYFUNCTION("LET(width,COLUMN($AB$1)-COLUMN($G$1),r,INDEX($G803:$AAB803,1,SEQUENCE(1,width)),flat,TOCOL(r,1),bad,FILTER(flat,COUNTIF('リスト'!$E:$E,flat)=0),IFERROR(TEXTJOIN(""\n"",TRUE,bad),""""))"),"")</f>
        <v/>
      </c>
      <c r="AC803" s="185"/>
      <c r="AD803" s="185"/>
    </row>
    <row r="804">
      <c r="A804" s="185"/>
      <c r="B804" s="185"/>
      <c r="C804" s="185"/>
      <c r="D804" s="185"/>
      <c r="E804" s="203"/>
      <c r="F804" s="203"/>
      <c r="G804" s="185"/>
      <c r="H804" s="185"/>
      <c r="I804" s="185"/>
      <c r="J804" s="185"/>
      <c r="K804" s="185"/>
      <c r="L804" s="185"/>
      <c r="M804" s="185"/>
      <c r="N804" s="185"/>
      <c r="O804" s="185"/>
      <c r="P804" s="185"/>
      <c r="Q804" s="185"/>
      <c r="R804" s="185"/>
      <c r="S804" s="185"/>
      <c r="T804" s="185"/>
      <c r="U804" s="185"/>
      <c r="V804" s="185"/>
      <c r="W804" s="185"/>
      <c r="X804" s="185"/>
      <c r="Y804" s="185"/>
      <c r="Z804" s="185"/>
      <c r="AA804" s="185"/>
      <c r="AB804" s="185" t="str">
        <f>IFERROR(__xludf.DUMMYFUNCTION("LET(width,COLUMN($AB$1)-COLUMN($G$1),r,INDEX($G804:$AAB804,1,SEQUENCE(1,width)),flat,TOCOL(r,1),bad,FILTER(flat,COUNTIF('リスト'!$E:$E,flat)=0),IFERROR(TEXTJOIN(""\n"",TRUE,bad),""""))"),"")</f>
        <v/>
      </c>
      <c r="AC804" s="185"/>
      <c r="AD804" s="185"/>
    </row>
    <row r="805">
      <c r="A805" s="185"/>
      <c r="B805" s="185"/>
      <c r="C805" s="185"/>
      <c r="D805" s="185"/>
      <c r="E805" s="203"/>
      <c r="F805" s="203"/>
      <c r="G805" s="185"/>
      <c r="H805" s="185"/>
      <c r="I805" s="185"/>
      <c r="J805" s="185"/>
      <c r="K805" s="185"/>
      <c r="L805" s="185"/>
      <c r="M805" s="185"/>
      <c r="N805" s="185"/>
      <c r="O805" s="185"/>
      <c r="P805" s="185"/>
      <c r="Q805" s="185"/>
      <c r="R805" s="185"/>
      <c r="S805" s="185"/>
      <c r="T805" s="185"/>
      <c r="U805" s="185"/>
      <c r="V805" s="185"/>
      <c r="W805" s="185"/>
      <c r="X805" s="185"/>
      <c r="Y805" s="185"/>
      <c r="Z805" s="185"/>
      <c r="AA805" s="185"/>
      <c r="AB805" s="185" t="str">
        <f>IFERROR(__xludf.DUMMYFUNCTION("LET(width,COLUMN($AB$1)-COLUMN($G$1),r,INDEX($G805:$AAB805,1,SEQUENCE(1,width)),flat,TOCOL(r,1),bad,FILTER(flat,COUNTIF('リスト'!$E:$E,flat)=0),IFERROR(TEXTJOIN(""\n"",TRUE,bad),""""))"),"")</f>
        <v/>
      </c>
      <c r="AC805" s="185"/>
      <c r="AD805" s="185"/>
    </row>
    <row r="806">
      <c r="A806" s="185"/>
      <c r="B806" s="185"/>
      <c r="C806" s="185"/>
      <c r="D806" s="185"/>
      <c r="E806" s="203"/>
      <c r="F806" s="203"/>
      <c r="G806" s="185"/>
      <c r="H806" s="185"/>
      <c r="I806" s="185"/>
      <c r="J806" s="185"/>
      <c r="K806" s="185"/>
      <c r="L806" s="185"/>
      <c r="M806" s="185"/>
      <c r="N806" s="185"/>
      <c r="O806" s="185"/>
      <c r="P806" s="185"/>
      <c r="Q806" s="185"/>
      <c r="R806" s="185"/>
      <c r="S806" s="185"/>
      <c r="T806" s="185"/>
      <c r="U806" s="185"/>
      <c r="V806" s="185"/>
      <c r="W806" s="185"/>
      <c r="X806" s="185"/>
      <c r="Y806" s="185"/>
      <c r="Z806" s="185"/>
      <c r="AA806" s="185"/>
      <c r="AB806" s="185" t="str">
        <f>IFERROR(__xludf.DUMMYFUNCTION("LET(width,COLUMN($AB$1)-COLUMN($G$1),r,INDEX($G806:$AAB806,1,SEQUENCE(1,width)),flat,TOCOL(r,1),bad,FILTER(flat,COUNTIF('リスト'!$E:$E,flat)=0),IFERROR(TEXTJOIN(""\n"",TRUE,bad),""""))"),"")</f>
        <v/>
      </c>
      <c r="AC806" s="185"/>
      <c r="AD806" s="185"/>
    </row>
    <row r="807">
      <c r="A807" s="185"/>
      <c r="B807" s="185"/>
      <c r="C807" s="185"/>
      <c r="D807" s="185"/>
      <c r="E807" s="203"/>
      <c r="F807" s="203"/>
      <c r="G807" s="185"/>
      <c r="H807" s="185"/>
      <c r="I807" s="185"/>
      <c r="J807" s="185"/>
      <c r="K807" s="185"/>
      <c r="L807" s="185"/>
      <c r="M807" s="185"/>
      <c r="N807" s="185"/>
      <c r="O807" s="185"/>
      <c r="P807" s="185"/>
      <c r="Q807" s="185"/>
      <c r="R807" s="185"/>
      <c r="S807" s="185"/>
      <c r="T807" s="185"/>
      <c r="U807" s="185"/>
      <c r="V807" s="185"/>
      <c r="W807" s="185"/>
      <c r="X807" s="185"/>
      <c r="Y807" s="185"/>
      <c r="Z807" s="185"/>
      <c r="AA807" s="185"/>
      <c r="AB807" s="185" t="str">
        <f>IFERROR(__xludf.DUMMYFUNCTION("LET(width,COLUMN($AB$1)-COLUMN($G$1),r,INDEX($G807:$AAB807,1,SEQUENCE(1,width)),flat,TOCOL(r,1),bad,FILTER(flat,COUNTIF('リスト'!$E:$E,flat)=0),IFERROR(TEXTJOIN(""\n"",TRUE,bad),""""))"),"")</f>
        <v/>
      </c>
      <c r="AC807" s="185"/>
      <c r="AD807" s="185"/>
    </row>
    <row r="808">
      <c r="A808" s="185"/>
      <c r="B808" s="185"/>
      <c r="C808" s="185"/>
      <c r="D808" s="185"/>
      <c r="E808" s="203"/>
      <c r="F808" s="203"/>
      <c r="G808" s="185"/>
      <c r="H808" s="185"/>
      <c r="I808" s="185"/>
      <c r="J808" s="185"/>
      <c r="K808" s="185"/>
      <c r="L808" s="185"/>
      <c r="M808" s="185"/>
      <c r="N808" s="185"/>
      <c r="O808" s="185"/>
      <c r="P808" s="185"/>
      <c r="Q808" s="185"/>
      <c r="R808" s="185"/>
      <c r="S808" s="185"/>
      <c r="T808" s="185"/>
      <c r="U808" s="185"/>
      <c r="V808" s="185"/>
      <c r="W808" s="185"/>
      <c r="X808" s="185"/>
      <c r="Y808" s="185"/>
      <c r="Z808" s="185"/>
      <c r="AA808" s="185"/>
      <c r="AB808" s="185" t="str">
        <f>IFERROR(__xludf.DUMMYFUNCTION("LET(width,COLUMN($AB$1)-COLUMN($G$1),r,INDEX($G808:$AAB808,1,SEQUENCE(1,width)),flat,TOCOL(r,1),bad,FILTER(flat,COUNTIF('リスト'!$E:$E,flat)=0),IFERROR(TEXTJOIN(""\n"",TRUE,bad),""""))"),"")</f>
        <v/>
      </c>
      <c r="AC808" s="185"/>
      <c r="AD808" s="185"/>
    </row>
    <row r="809">
      <c r="A809" s="185"/>
      <c r="B809" s="185"/>
      <c r="C809" s="185"/>
      <c r="D809" s="185"/>
      <c r="E809" s="203"/>
      <c r="F809" s="203"/>
      <c r="G809" s="185"/>
      <c r="H809" s="185"/>
      <c r="I809" s="185"/>
      <c r="J809" s="185"/>
      <c r="K809" s="185"/>
      <c r="L809" s="185"/>
      <c r="M809" s="185"/>
      <c r="N809" s="185"/>
      <c r="O809" s="185"/>
      <c r="P809" s="185"/>
      <c r="Q809" s="185"/>
      <c r="R809" s="185"/>
      <c r="S809" s="185"/>
      <c r="T809" s="185"/>
      <c r="U809" s="185"/>
      <c r="V809" s="185"/>
      <c r="W809" s="185"/>
      <c r="X809" s="185"/>
      <c r="Y809" s="185"/>
      <c r="Z809" s="185"/>
      <c r="AA809" s="185"/>
      <c r="AB809" s="185" t="str">
        <f>IFERROR(__xludf.DUMMYFUNCTION("LET(width,COLUMN($AB$1)-COLUMN($G$1),r,INDEX($G809:$AAB809,1,SEQUENCE(1,width)),flat,TOCOL(r,1),bad,FILTER(flat,COUNTIF('リスト'!$E:$E,flat)=0),IFERROR(TEXTJOIN(""\n"",TRUE,bad),""""))"),"")</f>
        <v/>
      </c>
      <c r="AC809" s="185"/>
      <c r="AD809" s="185"/>
    </row>
    <row r="810">
      <c r="A810" s="185"/>
      <c r="B810" s="185"/>
      <c r="C810" s="185"/>
      <c r="D810" s="185"/>
      <c r="E810" s="203"/>
      <c r="F810" s="203"/>
      <c r="G810" s="185"/>
      <c r="H810" s="185"/>
      <c r="I810" s="185"/>
      <c r="J810" s="185"/>
      <c r="K810" s="185"/>
      <c r="L810" s="185"/>
      <c r="M810" s="185"/>
      <c r="N810" s="185"/>
      <c r="O810" s="185"/>
      <c r="P810" s="185"/>
      <c r="Q810" s="185"/>
      <c r="R810" s="185"/>
      <c r="S810" s="185"/>
      <c r="T810" s="185"/>
      <c r="U810" s="185"/>
      <c r="V810" s="185"/>
      <c r="W810" s="185"/>
      <c r="X810" s="185"/>
      <c r="Y810" s="185"/>
      <c r="Z810" s="185"/>
      <c r="AA810" s="185"/>
      <c r="AB810" s="185" t="str">
        <f>IFERROR(__xludf.DUMMYFUNCTION("LET(width,COLUMN($AB$1)-COLUMN($G$1),r,INDEX($G810:$AAB810,1,SEQUENCE(1,width)),flat,TOCOL(r,1),bad,FILTER(flat,COUNTIF('リスト'!$E:$E,flat)=0),IFERROR(TEXTJOIN(""\n"",TRUE,bad),""""))"),"")</f>
        <v/>
      </c>
      <c r="AC810" s="185"/>
      <c r="AD810" s="185"/>
    </row>
    <row r="811">
      <c r="A811" s="185"/>
      <c r="B811" s="185"/>
      <c r="C811" s="185"/>
      <c r="D811" s="185"/>
      <c r="E811" s="203"/>
      <c r="F811" s="203"/>
      <c r="G811" s="185"/>
      <c r="H811" s="185"/>
      <c r="I811" s="185"/>
      <c r="J811" s="185"/>
      <c r="K811" s="185"/>
      <c r="L811" s="185"/>
      <c r="M811" s="185"/>
      <c r="N811" s="185"/>
      <c r="O811" s="185"/>
      <c r="P811" s="185"/>
      <c r="Q811" s="185"/>
      <c r="R811" s="185"/>
      <c r="S811" s="185"/>
      <c r="T811" s="185"/>
      <c r="U811" s="185"/>
      <c r="V811" s="185"/>
      <c r="W811" s="185"/>
      <c r="X811" s="185"/>
      <c r="Y811" s="185"/>
      <c r="Z811" s="185"/>
      <c r="AA811" s="185"/>
      <c r="AB811" s="185" t="str">
        <f>IFERROR(__xludf.DUMMYFUNCTION("LET(width,COLUMN($AB$1)-COLUMN($G$1),r,INDEX($G811:$AAB811,1,SEQUENCE(1,width)),flat,TOCOL(r,1),bad,FILTER(flat,COUNTIF('リスト'!$E:$E,flat)=0),IFERROR(TEXTJOIN(""\n"",TRUE,bad),""""))"),"")</f>
        <v/>
      </c>
      <c r="AC811" s="185"/>
      <c r="AD811" s="185"/>
    </row>
    <row r="812">
      <c r="A812" s="185"/>
      <c r="B812" s="185"/>
      <c r="C812" s="185"/>
      <c r="D812" s="185"/>
      <c r="E812" s="203"/>
      <c r="F812" s="203"/>
      <c r="G812" s="185"/>
      <c r="H812" s="185"/>
      <c r="I812" s="185"/>
      <c r="J812" s="185"/>
      <c r="K812" s="185"/>
      <c r="L812" s="185"/>
      <c r="M812" s="185"/>
      <c r="N812" s="185"/>
      <c r="O812" s="185"/>
      <c r="P812" s="185"/>
      <c r="Q812" s="185"/>
      <c r="R812" s="185"/>
      <c r="S812" s="185"/>
      <c r="T812" s="185"/>
      <c r="U812" s="185"/>
      <c r="V812" s="185"/>
      <c r="W812" s="185"/>
      <c r="X812" s="185"/>
      <c r="Y812" s="185"/>
      <c r="Z812" s="185"/>
      <c r="AA812" s="185"/>
      <c r="AB812" s="185" t="str">
        <f>IFERROR(__xludf.DUMMYFUNCTION("LET(width,COLUMN($AB$1)-COLUMN($G$1),r,INDEX($G812:$AAB812,1,SEQUENCE(1,width)),flat,TOCOL(r,1),bad,FILTER(flat,COUNTIF('リスト'!$E:$E,flat)=0),IFERROR(TEXTJOIN(""\n"",TRUE,bad),""""))"),"")</f>
        <v/>
      </c>
      <c r="AC812" s="185"/>
      <c r="AD812" s="185"/>
    </row>
    <row r="813">
      <c r="A813" s="185"/>
      <c r="B813" s="185"/>
      <c r="C813" s="185"/>
      <c r="D813" s="185"/>
      <c r="E813" s="203"/>
      <c r="F813" s="203"/>
      <c r="G813" s="185"/>
      <c r="H813" s="185"/>
      <c r="I813" s="185"/>
      <c r="J813" s="185"/>
      <c r="K813" s="185"/>
      <c r="L813" s="185"/>
      <c r="M813" s="185"/>
      <c r="N813" s="185"/>
      <c r="O813" s="185"/>
      <c r="P813" s="185"/>
      <c r="Q813" s="185"/>
      <c r="R813" s="185"/>
      <c r="S813" s="185"/>
      <c r="T813" s="185"/>
      <c r="U813" s="185"/>
      <c r="V813" s="185"/>
      <c r="W813" s="185"/>
      <c r="X813" s="185"/>
      <c r="Y813" s="185"/>
      <c r="Z813" s="185"/>
      <c r="AA813" s="185"/>
      <c r="AB813" s="185" t="str">
        <f>IFERROR(__xludf.DUMMYFUNCTION("LET(width,COLUMN($AB$1)-COLUMN($G$1),r,INDEX($G813:$AAB813,1,SEQUENCE(1,width)),flat,TOCOL(r,1),bad,FILTER(flat,COUNTIF('リスト'!$E:$E,flat)=0),IFERROR(TEXTJOIN(""\n"",TRUE,bad),""""))"),"")</f>
        <v/>
      </c>
      <c r="AC813" s="185"/>
      <c r="AD813" s="185"/>
    </row>
    <row r="814">
      <c r="A814" s="185"/>
      <c r="B814" s="185"/>
      <c r="C814" s="185"/>
      <c r="D814" s="185"/>
      <c r="E814" s="203"/>
      <c r="F814" s="203"/>
      <c r="G814" s="185"/>
      <c r="H814" s="185"/>
      <c r="I814" s="185"/>
      <c r="J814" s="185"/>
      <c r="K814" s="185"/>
      <c r="L814" s="185"/>
      <c r="M814" s="185"/>
      <c r="N814" s="185"/>
      <c r="O814" s="185"/>
      <c r="P814" s="185"/>
      <c r="Q814" s="185"/>
      <c r="R814" s="185"/>
      <c r="S814" s="185"/>
      <c r="T814" s="185"/>
      <c r="U814" s="185"/>
      <c r="V814" s="185"/>
      <c r="W814" s="185"/>
      <c r="X814" s="185"/>
      <c r="Y814" s="185"/>
      <c r="Z814" s="185"/>
      <c r="AA814" s="185"/>
      <c r="AB814" s="185" t="str">
        <f>IFERROR(__xludf.DUMMYFUNCTION("LET(width,COLUMN($AB$1)-COLUMN($G$1),r,INDEX($G814:$AAB814,1,SEQUENCE(1,width)),flat,TOCOL(r,1),bad,FILTER(flat,COUNTIF('リスト'!$E:$E,flat)=0),IFERROR(TEXTJOIN(""\n"",TRUE,bad),""""))"),"")</f>
        <v/>
      </c>
      <c r="AC814" s="185"/>
      <c r="AD814" s="185"/>
    </row>
    <row r="815">
      <c r="A815" s="185"/>
      <c r="B815" s="185"/>
      <c r="C815" s="185"/>
      <c r="D815" s="185"/>
      <c r="E815" s="203"/>
      <c r="F815" s="203"/>
      <c r="G815" s="185"/>
      <c r="H815" s="185"/>
      <c r="I815" s="185"/>
      <c r="J815" s="185"/>
      <c r="K815" s="185"/>
      <c r="L815" s="185"/>
      <c r="M815" s="185"/>
      <c r="N815" s="185"/>
      <c r="O815" s="185"/>
      <c r="P815" s="185"/>
      <c r="Q815" s="185"/>
      <c r="R815" s="185"/>
      <c r="S815" s="185"/>
      <c r="T815" s="185"/>
      <c r="U815" s="185"/>
      <c r="V815" s="185"/>
      <c r="W815" s="185"/>
      <c r="X815" s="185"/>
      <c r="Y815" s="185"/>
      <c r="Z815" s="185"/>
      <c r="AA815" s="185"/>
      <c r="AB815" s="185" t="str">
        <f>IFERROR(__xludf.DUMMYFUNCTION("LET(width,COLUMN($AB$1)-COLUMN($G$1),r,INDEX($G815:$AAB815,1,SEQUENCE(1,width)),flat,TOCOL(r,1),bad,FILTER(flat,COUNTIF('リスト'!$E:$E,flat)=0),IFERROR(TEXTJOIN(""\n"",TRUE,bad),""""))"),"")</f>
        <v/>
      </c>
      <c r="AC815" s="185"/>
      <c r="AD815" s="185"/>
    </row>
    <row r="816">
      <c r="A816" s="185"/>
      <c r="B816" s="185"/>
      <c r="C816" s="185"/>
      <c r="D816" s="185"/>
      <c r="E816" s="203"/>
      <c r="F816" s="203"/>
      <c r="G816" s="185"/>
      <c r="H816" s="185"/>
      <c r="I816" s="185"/>
      <c r="J816" s="185"/>
      <c r="K816" s="185"/>
      <c r="L816" s="185"/>
      <c r="M816" s="185"/>
      <c r="N816" s="185"/>
      <c r="O816" s="185"/>
      <c r="P816" s="185"/>
      <c r="Q816" s="185"/>
      <c r="R816" s="185"/>
      <c r="S816" s="185"/>
      <c r="T816" s="185"/>
      <c r="U816" s="185"/>
      <c r="V816" s="185"/>
      <c r="W816" s="185"/>
      <c r="X816" s="185"/>
      <c r="Y816" s="185"/>
      <c r="Z816" s="185"/>
      <c r="AA816" s="185"/>
      <c r="AB816" s="185" t="str">
        <f>IFERROR(__xludf.DUMMYFUNCTION("LET(width,COLUMN($AB$1)-COLUMN($G$1),r,INDEX($G816:$AAB816,1,SEQUENCE(1,width)),flat,TOCOL(r,1),bad,FILTER(flat,COUNTIF('リスト'!$E:$E,flat)=0),IFERROR(TEXTJOIN(""\n"",TRUE,bad),""""))"),"")</f>
        <v/>
      </c>
      <c r="AC816" s="185"/>
      <c r="AD816" s="185"/>
    </row>
    <row r="817">
      <c r="A817" s="185"/>
      <c r="B817" s="185"/>
      <c r="C817" s="185"/>
      <c r="D817" s="185"/>
      <c r="E817" s="203"/>
      <c r="F817" s="203"/>
      <c r="G817" s="185"/>
      <c r="H817" s="185"/>
      <c r="I817" s="185"/>
      <c r="J817" s="185"/>
      <c r="K817" s="185"/>
      <c r="L817" s="185"/>
      <c r="M817" s="185"/>
      <c r="N817" s="185"/>
      <c r="O817" s="185"/>
      <c r="P817" s="185"/>
      <c r="Q817" s="185"/>
      <c r="R817" s="185"/>
      <c r="S817" s="185"/>
      <c r="T817" s="185"/>
      <c r="U817" s="185"/>
      <c r="V817" s="185"/>
      <c r="W817" s="185"/>
      <c r="X817" s="185"/>
      <c r="Y817" s="185"/>
      <c r="Z817" s="185"/>
      <c r="AA817" s="185"/>
      <c r="AB817" s="185" t="str">
        <f>IFERROR(__xludf.DUMMYFUNCTION("LET(width,COLUMN($AB$1)-COLUMN($G$1),r,INDEX($G817:$AAB817,1,SEQUENCE(1,width)),flat,TOCOL(r,1),bad,FILTER(flat,COUNTIF('リスト'!$E:$E,flat)=0),IFERROR(TEXTJOIN(""\n"",TRUE,bad),""""))"),"")</f>
        <v/>
      </c>
      <c r="AC817" s="185"/>
      <c r="AD817" s="185"/>
    </row>
    <row r="818">
      <c r="A818" s="185"/>
      <c r="B818" s="185"/>
      <c r="C818" s="185"/>
      <c r="D818" s="185"/>
      <c r="E818" s="203"/>
      <c r="F818" s="203"/>
      <c r="G818" s="185"/>
      <c r="H818" s="185"/>
      <c r="I818" s="185"/>
      <c r="J818" s="185"/>
      <c r="K818" s="185"/>
      <c r="L818" s="185"/>
      <c r="M818" s="185"/>
      <c r="N818" s="185"/>
      <c r="O818" s="185"/>
      <c r="P818" s="185"/>
      <c r="Q818" s="185"/>
      <c r="R818" s="185"/>
      <c r="S818" s="185"/>
      <c r="T818" s="185"/>
      <c r="U818" s="185"/>
      <c r="V818" s="185"/>
      <c r="W818" s="185"/>
      <c r="X818" s="185"/>
      <c r="Y818" s="185"/>
      <c r="Z818" s="185"/>
      <c r="AA818" s="185"/>
      <c r="AB818" s="185" t="str">
        <f>IFERROR(__xludf.DUMMYFUNCTION("LET(width,COLUMN($AB$1)-COLUMN($G$1),r,INDEX($G818:$AAB818,1,SEQUENCE(1,width)),flat,TOCOL(r,1),bad,FILTER(flat,COUNTIF('リスト'!$E:$E,flat)=0),IFERROR(TEXTJOIN(""\n"",TRUE,bad),""""))"),"")</f>
        <v/>
      </c>
      <c r="AC818" s="185"/>
      <c r="AD818" s="185"/>
    </row>
    <row r="819">
      <c r="A819" s="185"/>
      <c r="B819" s="185"/>
      <c r="C819" s="185"/>
      <c r="D819" s="185"/>
      <c r="E819" s="203"/>
      <c r="F819" s="203"/>
      <c r="G819" s="185"/>
      <c r="H819" s="185"/>
      <c r="I819" s="185"/>
      <c r="J819" s="185"/>
      <c r="K819" s="185"/>
      <c r="L819" s="185"/>
      <c r="M819" s="185"/>
      <c r="N819" s="185"/>
      <c r="O819" s="185"/>
      <c r="P819" s="185"/>
      <c r="Q819" s="185"/>
      <c r="R819" s="185"/>
      <c r="S819" s="185"/>
      <c r="T819" s="185"/>
      <c r="U819" s="185"/>
      <c r="V819" s="185"/>
      <c r="W819" s="185"/>
      <c r="X819" s="185"/>
      <c r="Y819" s="185"/>
      <c r="Z819" s="185"/>
      <c r="AA819" s="185"/>
      <c r="AB819" s="185" t="str">
        <f>IFERROR(__xludf.DUMMYFUNCTION("LET(width,COLUMN($AB$1)-COLUMN($G$1),r,INDEX($G819:$AAB819,1,SEQUENCE(1,width)),flat,TOCOL(r,1),bad,FILTER(flat,COUNTIF('リスト'!$E:$E,flat)=0),IFERROR(TEXTJOIN(""\n"",TRUE,bad),""""))"),"")</f>
        <v/>
      </c>
      <c r="AC819" s="185"/>
      <c r="AD819" s="185"/>
    </row>
    <row r="820">
      <c r="A820" s="185"/>
      <c r="B820" s="185"/>
      <c r="C820" s="185"/>
      <c r="D820" s="185"/>
      <c r="E820" s="203"/>
      <c r="F820" s="203"/>
      <c r="G820" s="185"/>
      <c r="H820" s="185"/>
      <c r="I820" s="185"/>
      <c r="J820" s="185"/>
      <c r="K820" s="185"/>
      <c r="L820" s="185"/>
      <c r="M820" s="185"/>
      <c r="N820" s="185"/>
      <c r="O820" s="185"/>
      <c r="P820" s="185"/>
      <c r="Q820" s="185"/>
      <c r="R820" s="185"/>
      <c r="S820" s="185"/>
      <c r="T820" s="185"/>
      <c r="U820" s="185"/>
      <c r="V820" s="185"/>
      <c r="W820" s="185"/>
      <c r="X820" s="185"/>
      <c r="Y820" s="185"/>
      <c r="Z820" s="185"/>
      <c r="AA820" s="185"/>
      <c r="AB820" s="185" t="str">
        <f>IFERROR(__xludf.DUMMYFUNCTION("LET(width,COLUMN($AB$1)-COLUMN($G$1),r,INDEX($G820:$AAB820,1,SEQUENCE(1,width)),flat,TOCOL(r,1),bad,FILTER(flat,COUNTIF('リスト'!$E:$E,flat)=0),IFERROR(TEXTJOIN(""\n"",TRUE,bad),""""))"),"")</f>
        <v/>
      </c>
      <c r="AC820" s="185"/>
      <c r="AD820" s="185"/>
    </row>
    <row r="821">
      <c r="A821" s="185"/>
      <c r="B821" s="185"/>
      <c r="C821" s="185"/>
      <c r="D821" s="185"/>
      <c r="E821" s="203"/>
      <c r="F821" s="203"/>
      <c r="G821" s="185"/>
      <c r="H821" s="185"/>
      <c r="I821" s="185"/>
      <c r="J821" s="185"/>
      <c r="K821" s="185"/>
      <c r="L821" s="185"/>
      <c r="M821" s="185"/>
      <c r="N821" s="185"/>
      <c r="O821" s="185"/>
      <c r="P821" s="185"/>
      <c r="Q821" s="185"/>
      <c r="R821" s="185"/>
      <c r="S821" s="185"/>
      <c r="T821" s="185"/>
      <c r="U821" s="185"/>
      <c r="V821" s="185"/>
      <c r="W821" s="185"/>
      <c r="X821" s="185"/>
      <c r="Y821" s="185"/>
      <c r="Z821" s="185"/>
      <c r="AA821" s="185"/>
      <c r="AB821" s="185" t="str">
        <f>IFERROR(__xludf.DUMMYFUNCTION("LET(width,COLUMN($AB$1)-COLUMN($G$1),r,INDEX($G821:$AAB821,1,SEQUENCE(1,width)),flat,TOCOL(r,1),bad,FILTER(flat,COUNTIF('リスト'!$E:$E,flat)=0),IFERROR(TEXTJOIN(""\n"",TRUE,bad),""""))"),"")</f>
        <v/>
      </c>
      <c r="AC821" s="185"/>
      <c r="AD821" s="185"/>
    </row>
    <row r="822">
      <c r="A822" s="185"/>
      <c r="B822" s="185"/>
      <c r="C822" s="185"/>
      <c r="D822" s="185"/>
      <c r="E822" s="203"/>
      <c r="F822" s="203"/>
      <c r="G822" s="185"/>
      <c r="H822" s="185"/>
      <c r="I822" s="185"/>
      <c r="J822" s="185"/>
      <c r="K822" s="185"/>
      <c r="L822" s="185"/>
      <c r="M822" s="185"/>
      <c r="N822" s="185"/>
      <c r="O822" s="185"/>
      <c r="P822" s="185"/>
      <c r="Q822" s="185"/>
      <c r="R822" s="185"/>
      <c r="S822" s="185"/>
      <c r="T822" s="185"/>
      <c r="U822" s="185"/>
      <c r="V822" s="185"/>
      <c r="W822" s="185"/>
      <c r="X822" s="185"/>
      <c r="Y822" s="185"/>
      <c r="Z822" s="185"/>
      <c r="AA822" s="185"/>
      <c r="AB822" s="185" t="str">
        <f>IFERROR(__xludf.DUMMYFUNCTION("LET(width,COLUMN($AB$1)-COLUMN($G$1),r,INDEX($G822:$AAB822,1,SEQUENCE(1,width)),flat,TOCOL(r,1),bad,FILTER(flat,COUNTIF('リスト'!$E:$E,flat)=0),IFERROR(TEXTJOIN(""\n"",TRUE,bad),""""))"),"")</f>
        <v/>
      </c>
      <c r="AC822" s="185"/>
      <c r="AD822" s="185"/>
    </row>
    <row r="823">
      <c r="A823" s="185"/>
      <c r="B823" s="185"/>
      <c r="C823" s="185"/>
      <c r="D823" s="185"/>
      <c r="E823" s="203"/>
      <c r="F823" s="203"/>
      <c r="G823" s="185"/>
      <c r="H823" s="185"/>
      <c r="I823" s="185"/>
      <c r="J823" s="185"/>
      <c r="K823" s="185"/>
      <c r="L823" s="185"/>
      <c r="M823" s="185"/>
      <c r="N823" s="185"/>
      <c r="O823" s="185"/>
      <c r="P823" s="185"/>
      <c r="Q823" s="185"/>
      <c r="R823" s="185"/>
      <c r="S823" s="185"/>
      <c r="T823" s="185"/>
      <c r="U823" s="185"/>
      <c r="V823" s="185"/>
      <c r="W823" s="185"/>
      <c r="X823" s="185"/>
      <c r="Y823" s="185"/>
      <c r="Z823" s="185"/>
      <c r="AA823" s="185"/>
      <c r="AB823" s="185" t="str">
        <f>IFERROR(__xludf.DUMMYFUNCTION("LET(width,COLUMN($AB$1)-COLUMN($G$1),r,INDEX($G823:$AAB823,1,SEQUENCE(1,width)),flat,TOCOL(r,1),bad,FILTER(flat,COUNTIF('リスト'!$E:$E,flat)=0),IFERROR(TEXTJOIN(""\n"",TRUE,bad),""""))"),"")</f>
        <v/>
      </c>
      <c r="AC823" s="185"/>
      <c r="AD823" s="185"/>
    </row>
    <row r="824">
      <c r="A824" s="185"/>
      <c r="B824" s="185"/>
      <c r="C824" s="185"/>
      <c r="D824" s="185"/>
      <c r="E824" s="203"/>
      <c r="F824" s="203"/>
      <c r="G824" s="185"/>
      <c r="H824" s="185"/>
      <c r="I824" s="185"/>
      <c r="J824" s="185"/>
      <c r="K824" s="185"/>
      <c r="L824" s="185"/>
      <c r="M824" s="185"/>
      <c r="N824" s="185"/>
      <c r="O824" s="185"/>
      <c r="P824" s="185"/>
      <c r="Q824" s="185"/>
      <c r="R824" s="185"/>
      <c r="S824" s="185"/>
      <c r="T824" s="185"/>
      <c r="U824" s="185"/>
      <c r="V824" s="185"/>
      <c r="W824" s="185"/>
      <c r="X824" s="185"/>
      <c r="Y824" s="185"/>
      <c r="Z824" s="185"/>
      <c r="AA824" s="185"/>
      <c r="AB824" s="185" t="str">
        <f>IFERROR(__xludf.DUMMYFUNCTION("LET(width,COLUMN($AB$1)-COLUMN($G$1),r,INDEX($G824:$AAB824,1,SEQUENCE(1,width)),flat,TOCOL(r,1),bad,FILTER(flat,COUNTIF('リスト'!$E:$E,flat)=0),IFERROR(TEXTJOIN(""\n"",TRUE,bad),""""))"),"")</f>
        <v/>
      </c>
      <c r="AC824" s="185"/>
      <c r="AD824" s="185"/>
    </row>
    <row r="825">
      <c r="A825" s="185"/>
      <c r="B825" s="185"/>
      <c r="C825" s="185"/>
      <c r="D825" s="185"/>
      <c r="E825" s="203"/>
      <c r="F825" s="203"/>
      <c r="G825" s="185"/>
      <c r="H825" s="185"/>
      <c r="I825" s="185"/>
      <c r="J825" s="185"/>
      <c r="K825" s="185"/>
      <c r="L825" s="185"/>
      <c r="M825" s="185"/>
      <c r="N825" s="185"/>
      <c r="O825" s="185"/>
      <c r="P825" s="185"/>
      <c r="Q825" s="185"/>
      <c r="R825" s="185"/>
      <c r="S825" s="185"/>
      <c r="T825" s="185"/>
      <c r="U825" s="185"/>
      <c r="V825" s="185"/>
      <c r="W825" s="185"/>
      <c r="X825" s="185"/>
      <c r="Y825" s="185"/>
      <c r="Z825" s="185"/>
      <c r="AA825" s="185"/>
      <c r="AB825" s="185" t="str">
        <f>IFERROR(__xludf.DUMMYFUNCTION("LET(width,COLUMN($AB$1)-COLUMN($G$1),r,INDEX($G825:$AAB825,1,SEQUENCE(1,width)),flat,TOCOL(r,1),bad,FILTER(flat,COUNTIF('リスト'!$E:$E,flat)=0),IFERROR(TEXTJOIN(""\n"",TRUE,bad),""""))"),"")</f>
        <v/>
      </c>
      <c r="AC825" s="185"/>
      <c r="AD825" s="185"/>
    </row>
    <row r="826">
      <c r="A826" s="185"/>
      <c r="B826" s="185"/>
      <c r="C826" s="185"/>
      <c r="D826" s="185"/>
      <c r="E826" s="203"/>
      <c r="F826" s="203"/>
      <c r="G826" s="185"/>
      <c r="H826" s="185"/>
      <c r="I826" s="185"/>
      <c r="J826" s="185"/>
      <c r="K826" s="185"/>
      <c r="L826" s="185"/>
      <c r="M826" s="185"/>
      <c r="N826" s="185"/>
      <c r="O826" s="185"/>
      <c r="P826" s="185"/>
      <c r="Q826" s="185"/>
      <c r="R826" s="185"/>
      <c r="S826" s="185"/>
      <c r="T826" s="185"/>
      <c r="U826" s="185"/>
      <c r="V826" s="185"/>
      <c r="W826" s="185"/>
      <c r="X826" s="185"/>
      <c r="Y826" s="185"/>
      <c r="Z826" s="185"/>
      <c r="AA826" s="185"/>
      <c r="AB826" s="185" t="str">
        <f>IFERROR(__xludf.DUMMYFUNCTION("LET(width,COLUMN($AB$1)-COLUMN($G$1),r,INDEX($G826:$AAB826,1,SEQUENCE(1,width)),flat,TOCOL(r,1),bad,FILTER(flat,COUNTIF('リスト'!$E:$E,flat)=0),IFERROR(TEXTJOIN(""\n"",TRUE,bad),""""))"),"")</f>
        <v/>
      </c>
      <c r="AC826" s="185"/>
      <c r="AD826" s="185"/>
    </row>
    <row r="827">
      <c r="A827" s="185"/>
      <c r="B827" s="185"/>
      <c r="C827" s="185"/>
      <c r="D827" s="185"/>
      <c r="E827" s="203"/>
      <c r="F827" s="203"/>
      <c r="G827" s="185"/>
      <c r="H827" s="185"/>
      <c r="I827" s="185"/>
      <c r="J827" s="185"/>
      <c r="K827" s="185"/>
      <c r="L827" s="185"/>
      <c r="M827" s="185"/>
      <c r="N827" s="185"/>
      <c r="O827" s="185"/>
      <c r="P827" s="185"/>
      <c r="Q827" s="185"/>
      <c r="R827" s="185"/>
      <c r="S827" s="185"/>
      <c r="T827" s="185"/>
      <c r="U827" s="185"/>
      <c r="V827" s="185"/>
      <c r="W827" s="185"/>
      <c r="X827" s="185"/>
      <c r="Y827" s="185"/>
      <c r="Z827" s="185"/>
      <c r="AA827" s="185"/>
      <c r="AB827" s="185" t="str">
        <f>IFERROR(__xludf.DUMMYFUNCTION("LET(width,COLUMN($AB$1)-COLUMN($G$1),r,INDEX($G827:$AAB827,1,SEQUENCE(1,width)),flat,TOCOL(r,1),bad,FILTER(flat,COUNTIF('リスト'!$E:$E,flat)=0),IFERROR(TEXTJOIN(""\n"",TRUE,bad),""""))"),"")</f>
        <v/>
      </c>
      <c r="AC827" s="185"/>
      <c r="AD827" s="185"/>
    </row>
    <row r="828">
      <c r="A828" s="185"/>
      <c r="B828" s="185"/>
      <c r="C828" s="185"/>
      <c r="D828" s="185"/>
      <c r="E828" s="203"/>
      <c r="F828" s="203"/>
      <c r="G828" s="185"/>
      <c r="H828" s="185"/>
      <c r="I828" s="185"/>
      <c r="J828" s="185"/>
      <c r="K828" s="185"/>
      <c r="L828" s="185"/>
      <c r="M828" s="185"/>
      <c r="N828" s="185"/>
      <c r="O828" s="185"/>
      <c r="P828" s="185"/>
      <c r="Q828" s="185"/>
      <c r="R828" s="185"/>
      <c r="S828" s="185"/>
      <c r="T828" s="185"/>
      <c r="U828" s="185"/>
      <c r="V828" s="185"/>
      <c r="W828" s="185"/>
      <c r="X828" s="185"/>
      <c r="Y828" s="185"/>
      <c r="Z828" s="185"/>
      <c r="AA828" s="185"/>
      <c r="AB828" s="185" t="str">
        <f>IFERROR(__xludf.DUMMYFUNCTION("LET(width,COLUMN($AB$1)-COLUMN($G$1),r,INDEX($G828:$AAB828,1,SEQUENCE(1,width)),flat,TOCOL(r,1),bad,FILTER(flat,COUNTIF('リスト'!$E:$E,flat)=0),IFERROR(TEXTJOIN(""\n"",TRUE,bad),""""))"),"")</f>
        <v/>
      </c>
      <c r="AC828" s="185"/>
      <c r="AD828" s="185"/>
    </row>
    <row r="829">
      <c r="A829" s="185"/>
      <c r="B829" s="185"/>
      <c r="C829" s="185"/>
      <c r="D829" s="185"/>
      <c r="E829" s="203"/>
      <c r="F829" s="203"/>
      <c r="G829" s="185"/>
      <c r="H829" s="185"/>
      <c r="I829" s="185"/>
      <c r="J829" s="185"/>
      <c r="K829" s="185"/>
      <c r="L829" s="185"/>
      <c r="M829" s="185"/>
      <c r="N829" s="185"/>
      <c r="O829" s="185"/>
      <c r="P829" s="185"/>
      <c r="Q829" s="185"/>
      <c r="R829" s="185"/>
      <c r="S829" s="185"/>
      <c r="T829" s="185"/>
      <c r="U829" s="185"/>
      <c r="V829" s="185"/>
      <c r="W829" s="185"/>
      <c r="X829" s="185"/>
      <c r="Y829" s="185"/>
      <c r="Z829" s="185"/>
      <c r="AA829" s="185"/>
      <c r="AB829" s="185" t="str">
        <f>IFERROR(__xludf.DUMMYFUNCTION("LET(width,COLUMN($AB$1)-COLUMN($G$1),r,INDEX($G829:$AAB829,1,SEQUENCE(1,width)),flat,TOCOL(r,1),bad,FILTER(flat,COUNTIF('リスト'!$E:$E,flat)=0),IFERROR(TEXTJOIN(""\n"",TRUE,bad),""""))"),"")</f>
        <v/>
      </c>
      <c r="AC829" s="185"/>
      <c r="AD829" s="185"/>
    </row>
    <row r="830">
      <c r="A830" s="185"/>
      <c r="B830" s="185"/>
      <c r="C830" s="185"/>
      <c r="D830" s="185"/>
      <c r="E830" s="203"/>
      <c r="F830" s="203"/>
      <c r="G830" s="185"/>
      <c r="H830" s="185"/>
      <c r="I830" s="185"/>
      <c r="J830" s="185"/>
      <c r="K830" s="185"/>
      <c r="L830" s="185"/>
      <c r="M830" s="185"/>
      <c r="N830" s="185"/>
      <c r="O830" s="185"/>
      <c r="P830" s="185"/>
      <c r="Q830" s="185"/>
      <c r="R830" s="185"/>
      <c r="S830" s="185"/>
      <c r="T830" s="185"/>
      <c r="U830" s="185"/>
      <c r="V830" s="185"/>
      <c r="W830" s="185"/>
      <c r="X830" s="185"/>
      <c r="Y830" s="185"/>
      <c r="Z830" s="185"/>
      <c r="AA830" s="185"/>
      <c r="AB830" s="185" t="str">
        <f>IFERROR(__xludf.DUMMYFUNCTION("LET(width,COLUMN($AB$1)-COLUMN($G$1),r,INDEX($G830:$AAB830,1,SEQUENCE(1,width)),flat,TOCOL(r,1),bad,FILTER(flat,COUNTIF('リスト'!$E:$E,flat)=0),IFERROR(TEXTJOIN(""\n"",TRUE,bad),""""))"),"")</f>
        <v/>
      </c>
      <c r="AC830" s="185"/>
      <c r="AD830" s="185"/>
    </row>
    <row r="831">
      <c r="A831" s="185"/>
      <c r="B831" s="185"/>
      <c r="C831" s="185"/>
      <c r="D831" s="185"/>
      <c r="E831" s="203"/>
      <c r="F831" s="203"/>
      <c r="G831" s="185"/>
      <c r="H831" s="185"/>
      <c r="I831" s="185"/>
      <c r="J831" s="185"/>
      <c r="K831" s="185"/>
      <c r="L831" s="185"/>
      <c r="M831" s="185"/>
      <c r="N831" s="185"/>
      <c r="O831" s="185"/>
      <c r="P831" s="185"/>
      <c r="Q831" s="185"/>
      <c r="R831" s="185"/>
      <c r="S831" s="185"/>
      <c r="T831" s="185"/>
      <c r="U831" s="185"/>
      <c r="V831" s="185"/>
      <c r="W831" s="185"/>
      <c r="X831" s="185"/>
      <c r="Y831" s="185"/>
      <c r="Z831" s="185"/>
      <c r="AA831" s="185"/>
      <c r="AB831" s="185" t="str">
        <f>IFERROR(__xludf.DUMMYFUNCTION("LET(width,COLUMN($AB$1)-COLUMN($G$1),r,INDEX($G831:$AAB831,1,SEQUENCE(1,width)),flat,TOCOL(r,1),bad,FILTER(flat,COUNTIF('リスト'!$E:$E,flat)=0),IFERROR(TEXTJOIN(""\n"",TRUE,bad),""""))"),"")</f>
        <v/>
      </c>
      <c r="AC831" s="185"/>
      <c r="AD831" s="185"/>
    </row>
    <row r="832">
      <c r="A832" s="185"/>
      <c r="B832" s="185"/>
      <c r="C832" s="185"/>
      <c r="D832" s="185"/>
      <c r="E832" s="203"/>
      <c r="F832" s="203"/>
      <c r="G832" s="185"/>
      <c r="H832" s="185"/>
      <c r="I832" s="185"/>
      <c r="J832" s="185"/>
      <c r="K832" s="185"/>
      <c r="L832" s="185"/>
      <c r="M832" s="185"/>
      <c r="N832" s="185"/>
      <c r="O832" s="185"/>
      <c r="P832" s="185"/>
      <c r="Q832" s="185"/>
      <c r="R832" s="185"/>
      <c r="S832" s="185"/>
      <c r="T832" s="185"/>
      <c r="U832" s="185"/>
      <c r="V832" s="185"/>
      <c r="W832" s="185"/>
      <c r="X832" s="185"/>
      <c r="Y832" s="185"/>
      <c r="Z832" s="185"/>
      <c r="AA832" s="185"/>
      <c r="AB832" s="185" t="str">
        <f>IFERROR(__xludf.DUMMYFUNCTION("LET(width,COLUMN($AB$1)-COLUMN($G$1),r,INDEX($G832:$AAB832,1,SEQUENCE(1,width)),flat,TOCOL(r,1),bad,FILTER(flat,COUNTIF('リスト'!$E:$E,flat)=0),IFERROR(TEXTJOIN(""\n"",TRUE,bad),""""))"),"")</f>
        <v/>
      </c>
      <c r="AC832" s="185"/>
      <c r="AD832" s="185"/>
    </row>
    <row r="833">
      <c r="A833" s="185"/>
      <c r="B833" s="185"/>
      <c r="C833" s="185"/>
      <c r="D833" s="185"/>
      <c r="E833" s="203"/>
      <c r="F833" s="203"/>
      <c r="G833" s="185"/>
      <c r="H833" s="185"/>
      <c r="I833" s="185"/>
      <c r="J833" s="185"/>
      <c r="K833" s="185"/>
      <c r="L833" s="185"/>
      <c r="M833" s="185"/>
      <c r="N833" s="185"/>
      <c r="O833" s="185"/>
      <c r="P833" s="185"/>
      <c r="Q833" s="185"/>
      <c r="R833" s="185"/>
      <c r="S833" s="185"/>
      <c r="T833" s="185"/>
      <c r="U833" s="185"/>
      <c r="V833" s="185"/>
      <c r="W833" s="185"/>
      <c r="X833" s="185"/>
      <c r="Y833" s="185"/>
      <c r="Z833" s="185"/>
      <c r="AA833" s="185"/>
      <c r="AB833" s="185" t="str">
        <f>IFERROR(__xludf.DUMMYFUNCTION("LET(width,COLUMN($AB$1)-COLUMN($G$1),r,INDEX($G833:$AAB833,1,SEQUENCE(1,width)),flat,TOCOL(r,1),bad,FILTER(flat,COUNTIF('リスト'!$E:$E,flat)=0),IFERROR(TEXTJOIN(""\n"",TRUE,bad),""""))"),"")</f>
        <v/>
      </c>
      <c r="AC833" s="185"/>
      <c r="AD833" s="185"/>
    </row>
    <row r="834">
      <c r="A834" s="185"/>
      <c r="B834" s="185"/>
      <c r="C834" s="185"/>
      <c r="D834" s="185"/>
      <c r="E834" s="203"/>
      <c r="F834" s="203"/>
      <c r="G834" s="185"/>
      <c r="H834" s="185"/>
      <c r="I834" s="185"/>
      <c r="J834" s="185"/>
      <c r="K834" s="185"/>
      <c r="L834" s="185"/>
      <c r="M834" s="185"/>
      <c r="N834" s="185"/>
      <c r="O834" s="185"/>
      <c r="P834" s="185"/>
      <c r="Q834" s="185"/>
      <c r="R834" s="185"/>
      <c r="S834" s="185"/>
      <c r="T834" s="185"/>
      <c r="U834" s="185"/>
      <c r="V834" s="185"/>
      <c r="W834" s="185"/>
      <c r="X834" s="185"/>
      <c r="Y834" s="185"/>
      <c r="Z834" s="185"/>
      <c r="AA834" s="185"/>
      <c r="AB834" s="185" t="str">
        <f>IFERROR(__xludf.DUMMYFUNCTION("LET(width,COLUMN($AB$1)-COLUMN($G$1),r,INDEX($G834:$AAB834,1,SEQUENCE(1,width)),flat,TOCOL(r,1),bad,FILTER(flat,COUNTIF('リスト'!$E:$E,flat)=0),IFERROR(TEXTJOIN(""\n"",TRUE,bad),""""))"),"")</f>
        <v/>
      </c>
      <c r="AC834" s="185"/>
      <c r="AD834" s="185"/>
    </row>
    <row r="835">
      <c r="A835" s="185"/>
      <c r="B835" s="185"/>
      <c r="C835" s="185"/>
      <c r="D835" s="185"/>
      <c r="E835" s="203"/>
      <c r="F835" s="203"/>
      <c r="G835" s="185"/>
      <c r="H835" s="185"/>
      <c r="I835" s="185"/>
      <c r="J835" s="185"/>
      <c r="K835" s="185"/>
      <c r="L835" s="185"/>
      <c r="M835" s="185"/>
      <c r="N835" s="185"/>
      <c r="O835" s="185"/>
      <c r="P835" s="185"/>
      <c r="Q835" s="185"/>
      <c r="R835" s="185"/>
      <c r="S835" s="185"/>
      <c r="T835" s="185"/>
      <c r="U835" s="185"/>
      <c r="V835" s="185"/>
      <c r="W835" s="185"/>
      <c r="X835" s="185"/>
      <c r="Y835" s="185"/>
      <c r="Z835" s="185"/>
      <c r="AA835" s="185"/>
      <c r="AB835" s="185" t="str">
        <f>IFERROR(__xludf.DUMMYFUNCTION("LET(width,COLUMN($AB$1)-COLUMN($G$1),r,INDEX($G835:$AAB835,1,SEQUENCE(1,width)),flat,TOCOL(r,1),bad,FILTER(flat,COUNTIF('リスト'!$E:$E,flat)=0),IFERROR(TEXTJOIN(""\n"",TRUE,bad),""""))"),"")</f>
        <v/>
      </c>
      <c r="AC835" s="185"/>
      <c r="AD835" s="185"/>
    </row>
    <row r="836">
      <c r="A836" s="185"/>
      <c r="B836" s="185"/>
      <c r="C836" s="185"/>
      <c r="D836" s="185"/>
      <c r="E836" s="203"/>
      <c r="F836" s="203"/>
      <c r="G836" s="185"/>
      <c r="H836" s="185"/>
      <c r="I836" s="185"/>
      <c r="J836" s="185"/>
      <c r="K836" s="185"/>
      <c r="L836" s="185"/>
      <c r="M836" s="185"/>
      <c r="N836" s="185"/>
      <c r="O836" s="185"/>
      <c r="P836" s="185"/>
      <c r="Q836" s="185"/>
      <c r="R836" s="185"/>
      <c r="S836" s="185"/>
      <c r="T836" s="185"/>
      <c r="U836" s="185"/>
      <c r="V836" s="185"/>
      <c r="W836" s="185"/>
      <c r="X836" s="185"/>
      <c r="Y836" s="185"/>
      <c r="Z836" s="185"/>
      <c r="AA836" s="185"/>
      <c r="AB836" s="185" t="str">
        <f>IFERROR(__xludf.DUMMYFUNCTION("LET(width,COLUMN($AB$1)-COLUMN($G$1),r,INDEX($G836:$AAB836,1,SEQUENCE(1,width)),flat,TOCOL(r,1),bad,FILTER(flat,COUNTIF('リスト'!$E:$E,flat)=0),IFERROR(TEXTJOIN(""\n"",TRUE,bad),""""))"),"")</f>
        <v/>
      </c>
      <c r="AC836" s="185"/>
      <c r="AD836" s="185"/>
    </row>
    <row r="837">
      <c r="A837" s="185"/>
      <c r="B837" s="185"/>
      <c r="C837" s="185"/>
      <c r="D837" s="185"/>
      <c r="E837" s="203"/>
      <c r="F837" s="203"/>
      <c r="G837" s="185"/>
      <c r="H837" s="185"/>
      <c r="I837" s="185"/>
      <c r="J837" s="185"/>
      <c r="K837" s="185"/>
      <c r="L837" s="185"/>
      <c r="M837" s="185"/>
      <c r="N837" s="185"/>
      <c r="O837" s="185"/>
      <c r="P837" s="185"/>
      <c r="Q837" s="185"/>
      <c r="R837" s="185"/>
      <c r="S837" s="185"/>
      <c r="T837" s="185"/>
      <c r="U837" s="185"/>
      <c r="V837" s="185"/>
      <c r="W837" s="185"/>
      <c r="X837" s="185"/>
      <c r="Y837" s="185"/>
      <c r="Z837" s="185"/>
      <c r="AA837" s="185"/>
      <c r="AB837" s="185" t="str">
        <f>IFERROR(__xludf.DUMMYFUNCTION("LET(width,COLUMN($AB$1)-COLUMN($G$1),r,INDEX($G837:$AAB837,1,SEQUENCE(1,width)),flat,TOCOL(r,1),bad,FILTER(flat,COUNTIF('リスト'!$E:$E,flat)=0),IFERROR(TEXTJOIN(""\n"",TRUE,bad),""""))"),"")</f>
        <v/>
      </c>
      <c r="AC837" s="185"/>
      <c r="AD837" s="185"/>
    </row>
    <row r="838">
      <c r="A838" s="185"/>
      <c r="B838" s="185"/>
      <c r="C838" s="185"/>
      <c r="D838" s="185"/>
      <c r="E838" s="203"/>
      <c r="F838" s="203"/>
      <c r="G838" s="185"/>
      <c r="H838" s="185"/>
      <c r="I838" s="185"/>
      <c r="J838" s="185"/>
      <c r="K838" s="185"/>
      <c r="L838" s="185"/>
      <c r="M838" s="185"/>
      <c r="N838" s="185"/>
      <c r="O838" s="185"/>
      <c r="P838" s="185"/>
      <c r="Q838" s="185"/>
      <c r="R838" s="185"/>
      <c r="S838" s="185"/>
      <c r="T838" s="185"/>
      <c r="U838" s="185"/>
      <c r="V838" s="185"/>
      <c r="W838" s="185"/>
      <c r="X838" s="185"/>
      <c r="Y838" s="185"/>
      <c r="Z838" s="185"/>
      <c r="AA838" s="185"/>
      <c r="AB838" s="185" t="str">
        <f>IFERROR(__xludf.DUMMYFUNCTION("LET(width,COLUMN($AB$1)-COLUMN($G$1),r,INDEX($G838:$AAB838,1,SEQUENCE(1,width)),flat,TOCOL(r,1),bad,FILTER(flat,COUNTIF('リスト'!$E:$E,flat)=0),IFERROR(TEXTJOIN(""\n"",TRUE,bad),""""))"),"")</f>
        <v/>
      </c>
      <c r="AC838" s="185"/>
      <c r="AD838" s="185"/>
    </row>
    <row r="839">
      <c r="A839" s="185"/>
      <c r="B839" s="185"/>
      <c r="C839" s="185"/>
      <c r="D839" s="185"/>
      <c r="E839" s="203"/>
      <c r="F839" s="203"/>
      <c r="G839" s="185"/>
      <c r="H839" s="185"/>
      <c r="I839" s="185"/>
      <c r="J839" s="185"/>
      <c r="K839" s="185"/>
      <c r="L839" s="185"/>
      <c r="M839" s="185"/>
      <c r="N839" s="185"/>
      <c r="O839" s="185"/>
      <c r="P839" s="185"/>
      <c r="Q839" s="185"/>
      <c r="R839" s="185"/>
      <c r="S839" s="185"/>
      <c r="T839" s="185"/>
      <c r="U839" s="185"/>
      <c r="V839" s="185"/>
      <c r="W839" s="185"/>
      <c r="X839" s="185"/>
      <c r="Y839" s="185"/>
      <c r="Z839" s="185"/>
      <c r="AA839" s="185"/>
      <c r="AB839" s="185" t="str">
        <f>IFERROR(__xludf.DUMMYFUNCTION("LET(width,COLUMN($AB$1)-COLUMN($G$1),r,INDEX($G839:$AAB839,1,SEQUENCE(1,width)),flat,TOCOL(r,1),bad,FILTER(flat,COUNTIF('リスト'!$E:$E,flat)=0),IFERROR(TEXTJOIN(""\n"",TRUE,bad),""""))"),"")</f>
        <v/>
      </c>
      <c r="AC839" s="185"/>
      <c r="AD839" s="185"/>
    </row>
    <row r="840">
      <c r="A840" s="185"/>
      <c r="B840" s="185"/>
      <c r="C840" s="185"/>
      <c r="D840" s="185"/>
      <c r="E840" s="203"/>
      <c r="F840" s="203"/>
      <c r="G840" s="185"/>
      <c r="H840" s="185"/>
      <c r="I840" s="185"/>
      <c r="J840" s="185"/>
      <c r="K840" s="185"/>
      <c r="L840" s="185"/>
      <c r="M840" s="185"/>
      <c r="N840" s="185"/>
      <c r="O840" s="185"/>
      <c r="P840" s="185"/>
      <c r="Q840" s="185"/>
      <c r="R840" s="185"/>
      <c r="S840" s="185"/>
      <c r="T840" s="185"/>
      <c r="U840" s="185"/>
      <c r="V840" s="185"/>
      <c r="W840" s="185"/>
      <c r="X840" s="185"/>
      <c r="Y840" s="185"/>
      <c r="Z840" s="185"/>
      <c r="AA840" s="185"/>
      <c r="AB840" s="185" t="str">
        <f>IFERROR(__xludf.DUMMYFUNCTION("LET(width,COLUMN($AB$1)-COLUMN($G$1),r,INDEX($G840:$AAB840,1,SEQUENCE(1,width)),flat,TOCOL(r,1),bad,FILTER(flat,COUNTIF('リスト'!$E:$E,flat)=0),IFERROR(TEXTJOIN(""\n"",TRUE,bad),""""))"),"")</f>
        <v/>
      </c>
      <c r="AC840" s="185"/>
      <c r="AD840" s="185"/>
    </row>
    <row r="841">
      <c r="A841" s="185"/>
      <c r="B841" s="185"/>
      <c r="C841" s="185"/>
      <c r="D841" s="185"/>
      <c r="E841" s="203"/>
      <c r="F841" s="203"/>
      <c r="G841" s="185"/>
      <c r="H841" s="185"/>
      <c r="I841" s="185"/>
      <c r="J841" s="185"/>
      <c r="K841" s="185"/>
      <c r="L841" s="185"/>
      <c r="M841" s="185"/>
      <c r="N841" s="185"/>
      <c r="O841" s="185"/>
      <c r="P841" s="185"/>
      <c r="Q841" s="185"/>
      <c r="R841" s="185"/>
      <c r="S841" s="185"/>
      <c r="T841" s="185"/>
      <c r="U841" s="185"/>
      <c r="V841" s="185"/>
      <c r="W841" s="185"/>
      <c r="X841" s="185"/>
      <c r="Y841" s="185"/>
      <c r="Z841" s="185"/>
      <c r="AA841" s="185"/>
      <c r="AB841" s="185" t="str">
        <f>IFERROR(__xludf.DUMMYFUNCTION("LET(width,COLUMN($AB$1)-COLUMN($G$1),r,INDEX($G841:$AAB841,1,SEQUENCE(1,width)),flat,TOCOL(r,1),bad,FILTER(flat,COUNTIF('リスト'!$E:$E,flat)=0),IFERROR(TEXTJOIN(""\n"",TRUE,bad),""""))"),"")</f>
        <v/>
      </c>
      <c r="AC841" s="185"/>
      <c r="AD841" s="185"/>
    </row>
    <row r="842">
      <c r="A842" s="185"/>
      <c r="B842" s="185"/>
      <c r="C842" s="185"/>
      <c r="D842" s="185"/>
      <c r="E842" s="203"/>
      <c r="F842" s="203"/>
      <c r="G842" s="185"/>
      <c r="H842" s="185"/>
      <c r="I842" s="185"/>
      <c r="J842" s="185"/>
      <c r="K842" s="185"/>
      <c r="L842" s="185"/>
      <c r="M842" s="185"/>
      <c r="N842" s="185"/>
      <c r="O842" s="185"/>
      <c r="P842" s="185"/>
      <c r="Q842" s="185"/>
      <c r="R842" s="185"/>
      <c r="S842" s="185"/>
      <c r="T842" s="185"/>
      <c r="U842" s="185"/>
      <c r="V842" s="185"/>
      <c r="W842" s="185"/>
      <c r="X842" s="185"/>
      <c r="Y842" s="185"/>
      <c r="Z842" s="185"/>
      <c r="AA842" s="185"/>
      <c r="AB842" s="185" t="str">
        <f>IFERROR(__xludf.DUMMYFUNCTION("LET(width,COLUMN($AB$1)-COLUMN($G$1),r,INDEX($G842:$AAB842,1,SEQUENCE(1,width)),flat,TOCOL(r,1),bad,FILTER(flat,COUNTIF('リスト'!$E:$E,flat)=0),IFERROR(TEXTJOIN(""\n"",TRUE,bad),""""))"),"")</f>
        <v/>
      </c>
      <c r="AC842" s="185"/>
      <c r="AD842" s="185"/>
    </row>
    <row r="843">
      <c r="A843" s="185"/>
      <c r="B843" s="185"/>
      <c r="C843" s="185"/>
      <c r="D843" s="185"/>
      <c r="E843" s="203"/>
      <c r="F843" s="203"/>
      <c r="G843" s="185"/>
      <c r="H843" s="185"/>
      <c r="I843" s="185"/>
      <c r="J843" s="185"/>
      <c r="K843" s="185"/>
      <c r="L843" s="185"/>
      <c r="M843" s="185"/>
      <c r="N843" s="185"/>
      <c r="O843" s="185"/>
      <c r="P843" s="185"/>
      <c r="Q843" s="185"/>
      <c r="R843" s="185"/>
      <c r="S843" s="185"/>
      <c r="T843" s="185"/>
      <c r="U843" s="185"/>
      <c r="V843" s="185"/>
      <c r="W843" s="185"/>
      <c r="X843" s="185"/>
      <c r="Y843" s="185"/>
      <c r="Z843" s="185"/>
      <c r="AA843" s="185"/>
      <c r="AB843" s="185" t="str">
        <f>IFERROR(__xludf.DUMMYFUNCTION("LET(width,COLUMN($AB$1)-COLUMN($G$1),r,INDEX($G843:$AAB843,1,SEQUENCE(1,width)),flat,TOCOL(r,1),bad,FILTER(flat,COUNTIF('リスト'!$E:$E,flat)=0),IFERROR(TEXTJOIN(""\n"",TRUE,bad),""""))"),"")</f>
        <v/>
      </c>
      <c r="AC843" s="185"/>
      <c r="AD843" s="185"/>
    </row>
    <row r="844">
      <c r="A844" s="185"/>
      <c r="B844" s="185"/>
      <c r="C844" s="185"/>
      <c r="D844" s="185"/>
      <c r="E844" s="203"/>
      <c r="F844" s="203"/>
      <c r="G844" s="185"/>
      <c r="H844" s="185"/>
      <c r="I844" s="185"/>
      <c r="J844" s="185"/>
      <c r="K844" s="185"/>
      <c r="L844" s="185"/>
      <c r="M844" s="185"/>
      <c r="N844" s="185"/>
      <c r="O844" s="185"/>
      <c r="P844" s="185"/>
      <c r="Q844" s="185"/>
      <c r="R844" s="185"/>
      <c r="S844" s="185"/>
      <c r="T844" s="185"/>
      <c r="U844" s="185"/>
      <c r="V844" s="185"/>
      <c r="W844" s="185"/>
      <c r="X844" s="185"/>
      <c r="Y844" s="185"/>
      <c r="Z844" s="185"/>
      <c r="AA844" s="185"/>
      <c r="AB844" s="185" t="str">
        <f>IFERROR(__xludf.DUMMYFUNCTION("LET(width,COLUMN($AB$1)-COLUMN($G$1),r,INDEX($G844:$AAB844,1,SEQUENCE(1,width)),flat,TOCOL(r,1),bad,FILTER(flat,COUNTIF('リスト'!$E:$E,flat)=0),IFERROR(TEXTJOIN(""\n"",TRUE,bad),""""))"),"")</f>
        <v/>
      </c>
      <c r="AC844" s="185"/>
      <c r="AD844" s="185"/>
    </row>
    <row r="845">
      <c r="A845" s="185"/>
      <c r="B845" s="185"/>
      <c r="C845" s="185"/>
      <c r="D845" s="185"/>
      <c r="E845" s="203"/>
      <c r="F845" s="203"/>
      <c r="G845" s="185"/>
      <c r="H845" s="185"/>
      <c r="I845" s="185"/>
      <c r="J845" s="185"/>
      <c r="K845" s="185"/>
      <c r="L845" s="185"/>
      <c r="M845" s="185"/>
      <c r="N845" s="185"/>
      <c r="O845" s="185"/>
      <c r="P845" s="185"/>
      <c r="Q845" s="185"/>
      <c r="R845" s="185"/>
      <c r="S845" s="185"/>
      <c r="T845" s="185"/>
      <c r="U845" s="185"/>
      <c r="V845" s="185"/>
      <c r="W845" s="185"/>
      <c r="X845" s="185"/>
      <c r="Y845" s="185"/>
      <c r="Z845" s="185"/>
      <c r="AA845" s="185"/>
      <c r="AB845" s="185" t="str">
        <f>IFERROR(__xludf.DUMMYFUNCTION("LET(width,COLUMN($AB$1)-COLUMN($G$1),r,INDEX($G845:$AAB845,1,SEQUENCE(1,width)),flat,TOCOL(r,1),bad,FILTER(flat,COUNTIF('リスト'!$E:$E,flat)=0),IFERROR(TEXTJOIN(""\n"",TRUE,bad),""""))"),"")</f>
        <v/>
      </c>
      <c r="AC845" s="185"/>
      <c r="AD845" s="185"/>
    </row>
    <row r="846">
      <c r="A846" s="185"/>
      <c r="B846" s="185"/>
      <c r="C846" s="185"/>
      <c r="D846" s="185"/>
      <c r="E846" s="203"/>
      <c r="F846" s="203"/>
      <c r="G846" s="185"/>
      <c r="H846" s="185"/>
      <c r="I846" s="185"/>
      <c r="J846" s="185"/>
      <c r="K846" s="185"/>
      <c r="L846" s="185"/>
      <c r="M846" s="185"/>
      <c r="N846" s="185"/>
      <c r="O846" s="185"/>
      <c r="P846" s="185"/>
      <c r="Q846" s="185"/>
      <c r="R846" s="185"/>
      <c r="S846" s="185"/>
      <c r="T846" s="185"/>
      <c r="U846" s="185"/>
      <c r="V846" s="185"/>
      <c r="W846" s="185"/>
      <c r="X846" s="185"/>
      <c r="Y846" s="185"/>
      <c r="Z846" s="185"/>
      <c r="AA846" s="185"/>
      <c r="AB846" s="185" t="str">
        <f>IFERROR(__xludf.DUMMYFUNCTION("LET(width,COLUMN($AB$1)-COLUMN($G$1),r,INDEX($G846:$AAB846,1,SEQUENCE(1,width)),flat,TOCOL(r,1),bad,FILTER(flat,COUNTIF('リスト'!$E:$E,flat)=0),IFERROR(TEXTJOIN(""\n"",TRUE,bad),""""))"),"")</f>
        <v/>
      </c>
      <c r="AC846" s="185"/>
      <c r="AD846" s="185"/>
    </row>
    <row r="847">
      <c r="A847" s="185"/>
      <c r="B847" s="185"/>
      <c r="C847" s="185"/>
      <c r="D847" s="185"/>
      <c r="E847" s="203"/>
      <c r="F847" s="203"/>
      <c r="G847" s="185"/>
      <c r="H847" s="185"/>
      <c r="I847" s="185"/>
      <c r="J847" s="185"/>
      <c r="K847" s="185"/>
      <c r="L847" s="185"/>
      <c r="M847" s="185"/>
      <c r="N847" s="185"/>
      <c r="O847" s="185"/>
      <c r="P847" s="185"/>
      <c r="Q847" s="185"/>
      <c r="R847" s="185"/>
      <c r="S847" s="185"/>
      <c r="T847" s="185"/>
      <c r="U847" s="185"/>
      <c r="V847" s="185"/>
      <c r="W847" s="185"/>
      <c r="X847" s="185"/>
      <c r="Y847" s="185"/>
      <c r="Z847" s="185"/>
      <c r="AA847" s="185"/>
      <c r="AB847" s="185" t="str">
        <f>IFERROR(__xludf.DUMMYFUNCTION("LET(width,COLUMN($AB$1)-COLUMN($G$1),r,INDEX($G847:$AAB847,1,SEQUENCE(1,width)),flat,TOCOL(r,1),bad,FILTER(flat,COUNTIF('リスト'!$E:$E,flat)=0),IFERROR(TEXTJOIN(""\n"",TRUE,bad),""""))"),"")</f>
        <v/>
      </c>
      <c r="AC847" s="185"/>
      <c r="AD847" s="185"/>
    </row>
    <row r="848">
      <c r="A848" s="185"/>
      <c r="B848" s="185"/>
      <c r="C848" s="185"/>
      <c r="D848" s="185"/>
      <c r="E848" s="203"/>
      <c r="F848" s="203"/>
      <c r="G848" s="185"/>
      <c r="H848" s="185"/>
      <c r="I848" s="185"/>
      <c r="J848" s="185"/>
      <c r="K848" s="185"/>
      <c r="L848" s="185"/>
      <c r="M848" s="185"/>
      <c r="N848" s="185"/>
      <c r="O848" s="185"/>
      <c r="P848" s="185"/>
      <c r="Q848" s="185"/>
      <c r="R848" s="185"/>
      <c r="S848" s="185"/>
      <c r="T848" s="185"/>
      <c r="U848" s="185"/>
      <c r="V848" s="185"/>
      <c r="W848" s="185"/>
      <c r="X848" s="185"/>
      <c r="Y848" s="185"/>
      <c r="Z848" s="185"/>
      <c r="AA848" s="185"/>
      <c r="AB848" s="185" t="str">
        <f>IFERROR(__xludf.DUMMYFUNCTION("LET(width,COLUMN($AB$1)-COLUMN($G$1),r,INDEX($G848:$AAB848,1,SEQUENCE(1,width)),flat,TOCOL(r,1),bad,FILTER(flat,COUNTIF('リスト'!$E:$E,flat)=0),IFERROR(TEXTJOIN(""\n"",TRUE,bad),""""))"),"")</f>
        <v/>
      </c>
      <c r="AC848" s="185"/>
      <c r="AD848" s="185"/>
    </row>
    <row r="849">
      <c r="A849" s="185"/>
      <c r="B849" s="185"/>
      <c r="C849" s="185"/>
      <c r="D849" s="185"/>
      <c r="E849" s="203"/>
      <c r="F849" s="203"/>
      <c r="G849" s="185"/>
      <c r="H849" s="185"/>
      <c r="I849" s="185"/>
      <c r="J849" s="185"/>
      <c r="K849" s="185"/>
      <c r="L849" s="185"/>
      <c r="M849" s="185"/>
      <c r="N849" s="185"/>
      <c r="O849" s="185"/>
      <c r="P849" s="185"/>
      <c r="Q849" s="185"/>
      <c r="R849" s="185"/>
      <c r="S849" s="185"/>
      <c r="T849" s="185"/>
      <c r="U849" s="185"/>
      <c r="V849" s="185"/>
      <c r="W849" s="185"/>
      <c r="X849" s="185"/>
      <c r="Y849" s="185"/>
      <c r="Z849" s="185"/>
      <c r="AA849" s="185"/>
      <c r="AB849" s="185" t="str">
        <f>IFERROR(__xludf.DUMMYFUNCTION("LET(width,COLUMN($AB$1)-COLUMN($G$1),r,INDEX($G849:$AAB849,1,SEQUENCE(1,width)),flat,TOCOL(r,1),bad,FILTER(flat,COUNTIF('リスト'!$E:$E,flat)=0),IFERROR(TEXTJOIN(""\n"",TRUE,bad),""""))"),"")</f>
        <v/>
      </c>
      <c r="AC849" s="185"/>
      <c r="AD849" s="185"/>
    </row>
    <row r="850">
      <c r="A850" s="185"/>
      <c r="B850" s="185"/>
      <c r="C850" s="185"/>
      <c r="D850" s="185"/>
      <c r="E850" s="203"/>
      <c r="F850" s="203"/>
      <c r="G850" s="185"/>
      <c r="H850" s="185"/>
      <c r="I850" s="185"/>
      <c r="J850" s="185"/>
      <c r="K850" s="185"/>
      <c r="L850" s="185"/>
      <c r="M850" s="185"/>
      <c r="N850" s="185"/>
      <c r="O850" s="185"/>
      <c r="P850" s="185"/>
      <c r="Q850" s="185"/>
      <c r="R850" s="185"/>
      <c r="S850" s="185"/>
      <c r="T850" s="185"/>
      <c r="U850" s="185"/>
      <c r="V850" s="185"/>
      <c r="W850" s="185"/>
      <c r="X850" s="185"/>
      <c r="Y850" s="185"/>
      <c r="Z850" s="185"/>
      <c r="AA850" s="185"/>
      <c r="AB850" s="185" t="str">
        <f>IFERROR(__xludf.DUMMYFUNCTION("LET(width,COLUMN($AB$1)-COLUMN($G$1),r,INDEX($G850:$AAB850,1,SEQUENCE(1,width)),flat,TOCOL(r,1),bad,FILTER(flat,COUNTIF('リスト'!$E:$E,flat)=0),IFERROR(TEXTJOIN(""\n"",TRUE,bad),""""))"),"")</f>
        <v/>
      </c>
      <c r="AC850" s="185"/>
      <c r="AD850" s="185"/>
    </row>
    <row r="851">
      <c r="A851" s="185"/>
      <c r="B851" s="185"/>
      <c r="C851" s="185"/>
      <c r="D851" s="185"/>
      <c r="E851" s="203"/>
      <c r="F851" s="203"/>
      <c r="G851" s="185"/>
      <c r="H851" s="185"/>
      <c r="I851" s="185"/>
      <c r="J851" s="185"/>
      <c r="K851" s="185"/>
      <c r="L851" s="185"/>
      <c r="M851" s="185"/>
      <c r="N851" s="185"/>
      <c r="O851" s="185"/>
      <c r="P851" s="185"/>
      <c r="Q851" s="185"/>
      <c r="R851" s="185"/>
      <c r="S851" s="185"/>
      <c r="T851" s="185"/>
      <c r="U851" s="185"/>
      <c r="V851" s="185"/>
      <c r="W851" s="185"/>
      <c r="X851" s="185"/>
      <c r="Y851" s="185"/>
      <c r="Z851" s="185"/>
      <c r="AA851" s="185"/>
      <c r="AB851" s="185" t="str">
        <f>IFERROR(__xludf.DUMMYFUNCTION("LET(width,COLUMN($AB$1)-COLUMN($G$1),r,INDEX($G851:$AAB851,1,SEQUENCE(1,width)),flat,TOCOL(r,1),bad,FILTER(flat,COUNTIF('リスト'!$E:$E,flat)=0),IFERROR(TEXTJOIN(""\n"",TRUE,bad),""""))"),"")</f>
        <v/>
      </c>
      <c r="AC851" s="185"/>
      <c r="AD851" s="185"/>
    </row>
    <row r="852">
      <c r="A852" s="185"/>
      <c r="B852" s="185"/>
      <c r="C852" s="185"/>
      <c r="D852" s="185"/>
      <c r="E852" s="203"/>
      <c r="F852" s="203"/>
      <c r="G852" s="185"/>
      <c r="H852" s="185"/>
      <c r="I852" s="185"/>
      <c r="J852" s="185"/>
      <c r="K852" s="185"/>
      <c r="L852" s="185"/>
      <c r="M852" s="185"/>
      <c r="N852" s="185"/>
      <c r="O852" s="185"/>
      <c r="P852" s="185"/>
      <c r="Q852" s="185"/>
      <c r="R852" s="185"/>
      <c r="S852" s="185"/>
      <c r="T852" s="185"/>
      <c r="U852" s="185"/>
      <c r="V852" s="185"/>
      <c r="W852" s="185"/>
      <c r="X852" s="185"/>
      <c r="Y852" s="185"/>
      <c r="Z852" s="185"/>
      <c r="AA852" s="185"/>
      <c r="AB852" s="185" t="str">
        <f>IFERROR(__xludf.DUMMYFUNCTION("LET(width,COLUMN($AB$1)-COLUMN($G$1),r,INDEX($G852:$AAB852,1,SEQUENCE(1,width)),flat,TOCOL(r,1),bad,FILTER(flat,COUNTIF('リスト'!$E:$E,flat)=0),IFERROR(TEXTJOIN(""\n"",TRUE,bad),""""))"),"")</f>
        <v/>
      </c>
      <c r="AC852" s="185"/>
      <c r="AD852" s="185"/>
    </row>
    <row r="853">
      <c r="A853" s="185"/>
      <c r="B853" s="185"/>
      <c r="C853" s="185"/>
      <c r="D853" s="185"/>
      <c r="E853" s="203"/>
      <c r="F853" s="203"/>
      <c r="G853" s="185"/>
      <c r="H853" s="185"/>
      <c r="I853" s="185"/>
      <c r="J853" s="185"/>
      <c r="K853" s="185"/>
      <c r="L853" s="185"/>
      <c r="M853" s="185"/>
      <c r="N853" s="185"/>
      <c r="O853" s="185"/>
      <c r="P853" s="185"/>
      <c r="Q853" s="185"/>
      <c r="R853" s="185"/>
      <c r="S853" s="185"/>
      <c r="T853" s="185"/>
      <c r="U853" s="185"/>
      <c r="V853" s="185"/>
      <c r="W853" s="185"/>
      <c r="X853" s="185"/>
      <c r="Y853" s="185"/>
      <c r="Z853" s="185"/>
      <c r="AA853" s="185"/>
      <c r="AB853" s="185" t="str">
        <f>IFERROR(__xludf.DUMMYFUNCTION("LET(width,COLUMN($AB$1)-COLUMN($G$1),r,INDEX($G853:$AAB853,1,SEQUENCE(1,width)),flat,TOCOL(r,1),bad,FILTER(flat,COUNTIF('リスト'!$E:$E,flat)=0),IFERROR(TEXTJOIN(""\n"",TRUE,bad),""""))"),"")</f>
        <v/>
      </c>
      <c r="AC853" s="185"/>
      <c r="AD853" s="185"/>
    </row>
    <row r="854">
      <c r="A854" s="185"/>
      <c r="B854" s="185"/>
      <c r="C854" s="185"/>
      <c r="D854" s="185"/>
      <c r="E854" s="203"/>
      <c r="F854" s="203"/>
      <c r="G854" s="185"/>
      <c r="H854" s="185"/>
      <c r="I854" s="185"/>
      <c r="J854" s="185"/>
      <c r="K854" s="185"/>
      <c r="L854" s="185"/>
      <c r="M854" s="185"/>
      <c r="N854" s="185"/>
      <c r="O854" s="185"/>
      <c r="P854" s="185"/>
      <c r="Q854" s="185"/>
      <c r="R854" s="185"/>
      <c r="S854" s="185"/>
      <c r="T854" s="185"/>
      <c r="U854" s="185"/>
      <c r="V854" s="185"/>
      <c r="W854" s="185"/>
      <c r="X854" s="185"/>
      <c r="Y854" s="185"/>
      <c r="Z854" s="185"/>
      <c r="AA854" s="185"/>
      <c r="AB854" s="185" t="str">
        <f>IFERROR(__xludf.DUMMYFUNCTION("LET(width,COLUMN($AB$1)-COLUMN($G$1),r,INDEX($G854:$AAB854,1,SEQUENCE(1,width)),flat,TOCOL(r,1),bad,FILTER(flat,COUNTIF('リスト'!$E:$E,flat)=0),IFERROR(TEXTJOIN(""\n"",TRUE,bad),""""))"),"")</f>
        <v/>
      </c>
      <c r="AC854" s="185"/>
      <c r="AD854" s="185"/>
    </row>
    <row r="855">
      <c r="A855" s="185"/>
      <c r="B855" s="185"/>
      <c r="C855" s="185"/>
      <c r="D855" s="185"/>
      <c r="E855" s="203"/>
      <c r="F855" s="203"/>
      <c r="G855" s="185"/>
      <c r="H855" s="185"/>
      <c r="I855" s="185"/>
      <c r="J855" s="185"/>
      <c r="K855" s="185"/>
      <c r="L855" s="185"/>
      <c r="M855" s="185"/>
      <c r="N855" s="185"/>
      <c r="O855" s="185"/>
      <c r="P855" s="185"/>
      <c r="Q855" s="185"/>
      <c r="R855" s="185"/>
      <c r="S855" s="185"/>
      <c r="T855" s="185"/>
      <c r="U855" s="185"/>
      <c r="V855" s="185"/>
      <c r="W855" s="185"/>
      <c r="X855" s="185"/>
      <c r="Y855" s="185"/>
      <c r="Z855" s="185"/>
      <c r="AA855" s="185"/>
      <c r="AB855" s="185" t="str">
        <f>IFERROR(__xludf.DUMMYFUNCTION("LET(width,COLUMN($AB$1)-COLUMN($G$1),r,INDEX($G855:$AAB855,1,SEQUENCE(1,width)),flat,TOCOL(r,1),bad,FILTER(flat,COUNTIF('リスト'!$E:$E,flat)=0),IFERROR(TEXTJOIN(""\n"",TRUE,bad),""""))"),"")</f>
        <v/>
      </c>
      <c r="AC855" s="185"/>
      <c r="AD855" s="185"/>
    </row>
    <row r="856">
      <c r="A856" s="185"/>
      <c r="B856" s="185"/>
      <c r="C856" s="185"/>
      <c r="D856" s="185"/>
      <c r="E856" s="203"/>
      <c r="F856" s="203"/>
      <c r="G856" s="185"/>
      <c r="H856" s="185"/>
      <c r="I856" s="185"/>
      <c r="J856" s="185"/>
      <c r="K856" s="185"/>
      <c r="L856" s="185"/>
      <c r="M856" s="185"/>
      <c r="N856" s="185"/>
      <c r="O856" s="185"/>
      <c r="P856" s="185"/>
      <c r="Q856" s="185"/>
      <c r="R856" s="185"/>
      <c r="S856" s="185"/>
      <c r="T856" s="185"/>
      <c r="U856" s="185"/>
      <c r="V856" s="185"/>
      <c r="W856" s="185"/>
      <c r="X856" s="185"/>
      <c r="Y856" s="185"/>
      <c r="Z856" s="185"/>
      <c r="AA856" s="185"/>
      <c r="AB856" s="185" t="str">
        <f>IFERROR(__xludf.DUMMYFUNCTION("LET(width,COLUMN($AB$1)-COLUMN($G$1),r,INDEX($G856:$AAB856,1,SEQUENCE(1,width)),flat,TOCOL(r,1),bad,FILTER(flat,COUNTIF('リスト'!$E:$E,flat)=0),IFERROR(TEXTJOIN(""\n"",TRUE,bad),""""))"),"")</f>
        <v/>
      </c>
      <c r="AC856" s="185"/>
      <c r="AD856" s="185"/>
    </row>
    <row r="857">
      <c r="A857" s="185"/>
      <c r="B857" s="185"/>
      <c r="C857" s="185"/>
      <c r="D857" s="185"/>
      <c r="E857" s="203"/>
      <c r="F857" s="203"/>
      <c r="G857" s="185"/>
      <c r="H857" s="185"/>
      <c r="I857" s="185"/>
      <c r="J857" s="185"/>
      <c r="K857" s="185"/>
      <c r="L857" s="185"/>
      <c r="M857" s="185"/>
      <c r="N857" s="185"/>
      <c r="O857" s="185"/>
      <c r="P857" s="185"/>
      <c r="Q857" s="185"/>
      <c r="R857" s="185"/>
      <c r="S857" s="185"/>
      <c r="T857" s="185"/>
      <c r="U857" s="185"/>
      <c r="V857" s="185"/>
      <c r="W857" s="185"/>
      <c r="X857" s="185"/>
      <c r="Y857" s="185"/>
      <c r="Z857" s="185"/>
      <c r="AA857" s="185"/>
      <c r="AB857" s="185" t="str">
        <f>IFERROR(__xludf.DUMMYFUNCTION("LET(width,COLUMN($AB$1)-COLUMN($G$1),r,INDEX($G857:$AAB857,1,SEQUENCE(1,width)),flat,TOCOL(r,1),bad,FILTER(flat,COUNTIF('リスト'!$E:$E,flat)=0),IFERROR(TEXTJOIN(""\n"",TRUE,bad),""""))"),"")</f>
        <v/>
      </c>
      <c r="AC857" s="185"/>
      <c r="AD857" s="185"/>
    </row>
    <row r="858">
      <c r="A858" s="185"/>
      <c r="B858" s="185"/>
      <c r="C858" s="185"/>
      <c r="D858" s="185"/>
      <c r="E858" s="203"/>
      <c r="F858" s="203"/>
      <c r="G858" s="185"/>
      <c r="H858" s="185"/>
      <c r="I858" s="185"/>
      <c r="J858" s="185"/>
      <c r="K858" s="185"/>
      <c r="L858" s="185"/>
      <c r="M858" s="185"/>
      <c r="N858" s="185"/>
      <c r="O858" s="185"/>
      <c r="P858" s="185"/>
      <c r="Q858" s="185"/>
      <c r="R858" s="185"/>
      <c r="S858" s="185"/>
      <c r="T858" s="185"/>
      <c r="U858" s="185"/>
      <c r="V858" s="185"/>
      <c r="W858" s="185"/>
      <c r="X858" s="185"/>
      <c r="Y858" s="185"/>
      <c r="Z858" s="185"/>
      <c r="AA858" s="185"/>
      <c r="AB858" s="185" t="str">
        <f>IFERROR(__xludf.DUMMYFUNCTION("LET(width,COLUMN($AB$1)-COLUMN($G$1),r,INDEX($G858:$AAB858,1,SEQUENCE(1,width)),flat,TOCOL(r,1),bad,FILTER(flat,COUNTIF('リスト'!$E:$E,flat)=0),IFERROR(TEXTJOIN(""\n"",TRUE,bad),""""))"),"")</f>
        <v/>
      </c>
      <c r="AC858" s="185"/>
      <c r="AD858" s="185"/>
    </row>
    <row r="859">
      <c r="A859" s="185"/>
      <c r="B859" s="185"/>
      <c r="C859" s="185"/>
      <c r="D859" s="185"/>
      <c r="E859" s="203"/>
      <c r="F859" s="203"/>
      <c r="G859" s="185"/>
      <c r="H859" s="185"/>
      <c r="I859" s="185"/>
      <c r="J859" s="185"/>
      <c r="K859" s="185"/>
      <c r="L859" s="185"/>
      <c r="M859" s="185"/>
      <c r="N859" s="185"/>
      <c r="O859" s="185"/>
      <c r="P859" s="185"/>
      <c r="Q859" s="185"/>
      <c r="R859" s="185"/>
      <c r="S859" s="185"/>
      <c r="T859" s="185"/>
      <c r="U859" s="185"/>
      <c r="V859" s="185"/>
      <c r="W859" s="185"/>
      <c r="X859" s="185"/>
      <c r="Y859" s="185"/>
      <c r="Z859" s="185"/>
      <c r="AA859" s="185"/>
      <c r="AB859" s="185" t="str">
        <f>IFERROR(__xludf.DUMMYFUNCTION("LET(width,COLUMN($AB$1)-COLUMN($G$1),r,INDEX($G859:$AAB859,1,SEQUENCE(1,width)),flat,TOCOL(r,1),bad,FILTER(flat,COUNTIF('リスト'!$E:$E,flat)=0),IFERROR(TEXTJOIN(""\n"",TRUE,bad),""""))"),"")</f>
        <v/>
      </c>
      <c r="AC859" s="185"/>
      <c r="AD859" s="185"/>
    </row>
    <row r="860">
      <c r="A860" s="185"/>
      <c r="B860" s="185"/>
      <c r="C860" s="185"/>
      <c r="D860" s="185"/>
      <c r="E860" s="203"/>
      <c r="F860" s="203"/>
      <c r="G860" s="185"/>
      <c r="H860" s="185"/>
      <c r="I860" s="185"/>
      <c r="J860" s="185"/>
      <c r="K860" s="185"/>
      <c r="L860" s="185"/>
      <c r="M860" s="185"/>
      <c r="N860" s="185"/>
      <c r="O860" s="185"/>
      <c r="P860" s="185"/>
      <c r="Q860" s="185"/>
      <c r="R860" s="185"/>
      <c r="S860" s="185"/>
      <c r="T860" s="185"/>
      <c r="U860" s="185"/>
      <c r="V860" s="185"/>
      <c r="W860" s="185"/>
      <c r="X860" s="185"/>
      <c r="Y860" s="185"/>
      <c r="Z860" s="185"/>
      <c r="AA860" s="185"/>
      <c r="AB860" s="185" t="str">
        <f>IFERROR(__xludf.DUMMYFUNCTION("LET(width,COLUMN($AB$1)-COLUMN($G$1),r,INDEX($G860:$AAB860,1,SEQUENCE(1,width)),flat,TOCOL(r,1),bad,FILTER(flat,COUNTIF('リスト'!$E:$E,flat)=0),IFERROR(TEXTJOIN(""\n"",TRUE,bad),""""))"),"")</f>
        <v/>
      </c>
      <c r="AC860" s="185"/>
      <c r="AD860" s="185"/>
    </row>
    <row r="861">
      <c r="A861" s="185"/>
      <c r="B861" s="185"/>
      <c r="C861" s="185"/>
      <c r="D861" s="185"/>
      <c r="E861" s="203"/>
      <c r="F861" s="203"/>
      <c r="G861" s="185"/>
      <c r="H861" s="185"/>
      <c r="I861" s="185"/>
      <c r="J861" s="185"/>
      <c r="K861" s="185"/>
      <c r="L861" s="185"/>
      <c r="M861" s="185"/>
      <c r="N861" s="185"/>
      <c r="O861" s="185"/>
      <c r="P861" s="185"/>
      <c r="Q861" s="185"/>
      <c r="R861" s="185"/>
      <c r="S861" s="185"/>
      <c r="T861" s="185"/>
      <c r="U861" s="185"/>
      <c r="V861" s="185"/>
      <c r="W861" s="185"/>
      <c r="X861" s="185"/>
      <c r="Y861" s="185"/>
      <c r="Z861" s="185"/>
      <c r="AA861" s="185"/>
      <c r="AB861" s="185" t="str">
        <f>IFERROR(__xludf.DUMMYFUNCTION("LET(width,COLUMN($AB$1)-COLUMN($G$1),r,INDEX($G861:$AAB861,1,SEQUENCE(1,width)),flat,TOCOL(r,1),bad,FILTER(flat,COUNTIF('リスト'!$E:$E,flat)=0),IFERROR(TEXTJOIN(""\n"",TRUE,bad),""""))"),"")</f>
        <v/>
      </c>
      <c r="AC861" s="185"/>
      <c r="AD861" s="185"/>
    </row>
    <row r="862">
      <c r="A862" s="185"/>
      <c r="B862" s="185"/>
      <c r="C862" s="185"/>
      <c r="D862" s="185"/>
      <c r="E862" s="203"/>
      <c r="F862" s="203"/>
      <c r="G862" s="185"/>
      <c r="H862" s="185"/>
      <c r="I862" s="185"/>
      <c r="J862" s="185"/>
      <c r="K862" s="185"/>
      <c r="L862" s="185"/>
      <c r="M862" s="185"/>
      <c r="N862" s="185"/>
      <c r="O862" s="185"/>
      <c r="P862" s="185"/>
      <c r="Q862" s="185"/>
      <c r="R862" s="185"/>
      <c r="S862" s="185"/>
      <c r="T862" s="185"/>
      <c r="U862" s="185"/>
      <c r="V862" s="185"/>
      <c r="W862" s="185"/>
      <c r="X862" s="185"/>
      <c r="Y862" s="185"/>
      <c r="Z862" s="185"/>
      <c r="AA862" s="185"/>
      <c r="AB862" s="185" t="str">
        <f>IFERROR(__xludf.DUMMYFUNCTION("LET(width,COLUMN($AB$1)-COLUMN($G$1),r,INDEX($G862:$AAB862,1,SEQUENCE(1,width)),flat,TOCOL(r,1),bad,FILTER(flat,COUNTIF('リスト'!$E:$E,flat)=0),IFERROR(TEXTJOIN(""\n"",TRUE,bad),""""))"),"")</f>
        <v/>
      </c>
      <c r="AC862" s="185"/>
      <c r="AD862" s="185"/>
    </row>
    <row r="863">
      <c r="A863" s="185"/>
      <c r="B863" s="185"/>
      <c r="C863" s="185"/>
      <c r="D863" s="185"/>
      <c r="E863" s="203"/>
      <c r="F863" s="203"/>
      <c r="G863" s="185"/>
      <c r="H863" s="185"/>
      <c r="I863" s="185"/>
      <c r="J863" s="185"/>
      <c r="K863" s="185"/>
      <c r="L863" s="185"/>
      <c r="M863" s="185"/>
      <c r="N863" s="185"/>
      <c r="O863" s="185"/>
      <c r="P863" s="185"/>
      <c r="Q863" s="185"/>
      <c r="R863" s="185"/>
      <c r="S863" s="185"/>
      <c r="T863" s="185"/>
      <c r="U863" s="185"/>
      <c r="V863" s="185"/>
      <c r="W863" s="185"/>
      <c r="X863" s="185"/>
      <c r="Y863" s="185"/>
      <c r="Z863" s="185"/>
      <c r="AA863" s="185"/>
      <c r="AB863" s="185" t="str">
        <f>IFERROR(__xludf.DUMMYFUNCTION("LET(width,COLUMN($AB$1)-COLUMN($G$1),r,INDEX($G863:$AAB863,1,SEQUENCE(1,width)),flat,TOCOL(r,1),bad,FILTER(flat,COUNTIF('リスト'!$E:$E,flat)=0),IFERROR(TEXTJOIN(""\n"",TRUE,bad),""""))"),"")</f>
        <v/>
      </c>
      <c r="AC863" s="185"/>
      <c r="AD863" s="185"/>
    </row>
    <row r="864">
      <c r="A864" s="185"/>
      <c r="B864" s="185"/>
      <c r="C864" s="185"/>
      <c r="D864" s="185"/>
      <c r="E864" s="203"/>
      <c r="F864" s="203"/>
      <c r="G864" s="185"/>
      <c r="H864" s="185"/>
      <c r="I864" s="185"/>
      <c r="J864" s="185"/>
      <c r="K864" s="185"/>
      <c r="L864" s="185"/>
      <c r="M864" s="185"/>
      <c r="N864" s="185"/>
      <c r="O864" s="185"/>
      <c r="P864" s="185"/>
      <c r="Q864" s="185"/>
      <c r="R864" s="185"/>
      <c r="S864" s="185"/>
      <c r="T864" s="185"/>
      <c r="U864" s="185"/>
      <c r="V864" s="185"/>
      <c r="W864" s="185"/>
      <c r="X864" s="185"/>
      <c r="Y864" s="185"/>
      <c r="Z864" s="185"/>
      <c r="AA864" s="185"/>
      <c r="AB864" s="185" t="str">
        <f>IFERROR(__xludf.DUMMYFUNCTION("LET(width,COLUMN($AB$1)-COLUMN($G$1),r,INDEX($G864:$AAB864,1,SEQUENCE(1,width)),flat,TOCOL(r,1),bad,FILTER(flat,COUNTIF('リスト'!$E:$E,flat)=0),IFERROR(TEXTJOIN(""\n"",TRUE,bad),""""))"),"")</f>
        <v/>
      </c>
      <c r="AC864" s="185"/>
      <c r="AD864" s="185"/>
    </row>
    <row r="865">
      <c r="A865" s="185"/>
      <c r="B865" s="185"/>
      <c r="C865" s="185"/>
      <c r="D865" s="185"/>
      <c r="E865" s="203"/>
      <c r="F865" s="203"/>
      <c r="G865" s="185"/>
      <c r="H865" s="185"/>
      <c r="I865" s="185"/>
      <c r="J865" s="185"/>
      <c r="K865" s="185"/>
      <c r="L865" s="185"/>
      <c r="M865" s="185"/>
      <c r="N865" s="185"/>
      <c r="O865" s="185"/>
      <c r="P865" s="185"/>
      <c r="Q865" s="185"/>
      <c r="R865" s="185"/>
      <c r="S865" s="185"/>
      <c r="T865" s="185"/>
      <c r="U865" s="185"/>
      <c r="V865" s="185"/>
      <c r="W865" s="185"/>
      <c r="X865" s="185"/>
      <c r="Y865" s="185"/>
      <c r="Z865" s="185"/>
      <c r="AA865" s="185"/>
      <c r="AB865" s="185" t="str">
        <f>IFERROR(__xludf.DUMMYFUNCTION("LET(width,COLUMN($AB$1)-COLUMN($G$1),r,INDEX($G865:$AAB865,1,SEQUENCE(1,width)),flat,TOCOL(r,1),bad,FILTER(flat,COUNTIF('リスト'!$E:$E,flat)=0),IFERROR(TEXTJOIN(""\n"",TRUE,bad),""""))"),"")</f>
        <v/>
      </c>
      <c r="AC865" s="185"/>
      <c r="AD865" s="185"/>
    </row>
    <row r="866">
      <c r="A866" s="185"/>
      <c r="B866" s="185"/>
      <c r="C866" s="185"/>
      <c r="D866" s="185"/>
      <c r="E866" s="203"/>
      <c r="F866" s="203"/>
      <c r="G866" s="185"/>
      <c r="H866" s="185"/>
      <c r="I866" s="185"/>
      <c r="J866" s="185"/>
      <c r="K866" s="185"/>
      <c r="L866" s="185"/>
      <c r="M866" s="185"/>
      <c r="N866" s="185"/>
      <c r="O866" s="185"/>
      <c r="P866" s="185"/>
      <c r="Q866" s="185"/>
      <c r="R866" s="185"/>
      <c r="S866" s="185"/>
      <c r="T866" s="185"/>
      <c r="U866" s="185"/>
      <c r="V866" s="185"/>
      <c r="W866" s="185"/>
      <c r="X866" s="185"/>
      <c r="Y866" s="185"/>
      <c r="Z866" s="185"/>
      <c r="AA866" s="185"/>
      <c r="AB866" s="185" t="str">
        <f>IFERROR(__xludf.DUMMYFUNCTION("LET(width,COLUMN($AB$1)-COLUMN($G$1),r,INDEX($G866:$AAB866,1,SEQUENCE(1,width)),flat,TOCOL(r,1),bad,FILTER(flat,COUNTIF('リスト'!$E:$E,flat)=0),IFERROR(TEXTJOIN(""\n"",TRUE,bad),""""))"),"")</f>
        <v/>
      </c>
      <c r="AC866" s="185"/>
      <c r="AD866" s="185"/>
    </row>
    <row r="867">
      <c r="A867" s="185"/>
      <c r="B867" s="185"/>
      <c r="C867" s="185"/>
      <c r="D867" s="185"/>
      <c r="E867" s="203"/>
      <c r="F867" s="203"/>
      <c r="G867" s="185"/>
      <c r="H867" s="185"/>
      <c r="I867" s="185"/>
      <c r="J867" s="185"/>
      <c r="K867" s="185"/>
      <c r="L867" s="185"/>
      <c r="M867" s="185"/>
      <c r="N867" s="185"/>
      <c r="O867" s="185"/>
      <c r="P867" s="185"/>
      <c r="Q867" s="185"/>
      <c r="R867" s="185"/>
      <c r="S867" s="185"/>
      <c r="T867" s="185"/>
      <c r="U867" s="185"/>
      <c r="V867" s="185"/>
      <c r="W867" s="185"/>
      <c r="X867" s="185"/>
      <c r="Y867" s="185"/>
      <c r="Z867" s="185"/>
      <c r="AA867" s="185"/>
      <c r="AB867" s="185" t="str">
        <f>IFERROR(__xludf.DUMMYFUNCTION("LET(width,COLUMN($AB$1)-COLUMN($G$1),r,INDEX($G867:$AAB867,1,SEQUENCE(1,width)),flat,TOCOL(r,1),bad,FILTER(flat,COUNTIF('リスト'!$E:$E,flat)=0),IFERROR(TEXTJOIN(""\n"",TRUE,bad),""""))"),"")</f>
        <v/>
      </c>
      <c r="AC867" s="185"/>
      <c r="AD867" s="185"/>
    </row>
    <row r="868">
      <c r="A868" s="185"/>
      <c r="B868" s="185"/>
      <c r="C868" s="185"/>
      <c r="D868" s="185"/>
      <c r="E868" s="203"/>
      <c r="F868" s="203"/>
      <c r="G868" s="185"/>
      <c r="H868" s="185"/>
      <c r="I868" s="185"/>
      <c r="J868" s="185"/>
      <c r="K868" s="185"/>
      <c r="L868" s="185"/>
      <c r="M868" s="185"/>
      <c r="N868" s="185"/>
      <c r="O868" s="185"/>
      <c r="P868" s="185"/>
      <c r="Q868" s="185"/>
      <c r="R868" s="185"/>
      <c r="S868" s="185"/>
      <c r="T868" s="185"/>
      <c r="U868" s="185"/>
      <c r="V868" s="185"/>
      <c r="W868" s="185"/>
      <c r="X868" s="185"/>
      <c r="Y868" s="185"/>
      <c r="Z868" s="185"/>
      <c r="AA868" s="185"/>
      <c r="AB868" s="185" t="str">
        <f>IFERROR(__xludf.DUMMYFUNCTION("LET(width,COLUMN($AB$1)-COLUMN($G$1),r,INDEX($G868:$AAB868,1,SEQUENCE(1,width)),flat,TOCOL(r,1),bad,FILTER(flat,COUNTIF('リスト'!$E:$E,flat)=0),IFERROR(TEXTJOIN(""\n"",TRUE,bad),""""))"),"")</f>
        <v/>
      </c>
      <c r="AC868" s="185"/>
      <c r="AD868" s="185"/>
    </row>
    <row r="869">
      <c r="A869" s="185"/>
      <c r="B869" s="185"/>
      <c r="C869" s="185"/>
      <c r="D869" s="185"/>
      <c r="E869" s="203"/>
      <c r="F869" s="203"/>
      <c r="G869" s="185"/>
      <c r="H869" s="185"/>
      <c r="I869" s="185"/>
      <c r="J869" s="185"/>
      <c r="K869" s="185"/>
      <c r="L869" s="185"/>
      <c r="M869" s="185"/>
      <c r="N869" s="185"/>
      <c r="O869" s="185"/>
      <c r="P869" s="185"/>
      <c r="Q869" s="185"/>
      <c r="R869" s="185"/>
      <c r="S869" s="185"/>
      <c r="T869" s="185"/>
      <c r="U869" s="185"/>
      <c r="V869" s="185"/>
      <c r="W869" s="185"/>
      <c r="X869" s="185"/>
      <c r="Y869" s="185"/>
      <c r="Z869" s="185"/>
      <c r="AA869" s="185"/>
      <c r="AB869" s="185" t="str">
        <f>IFERROR(__xludf.DUMMYFUNCTION("LET(width,COLUMN($AB$1)-COLUMN($G$1),r,INDEX($G869:$AAB869,1,SEQUENCE(1,width)),flat,TOCOL(r,1),bad,FILTER(flat,COUNTIF('リスト'!$E:$E,flat)=0),IFERROR(TEXTJOIN(""\n"",TRUE,bad),""""))"),"")</f>
        <v/>
      </c>
      <c r="AC869" s="185"/>
      <c r="AD869" s="185"/>
    </row>
    <row r="870">
      <c r="A870" s="185"/>
      <c r="B870" s="185"/>
      <c r="C870" s="185"/>
      <c r="D870" s="185"/>
      <c r="E870" s="203"/>
      <c r="F870" s="203"/>
      <c r="G870" s="185"/>
      <c r="H870" s="185"/>
      <c r="I870" s="185"/>
      <c r="J870" s="185"/>
      <c r="K870" s="185"/>
      <c r="L870" s="185"/>
      <c r="M870" s="185"/>
      <c r="N870" s="185"/>
      <c r="O870" s="185"/>
      <c r="P870" s="185"/>
      <c r="Q870" s="185"/>
      <c r="R870" s="185"/>
      <c r="S870" s="185"/>
      <c r="T870" s="185"/>
      <c r="U870" s="185"/>
      <c r="V870" s="185"/>
      <c r="W870" s="185"/>
      <c r="X870" s="185"/>
      <c r="Y870" s="185"/>
      <c r="Z870" s="185"/>
      <c r="AA870" s="185"/>
      <c r="AB870" s="185" t="str">
        <f>IFERROR(__xludf.DUMMYFUNCTION("LET(width,COLUMN($AB$1)-COLUMN($G$1),r,INDEX($G870:$AAB870,1,SEQUENCE(1,width)),flat,TOCOL(r,1),bad,FILTER(flat,COUNTIF('リスト'!$E:$E,flat)=0),IFERROR(TEXTJOIN(""\n"",TRUE,bad),""""))"),"")</f>
        <v/>
      </c>
      <c r="AC870" s="185"/>
      <c r="AD870" s="185"/>
    </row>
    <row r="871">
      <c r="A871" s="185"/>
      <c r="B871" s="185"/>
      <c r="C871" s="185"/>
      <c r="D871" s="185"/>
      <c r="E871" s="203"/>
      <c r="F871" s="203"/>
      <c r="G871" s="185"/>
      <c r="H871" s="185"/>
      <c r="I871" s="185"/>
      <c r="J871" s="185"/>
      <c r="K871" s="185"/>
      <c r="L871" s="185"/>
      <c r="M871" s="185"/>
      <c r="N871" s="185"/>
      <c r="O871" s="185"/>
      <c r="P871" s="185"/>
      <c r="Q871" s="185"/>
      <c r="R871" s="185"/>
      <c r="S871" s="185"/>
      <c r="T871" s="185"/>
      <c r="U871" s="185"/>
      <c r="V871" s="185"/>
      <c r="W871" s="185"/>
      <c r="X871" s="185"/>
      <c r="Y871" s="185"/>
      <c r="Z871" s="185"/>
      <c r="AA871" s="185"/>
      <c r="AB871" s="185" t="str">
        <f>IFERROR(__xludf.DUMMYFUNCTION("LET(width,COLUMN($AB$1)-COLUMN($G$1),r,INDEX($G871:$AAB871,1,SEQUENCE(1,width)),flat,TOCOL(r,1),bad,FILTER(flat,COUNTIF('リスト'!$E:$E,flat)=0),IFERROR(TEXTJOIN(""\n"",TRUE,bad),""""))"),"")</f>
        <v/>
      </c>
      <c r="AC871" s="185"/>
      <c r="AD871" s="185"/>
    </row>
    <row r="872">
      <c r="A872" s="185"/>
      <c r="B872" s="185"/>
      <c r="C872" s="185"/>
      <c r="D872" s="185"/>
      <c r="E872" s="203"/>
      <c r="F872" s="203"/>
      <c r="G872" s="185"/>
      <c r="H872" s="185"/>
      <c r="I872" s="185"/>
      <c r="J872" s="185"/>
      <c r="K872" s="185"/>
      <c r="L872" s="185"/>
      <c r="M872" s="185"/>
      <c r="N872" s="185"/>
      <c r="O872" s="185"/>
      <c r="P872" s="185"/>
      <c r="Q872" s="185"/>
      <c r="R872" s="185"/>
      <c r="S872" s="185"/>
      <c r="T872" s="185"/>
      <c r="U872" s="185"/>
      <c r="V872" s="185"/>
      <c r="W872" s="185"/>
      <c r="X872" s="185"/>
      <c r="Y872" s="185"/>
      <c r="Z872" s="185"/>
      <c r="AA872" s="185"/>
      <c r="AB872" s="185" t="str">
        <f>IFERROR(__xludf.DUMMYFUNCTION("LET(width,COLUMN($AB$1)-COLUMN($G$1),r,INDEX($G872:$AAB872,1,SEQUENCE(1,width)),flat,TOCOL(r,1),bad,FILTER(flat,COUNTIF('リスト'!$E:$E,flat)=0),IFERROR(TEXTJOIN(""\n"",TRUE,bad),""""))"),"")</f>
        <v/>
      </c>
      <c r="AC872" s="185"/>
      <c r="AD872" s="185"/>
    </row>
    <row r="873">
      <c r="A873" s="185"/>
      <c r="B873" s="185"/>
      <c r="C873" s="185"/>
      <c r="D873" s="185"/>
      <c r="E873" s="203"/>
      <c r="F873" s="203"/>
      <c r="G873" s="185"/>
      <c r="H873" s="185"/>
      <c r="I873" s="185"/>
      <c r="J873" s="185"/>
      <c r="K873" s="185"/>
      <c r="L873" s="185"/>
      <c r="M873" s="185"/>
      <c r="N873" s="185"/>
      <c r="O873" s="185"/>
      <c r="P873" s="185"/>
      <c r="Q873" s="185"/>
      <c r="R873" s="185"/>
      <c r="S873" s="185"/>
      <c r="T873" s="185"/>
      <c r="U873" s="185"/>
      <c r="V873" s="185"/>
      <c r="W873" s="185"/>
      <c r="X873" s="185"/>
      <c r="Y873" s="185"/>
      <c r="Z873" s="185"/>
      <c r="AA873" s="185"/>
      <c r="AB873" s="185" t="str">
        <f>IFERROR(__xludf.DUMMYFUNCTION("LET(width,COLUMN($AB$1)-COLUMN($G$1),r,INDEX($G873:$AAB873,1,SEQUENCE(1,width)),flat,TOCOL(r,1),bad,FILTER(flat,COUNTIF('リスト'!$E:$E,flat)=0),IFERROR(TEXTJOIN(""\n"",TRUE,bad),""""))"),"")</f>
        <v/>
      </c>
      <c r="AC873" s="185"/>
      <c r="AD873" s="185"/>
    </row>
    <row r="874">
      <c r="A874" s="185"/>
      <c r="B874" s="185"/>
      <c r="C874" s="185"/>
      <c r="D874" s="185"/>
      <c r="E874" s="203"/>
      <c r="F874" s="203"/>
      <c r="G874" s="185"/>
      <c r="H874" s="185"/>
      <c r="I874" s="185"/>
      <c r="J874" s="185"/>
      <c r="K874" s="185"/>
      <c r="L874" s="185"/>
      <c r="M874" s="185"/>
      <c r="N874" s="185"/>
      <c r="O874" s="185"/>
      <c r="P874" s="185"/>
      <c r="Q874" s="185"/>
      <c r="R874" s="185"/>
      <c r="S874" s="185"/>
      <c r="T874" s="185"/>
      <c r="U874" s="185"/>
      <c r="V874" s="185"/>
      <c r="W874" s="185"/>
      <c r="X874" s="185"/>
      <c r="Y874" s="185"/>
      <c r="Z874" s="185"/>
      <c r="AA874" s="185"/>
      <c r="AB874" s="185" t="str">
        <f>IFERROR(__xludf.DUMMYFUNCTION("LET(width,COLUMN($AB$1)-COLUMN($G$1),r,INDEX($G874:$AAB874,1,SEQUENCE(1,width)),flat,TOCOL(r,1),bad,FILTER(flat,COUNTIF('リスト'!$E:$E,flat)=0),IFERROR(TEXTJOIN(""\n"",TRUE,bad),""""))"),"")</f>
        <v/>
      </c>
      <c r="AC874" s="185"/>
      <c r="AD874" s="185"/>
    </row>
    <row r="875">
      <c r="A875" s="185"/>
      <c r="B875" s="185"/>
      <c r="C875" s="185"/>
      <c r="D875" s="185"/>
      <c r="E875" s="203"/>
      <c r="F875" s="203"/>
      <c r="G875" s="185"/>
      <c r="H875" s="185"/>
      <c r="I875" s="185"/>
      <c r="J875" s="185"/>
      <c r="K875" s="185"/>
      <c r="L875" s="185"/>
      <c r="M875" s="185"/>
      <c r="N875" s="185"/>
      <c r="O875" s="185"/>
      <c r="P875" s="185"/>
      <c r="Q875" s="185"/>
      <c r="R875" s="185"/>
      <c r="S875" s="185"/>
      <c r="T875" s="185"/>
      <c r="U875" s="185"/>
      <c r="V875" s="185"/>
      <c r="W875" s="185"/>
      <c r="X875" s="185"/>
      <c r="Y875" s="185"/>
      <c r="Z875" s="185"/>
      <c r="AA875" s="185"/>
      <c r="AB875" s="185" t="str">
        <f>IFERROR(__xludf.DUMMYFUNCTION("LET(width,COLUMN($AB$1)-COLUMN($G$1),r,INDEX($G875:$AAB875,1,SEQUENCE(1,width)),flat,TOCOL(r,1),bad,FILTER(flat,COUNTIF('リスト'!$E:$E,flat)=0),IFERROR(TEXTJOIN(""\n"",TRUE,bad),""""))"),"")</f>
        <v/>
      </c>
      <c r="AC875" s="185"/>
      <c r="AD875" s="185"/>
    </row>
    <row r="876">
      <c r="A876" s="185"/>
      <c r="B876" s="185"/>
      <c r="C876" s="185"/>
      <c r="D876" s="185"/>
      <c r="E876" s="203"/>
      <c r="F876" s="203"/>
      <c r="G876" s="185"/>
      <c r="H876" s="185"/>
      <c r="I876" s="185"/>
      <c r="J876" s="185"/>
      <c r="K876" s="185"/>
      <c r="L876" s="185"/>
      <c r="M876" s="185"/>
      <c r="N876" s="185"/>
      <c r="O876" s="185"/>
      <c r="P876" s="185"/>
      <c r="Q876" s="185"/>
      <c r="R876" s="185"/>
      <c r="S876" s="185"/>
      <c r="T876" s="185"/>
      <c r="U876" s="185"/>
      <c r="V876" s="185"/>
      <c r="W876" s="185"/>
      <c r="X876" s="185"/>
      <c r="Y876" s="185"/>
      <c r="Z876" s="185"/>
      <c r="AA876" s="185"/>
      <c r="AB876" s="185" t="str">
        <f>IFERROR(__xludf.DUMMYFUNCTION("LET(width,COLUMN($AB$1)-COLUMN($G$1),r,INDEX($G876:$AAB876,1,SEQUENCE(1,width)),flat,TOCOL(r,1),bad,FILTER(flat,COUNTIF('リスト'!$E:$E,flat)=0),IFERROR(TEXTJOIN(""\n"",TRUE,bad),""""))"),"")</f>
        <v/>
      </c>
      <c r="AC876" s="185"/>
      <c r="AD876" s="185"/>
    </row>
    <row r="877">
      <c r="A877" s="185"/>
      <c r="B877" s="185"/>
      <c r="C877" s="185"/>
      <c r="D877" s="185"/>
      <c r="E877" s="203"/>
      <c r="F877" s="203"/>
      <c r="G877" s="185"/>
      <c r="H877" s="185"/>
      <c r="I877" s="185"/>
      <c r="J877" s="185"/>
      <c r="K877" s="185"/>
      <c r="L877" s="185"/>
      <c r="M877" s="185"/>
      <c r="N877" s="185"/>
      <c r="O877" s="185"/>
      <c r="P877" s="185"/>
      <c r="Q877" s="185"/>
      <c r="R877" s="185"/>
      <c r="S877" s="185"/>
      <c r="T877" s="185"/>
      <c r="U877" s="185"/>
      <c r="V877" s="185"/>
      <c r="W877" s="185"/>
      <c r="X877" s="185"/>
      <c r="Y877" s="185"/>
      <c r="Z877" s="185"/>
      <c r="AA877" s="185"/>
      <c r="AB877" s="185" t="str">
        <f>IFERROR(__xludf.DUMMYFUNCTION("LET(width,COLUMN($AB$1)-COLUMN($G$1),r,INDEX($G877:$AAB877,1,SEQUENCE(1,width)),flat,TOCOL(r,1),bad,FILTER(flat,COUNTIF('リスト'!$E:$E,flat)=0),IFERROR(TEXTJOIN(""\n"",TRUE,bad),""""))"),"")</f>
        <v/>
      </c>
      <c r="AC877" s="185"/>
      <c r="AD877" s="185"/>
    </row>
    <row r="878">
      <c r="A878" s="185"/>
      <c r="B878" s="185"/>
      <c r="C878" s="185"/>
      <c r="D878" s="185"/>
      <c r="E878" s="203"/>
      <c r="F878" s="203"/>
      <c r="G878" s="185"/>
      <c r="H878" s="185"/>
      <c r="I878" s="185"/>
      <c r="J878" s="185"/>
      <c r="K878" s="185"/>
      <c r="L878" s="185"/>
      <c r="M878" s="185"/>
      <c r="N878" s="185"/>
      <c r="O878" s="185"/>
      <c r="P878" s="185"/>
      <c r="Q878" s="185"/>
      <c r="R878" s="185"/>
      <c r="S878" s="185"/>
      <c r="T878" s="185"/>
      <c r="U878" s="185"/>
      <c r="V878" s="185"/>
      <c r="W878" s="185"/>
      <c r="X878" s="185"/>
      <c r="Y878" s="185"/>
      <c r="Z878" s="185"/>
      <c r="AA878" s="185"/>
      <c r="AB878" s="185" t="str">
        <f>IFERROR(__xludf.DUMMYFUNCTION("LET(width,COLUMN($AB$1)-COLUMN($G$1),r,INDEX($G878:$AAB878,1,SEQUENCE(1,width)),flat,TOCOL(r,1),bad,FILTER(flat,COUNTIF('リスト'!$E:$E,flat)=0),IFERROR(TEXTJOIN(""\n"",TRUE,bad),""""))"),"")</f>
        <v/>
      </c>
      <c r="AC878" s="185"/>
      <c r="AD878" s="185"/>
    </row>
    <row r="879">
      <c r="A879" s="185"/>
      <c r="B879" s="185"/>
      <c r="C879" s="185"/>
      <c r="D879" s="185"/>
      <c r="E879" s="203"/>
      <c r="F879" s="203"/>
      <c r="G879" s="185"/>
      <c r="H879" s="185"/>
      <c r="I879" s="185"/>
      <c r="J879" s="185"/>
      <c r="K879" s="185"/>
      <c r="L879" s="185"/>
      <c r="M879" s="185"/>
      <c r="N879" s="185"/>
      <c r="O879" s="185"/>
      <c r="P879" s="185"/>
      <c r="Q879" s="185"/>
      <c r="R879" s="185"/>
      <c r="S879" s="185"/>
      <c r="T879" s="185"/>
      <c r="U879" s="185"/>
      <c r="V879" s="185"/>
      <c r="W879" s="185"/>
      <c r="X879" s="185"/>
      <c r="Y879" s="185"/>
      <c r="Z879" s="185"/>
      <c r="AA879" s="185"/>
      <c r="AB879" s="185" t="str">
        <f>IFERROR(__xludf.DUMMYFUNCTION("LET(width,COLUMN($AB$1)-COLUMN($G$1),r,INDEX($G879:$AAB879,1,SEQUENCE(1,width)),flat,TOCOL(r,1),bad,FILTER(flat,COUNTIF('リスト'!$E:$E,flat)=0),IFERROR(TEXTJOIN(""\n"",TRUE,bad),""""))"),"")</f>
        <v/>
      </c>
      <c r="AC879" s="185"/>
      <c r="AD879" s="185"/>
    </row>
    <row r="880">
      <c r="A880" s="185"/>
      <c r="B880" s="185"/>
      <c r="C880" s="185"/>
      <c r="D880" s="185"/>
      <c r="E880" s="203"/>
      <c r="F880" s="203"/>
      <c r="G880" s="185"/>
      <c r="H880" s="185"/>
      <c r="I880" s="185"/>
      <c r="J880" s="185"/>
      <c r="K880" s="185"/>
      <c r="L880" s="185"/>
      <c r="M880" s="185"/>
      <c r="N880" s="185"/>
      <c r="O880" s="185"/>
      <c r="P880" s="185"/>
      <c r="Q880" s="185"/>
      <c r="R880" s="185"/>
      <c r="S880" s="185"/>
      <c r="T880" s="185"/>
      <c r="U880" s="185"/>
      <c r="V880" s="185"/>
      <c r="W880" s="185"/>
      <c r="X880" s="185"/>
      <c r="Y880" s="185"/>
      <c r="Z880" s="185"/>
      <c r="AA880" s="185"/>
      <c r="AB880" s="185" t="str">
        <f>IFERROR(__xludf.DUMMYFUNCTION("LET(width,COLUMN($AB$1)-COLUMN($G$1),r,INDEX($G880:$AAB880,1,SEQUENCE(1,width)),flat,TOCOL(r,1),bad,FILTER(flat,COUNTIF('リスト'!$E:$E,flat)=0),IFERROR(TEXTJOIN(""\n"",TRUE,bad),""""))"),"")</f>
        <v/>
      </c>
      <c r="AC880" s="185"/>
      <c r="AD880" s="185"/>
    </row>
    <row r="881">
      <c r="A881" s="185"/>
      <c r="B881" s="185"/>
      <c r="C881" s="185"/>
      <c r="D881" s="185"/>
      <c r="E881" s="203"/>
      <c r="F881" s="203"/>
      <c r="G881" s="185"/>
      <c r="H881" s="185"/>
      <c r="I881" s="185"/>
      <c r="J881" s="185"/>
      <c r="K881" s="185"/>
      <c r="L881" s="185"/>
      <c r="M881" s="185"/>
      <c r="N881" s="185"/>
      <c r="O881" s="185"/>
      <c r="P881" s="185"/>
      <c r="Q881" s="185"/>
      <c r="R881" s="185"/>
      <c r="S881" s="185"/>
      <c r="T881" s="185"/>
      <c r="U881" s="185"/>
      <c r="V881" s="185"/>
      <c r="W881" s="185"/>
      <c r="X881" s="185"/>
      <c r="Y881" s="185"/>
      <c r="Z881" s="185"/>
      <c r="AA881" s="185"/>
      <c r="AB881" s="185" t="str">
        <f>IFERROR(__xludf.DUMMYFUNCTION("LET(width,COLUMN($AB$1)-COLUMN($G$1),r,INDEX($G881:$AAB881,1,SEQUENCE(1,width)),flat,TOCOL(r,1),bad,FILTER(flat,COUNTIF('リスト'!$E:$E,flat)=0),IFERROR(TEXTJOIN(""\n"",TRUE,bad),""""))"),"")</f>
        <v/>
      </c>
      <c r="AC881" s="185"/>
      <c r="AD881" s="185"/>
    </row>
    <row r="882">
      <c r="A882" s="185"/>
      <c r="B882" s="185"/>
      <c r="C882" s="185"/>
      <c r="D882" s="185"/>
      <c r="E882" s="203"/>
      <c r="F882" s="203"/>
      <c r="G882" s="185"/>
      <c r="H882" s="185"/>
      <c r="I882" s="185"/>
      <c r="J882" s="185"/>
      <c r="K882" s="185"/>
      <c r="L882" s="185"/>
      <c r="M882" s="185"/>
      <c r="N882" s="185"/>
      <c r="O882" s="185"/>
      <c r="P882" s="185"/>
      <c r="Q882" s="185"/>
      <c r="R882" s="185"/>
      <c r="S882" s="185"/>
      <c r="T882" s="185"/>
      <c r="U882" s="185"/>
      <c r="V882" s="185"/>
      <c r="W882" s="185"/>
      <c r="X882" s="185"/>
      <c r="Y882" s="185"/>
      <c r="Z882" s="185"/>
      <c r="AA882" s="185"/>
      <c r="AB882" s="185" t="str">
        <f>IFERROR(__xludf.DUMMYFUNCTION("LET(width,COLUMN($AB$1)-COLUMN($G$1),r,INDEX($G882:$AAB882,1,SEQUENCE(1,width)),flat,TOCOL(r,1),bad,FILTER(flat,COUNTIF('リスト'!$E:$E,flat)=0),IFERROR(TEXTJOIN(""\n"",TRUE,bad),""""))"),"")</f>
        <v/>
      </c>
      <c r="AC882" s="185"/>
      <c r="AD882" s="185"/>
    </row>
    <row r="883">
      <c r="A883" s="185"/>
      <c r="B883" s="185"/>
      <c r="C883" s="185"/>
      <c r="D883" s="185"/>
      <c r="E883" s="203"/>
      <c r="F883" s="203"/>
      <c r="G883" s="185"/>
      <c r="H883" s="185"/>
      <c r="I883" s="185"/>
      <c r="J883" s="185"/>
      <c r="K883" s="185"/>
      <c r="L883" s="185"/>
      <c r="M883" s="185"/>
      <c r="N883" s="185"/>
      <c r="O883" s="185"/>
      <c r="P883" s="185"/>
      <c r="Q883" s="185"/>
      <c r="R883" s="185"/>
      <c r="S883" s="185"/>
      <c r="T883" s="185"/>
      <c r="U883" s="185"/>
      <c r="V883" s="185"/>
      <c r="W883" s="185"/>
      <c r="X883" s="185"/>
      <c r="Y883" s="185"/>
      <c r="Z883" s="185"/>
      <c r="AA883" s="185"/>
      <c r="AB883" s="185" t="str">
        <f>IFERROR(__xludf.DUMMYFUNCTION("LET(width,COLUMN($AB$1)-COLUMN($G$1),r,INDEX($G883:$AAB883,1,SEQUENCE(1,width)),flat,TOCOL(r,1),bad,FILTER(flat,COUNTIF('リスト'!$E:$E,flat)=0),IFERROR(TEXTJOIN(""\n"",TRUE,bad),""""))"),"")</f>
        <v/>
      </c>
      <c r="AC883" s="185"/>
      <c r="AD883" s="185"/>
    </row>
    <row r="884">
      <c r="A884" s="185"/>
      <c r="B884" s="185"/>
      <c r="C884" s="185"/>
      <c r="D884" s="185"/>
      <c r="E884" s="203"/>
      <c r="F884" s="203"/>
      <c r="G884" s="185"/>
      <c r="H884" s="185"/>
      <c r="I884" s="185"/>
      <c r="J884" s="185"/>
      <c r="K884" s="185"/>
      <c r="L884" s="185"/>
      <c r="M884" s="185"/>
      <c r="N884" s="185"/>
      <c r="O884" s="185"/>
      <c r="P884" s="185"/>
      <c r="Q884" s="185"/>
      <c r="R884" s="185"/>
      <c r="S884" s="185"/>
      <c r="T884" s="185"/>
      <c r="U884" s="185"/>
      <c r="V884" s="185"/>
      <c r="W884" s="185"/>
      <c r="X884" s="185"/>
      <c r="Y884" s="185"/>
      <c r="Z884" s="185"/>
      <c r="AA884" s="185"/>
      <c r="AB884" s="185" t="str">
        <f>IFERROR(__xludf.DUMMYFUNCTION("LET(width,COLUMN($AB$1)-COLUMN($G$1),r,INDEX($G884:$AAB884,1,SEQUENCE(1,width)),flat,TOCOL(r,1),bad,FILTER(flat,COUNTIF('リスト'!$E:$E,flat)=0),IFERROR(TEXTJOIN(""\n"",TRUE,bad),""""))"),"")</f>
        <v/>
      </c>
      <c r="AC884" s="185"/>
      <c r="AD884" s="185"/>
    </row>
    <row r="885">
      <c r="A885" s="185"/>
      <c r="B885" s="185"/>
      <c r="C885" s="185"/>
      <c r="D885" s="185"/>
      <c r="E885" s="203"/>
      <c r="F885" s="203"/>
      <c r="G885" s="185"/>
      <c r="H885" s="185"/>
      <c r="I885" s="185"/>
      <c r="J885" s="185"/>
      <c r="K885" s="185"/>
      <c r="L885" s="185"/>
      <c r="M885" s="185"/>
      <c r="N885" s="185"/>
      <c r="O885" s="185"/>
      <c r="P885" s="185"/>
      <c r="Q885" s="185"/>
      <c r="R885" s="185"/>
      <c r="S885" s="185"/>
      <c r="T885" s="185"/>
      <c r="U885" s="185"/>
      <c r="V885" s="185"/>
      <c r="W885" s="185"/>
      <c r="X885" s="185"/>
      <c r="Y885" s="185"/>
      <c r="Z885" s="185"/>
      <c r="AA885" s="185"/>
      <c r="AB885" s="185" t="str">
        <f>IFERROR(__xludf.DUMMYFUNCTION("LET(width,COLUMN($AB$1)-COLUMN($G$1),r,INDEX($G885:$AAB885,1,SEQUENCE(1,width)),flat,TOCOL(r,1),bad,FILTER(flat,COUNTIF('リスト'!$E:$E,flat)=0),IFERROR(TEXTJOIN(""\n"",TRUE,bad),""""))"),"")</f>
        <v/>
      </c>
      <c r="AC885" s="185"/>
      <c r="AD885" s="185"/>
    </row>
    <row r="886">
      <c r="A886" s="185"/>
      <c r="B886" s="185"/>
      <c r="C886" s="185"/>
      <c r="D886" s="185"/>
      <c r="E886" s="203"/>
      <c r="F886" s="203"/>
      <c r="G886" s="185"/>
      <c r="H886" s="185"/>
      <c r="I886" s="185"/>
      <c r="J886" s="185"/>
      <c r="K886" s="185"/>
      <c r="L886" s="185"/>
      <c r="M886" s="185"/>
      <c r="N886" s="185"/>
      <c r="O886" s="185"/>
      <c r="P886" s="185"/>
      <c r="Q886" s="185"/>
      <c r="R886" s="185"/>
      <c r="S886" s="185"/>
      <c r="T886" s="185"/>
      <c r="U886" s="185"/>
      <c r="V886" s="185"/>
      <c r="W886" s="185"/>
      <c r="X886" s="185"/>
      <c r="Y886" s="185"/>
      <c r="Z886" s="185"/>
      <c r="AA886" s="185"/>
      <c r="AB886" s="185" t="str">
        <f>IFERROR(__xludf.DUMMYFUNCTION("LET(width,COLUMN($AB$1)-COLUMN($G$1),r,INDEX($G886:$AAB886,1,SEQUENCE(1,width)),flat,TOCOL(r,1),bad,FILTER(flat,COUNTIF('リスト'!$E:$E,flat)=0),IFERROR(TEXTJOIN(""\n"",TRUE,bad),""""))"),"")</f>
        <v/>
      </c>
      <c r="AC886" s="185"/>
      <c r="AD886" s="185"/>
    </row>
    <row r="887">
      <c r="A887" s="185"/>
      <c r="B887" s="185"/>
      <c r="C887" s="185"/>
      <c r="D887" s="185"/>
      <c r="E887" s="203"/>
      <c r="F887" s="203"/>
      <c r="G887" s="185"/>
      <c r="H887" s="185"/>
      <c r="I887" s="185"/>
      <c r="J887" s="185"/>
      <c r="K887" s="185"/>
      <c r="L887" s="185"/>
      <c r="M887" s="185"/>
      <c r="N887" s="185"/>
      <c r="O887" s="185"/>
      <c r="P887" s="185"/>
      <c r="Q887" s="185"/>
      <c r="R887" s="185"/>
      <c r="S887" s="185"/>
      <c r="T887" s="185"/>
      <c r="U887" s="185"/>
      <c r="V887" s="185"/>
      <c r="W887" s="185"/>
      <c r="X887" s="185"/>
      <c r="Y887" s="185"/>
      <c r="Z887" s="185"/>
      <c r="AA887" s="185"/>
      <c r="AB887" s="185" t="str">
        <f>IFERROR(__xludf.DUMMYFUNCTION("LET(width,COLUMN($AB$1)-COLUMN($G$1),r,INDEX($G887:$AAB887,1,SEQUENCE(1,width)),flat,TOCOL(r,1),bad,FILTER(flat,COUNTIF('リスト'!$E:$E,flat)=0),IFERROR(TEXTJOIN(""\n"",TRUE,bad),""""))"),"")</f>
        <v/>
      </c>
      <c r="AC887" s="185"/>
      <c r="AD887" s="185"/>
    </row>
    <row r="888">
      <c r="A888" s="185"/>
      <c r="B888" s="185"/>
      <c r="C888" s="185"/>
      <c r="D888" s="185"/>
      <c r="E888" s="203"/>
      <c r="F888" s="203"/>
      <c r="G888" s="185"/>
      <c r="H888" s="185"/>
      <c r="I888" s="185"/>
      <c r="J888" s="185"/>
      <c r="K888" s="185"/>
      <c r="L888" s="185"/>
      <c r="M888" s="185"/>
      <c r="N888" s="185"/>
      <c r="O888" s="185"/>
      <c r="P888" s="185"/>
      <c r="Q888" s="185"/>
      <c r="R888" s="185"/>
      <c r="S888" s="185"/>
      <c r="T888" s="185"/>
      <c r="U888" s="185"/>
      <c r="V888" s="185"/>
      <c r="W888" s="185"/>
      <c r="X888" s="185"/>
      <c r="Y888" s="185"/>
      <c r="Z888" s="185"/>
      <c r="AA888" s="185"/>
      <c r="AB888" s="185" t="str">
        <f>IFERROR(__xludf.DUMMYFUNCTION("LET(width,COLUMN($AB$1)-COLUMN($G$1),r,INDEX($G888:$AAB888,1,SEQUENCE(1,width)),flat,TOCOL(r,1),bad,FILTER(flat,COUNTIF('リスト'!$E:$E,flat)=0),IFERROR(TEXTJOIN(""\n"",TRUE,bad),""""))"),"")</f>
        <v/>
      </c>
      <c r="AC888" s="185"/>
      <c r="AD888" s="185"/>
    </row>
    <row r="889">
      <c r="A889" s="185"/>
      <c r="B889" s="185"/>
      <c r="C889" s="185"/>
      <c r="D889" s="185"/>
      <c r="E889" s="203"/>
      <c r="F889" s="203"/>
      <c r="G889" s="185"/>
      <c r="H889" s="185"/>
      <c r="I889" s="185"/>
      <c r="J889" s="185"/>
      <c r="K889" s="185"/>
      <c r="L889" s="185"/>
      <c r="M889" s="185"/>
      <c r="N889" s="185"/>
      <c r="O889" s="185"/>
      <c r="P889" s="185"/>
      <c r="Q889" s="185"/>
      <c r="R889" s="185"/>
      <c r="S889" s="185"/>
      <c r="T889" s="185"/>
      <c r="U889" s="185"/>
      <c r="V889" s="185"/>
      <c r="W889" s="185"/>
      <c r="X889" s="185"/>
      <c r="Y889" s="185"/>
      <c r="Z889" s="185"/>
      <c r="AA889" s="185"/>
      <c r="AB889" s="185" t="str">
        <f>IFERROR(__xludf.DUMMYFUNCTION("LET(width,COLUMN($AB$1)-COLUMN($G$1),r,INDEX($G889:$AAB889,1,SEQUENCE(1,width)),flat,TOCOL(r,1),bad,FILTER(flat,COUNTIF('リスト'!$E:$E,flat)=0),IFERROR(TEXTJOIN(""\n"",TRUE,bad),""""))"),"")</f>
        <v/>
      </c>
      <c r="AC889" s="185"/>
      <c r="AD889" s="185"/>
    </row>
    <row r="890">
      <c r="A890" s="185"/>
      <c r="B890" s="185"/>
      <c r="C890" s="185"/>
      <c r="D890" s="185"/>
      <c r="E890" s="203"/>
      <c r="F890" s="203"/>
      <c r="G890" s="185"/>
      <c r="H890" s="185"/>
      <c r="I890" s="185"/>
      <c r="J890" s="185"/>
      <c r="K890" s="185"/>
      <c r="L890" s="185"/>
      <c r="M890" s="185"/>
      <c r="N890" s="185"/>
      <c r="O890" s="185"/>
      <c r="P890" s="185"/>
      <c r="Q890" s="185"/>
      <c r="R890" s="185"/>
      <c r="S890" s="185"/>
      <c r="T890" s="185"/>
      <c r="U890" s="185"/>
      <c r="V890" s="185"/>
      <c r="W890" s="185"/>
      <c r="X890" s="185"/>
      <c r="Y890" s="185"/>
      <c r="Z890" s="185"/>
      <c r="AA890" s="185"/>
      <c r="AB890" s="185" t="str">
        <f>IFERROR(__xludf.DUMMYFUNCTION("LET(width,COLUMN($AB$1)-COLUMN($G$1),r,INDEX($G890:$AAB890,1,SEQUENCE(1,width)),flat,TOCOL(r,1),bad,FILTER(flat,COUNTIF('リスト'!$E:$E,flat)=0),IFERROR(TEXTJOIN(""\n"",TRUE,bad),""""))"),"")</f>
        <v/>
      </c>
      <c r="AC890" s="185"/>
      <c r="AD890" s="185"/>
    </row>
    <row r="891">
      <c r="A891" s="185"/>
      <c r="B891" s="185"/>
      <c r="C891" s="185"/>
      <c r="D891" s="185"/>
      <c r="E891" s="203"/>
      <c r="F891" s="203"/>
      <c r="G891" s="185"/>
      <c r="H891" s="185"/>
      <c r="I891" s="185"/>
      <c r="J891" s="185"/>
      <c r="K891" s="185"/>
      <c r="L891" s="185"/>
      <c r="M891" s="185"/>
      <c r="N891" s="185"/>
      <c r="O891" s="185"/>
      <c r="P891" s="185"/>
      <c r="Q891" s="185"/>
      <c r="R891" s="185"/>
      <c r="S891" s="185"/>
      <c r="T891" s="185"/>
      <c r="U891" s="185"/>
      <c r="V891" s="185"/>
      <c r="W891" s="185"/>
      <c r="X891" s="185"/>
      <c r="Y891" s="185"/>
      <c r="Z891" s="185"/>
      <c r="AA891" s="185"/>
      <c r="AB891" s="185" t="str">
        <f>IFERROR(__xludf.DUMMYFUNCTION("LET(width,COLUMN($AB$1)-COLUMN($G$1),r,INDEX($G891:$AAB891,1,SEQUENCE(1,width)),flat,TOCOL(r,1),bad,FILTER(flat,COUNTIF('リスト'!$E:$E,flat)=0),IFERROR(TEXTJOIN(""\n"",TRUE,bad),""""))"),"")</f>
        <v/>
      </c>
      <c r="AC891" s="185"/>
      <c r="AD891" s="185"/>
    </row>
    <row r="892">
      <c r="A892" s="185"/>
      <c r="B892" s="185"/>
      <c r="C892" s="185"/>
      <c r="D892" s="185"/>
      <c r="E892" s="203"/>
      <c r="F892" s="203"/>
      <c r="G892" s="185"/>
      <c r="H892" s="185"/>
      <c r="I892" s="185"/>
      <c r="J892" s="185"/>
      <c r="K892" s="185"/>
      <c r="L892" s="185"/>
      <c r="M892" s="185"/>
      <c r="N892" s="185"/>
      <c r="O892" s="185"/>
      <c r="P892" s="185"/>
      <c r="Q892" s="185"/>
      <c r="R892" s="185"/>
      <c r="S892" s="185"/>
      <c r="T892" s="185"/>
      <c r="U892" s="185"/>
      <c r="V892" s="185"/>
      <c r="W892" s="185"/>
      <c r="X892" s="185"/>
      <c r="Y892" s="185"/>
      <c r="Z892" s="185"/>
      <c r="AA892" s="185"/>
      <c r="AB892" s="185" t="str">
        <f>IFERROR(__xludf.DUMMYFUNCTION("LET(width,COLUMN($AB$1)-COLUMN($G$1),r,INDEX($G892:$AAB892,1,SEQUENCE(1,width)),flat,TOCOL(r,1),bad,FILTER(flat,COUNTIF('リスト'!$E:$E,flat)=0),IFERROR(TEXTJOIN(""\n"",TRUE,bad),""""))"),"")</f>
        <v/>
      </c>
      <c r="AC892" s="185"/>
      <c r="AD892" s="185"/>
    </row>
    <row r="893">
      <c r="A893" s="185"/>
      <c r="B893" s="185"/>
      <c r="C893" s="185"/>
      <c r="D893" s="185"/>
      <c r="E893" s="203"/>
      <c r="F893" s="203"/>
      <c r="G893" s="185"/>
      <c r="H893" s="185"/>
      <c r="I893" s="185"/>
      <c r="J893" s="185"/>
      <c r="K893" s="185"/>
      <c r="L893" s="185"/>
      <c r="M893" s="185"/>
      <c r="N893" s="185"/>
      <c r="O893" s="185"/>
      <c r="P893" s="185"/>
      <c r="Q893" s="185"/>
      <c r="R893" s="185"/>
      <c r="S893" s="185"/>
      <c r="T893" s="185"/>
      <c r="U893" s="185"/>
      <c r="V893" s="185"/>
      <c r="W893" s="185"/>
      <c r="X893" s="185"/>
      <c r="Y893" s="185"/>
      <c r="Z893" s="185"/>
      <c r="AA893" s="185"/>
      <c r="AB893" s="185" t="str">
        <f>IFERROR(__xludf.DUMMYFUNCTION("LET(width,COLUMN($AB$1)-COLUMN($G$1),r,INDEX($G893:$AAB893,1,SEQUENCE(1,width)),flat,TOCOL(r,1),bad,FILTER(flat,COUNTIF('リスト'!$E:$E,flat)=0),IFERROR(TEXTJOIN(""\n"",TRUE,bad),""""))"),"")</f>
        <v/>
      </c>
      <c r="AC893" s="185"/>
      <c r="AD893" s="185"/>
    </row>
    <row r="894">
      <c r="A894" s="185"/>
      <c r="B894" s="185"/>
      <c r="C894" s="185"/>
      <c r="D894" s="185"/>
      <c r="E894" s="203"/>
      <c r="F894" s="203"/>
      <c r="G894" s="185"/>
      <c r="H894" s="185"/>
      <c r="I894" s="185"/>
      <c r="J894" s="185"/>
      <c r="K894" s="185"/>
      <c r="L894" s="185"/>
      <c r="M894" s="185"/>
      <c r="N894" s="185"/>
      <c r="O894" s="185"/>
      <c r="P894" s="185"/>
      <c r="Q894" s="185"/>
      <c r="R894" s="185"/>
      <c r="S894" s="185"/>
      <c r="T894" s="185"/>
      <c r="U894" s="185"/>
      <c r="V894" s="185"/>
      <c r="W894" s="185"/>
      <c r="X894" s="185"/>
      <c r="Y894" s="185"/>
      <c r="Z894" s="185"/>
      <c r="AA894" s="185"/>
      <c r="AB894" s="185" t="str">
        <f>IFERROR(__xludf.DUMMYFUNCTION("LET(width,COLUMN($AB$1)-COLUMN($G$1),r,INDEX($G894:$AAB894,1,SEQUENCE(1,width)),flat,TOCOL(r,1),bad,FILTER(flat,COUNTIF('リスト'!$E:$E,flat)=0),IFERROR(TEXTJOIN(""\n"",TRUE,bad),""""))"),"")</f>
        <v/>
      </c>
      <c r="AC894" s="185"/>
      <c r="AD894" s="185"/>
    </row>
    <row r="895">
      <c r="A895" s="185"/>
      <c r="B895" s="185"/>
      <c r="C895" s="185"/>
      <c r="D895" s="185"/>
      <c r="E895" s="203"/>
      <c r="F895" s="203"/>
      <c r="G895" s="185"/>
      <c r="H895" s="185"/>
      <c r="I895" s="185"/>
      <c r="J895" s="185"/>
      <c r="K895" s="185"/>
      <c r="L895" s="185"/>
      <c r="M895" s="185"/>
      <c r="N895" s="185"/>
      <c r="O895" s="185"/>
      <c r="P895" s="185"/>
      <c r="Q895" s="185"/>
      <c r="R895" s="185"/>
      <c r="S895" s="185"/>
      <c r="T895" s="185"/>
      <c r="U895" s="185"/>
      <c r="V895" s="185"/>
      <c r="W895" s="185"/>
      <c r="X895" s="185"/>
      <c r="Y895" s="185"/>
      <c r="Z895" s="185"/>
      <c r="AA895" s="185"/>
      <c r="AB895" s="185" t="str">
        <f>IFERROR(__xludf.DUMMYFUNCTION("LET(width,COLUMN($AB$1)-COLUMN($G$1),r,INDEX($G895:$AAB895,1,SEQUENCE(1,width)),flat,TOCOL(r,1),bad,FILTER(flat,COUNTIF('リスト'!$E:$E,flat)=0),IFERROR(TEXTJOIN(""\n"",TRUE,bad),""""))"),"")</f>
        <v/>
      </c>
      <c r="AC895" s="185"/>
      <c r="AD895" s="185"/>
    </row>
    <row r="896">
      <c r="A896" s="185"/>
      <c r="B896" s="185"/>
      <c r="C896" s="185"/>
      <c r="D896" s="185"/>
      <c r="E896" s="203"/>
      <c r="F896" s="203"/>
      <c r="G896" s="185"/>
      <c r="H896" s="185"/>
      <c r="I896" s="185"/>
      <c r="J896" s="185"/>
      <c r="K896" s="185"/>
      <c r="L896" s="185"/>
      <c r="M896" s="185"/>
      <c r="N896" s="185"/>
      <c r="O896" s="185"/>
      <c r="P896" s="185"/>
      <c r="Q896" s="185"/>
      <c r="R896" s="185"/>
      <c r="S896" s="185"/>
      <c r="T896" s="185"/>
      <c r="U896" s="185"/>
      <c r="V896" s="185"/>
      <c r="W896" s="185"/>
      <c r="X896" s="185"/>
      <c r="Y896" s="185"/>
      <c r="Z896" s="185"/>
      <c r="AA896" s="185"/>
      <c r="AB896" s="185" t="str">
        <f>IFERROR(__xludf.DUMMYFUNCTION("LET(width,COLUMN($AB$1)-COLUMN($G$1),r,INDEX($G896:$AAB896,1,SEQUENCE(1,width)),flat,TOCOL(r,1),bad,FILTER(flat,COUNTIF('リスト'!$E:$E,flat)=0),IFERROR(TEXTJOIN(""\n"",TRUE,bad),""""))"),"")</f>
        <v/>
      </c>
      <c r="AC896" s="185"/>
      <c r="AD896" s="185"/>
    </row>
    <row r="897">
      <c r="A897" s="185"/>
      <c r="B897" s="185"/>
      <c r="C897" s="185"/>
      <c r="D897" s="185"/>
      <c r="E897" s="203"/>
      <c r="F897" s="203"/>
      <c r="G897" s="185"/>
      <c r="H897" s="185"/>
      <c r="I897" s="185"/>
      <c r="J897" s="185"/>
      <c r="K897" s="185"/>
      <c r="L897" s="185"/>
      <c r="M897" s="185"/>
      <c r="N897" s="185"/>
      <c r="O897" s="185"/>
      <c r="P897" s="185"/>
      <c r="Q897" s="185"/>
      <c r="R897" s="185"/>
      <c r="S897" s="185"/>
      <c r="T897" s="185"/>
      <c r="U897" s="185"/>
      <c r="V897" s="185"/>
      <c r="W897" s="185"/>
      <c r="X897" s="185"/>
      <c r="Y897" s="185"/>
      <c r="Z897" s="185"/>
      <c r="AA897" s="185"/>
      <c r="AB897" s="185" t="str">
        <f>IFERROR(__xludf.DUMMYFUNCTION("LET(width,COLUMN($AB$1)-COLUMN($G$1),r,INDEX($G897:$AAB897,1,SEQUENCE(1,width)),flat,TOCOL(r,1),bad,FILTER(flat,COUNTIF('リスト'!$E:$E,flat)=0),IFERROR(TEXTJOIN(""\n"",TRUE,bad),""""))"),"")</f>
        <v/>
      </c>
      <c r="AC897" s="185"/>
      <c r="AD897" s="185"/>
    </row>
    <row r="898">
      <c r="A898" s="185"/>
      <c r="B898" s="185"/>
      <c r="C898" s="185"/>
      <c r="D898" s="185"/>
      <c r="E898" s="203"/>
      <c r="F898" s="203"/>
      <c r="G898" s="185"/>
      <c r="H898" s="185"/>
      <c r="I898" s="185"/>
      <c r="J898" s="185"/>
      <c r="K898" s="185"/>
      <c r="L898" s="185"/>
      <c r="M898" s="185"/>
      <c r="N898" s="185"/>
      <c r="O898" s="185"/>
      <c r="P898" s="185"/>
      <c r="Q898" s="185"/>
      <c r="R898" s="185"/>
      <c r="S898" s="185"/>
      <c r="T898" s="185"/>
      <c r="U898" s="185"/>
      <c r="V898" s="185"/>
      <c r="W898" s="185"/>
      <c r="X898" s="185"/>
      <c r="Y898" s="185"/>
      <c r="Z898" s="185"/>
      <c r="AA898" s="185"/>
      <c r="AB898" s="185" t="str">
        <f>IFERROR(__xludf.DUMMYFUNCTION("LET(width,COLUMN($AB$1)-COLUMN($G$1),r,INDEX($G898:$AAB898,1,SEQUENCE(1,width)),flat,TOCOL(r,1),bad,FILTER(flat,COUNTIF('リスト'!$E:$E,flat)=0),IFERROR(TEXTJOIN(""\n"",TRUE,bad),""""))"),"")</f>
        <v/>
      </c>
      <c r="AC898" s="185"/>
      <c r="AD898" s="185"/>
    </row>
    <row r="899">
      <c r="A899" s="185"/>
      <c r="B899" s="185"/>
      <c r="C899" s="185"/>
      <c r="D899" s="185"/>
      <c r="E899" s="203"/>
      <c r="F899" s="203"/>
      <c r="G899" s="185"/>
      <c r="H899" s="185"/>
      <c r="I899" s="185"/>
      <c r="J899" s="185"/>
      <c r="K899" s="185"/>
      <c r="L899" s="185"/>
      <c r="M899" s="185"/>
      <c r="N899" s="185"/>
      <c r="O899" s="185"/>
      <c r="P899" s="185"/>
      <c r="Q899" s="185"/>
      <c r="R899" s="185"/>
      <c r="S899" s="185"/>
      <c r="T899" s="185"/>
      <c r="U899" s="185"/>
      <c r="V899" s="185"/>
      <c r="W899" s="185"/>
      <c r="X899" s="185"/>
      <c r="Y899" s="185"/>
      <c r="Z899" s="185"/>
      <c r="AA899" s="185"/>
      <c r="AB899" s="185" t="str">
        <f>IFERROR(__xludf.DUMMYFUNCTION("LET(width,COLUMN($AB$1)-COLUMN($G$1),r,INDEX($G899:$AAB899,1,SEQUENCE(1,width)),flat,TOCOL(r,1),bad,FILTER(flat,COUNTIF('リスト'!$E:$E,flat)=0),IFERROR(TEXTJOIN(""\n"",TRUE,bad),""""))"),"")</f>
        <v/>
      </c>
      <c r="AC899" s="185"/>
      <c r="AD899" s="185"/>
    </row>
    <row r="900">
      <c r="A900" s="185"/>
      <c r="B900" s="185"/>
      <c r="C900" s="185"/>
      <c r="D900" s="185"/>
      <c r="E900" s="203"/>
      <c r="F900" s="203"/>
      <c r="G900" s="185"/>
      <c r="H900" s="185"/>
      <c r="I900" s="185"/>
      <c r="J900" s="185"/>
      <c r="K900" s="185"/>
      <c r="L900" s="185"/>
      <c r="M900" s="185"/>
      <c r="N900" s="185"/>
      <c r="O900" s="185"/>
      <c r="P900" s="185"/>
      <c r="Q900" s="185"/>
      <c r="R900" s="185"/>
      <c r="S900" s="185"/>
      <c r="T900" s="185"/>
      <c r="U900" s="185"/>
      <c r="V900" s="185"/>
      <c r="W900" s="185"/>
      <c r="X900" s="185"/>
      <c r="Y900" s="185"/>
      <c r="Z900" s="185"/>
      <c r="AA900" s="185"/>
      <c r="AB900" s="185" t="str">
        <f>IFERROR(__xludf.DUMMYFUNCTION("LET(width,COLUMN($AB$1)-COLUMN($G$1),r,INDEX($G900:$AAB900,1,SEQUENCE(1,width)),flat,TOCOL(r,1),bad,FILTER(flat,COUNTIF('リスト'!$E:$E,flat)=0),IFERROR(TEXTJOIN(""\n"",TRUE,bad),""""))"),"")</f>
        <v/>
      </c>
      <c r="AC900" s="185"/>
      <c r="AD900" s="185"/>
    </row>
    <row r="901">
      <c r="A901" s="185"/>
      <c r="B901" s="185"/>
      <c r="C901" s="185"/>
      <c r="D901" s="185"/>
      <c r="E901" s="203"/>
      <c r="F901" s="203"/>
      <c r="G901" s="185"/>
      <c r="H901" s="185"/>
      <c r="I901" s="185"/>
      <c r="J901" s="185"/>
      <c r="K901" s="185"/>
      <c r="L901" s="185"/>
      <c r="M901" s="185"/>
      <c r="N901" s="185"/>
      <c r="O901" s="185"/>
      <c r="P901" s="185"/>
      <c r="Q901" s="185"/>
      <c r="R901" s="185"/>
      <c r="S901" s="185"/>
      <c r="T901" s="185"/>
      <c r="U901" s="185"/>
      <c r="V901" s="185"/>
      <c r="W901" s="185"/>
      <c r="X901" s="185"/>
      <c r="Y901" s="185"/>
      <c r="Z901" s="185"/>
      <c r="AA901" s="185"/>
      <c r="AB901" s="185" t="str">
        <f>IFERROR(__xludf.DUMMYFUNCTION("LET(width,COLUMN($AB$1)-COLUMN($G$1),r,INDEX($G901:$AAB901,1,SEQUENCE(1,width)),flat,TOCOL(r,1),bad,FILTER(flat,COUNTIF('リスト'!$E:$E,flat)=0),IFERROR(TEXTJOIN(""\n"",TRUE,bad),""""))"),"")</f>
        <v/>
      </c>
      <c r="AC901" s="185"/>
      <c r="AD901" s="185"/>
    </row>
    <row r="902">
      <c r="A902" s="185"/>
      <c r="B902" s="185"/>
      <c r="C902" s="185"/>
      <c r="D902" s="185"/>
      <c r="E902" s="203"/>
      <c r="F902" s="203"/>
      <c r="G902" s="185"/>
      <c r="H902" s="185"/>
      <c r="I902" s="185"/>
      <c r="J902" s="185"/>
      <c r="K902" s="185"/>
      <c r="L902" s="185"/>
      <c r="M902" s="185"/>
      <c r="N902" s="185"/>
      <c r="O902" s="185"/>
      <c r="P902" s="185"/>
      <c r="Q902" s="185"/>
      <c r="R902" s="185"/>
      <c r="S902" s="185"/>
      <c r="T902" s="185"/>
      <c r="U902" s="185"/>
      <c r="V902" s="185"/>
      <c r="W902" s="185"/>
      <c r="X902" s="185"/>
      <c r="Y902" s="185"/>
      <c r="Z902" s="185"/>
      <c r="AA902" s="185"/>
      <c r="AB902" s="185" t="str">
        <f>IFERROR(__xludf.DUMMYFUNCTION("LET(width,COLUMN($AB$1)-COLUMN($G$1),r,INDEX($G902:$AAB902,1,SEQUENCE(1,width)),flat,TOCOL(r,1),bad,FILTER(flat,COUNTIF('リスト'!$E:$E,flat)=0),IFERROR(TEXTJOIN(""\n"",TRUE,bad),""""))"),"")</f>
        <v/>
      </c>
      <c r="AC902" s="185"/>
      <c r="AD902" s="185"/>
    </row>
    <row r="903">
      <c r="A903" s="185"/>
      <c r="B903" s="185"/>
      <c r="C903" s="185"/>
      <c r="D903" s="185"/>
      <c r="E903" s="203"/>
      <c r="F903" s="203"/>
      <c r="G903" s="185"/>
      <c r="H903" s="185"/>
      <c r="I903" s="185"/>
      <c r="J903" s="185"/>
      <c r="K903" s="185"/>
      <c r="L903" s="185"/>
      <c r="M903" s="185"/>
      <c r="N903" s="185"/>
      <c r="O903" s="185"/>
      <c r="P903" s="185"/>
      <c r="Q903" s="185"/>
      <c r="R903" s="185"/>
      <c r="S903" s="185"/>
      <c r="T903" s="185"/>
      <c r="U903" s="185"/>
      <c r="V903" s="185"/>
      <c r="W903" s="185"/>
      <c r="X903" s="185"/>
      <c r="Y903" s="185"/>
      <c r="Z903" s="185"/>
      <c r="AA903" s="185"/>
      <c r="AB903" s="185" t="str">
        <f>IFERROR(__xludf.DUMMYFUNCTION("LET(width,COLUMN($AB$1)-COLUMN($G$1),r,INDEX($G903:$AAB903,1,SEQUENCE(1,width)),flat,TOCOL(r,1),bad,FILTER(flat,COUNTIF('リスト'!$E:$E,flat)=0),IFERROR(TEXTJOIN(""\n"",TRUE,bad),""""))"),"")</f>
        <v/>
      </c>
      <c r="AC903" s="185"/>
      <c r="AD903" s="185"/>
    </row>
    <row r="904">
      <c r="A904" s="185"/>
      <c r="B904" s="185"/>
      <c r="C904" s="185"/>
      <c r="D904" s="185"/>
      <c r="E904" s="203"/>
      <c r="F904" s="203"/>
      <c r="G904" s="185"/>
      <c r="H904" s="185"/>
      <c r="I904" s="185"/>
      <c r="J904" s="185"/>
      <c r="K904" s="185"/>
      <c r="L904" s="185"/>
      <c r="M904" s="185"/>
      <c r="N904" s="185"/>
      <c r="O904" s="185"/>
      <c r="P904" s="185"/>
      <c r="Q904" s="185"/>
      <c r="R904" s="185"/>
      <c r="S904" s="185"/>
      <c r="T904" s="185"/>
      <c r="U904" s="185"/>
      <c r="V904" s="185"/>
      <c r="W904" s="185"/>
      <c r="X904" s="185"/>
      <c r="Y904" s="185"/>
      <c r="Z904" s="185"/>
      <c r="AA904" s="185"/>
      <c r="AB904" s="185" t="str">
        <f>IFERROR(__xludf.DUMMYFUNCTION("LET(width,COLUMN($AB$1)-COLUMN($G$1),r,INDEX($G904:$AAB904,1,SEQUENCE(1,width)),flat,TOCOL(r,1),bad,FILTER(flat,COUNTIF('リスト'!$E:$E,flat)=0),IFERROR(TEXTJOIN(""\n"",TRUE,bad),""""))"),"")</f>
        <v/>
      </c>
      <c r="AC904" s="185"/>
      <c r="AD904" s="185"/>
    </row>
    <row r="905">
      <c r="A905" s="185"/>
      <c r="B905" s="185"/>
      <c r="C905" s="185"/>
      <c r="D905" s="185"/>
      <c r="E905" s="203"/>
      <c r="F905" s="203"/>
      <c r="G905" s="185"/>
      <c r="H905" s="185"/>
      <c r="I905" s="185"/>
      <c r="J905" s="185"/>
      <c r="K905" s="185"/>
      <c r="L905" s="185"/>
      <c r="M905" s="185"/>
      <c r="N905" s="185"/>
      <c r="O905" s="185"/>
      <c r="P905" s="185"/>
      <c r="Q905" s="185"/>
      <c r="R905" s="185"/>
      <c r="S905" s="185"/>
      <c r="T905" s="185"/>
      <c r="U905" s="185"/>
      <c r="V905" s="185"/>
      <c r="W905" s="185"/>
      <c r="X905" s="185"/>
      <c r="Y905" s="185"/>
      <c r="Z905" s="185"/>
      <c r="AA905" s="185"/>
      <c r="AB905" s="185" t="str">
        <f>IFERROR(__xludf.DUMMYFUNCTION("LET(width,COLUMN($AB$1)-COLUMN($G$1),r,INDEX($G905:$AAB905,1,SEQUENCE(1,width)),flat,TOCOL(r,1),bad,FILTER(flat,COUNTIF('リスト'!$E:$E,flat)=0),IFERROR(TEXTJOIN(""\n"",TRUE,bad),""""))"),"")</f>
        <v/>
      </c>
      <c r="AC905" s="185"/>
      <c r="AD905" s="185"/>
    </row>
    <row r="906">
      <c r="A906" s="185"/>
      <c r="B906" s="185"/>
      <c r="C906" s="185"/>
      <c r="D906" s="185"/>
      <c r="E906" s="203"/>
      <c r="F906" s="203"/>
      <c r="G906" s="185"/>
      <c r="H906" s="185"/>
      <c r="I906" s="185"/>
      <c r="J906" s="185"/>
      <c r="K906" s="185"/>
      <c r="L906" s="185"/>
      <c r="M906" s="185"/>
      <c r="N906" s="185"/>
      <c r="O906" s="185"/>
      <c r="P906" s="185"/>
      <c r="Q906" s="185"/>
      <c r="R906" s="185"/>
      <c r="S906" s="185"/>
      <c r="T906" s="185"/>
      <c r="U906" s="185"/>
      <c r="V906" s="185"/>
      <c r="W906" s="185"/>
      <c r="X906" s="185"/>
      <c r="Y906" s="185"/>
      <c r="Z906" s="185"/>
      <c r="AA906" s="185"/>
      <c r="AB906" s="185" t="str">
        <f>IFERROR(__xludf.DUMMYFUNCTION("LET(width,COLUMN($AB$1)-COLUMN($G$1),r,INDEX($G906:$AAB906,1,SEQUENCE(1,width)),flat,TOCOL(r,1),bad,FILTER(flat,COUNTIF('リスト'!$E:$E,flat)=0),IFERROR(TEXTJOIN(""\n"",TRUE,bad),""""))"),"")</f>
        <v/>
      </c>
      <c r="AC906" s="185"/>
      <c r="AD906" s="185"/>
    </row>
    <row r="907">
      <c r="A907" s="185"/>
      <c r="B907" s="185"/>
      <c r="C907" s="185"/>
      <c r="D907" s="185"/>
      <c r="E907" s="203"/>
      <c r="F907" s="203"/>
      <c r="G907" s="185"/>
      <c r="H907" s="185"/>
      <c r="I907" s="185"/>
      <c r="J907" s="185"/>
      <c r="K907" s="185"/>
      <c r="L907" s="185"/>
      <c r="M907" s="185"/>
      <c r="N907" s="185"/>
      <c r="O907" s="185"/>
      <c r="P907" s="185"/>
      <c r="Q907" s="185"/>
      <c r="R907" s="185"/>
      <c r="S907" s="185"/>
      <c r="T907" s="185"/>
      <c r="U907" s="185"/>
      <c r="V907" s="185"/>
      <c r="W907" s="185"/>
      <c r="X907" s="185"/>
      <c r="Y907" s="185"/>
      <c r="Z907" s="185"/>
      <c r="AA907" s="185"/>
      <c r="AB907" s="185" t="str">
        <f>IFERROR(__xludf.DUMMYFUNCTION("LET(width,COLUMN($AB$1)-COLUMN($G$1),r,INDEX($G907:$AAB907,1,SEQUENCE(1,width)),flat,TOCOL(r,1),bad,FILTER(flat,COUNTIF('リスト'!$E:$E,flat)=0),IFERROR(TEXTJOIN(""\n"",TRUE,bad),""""))"),"")</f>
        <v/>
      </c>
      <c r="AC907" s="185"/>
      <c r="AD907" s="185"/>
    </row>
    <row r="908">
      <c r="A908" s="185"/>
      <c r="B908" s="185"/>
      <c r="C908" s="185"/>
      <c r="D908" s="185"/>
      <c r="E908" s="203"/>
      <c r="F908" s="203"/>
      <c r="G908" s="185"/>
      <c r="H908" s="185"/>
      <c r="I908" s="185"/>
      <c r="J908" s="185"/>
      <c r="K908" s="185"/>
      <c r="L908" s="185"/>
      <c r="M908" s="185"/>
      <c r="N908" s="185"/>
      <c r="O908" s="185"/>
      <c r="P908" s="185"/>
      <c r="Q908" s="185"/>
      <c r="R908" s="185"/>
      <c r="S908" s="185"/>
      <c r="T908" s="185"/>
      <c r="U908" s="185"/>
      <c r="V908" s="185"/>
      <c r="W908" s="185"/>
      <c r="X908" s="185"/>
      <c r="Y908" s="185"/>
      <c r="Z908" s="185"/>
      <c r="AA908" s="185"/>
      <c r="AB908" s="185" t="str">
        <f>IFERROR(__xludf.DUMMYFUNCTION("LET(width,COLUMN($AB$1)-COLUMN($G$1),r,INDEX($G908:$AAB908,1,SEQUENCE(1,width)),flat,TOCOL(r,1),bad,FILTER(flat,COUNTIF('リスト'!$E:$E,flat)=0),IFERROR(TEXTJOIN(""\n"",TRUE,bad),""""))"),"")</f>
        <v/>
      </c>
      <c r="AC908" s="185"/>
      <c r="AD908" s="185"/>
    </row>
    <row r="909">
      <c r="A909" s="185"/>
      <c r="B909" s="185"/>
      <c r="C909" s="185"/>
      <c r="D909" s="185"/>
      <c r="E909" s="203"/>
      <c r="F909" s="203"/>
      <c r="G909" s="185"/>
      <c r="H909" s="185"/>
      <c r="I909" s="185"/>
      <c r="J909" s="185"/>
      <c r="K909" s="185"/>
      <c r="L909" s="185"/>
      <c r="M909" s="185"/>
      <c r="N909" s="185"/>
      <c r="O909" s="185"/>
      <c r="P909" s="185"/>
      <c r="Q909" s="185"/>
      <c r="R909" s="185"/>
      <c r="S909" s="185"/>
      <c r="T909" s="185"/>
      <c r="U909" s="185"/>
      <c r="V909" s="185"/>
      <c r="W909" s="185"/>
      <c r="X909" s="185"/>
      <c r="Y909" s="185"/>
      <c r="Z909" s="185"/>
      <c r="AA909" s="185"/>
      <c r="AB909" s="185" t="str">
        <f>IFERROR(__xludf.DUMMYFUNCTION("LET(width,COLUMN($AB$1)-COLUMN($G$1),r,INDEX($G909:$AAB909,1,SEQUENCE(1,width)),flat,TOCOL(r,1),bad,FILTER(flat,COUNTIF('リスト'!$E:$E,flat)=0),IFERROR(TEXTJOIN(""\n"",TRUE,bad),""""))"),"")</f>
        <v/>
      </c>
      <c r="AC909" s="185"/>
      <c r="AD909" s="185"/>
    </row>
    <row r="910">
      <c r="A910" s="185"/>
      <c r="B910" s="185"/>
      <c r="C910" s="185"/>
      <c r="D910" s="185"/>
      <c r="E910" s="203"/>
      <c r="F910" s="203"/>
      <c r="G910" s="185"/>
      <c r="H910" s="185"/>
      <c r="I910" s="185"/>
      <c r="J910" s="185"/>
      <c r="K910" s="185"/>
      <c r="L910" s="185"/>
      <c r="M910" s="185"/>
      <c r="N910" s="185"/>
      <c r="O910" s="185"/>
      <c r="P910" s="185"/>
      <c r="Q910" s="185"/>
      <c r="R910" s="185"/>
      <c r="S910" s="185"/>
      <c r="T910" s="185"/>
      <c r="U910" s="185"/>
      <c r="V910" s="185"/>
      <c r="W910" s="185"/>
      <c r="X910" s="185"/>
      <c r="Y910" s="185"/>
      <c r="Z910" s="185"/>
      <c r="AA910" s="185"/>
      <c r="AB910" s="185" t="str">
        <f>IFERROR(__xludf.DUMMYFUNCTION("LET(width,COLUMN($AB$1)-COLUMN($G$1),r,INDEX($G910:$AAB910,1,SEQUENCE(1,width)),flat,TOCOL(r,1),bad,FILTER(flat,COUNTIF('リスト'!$E:$E,flat)=0),IFERROR(TEXTJOIN(""\n"",TRUE,bad),""""))"),"")</f>
        <v/>
      </c>
      <c r="AC910" s="185"/>
      <c r="AD910" s="185"/>
    </row>
    <row r="911">
      <c r="A911" s="185"/>
      <c r="B911" s="185"/>
      <c r="C911" s="185"/>
      <c r="D911" s="185"/>
      <c r="E911" s="203"/>
      <c r="F911" s="203"/>
      <c r="G911" s="185"/>
      <c r="H911" s="185"/>
      <c r="I911" s="185"/>
      <c r="J911" s="185"/>
      <c r="K911" s="185"/>
      <c r="L911" s="185"/>
      <c r="M911" s="185"/>
      <c r="N911" s="185"/>
      <c r="O911" s="185"/>
      <c r="P911" s="185"/>
      <c r="Q911" s="185"/>
      <c r="R911" s="185"/>
      <c r="S911" s="185"/>
      <c r="T911" s="185"/>
      <c r="U911" s="185"/>
      <c r="V911" s="185"/>
      <c r="W911" s="185"/>
      <c r="X911" s="185"/>
      <c r="Y911" s="185"/>
      <c r="Z911" s="185"/>
      <c r="AA911" s="185"/>
      <c r="AB911" s="185" t="str">
        <f>IFERROR(__xludf.DUMMYFUNCTION("LET(width,COLUMN($AB$1)-COLUMN($G$1),r,INDEX($G911:$AAB911,1,SEQUENCE(1,width)),flat,TOCOL(r,1),bad,FILTER(flat,COUNTIF('リスト'!$E:$E,flat)=0),IFERROR(TEXTJOIN(""\n"",TRUE,bad),""""))"),"")</f>
        <v/>
      </c>
      <c r="AC911" s="185"/>
      <c r="AD911" s="185"/>
    </row>
    <row r="912">
      <c r="A912" s="185"/>
      <c r="B912" s="185"/>
      <c r="C912" s="185"/>
      <c r="D912" s="185"/>
      <c r="E912" s="203"/>
      <c r="F912" s="203"/>
      <c r="G912" s="185"/>
      <c r="H912" s="185"/>
      <c r="I912" s="185"/>
      <c r="J912" s="185"/>
      <c r="K912" s="185"/>
      <c r="L912" s="185"/>
      <c r="M912" s="185"/>
      <c r="N912" s="185"/>
      <c r="O912" s="185"/>
      <c r="P912" s="185"/>
      <c r="Q912" s="185"/>
      <c r="R912" s="185"/>
      <c r="S912" s="185"/>
      <c r="T912" s="185"/>
      <c r="U912" s="185"/>
      <c r="V912" s="185"/>
      <c r="W912" s="185"/>
      <c r="X912" s="185"/>
      <c r="Y912" s="185"/>
      <c r="Z912" s="185"/>
      <c r="AA912" s="185"/>
      <c r="AB912" s="185" t="str">
        <f>IFERROR(__xludf.DUMMYFUNCTION("LET(width,COLUMN($AB$1)-COLUMN($G$1),r,INDEX($G912:$AAB912,1,SEQUENCE(1,width)),flat,TOCOL(r,1),bad,FILTER(flat,COUNTIF('リスト'!$E:$E,flat)=0),IFERROR(TEXTJOIN(""\n"",TRUE,bad),""""))"),"")</f>
        <v/>
      </c>
      <c r="AC912" s="185"/>
      <c r="AD912" s="185"/>
    </row>
    <row r="913">
      <c r="A913" s="185"/>
      <c r="B913" s="185"/>
      <c r="C913" s="185"/>
      <c r="D913" s="185"/>
      <c r="E913" s="203"/>
      <c r="F913" s="203"/>
      <c r="G913" s="185"/>
      <c r="H913" s="185"/>
      <c r="I913" s="185"/>
      <c r="J913" s="185"/>
      <c r="K913" s="185"/>
      <c r="L913" s="185"/>
      <c r="M913" s="185"/>
      <c r="N913" s="185"/>
      <c r="O913" s="185"/>
      <c r="P913" s="185"/>
      <c r="Q913" s="185"/>
      <c r="R913" s="185"/>
      <c r="S913" s="185"/>
      <c r="T913" s="185"/>
      <c r="U913" s="185"/>
      <c r="V913" s="185"/>
      <c r="W913" s="185"/>
      <c r="X913" s="185"/>
      <c r="Y913" s="185"/>
      <c r="Z913" s="185"/>
      <c r="AA913" s="185"/>
      <c r="AB913" s="185" t="str">
        <f>IFERROR(__xludf.DUMMYFUNCTION("LET(width,COLUMN($AB$1)-COLUMN($G$1),r,INDEX($G913:$AAB913,1,SEQUENCE(1,width)),flat,TOCOL(r,1),bad,FILTER(flat,COUNTIF('リスト'!$E:$E,flat)=0),IFERROR(TEXTJOIN(""\n"",TRUE,bad),""""))"),"")</f>
        <v/>
      </c>
      <c r="AC913" s="185"/>
      <c r="AD913" s="185"/>
    </row>
    <row r="914">
      <c r="A914" s="185"/>
      <c r="B914" s="185"/>
      <c r="C914" s="185"/>
      <c r="D914" s="185"/>
      <c r="E914" s="203"/>
      <c r="F914" s="203"/>
      <c r="G914" s="185"/>
      <c r="H914" s="185"/>
      <c r="I914" s="185"/>
      <c r="J914" s="185"/>
      <c r="K914" s="185"/>
      <c r="L914" s="185"/>
      <c r="M914" s="185"/>
      <c r="N914" s="185"/>
      <c r="O914" s="185"/>
      <c r="P914" s="185"/>
      <c r="Q914" s="185"/>
      <c r="R914" s="185"/>
      <c r="S914" s="185"/>
      <c r="T914" s="185"/>
      <c r="U914" s="185"/>
      <c r="V914" s="185"/>
      <c r="W914" s="185"/>
      <c r="X914" s="185"/>
      <c r="Y914" s="185"/>
      <c r="Z914" s="185"/>
      <c r="AA914" s="185"/>
      <c r="AB914" s="185" t="str">
        <f>IFERROR(__xludf.DUMMYFUNCTION("LET(width,COLUMN($AB$1)-COLUMN($G$1),r,INDEX($G914:$AAB914,1,SEQUENCE(1,width)),flat,TOCOL(r,1),bad,FILTER(flat,COUNTIF('リスト'!$E:$E,flat)=0),IFERROR(TEXTJOIN(""\n"",TRUE,bad),""""))"),"")</f>
        <v/>
      </c>
      <c r="AC914" s="185"/>
      <c r="AD914" s="185"/>
    </row>
    <row r="915">
      <c r="A915" s="185"/>
      <c r="B915" s="185"/>
      <c r="C915" s="185"/>
      <c r="D915" s="185"/>
      <c r="E915" s="203"/>
      <c r="F915" s="203"/>
      <c r="G915" s="185"/>
      <c r="H915" s="185"/>
      <c r="I915" s="185"/>
      <c r="J915" s="185"/>
      <c r="K915" s="185"/>
      <c r="L915" s="185"/>
      <c r="M915" s="185"/>
      <c r="N915" s="185"/>
      <c r="O915" s="185"/>
      <c r="P915" s="185"/>
      <c r="Q915" s="185"/>
      <c r="R915" s="185"/>
      <c r="S915" s="185"/>
      <c r="T915" s="185"/>
      <c r="U915" s="185"/>
      <c r="V915" s="185"/>
      <c r="W915" s="185"/>
      <c r="X915" s="185"/>
      <c r="Y915" s="185"/>
      <c r="Z915" s="185"/>
      <c r="AA915" s="185"/>
      <c r="AB915" s="185" t="str">
        <f>IFERROR(__xludf.DUMMYFUNCTION("LET(width,COLUMN($AB$1)-COLUMN($G$1),r,INDEX($G915:$AAB915,1,SEQUENCE(1,width)),flat,TOCOL(r,1),bad,FILTER(flat,COUNTIF('リスト'!$E:$E,flat)=0),IFERROR(TEXTJOIN(""\n"",TRUE,bad),""""))"),"")</f>
        <v/>
      </c>
      <c r="AC915" s="185"/>
      <c r="AD915" s="185"/>
    </row>
    <row r="916">
      <c r="A916" s="185"/>
      <c r="B916" s="185"/>
      <c r="C916" s="185"/>
      <c r="D916" s="185"/>
      <c r="E916" s="203"/>
      <c r="F916" s="203"/>
      <c r="G916" s="185"/>
      <c r="H916" s="185"/>
      <c r="I916" s="185"/>
      <c r="J916" s="185"/>
      <c r="K916" s="185"/>
      <c r="L916" s="185"/>
      <c r="M916" s="185"/>
      <c r="N916" s="185"/>
      <c r="O916" s="185"/>
      <c r="P916" s="185"/>
      <c r="Q916" s="185"/>
      <c r="R916" s="185"/>
      <c r="S916" s="185"/>
      <c r="T916" s="185"/>
      <c r="U916" s="185"/>
      <c r="V916" s="185"/>
      <c r="W916" s="185"/>
      <c r="X916" s="185"/>
      <c r="Y916" s="185"/>
      <c r="Z916" s="185"/>
      <c r="AA916" s="185"/>
      <c r="AB916" s="185" t="str">
        <f>IFERROR(__xludf.DUMMYFUNCTION("LET(width,COLUMN($AB$1)-COLUMN($G$1),r,INDEX($G916:$AAB916,1,SEQUENCE(1,width)),flat,TOCOL(r,1),bad,FILTER(flat,COUNTIF('リスト'!$E:$E,flat)=0),IFERROR(TEXTJOIN(""\n"",TRUE,bad),""""))"),"")</f>
        <v/>
      </c>
      <c r="AC916" s="185"/>
      <c r="AD916" s="185"/>
    </row>
    <row r="917">
      <c r="A917" s="185"/>
      <c r="B917" s="185"/>
      <c r="C917" s="185"/>
      <c r="D917" s="185"/>
      <c r="E917" s="203"/>
      <c r="F917" s="203"/>
      <c r="G917" s="185"/>
      <c r="H917" s="185"/>
      <c r="I917" s="185"/>
      <c r="J917" s="185"/>
      <c r="K917" s="185"/>
      <c r="L917" s="185"/>
      <c r="M917" s="185"/>
      <c r="N917" s="185"/>
      <c r="O917" s="185"/>
      <c r="P917" s="185"/>
      <c r="Q917" s="185"/>
      <c r="R917" s="185"/>
      <c r="S917" s="185"/>
      <c r="T917" s="185"/>
      <c r="U917" s="185"/>
      <c r="V917" s="185"/>
      <c r="W917" s="185"/>
      <c r="X917" s="185"/>
      <c r="Y917" s="185"/>
      <c r="Z917" s="185"/>
      <c r="AA917" s="185"/>
      <c r="AB917" s="185" t="str">
        <f>IFERROR(__xludf.DUMMYFUNCTION("LET(width,COLUMN($AB$1)-COLUMN($G$1),r,INDEX($G917:$AAB917,1,SEQUENCE(1,width)),flat,TOCOL(r,1),bad,FILTER(flat,COUNTIF('リスト'!$E:$E,flat)=0),IFERROR(TEXTJOIN(""\n"",TRUE,bad),""""))"),"")</f>
        <v/>
      </c>
      <c r="AC917" s="185"/>
      <c r="AD917" s="185"/>
    </row>
    <row r="918">
      <c r="A918" s="185"/>
      <c r="B918" s="185"/>
      <c r="C918" s="185"/>
      <c r="D918" s="185"/>
      <c r="E918" s="203"/>
      <c r="F918" s="203"/>
      <c r="G918" s="185"/>
      <c r="H918" s="185"/>
      <c r="I918" s="185"/>
      <c r="J918" s="185"/>
      <c r="K918" s="185"/>
      <c r="L918" s="185"/>
      <c r="M918" s="185"/>
      <c r="N918" s="185"/>
      <c r="O918" s="185"/>
      <c r="P918" s="185"/>
      <c r="Q918" s="185"/>
      <c r="R918" s="185"/>
      <c r="S918" s="185"/>
      <c r="T918" s="185"/>
      <c r="U918" s="185"/>
      <c r="V918" s="185"/>
      <c r="W918" s="185"/>
      <c r="X918" s="185"/>
      <c r="Y918" s="185"/>
      <c r="Z918" s="185"/>
      <c r="AA918" s="185"/>
      <c r="AB918" s="185" t="str">
        <f>IFERROR(__xludf.DUMMYFUNCTION("LET(width,COLUMN($AB$1)-COLUMN($G$1),r,INDEX($G918:$AAB918,1,SEQUENCE(1,width)),flat,TOCOL(r,1),bad,FILTER(flat,COUNTIF('リスト'!$E:$E,flat)=0),IFERROR(TEXTJOIN(""\n"",TRUE,bad),""""))"),"")</f>
        <v/>
      </c>
      <c r="AC918" s="185"/>
      <c r="AD918" s="185"/>
    </row>
    <row r="919">
      <c r="A919" s="185"/>
      <c r="B919" s="185"/>
      <c r="C919" s="185"/>
      <c r="D919" s="185"/>
      <c r="E919" s="203"/>
      <c r="F919" s="203"/>
      <c r="G919" s="185"/>
      <c r="H919" s="185"/>
      <c r="I919" s="185"/>
      <c r="J919" s="185"/>
      <c r="K919" s="185"/>
      <c r="L919" s="185"/>
      <c r="M919" s="185"/>
      <c r="N919" s="185"/>
      <c r="O919" s="185"/>
      <c r="P919" s="185"/>
      <c r="Q919" s="185"/>
      <c r="R919" s="185"/>
      <c r="S919" s="185"/>
      <c r="T919" s="185"/>
      <c r="U919" s="185"/>
      <c r="V919" s="185"/>
      <c r="W919" s="185"/>
      <c r="X919" s="185"/>
      <c r="Y919" s="185"/>
      <c r="Z919" s="185"/>
      <c r="AA919" s="185"/>
      <c r="AB919" s="185" t="str">
        <f>IFERROR(__xludf.DUMMYFUNCTION("LET(width,COLUMN($AB$1)-COLUMN($G$1),r,INDEX($G919:$AAB919,1,SEQUENCE(1,width)),flat,TOCOL(r,1),bad,FILTER(flat,COUNTIF('リスト'!$E:$E,flat)=0),IFERROR(TEXTJOIN(""\n"",TRUE,bad),""""))"),"")</f>
        <v/>
      </c>
      <c r="AC919" s="185"/>
      <c r="AD919" s="185"/>
    </row>
    <row r="920">
      <c r="A920" s="185"/>
      <c r="B920" s="185"/>
      <c r="C920" s="185"/>
      <c r="D920" s="185"/>
      <c r="E920" s="203"/>
      <c r="F920" s="203"/>
      <c r="G920" s="185"/>
      <c r="H920" s="185"/>
      <c r="I920" s="185"/>
      <c r="J920" s="185"/>
      <c r="K920" s="185"/>
      <c r="L920" s="185"/>
      <c r="M920" s="185"/>
      <c r="N920" s="185"/>
      <c r="O920" s="185"/>
      <c r="P920" s="185"/>
      <c r="Q920" s="185"/>
      <c r="R920" s="185"/>
      <c r="S920" s="185"/>
      <c r="T920" s="185"/>
      <c r="U920" s="185"/>
      <c r="V920" s="185"/>
      <c r="W920" s="185"/>
      <c r="X920" s="185"/>
      <c r="Y920" s="185"/>
      <c r="Z920" s="185"/>
      <c r="AA920" s="185"/>
      <c r="AB920" s="185" t="str">
        <f>IFERROR(__xludf.DUMMYFUNCTION("LET(width,COLUMN($AB$1)-COLUMN($G$1),r,INDEX($G920:$AAB920,1,SEQUENCE(1,width)),flat,TOCOL(r,1),bad,FILTER(flat,COUNTIF('リスト'!$E:$E,flat)=0),IFERROR(TEXTJOIN(""\n"",TRUE,bad),""""))"),"")</f>
        <v/>
      </c>
      <c r="AC920" s="185"/>
      <c r="AD920" s="185"/>
    </row>
    <row r="921">
      <c r="A921" s="185"/>
      <c r="B921" s="185"/>
      <c r="C921" s="185"/>
      <c r="D921" s="185"/>
      <c r="E921" s="203"/>
      <c r="F921" s="203"/>
      <c r="G921" s="185"/>
      <c r="H921" s="185"/>
      <c r="I921" s="185"/>
      <c r="J921" s="185"/>
      <c r="K921" s="185"/>
      <c r="L921" s="185"/>
      <c r="M921" s="185"/>
      <c r="N921" s="185"/>
      <c r="O921" s="185"/>
      <c r="P921" s="185"/>
      <c r="Q921" s="185"/>
      <c r="R921" s="185"/>
      <c r="S921" s="185"/>
      <c r="T921" s="185"/>
      <c r="U921" s="185"/>
      <c r="V921" s="185"/>
      <c r="W921" s="185"/>
      <c r="X921" s="185"/>
      <c r="Y921" s="185"/>
      <c r="Z921" s="185"/>
      <c r="AA921" s="185"/>
      <c r="AB921" s="185" t="str">
        <f>IFERROR(__xludf.DUMMYFUNCTION("LET(width,COLUMN($AB$1)-COLUMN($G$1),r,INDEX($G921:$AAB921,1,SEQUENCE(1,width)),flat,TOCOL(r,1),bad,FILTER(flat,COUNTIF('リスト'!$E:$E,flat)=0),IFERROR(TEXTJOIN(""\n"",TRUE,bad),""""))"),"")</f>
        <v/>
      </c>
      <c r="AC921" s="185"/>
      <c r="AD921" s="185"/>
    </row>
    <row r="922">
      <c r="A922" s="185"/>
      <c r="B922" s="185"/>
      <c r="C922" s="185"/>
      <c r="D922" s="185"/>
      <c r="E922" s="203"/>
      <c r="F922" s="203"/>
      <c r="G922" s="185"/>
      <c r="H922" s="185"/>
      <c r="I922" s="185"/>
      <c r="J922" s="185"/>
      <c r="K922" s="185"/>
      <c r="L922" s="185"/>
      <c r="M922" s="185"/>
      <c r="N922" s="185"/>
      <c r="O922" s="185"/>
      <c r="P922" s="185"/>
      <c r="Q922" s="185"/>
      <c r="R922" s="185"/>
      <c r="S922" s="185"/>
      <c r="T922" s="185"/>
      <c r="U922" s="185"/>
      <c r="V922" s="185"/>
      <c r="W922" s="185"/>
      <c r="X922" s="185"/>
      <c r="Y922" s="185"/>
      <c r="Z922" s="185"/>
      <c r="AA922" s="185"/>
      <c r="AB922" s="185" t="str">
        <f>IFERROR(__xludf.DUMMYFUNCTION("LET(width,COLUMN($AB$1)-COLUMN($G$1),r,INDEX($G922:$AAB922,1,SEQUENCE(1,width)),flat,TOCOL(r,1),bad,FILTER(flat,COUNTIF('リスト'!$E:$E,flat)=0),IFERROR(TEXTJOIN(""\n"",TRUE,bad),""""))"),"")</f>
        <v/>
      </c>
      <c r="AC922" s="185"/>
      <c r="AD922" s="185"/>
    </row>
    <row r="923">
      <c r="A923" s="185"/>
      <c r="B923" s="185"/>
      <c r="C923" s="185"/>
      <c r="D923" s="185"/>
      <c r="E923" s="203"/>
      <c r="F923" s="203"/>
      <c r="G923" s="185"/>
      <c r="H923" s="185"/>
      <c r="I923" s="185"/>
      <c r="J923" s="185"/>
      <c r="K923" s="185"/>
      <c r="L923" s="185"/>
      <c r="M923" s="185"/>
      <c r="N923" s="185"/>
      <c r="O923" s="185"/>
      <c r="P923" s="185"/>
      <c r="Q923" s="185"/>
      <c r="R923" s="185"/>
      <c r="S923" s="185"/>
      <c r="T923" s="185"/>
      <c r="U923" s="185"/>
      <c r="V923" s="185"/>
      <c r="W923" s="185"/>
      <c r="X923" s="185"/>
      <c r="Y923" s="185"/>
      <c r="Z923" s="185"/>
      <c r="AA923" s="185"/>
      <c r="AB923" s="185" t="str">
        <f>IFERROR(__xludf.DUMMYFUNCTION("LET(width,COLUMN($AB$1)-COLUMN($G$1),r,INDEX($G923:$AAB923,1,SEQUENCE(1,width)),flat,TOCOL(r,1),bad,FILTER(flat,COUNTIF('リスト'!$E:$E,flat)=0),IFERROR(TEXTJOIN(""\n"",TRUE,bad),""""))"),"")</f>
        <v/>
      </c>
      <c r="AC923" s="185"/>
      <c r="AD923" s="185"/>
    </row>
    <row r="924">
      <c r="A924" s="185"/>
      <c r="B924" s="185"/>
      <c r="C924" s="185"/>
      <c r="D924" s="185"/>
      <c r="E924" s="203"/>
      <c r="F924" s="203"/>
      <c r="G924" s="185"/>
      <c r="H924" s="185"/>
      <c r="I924" s="185"/>
      <c r="J924" s="185"/>
      <c r="K924" s="185"/>
      <c r="L924" s="185"/>
      <c r="M924" s="185"/>
      <c r="N924" s="185"/>
      <c r="O924" s="185"/>
      <c r="P924" s="185"/>
      <c r="Q924" s="185"/>
      <c r="R924" s="185"/>
      <c r="S924" s="185"/>
      <c r="T924" s="185"/>
      <c r="U924" s="185"/>
      <c r="V924" s="185"/>
      <c r="W924" s="185"/>
      <c r="X924" s="185"/>
      <c r="Y924" s="185"/>
      <c r="Z924" s="185"/>
      <c r="AA924" s="185"/>
      <c r="AB924" s="185" t="str">
        <f>IFERROR(__xludf.DUMMYFUNCTION("LET(width,COLUMN($AB$1)-COLUMN($G$1),r,INDEX($G924:$AAB924,1,SEQUENCE(1,width)),flat,TOCOL(r,1),bad,FILTER(flat,COUNTIF('リスト'!$E:$E,flat)=0),IFERROR(TEXTJOIN(""\n"",TRUE,bad),""""))"),"")</f>
        <v/>
      </c>
      <c r="AC924" s="185"/>
      <c r="AD924" s="185"/>
    </row>
    <row r="925">
      <c r="A925" s="185"/>
      <c r="B925" s="185"/>
      <c r="C925" s="185"/>
      <c r="D925" s="185"/>
      <c r="E925" s="203"/>
      <c r="F925" s="203"/>
      <c r="G925" s="185"/>
      <c r="H925" s="185"/>
      <c r="I925" s="185"/>
      <c r="J925" s="185"/>
      <c r="K925" s="185"/>
      <c r="L925" s="185"/>
      <c r="M925" s="185"/>
      <c r="N925" s="185"/>
      <c r="O925" s="185"/>
      <c r="P925" s="185"/>
      <c r="Q925" s="185"/>
      <c r="R925" s="185"/>
      <c r="S925" s="185"/>
      <c r="T925" s="185"/>
      <c r="U925" s="185"/>
      <c r="V925" s="185"/>
      <c r="W925" s="185"/>
      <c r="X925" s="185"/>
      <c r="Y925" s="185"/>
      <c r="Z925" s="185"/>
      <c r="AA925" s="185"/>
      <c r="AB925" s="185" t="str">
        <f>IFERROR(__xludf.DUMMYFUNCTION("LET(width,COLUMN($AB$1)-COLUMN($G$1),r,INDEX($G925:$AAB925,1,SEQUENCE(1,width)),flat,TOCOL(r,1),bad,FILTER(flat,COUNTIF('リスト'!$E:$E,flat)=0),IFERROR(TEXTJOIN(""\n"",TRUE,bad),""""))"),"")</f>
        <v/>
      </c>
      <c r="AC925" s="185"/>
      <c r="AD925" s="185"/>
    </row>
    <row r="926">
      <c r="A926" s="185"/>
      <c r="B926" s="185"/>
      <c r="C926" s="185"/>
      <c r="D926" s="185"/>
      <c r="E926" s="203"/>
      <c r="F926" s="203"/>
      <c r="G926" s="185"/>
      <c r="H926" s="185"/>
      <c r="I926" s="185"/>
      <c r="J926" s="185"/>
      <c r="K926" s="185"/>
      <c r="L926" s="185"/>
      <c r="M926" s="185"/>
      <c r="N926" s="185"/>
      <c r="O926" s="185"/>
      <c r="P926" s="185"/>
      <c r="Q926" s="185"/>
      <c r="R926" s="185"/>
      <c r="S926" s="185"/>
      <c r="T926" s="185"/>
      <c r="U926" s="185"/>
      <c r="V926" s="185"/>
      <c r="W926" s="185"/>
      <c r="X926" s="185"/>
      <c r="Y926" s="185"/>
      <c r="Z926" s="185"/>
      <c r="AA926" s="185"/>
      <c r="AB926" s="185" t="str">
        <f>IFERROR(__xludf.DUMMYFUNCTION("LET(width,COLUMN($AB$1)-COLUMN($G$1),r,INDEX($G926:$AAB926,1,SEQUENCE(1,width)),flat,TOCOL(r,1),bad,FILTER(flat,COUNTIF('リスト'!$E:$E,flat)=0),IFERROR(TEXTJOIN(""\n"",TRUE,bad),""""))"),"")</f>
        <v/>
      </c>
      <c r="AC926" s="185"/>
      <c r="AD926" s="185"/>
    </row>
    <row r="927">
      <c r="A927" s="185"/>
      <c r="B927" s="185"/>
      <c r="C927" s="185"/>
      <c r="D927" s="185"/>
      <c r="E927" s="203"/>
      <c r="F927" s="203"/>
      <c r="G927" s="185"/>
      <c r="H927" s="185"/>
      <c r="I927" s="185"/>
      <c r="J927" s="185"/>
      <c r="K927" s="185"/>
      <c r="L927" s="185"/>
      <c r="M927" s="185"/>
      <c r="N927" s="185"/>
      <c r="O927" s="185"/>
      <c r="P927" s="185"/>
      <c r="Q927" s="185"/>
      <c r="R927" s="185"/>
      <c r="S927" s="185"/>
      <c r="T927" s="185"/>
      <c r="U927" s="185"/>
      <c r="V927" s="185"/>
      <c r="W927" s="185"/>
      <c r="X927" s="185"/>
      <c r="Y927" s="185"/>
      <c r="Z927" s="185"/>
      <c r="AA927" s="185"/>
      <c r="AB927" s="185" t="str">
        <f>IFERROR(__xludf.DUMMYFUNCTION("LET(width,COLUMN($AB$1)-COLUMN($G$1),r,INDEX($G927:$AAB927,1,SEQUENCE(1,width)),flat,TOCOL(r,1),bad,FILTER(flat,COUNTIF('リスト'!$E:$E,flat)=0),IFERROR(TEXTJOIN(""\n"",TRUE,bad),""""))"),"")</f>
        <v/>
      </c>
      <c r="AC927" s="185"/>
      <c r="AD927" s="185"/>
    </row>
    <row r="928">
      <c r="A928" s="185"/>
      <c r="B928" s="185"/>
      <c r="C928" s="185"/>
      <c r="D928" s="185"/>
      <c r="E928" s="203"/>
      <c r="F928" s="203"/>
      <c r="G928" s="185"/>
      <c r="H928" s="185"/>
      <c r="I928" s="185"/>
      <c r="J928" s="185"/>
      <c r="K928" s="185"/>
      <c r="L928" s="185"/>
      <c r="M928" s="185"/>
      <c r="N928" s="185"/>
      <c r="O928" s="185"/>
      <c r="P928" s="185"/>
      <c r="Q928" s="185"/>
      <c r="R928" s="185"/>
      <c r="S928" s="185"/>
      <c r="T928" s="185"/>
      <c r="U928" s="185"/>
      <c r="V928" s="185"/>
      <c r="W928" s="185"/>
      <c r="X928" s="185"/>
      <c r="Y928" s="185"/>
      <c r="Z928" s="185"/>
      <c r="AA928" s="185"/>
      <c r="AB928" s="185" t="str">
        <f>IFERROR(__xludf.DUMMYFUNCTION("LET(width,COLUMN($AB$1)-COLUMN($G$1),r,INDEX($G928:$AAB928,1,SEQUENCE(1,width)),flat,TOCOL(r,1),bad,FILTER(flat,COUNTIF('リスト'!$E:$E,flat)=0),IFERROR(TEXTJOIN(""\n"",TRUE,bad),""""))"),"")</f>
        <v/>
      </c>
      <c r="AC928" s="185"/>
      <c r="AD928" s="185"/>
    </row>
    <row r="929">
      <c r="A929" s="185"/>
      <c r="B929" s="185"/>
      <c r="C929" s="185"/>
      <c r="D929" s="185"/>
      <c r="E929" s="203"/>
      <c r="F929" s="203"/>
      <c r="G929" s="185"/>
      <c r="H929" s="185"/>
      <c r="I929" s="185"/>
      <c r="J929" s="185"/>
      <c r="K929" s="185"/>
      <c r="L929" s="185"/>
      <c r="M929" s="185"/>
      <c r="N929" s="185"/>
      <c r="O929" s="185"/>
      <c r="P929" s="185"/>
      <c r="Q929" s="185"/>
      <c r="R929" s="185"/>
      <c r="S929" s="185"/>
      <c r="T929" s="185"/>
      <c r="U929" s="185"/>
      <c r="V929" s="185"/>
      <c r="W929" s="185"/>
      <c r="X929" s="185"/>
      <c r="Y929" s="185"/>
      <c r="Z929" s="185"/>
      <c r="AA929" s="185"/>
      <c r="AB929" s="185" t="str">
        <f>IFERROR(__xludf.DUMMYFUNCTION("LET(width,COLUMN($AB$1)-COLUMN($G$1),r,INDEX($G929:$AAB929,1,SEQUENCE(1,width)),flat,TOCOL(r,1),bad,FILTER(flat,COUNTIF('リスト'!$E:$E,flat)=0),IFERROR(TEXTJOIN(""\n"",TRUE,bad),""""))"),"")</f>
        <v/>
      </c>
      <c r="AC929" s="185"/>
      <c r="AD929" s="185"/>
    </row>
    <row r="930">
      <c r="A930" s="185"/>
      <c r="B930" s="185"/>
      <c r="C930" s="185"/>
      <c r="D930" s="185"/>
      <c r="E930" s="203"/>
      <c r="F930" s="203"/>
      <c r="G930" s="185"/>
      <c r="H930" s="185"/>
      <c r="I930" s="185"/>
      <c r="J930" s="185"/>
      <c r="K930" s="185"/>
      <c r="L930" s="185"/>
      <c r="M930" s="185"/>
      <c r="N930" s="185"/>
      <c r="O930" s="185"/>
      <c r="P930" s="185"/>
      <c r="Q930" s="185"/>
      <c r="R930" s="185"/>
      <c r="S930" s="185"/>
      <c r="T930" s="185"/>
      <c r="U930" s="185"/>
      <c r="V930" s="185"/>
      <c r="W930" s="185"/>
      <c r="X930" s="185"/>
      <c r="Y930" s="185"/>
      <c r="Z930" s="185"/>
      <c r="AA930" s="185"/>
      <c r="AB930" s="185" t="str">
        <f>IFERROR(__xludf.DUMMYFUNCTION("LET(width,COLUMN($AB$1)-COLUMN($G$1),r,INDEX($G930:$AAB930,1,SEQUENCE(1,width)),flat,TOCOL(r,1),bad,FILTER(flat,COUNTIF('リスト'!$E:$E,flat)=0),IFERROR(TEXTJOIN(""\n"",TRUE,bad),""""))"),"")</f>
        <v/>
      </c>
      <c r="AC930" s="185"/>
      <c r="AD930" s="185"/>
    </row>
    <row r="931">
      <c r="A931" s="185"/>
      <c r="B931" s="185"/>
      <c r="C931" s="185"/>
      <c r="D931" s="185"/>
      <c r="E931" s="203"/>
      <c r="F931" s="203"/>
      <c r="G931" s="185"/>
      <c r="H931" s="185"/>
      <c r="I931" s="185"/>
      <c r="J931" s="185"/>
      <c r="K931" s="185"/>
      <c r="L931" s="185"/>
      <c r="M931" s="185"/>
      <c r="N931" s="185"/>
      <c r="O931" s="185"/>
      <c r="P931" s="185"/>
      <c r="Q931" s="185"/>
      <c r="R931" s="185"/>
      <c r="S931" s="185"/>
      <c r="T931" s="185"/>
      <c r="U931" s="185"/>
      <c r="V931" s="185"/>
      <c r="W931" s="185"/>
      <c r="X931" s="185"/>
      <c r="Y931" s="185"/>
      <c r="Z931" s="185"/>
      <c r="AA931" s="185"/>
      <c r="AB931" s="185" t="str">
        <f>IFERROR(__xludf.DUMMYFUNCTION("LET(width,COLUMN($AB$1)-COLUMN($G$1),r,INDEX($G931:$AAB931,1,SEQUENCE(1,width)),flat,TOCOL(r,1),bad,FILTER(flat,COUNTIF('リスト'!$E:$E,flat)=0),IFERROR(TEXTJOIN(""\n"",TRUE,bad),""""))"),"")</f>
        <v/>
      </c>
      <c r="AC931" s="185"/>
      <c r="AD931" s="185"/>
    </row>
    <row r="932">
      <c r="A932" s="185"/>
      <c r="B932" s="185"/>
      <c r="C932" s="185"/>
      <c r="D932" s="185"/>
      <c r="E932" s="203"/>
      <c r="F932" s="203"/>
      <c r="G932" s="185"/>
      <c r="H932" s="185"/>
      <c r="I932" s="185"/>
      <c r="J932" s="185"/>
      <c r="K932" s="185"/>
      <c r="L932" s="185"/>
      <c r="M932" s="185"/>
      <c r="N932" s="185"/>
      <c r="O932" s="185"/>
      <c r="P932" s="185"/>
      <c r="Q932" s="185"/>
      <c r="R932" s="185"/>
      <c r="S932" s="185"/>
      <c r="T932" s="185"/>
      <c r="U932" s="185"/>
      <c r="V932" s="185"/>
      <c r="W932" s="185"/>
      <c r="X932" s="185"/>
      <c r="Y932" s="185"/>
      <c r="Z932" s="185"/>
      <c r="AA932" s="185"/>
      <c r="AB932" s="185" t="str">
        <f>IFERROR(__xludf.DUMMYFUNCTION("LET(width,COLUMN($AB$1)-COLUMN($G$1),r,INDEX($G932:$AAB932,1,SEQUENCE(1,width)),flat,TOCOL(r,1),bad,FILTER(flat,COUNTIF('リスト'!$E:$E,flat)=0),IFERROR(TEXTJOIN(""\n"",TRUE,bad),""""))"),"")</f>
        <v/>
      </c>
      <c r="AC932" s="185"/>
      <c r="AD932" s="185"/>
    </row>
    <row r="933">
      <c r="A933" s="185"/>
      <c r="B933" s="185"/>
      <c r="C933" s="185"/>
      <c r="D933" s="185"/>
      <c r="E933" s="203"/>
      <c r="F933" s="203"/>
      <c r="G933" s="185"/>
      <c r="H933" s="185"/>
      <c r="I933" s="185"/>
      <c r="J933" s="185"/>
      <c r="K933" s="185"/>
      <c r="L933" s="185"/>
      <c r="M933" s="185"/>
      <c r="N933" s="185"/>
      <c r="O933" s="185"/>
      <c r="P933" s="185"/>
      <c r="Q933" s="185"/>
      <c r="R933" s="185"/>
      <c r="S933" s="185"/>
      <c r="T933" s="185"/>
      <c r="U933" s="185"/>
      <c r="V933" s="185"/>
      <c r="W933" s="185"/>
      <c r="X933" s="185"/>
      <c r="Y933" s="185"/>
      <c r="Z933" s="185"/>
      <c r="AA933" s="185"/>
      <c r="AB933" s="185" t="str">
        <f>IFERROR(__xludf.DUMMYFUNCTION("LET(width,COLUMN($AB$1)-COLUMN($G$1),r,INDEX($G933:$AAB933,1,SEQUENCE(1,width)),flat,TOCOL(r,1),bad,FILTER(flat,COUNTIF('リスト'!$E:$E,flat)=0),IFERROR(TEXTJOIN(""\n"",TRUE,bad),""""))"),"")</f>
        <v/>
      </c>
      <c r="AC933" s="185"/>
      <c r="AD933" s="185"/>
    </row>
    <row r="934">
      <c r="A934" s="185"/>
      <c r="B934" s="185"/>
      <c r="C934" s="185"/>
      <c r="D934" s="185"/>
      <c r="E934" s="203"/>
      <c r="F934" s="203"/>
      <c r="G934" s="185"/>
      <c r="H934" s="185"/>
      <c r="I934" s="185"/>
      <c r="J934" s="185"/>
      <c r="K934" s="185"/>
      <c r="L934" s="185"/>
      <c r="M934" s="185"/>
      <c r="N934" s="185"/>
      <c r="O934" s="185"/>
      <c r="P934" s="185"/>
      <c r="Q934" s="185"/>
      <c r="R934" s="185"/>
      <c r="S934" s="185"/>
      <c r="T934" s="185"/>
      <c r="U934" s="185"/>
      <c r="V934" s="185"/>
      <c r="W934" s="185"/>
      <c r="X934" s="185"/>
      <c r="Y934" s="185"/>
      <c r="Z934" s="185"/>
      <c r="AA934" s="185"/>
      <c r="AB934" s="185" t="str">
        <f>IFERROR(__xludf.DUMMYFUNCTION("LET(width,COLUMN($AB$1)-COLUMN($G$1),r,INDEX($G934:$AAB934,1,SEQUENCE(1,width)),flat,TOCOL(r,1),bad,FILTER(flat,COUNTIF('リスト'!$E:$E,flat)=0),IFERROR(TEXTJOIN(""\n"",TRUE,bad),""""))"),"")</f>
        <v/>
      </c>
      <c r="AC934" s="185"/>
      <c r="AD934" s="185"/>
    </row>
    <row r="935">
      <c r="A935" s="185"/>
      <c r="B935" s="185"/>
      <c r="C935" s="185"/>
      <c r="D935" s="185"/>
      <c r="E935" s="203"/>
      <c r="F935" s="203"/>
      <c r="G935" s="185"/>
      <c r="H935" s="185"/>
      <c r="I935" s="185"/>
      <c r="J935" s="185"/>
      <c r="K935" s="185"/>
      <c r="L935" s="185"/>
      <c r="M935" s="185"/>
      <c r="N935" s="185"/>
      <c r="O935" s="185"/>
      <c r="P935" s="185"/>
      <c r="Q935" s="185"/>
      <c r="R935" s="185"/>
      <c r="S935" s="185"/>
      <c r="T935" s="185"/>
      <c r="U935" s="185"/>
      <c r="V935" s="185"/>
      <c r="W935" s="185"/>
      <c r="X935" s="185"/>
      <c r="Y935" s="185"/>
      <c r="Z935" s="185"/>
      <c r="AA935" s="185"/>
      <c r="AB935" s="185" t="str">
        <f>IFERROR(__xludf.DUMMYFUNCTION("LET(width,COLUMN($AB$1)-COLUMN($G$1),r,INDEX($G935:$AAB935,1,SEQUENCE(1,width)),flat,TOCOL(r,1),bad,FILTER(flat,COUNTIF('リスト'!$E:$E,flat)=0),IFERROR(TEXTJOIN(""\n"",TRUE,bad),""""))"),"")</f>
        <v/>
      </c>
      <c r="AC935" s="185"/>
      <c r="AD935" s="185"/>
    </row>
    <row r="936">
      <c r="A936" s="185"/>
      <c r="B936" s="185"/>
      <c r="C936" s="185"/>
      <c r="D936" s="185"/>
      <c r="E936" s="203"/>
      <c r="F936" s="203"/>
      <c r="G936" s="185"/>
      <c r="H936" s="185"/>
      <c r="I936" s="185"/>
      <c r="J936" s="185"/>
      <c r="K936" s="185"/>
      <c r="L936" s="185"/>
      <c r="M936" s="185"/>
      <c r="N936" s="185"/>
      <c r="O936" s="185"/>
      <c r="P936" s="185"/>
      <c r="Q936" s="185"/>
      <c r="R936" s="185"/>
      <c r="S936" s="185"/>
      <c r="T936" s="185"/>
      <c r="U936" s="185"/>
      <c r="V936" s="185"/>
      <c r="W936" s="185"/>
      <c r="X936" s="185"/>
      <c r="Y936" s="185"/>
      <c r="Z936" s="185"/>
      <c r="AA936" s="185"/>
      <c r="AB936" s="185" t="str">
        <f>IFERROR(__xludf.DUMMYFUNCTION("LET(width,COLUMN($AB$1)-COLUMN($G$1),r,INDEX($G936:$AAB936,1,SEQUENCE(1,width)),flat,TOCOL(r,1),bad,FILTER(flat,COUNTIF('リスト'!$E:$E,flat)=0),IFERROR(TEXTJOIN(""\n"",TRUE,bad),""""))"),"")</f>
        <v/>
      </c>
      <c r="AC936" s="185"/>
      <c r="AD936" s="185"/>
    </row>
    <row r="937">
      <c r="A937" s="185"/>
      <c r="B937" s="185"/>
      <c r="C937" s="185"/>
      <c r="D937" s="185"/>
      <c r="E937" s="203"/>
      <c r="F937" s="203"/>
      <c r="G937" s="185"/>
      <c r="H937" s="185"/>
      <c r="I937" s="185"/>
      <c r="J937" s="185"/>
      <c r="K937" s="185"/>
      <c r="L937" s="185"/>
      <c r="M937" s="185"/>
      <c r="N937" s="185"/>
      <c r="O937" s="185"/>
      <c r="P937" s="185"/>
      <c r="Q937" s="185"/>
      <c r="R937" s="185"/>
      <c r="S937" s="185"/>
      <c r="T937" s="185"/>
      <c r="U937" s="185"/>
      <c r="V937" s="185"/>
      <c r="W937" s="185"/>
      <c r="X937" s="185"/>
      <c r="Y937" s="185"/>
      <c r="Z937" s="185"/>
      <c r="AA937" s="185"/>
      <c r="AB937" s="185" t="str">
        <f>IFERROR(__xludf.DUMMYFUNCTION("LET(width,COLUMN($AB$1)-COLUMN($G$1),r,INDEX($G937:$AAB937,1,SEQUENCE(1,width)),flat,TOCOL(r,1),bad,FILTER(flat,COUNTIF('リスト'!$E:$E,flat)=0),IFERROR(TEXTJOIN(""\n"",TRUE,bad),""""))"),"")</f>
        <v/>
      </c>
      <c r="AC937" s="185"/>
      <c r="AD937" s="185"/>
    </row>
    <row r="938">
      <c r="A938" s="185"/>
      <c r="B938" s="185"/>
      <c r="C938" s="185"/>
      <c r="D938" s="185"/>
      <c r="E938" s="203"/>
      <c r="F938" s="203"/>
      <c r="G938" s="185"/>
      <c r="H938" s="185"/>
      <c r="I938" s="185"/>
      <c r="J938" s="185"/>
      <c r="K938" s="185"/>
      <c r="L938" s="185"/>
      <c r="M938" s="185"/>
      <c r="N938" s="185"/>
      <c r="O938" s="185"/>
      <c r="P938" s="185"/>
      <c r="Q938" s="185"/>
      <c r="R938" s="185"/>
      <c r="S938" s="185"/>
      <c r="T938" s="185"/>
      <c r="U938" s="185"/>
      <c r="V938" s="185"/>
      <c r="W938" s="185"/>
      <c r="X938" s="185"/>
      <c r="Y938" s="185"/>
      <c r="Z938" s="185"/>
      <c r="AA938" s="185"/>
      <c r="AB938" s="185" t="str">
        <f>IFERROR(__xludf.DUMMYFUNCTION("LET(width,COLUMN($AB$1)-COLUMN($G$1),r,INDEX($G938:$AAB938,1,SEQUENCE(1,width)),flat,TOCOL(r,1),bad,FILTER(flat,COUNTIF('リスト'!$E:$E,flat)=0),IFERROR(TEXTJOIN(""\n"",TRUE,bad),""""))"),"")</f>
        <v/>
      </c>
      <c r="AC938" s="185"/>
      <c r="AD938" s="185"/>
    </row>
    <row r="939">
      <c r="A939" s="185"/>
      <c r="B939" s="185"/>
      <c r="C939" s="185"/>
      <c r="D939" s="185"/>
      <c r="E939" s="203"/>
      <c r="F939" s="203"/>
      <c r="G939" s="185"/>
      <c r="H939" s="185"/>
      <c r="I939" s="185"/>
      <c r="J939" s="185"/>
      <c r="K939" s="185"/>
      <c r="L939" s="185"/>
      <c r="M939" s="185"/>
      <c r="N939" s="185"/>
      <c r="O939" s="185"/>
      <c r="P939" s="185"/>
      <c r="Q939" s="185"/>
      <c r="R939" s="185"/>
      <c r="S939" s="185"/>
      <c r="T939" s="185"/>
      <c r="U939" s="185"/>
      <c r="V939" s="185"/>
      <c r="W939" s="185"/>
      <c r="X939" s="185"/>
      <c r="Y939" s="185"/>
      <c r="Z939" s="185"/>
      <c r="AA939" s="185"/>
      <c r="AB939" s="185" t="str">
        <f>IFERROR(__xludf.DUMMYFUNCTION("LET(width,COLUMN($AB$1)-COLUMN($G$1),r,INDEX($G939:$AAB939,1,SEQUENCE(1,width)),flat,TOCOL(r,1),bad,FILTER(flat,COUNTIF('リスト'!$E:$E,flat)=0),IFERROR(TEXTJOIN(""\n"",TRUE,bad),""""))"),"")</f>
        <v/>
      </c>
      <c r="AC939" s="185"/>
      <c r="AD939" s="185"/>
    </row>
    <row r="940">
      <c r="A940" s="185"/>
      <c r="B940" s="185"/>
      <c r="C940" s="185"/>
      <c r="D940" s="185"/>
      <c r="E940" s="203"/>
      <c r="F940" s="203"/>
      <c r="G940" s="185"/>
      <c r="H940" s="185"/>
      <c r="I940" s="185"/>
      <c r="J940" s="185"/>
      <c r="K940" s="185"/>
      <c r="L940" s="185"/>
      <c r="M940" s="185"/>
      <c r="N940" s="185"/>
      <c r="O940" s="185"/>
      <c r="P940" s="185"/>
      <c r="Q940" s="185"/>
      <c r="R940" s="185"/>
      <c r="S940" s="185"/>
      <c r="T940" s="185"/>
      <c r="U940" s="185"/>
      <c r="V940" s="185"/>
      <c r="W940" s="185"/>
      <c r="X940" s="185"/>
      <c r="Y940" s="185"/>
      <c r="Z940" s="185"/>
      <c r="AA940" s="185"/>
      <c r="AB940" s="185" t="str">
        <f>IFERROR(__xludf.DUMMYFUNCTION("LET(width,COLUMN($AB$1)-COLUMN($G$1),r,INDEX($G940:$AAB940,1,SEQUENCE(1,width)),flat,TOCOL(r,1),bad,FILTER(flat,COUNTIF('リスト'!$E:$E,flat)=0),IFERROR(TEXTJOIN(""\n"",TRUE,bad),""""))"),"")</f>
        <v/>
      </c>
      <c r="AC940" s="185"/>
      <c r="AD940" s="185"/>
    </row>
    <row r="941">
      <c r="A941" s="185"/>
      <c r="B941" s="185"/>
      <c r="C941" s="185"/>
      <c r="D941" s="185"/>
      <c r="E941" s="203"/>
      <c r="F941" s="203"/>
      <c r="G941" s="185"/>
      <c r="H941" s="185"/>
      <c r="I941" s="185"/>
      <c r="J941" s="185"/>
      <c r="K941" s="185"/>
      <c r="L941" s="185"/>
      <c r="M941" s="185"/>
      <c r="N941" s="185"/>
      <c r="O941" s="185"/>
      <c r="P941" s="185"/>
      <c r="Q941" s="185"/>
      <c r="R941" s="185"/>
      <c r="S941" s="185"/>
      <c r="T941" s="185"/>
      <c r="U941" s="185"/>
      <c r="V941" s="185"/>
      <c r="W941" s="185"/>
      <c r="X941" s="185"/>
      <c r="Y941" s="185"/>
      <c r="Z941" s="185"/>
      <c r="AA941" s="185"/>
      <c r="AB941" s="185" t="str">
        <f>IFERROR(__xludf.DUMMYFUNCTION("LET(width,COLUMN($AB$1)-COLUMN($G$1),r,INDEX($G941:$AAB941,1,SEQUENCE(1,width)),flat,TOCOL(r,1),bad,FILTER(flat,COUNTIF('リスト'!$E:$E,flat)=0),IFERROR(TEXTJOIN(""\n"",TRUE,bad),""""))"),"")</f>
        <v/>
      </c>
      <c r="AC941" s="185"/>
      <c r="AD941" s="185"/>
    </row>
    <row r="942">
      <c r="A942" s="185"/>
      <c r="B942" s="185"/>
      <c r="C942" s="185"/>
      <c r="D942" s="185"/>
      <c r="E942" s="203"/>
      <c r="F942" s="203"/>
      <c r="G942" s="185"/>
      <c r="H942" s="185"/>
      <c r="I942" s="185"/>
      <c r="J942" s="185"/>
      <c r="K942" s="185"/>
      <c r="L942" s="185"/>
      <c r="M942" s="185"/>
      <c r="N942" s="185"/>
      <c r="O942" s="185"/>
      <c r="P942" s="185"/>
      <c r="Q942" s="185"/>
      <c r="R942" s="185"/>
      <c r="S942" s="185"/>
      <c r="T942" s="185"/>
      <c r="U942" s="185"/>
      <c r="V942" s="185"/>
      <c r="W942" s="185"/>
      <c r="X942" s="185"/>
      <c r="Y942" s="185"/>
      <c r="Z942" s="185"/>
      <c r="AA942" s="185"/>
      <c r="AB942" s="185" t="str">
        <f>IFERROR(__xludf.DUMMYFUNCTION("LET(width,COLUMN($AB$1)-COLUMN($G$1),r,INDEX($G942:$AAB942,1,SEQUENCE(1,width)),flat,TOCOL(r,1),bad,FILTER(flat,COUNTIF('リスト'!$E:$E,flat)=0),IFERROR(TEXTJOIN(""\n"",TRUE,bad),""""))"),"")</f>
        <v/>
      </c>
      <c r="AC942" s="185"/>
      <c r="AD942" s="185"/>
    </row>
    <row r="943">
      <c r="A943" s="185"/>
      <c r="B943" s="185"/>
      <c r="C943" s="185"/>
      <c r="D943" s="185"/>
      <c r="E943" s="203"/>
      <c r="F943" s="203"/>
      <c r="G943" s="185"/>
      <c r="H943" s="185"/>
      <c r="I943" s="185"/>
      <c r="J943" s="185"/>
      <c r="K943" s="185"/>
      <c r="L943" s="185"/>
      <c r="M943" s="185"/>
      <c r="N943" s="185"/>
      <c r="O943" s="185"/>
      <c r="P943" s="185"/>
      <c r="Q943" s="185"/>
      <c r="R943" s="185"/>
      <c r="S943" s="185"/>
      <c r="T943" s="185"/>
      <c r="U943" s="185"/>
      <c r="V943" s="185"/>
      <c r="W943" s="185"/>
      <c r="X943" s="185"/>
      <c r="Y943" s="185"/>
      <c r="Z943" s="185"/>
      <c r="AA943" s="185"/>
      <c r="AB943" s="185" t="str">
        <f>IFERROR(__xludf.DUMMYFUNCTION("LET(width,COLUMN($AB$1)-COLUMN($G$1),r,INDEX($G943:$AAB943,1,SEQUENCE(1,width)),flat,TOCOL(r,1),bad,FILTER(flat,COUNTIF('リスト'!$E:$E,flat)=0),IFERROR(TEXTJOIN(""\n"",TRUE,bad),""""))"),"")</f>
        <v/>
      </c>
      <c r="AC943" s="185"/>
      <c r="AD943" s="185"/>
    </row>
    <row r="944">
      <c r="A944" s="185"/>
      <c r="B944" s="185"/>
      <c r="C944" s="185"/>
      <c r="D944" s="185"/>
      <c r="E944" s="203"/>
      <c r="F944" s="203"/>
      <c r="G944" s="185"/>
      <c r="H944" s="185"/>
      <c r="I944" s="185"/>
      <c r="J944" s="185"/>
      <c r="K944" s="185"/>
      <c r="L944" s="185"/>
      <c r="M944" s="185"/>
      <c r="N944" s="185"/>
      <c r="O944" s="185"/>
      <c r="P944" s="185"/>
      <c r="Q944" s="185"/>
      <c r="R944" s="185"/>
      <c r="S944" s="185"/>
      <c r="T944" s="185"/>
      <c r="U944" s="185"/>
      <c r="V944" s="185"/>
      <c r="W944" s="185"/>
      <c r="X944" s="185"/>
      <c r="Y944" s="185"/>
      <c r="Z944" s="185"/>
      <c r="AA944" s="185"/>
      <c r="AB944" s="185" t="str">
        <f>IFERROR(__xludf.DUMMYFUNCTION("LET(width,COLUMN($AB$1)-COLUMN($G$1),r,INDEX($G944:$AAB944,1,SEQUENCE(1,width)),flat,TOCOL(r,1),bad,FILTER(flat,COUNTIF('リスト'!$E:$E,flat)=0),IFERROR(TEXTJOIN(""\n"",TRUE,bad),""""))"),"")</f>
        <v/>
      </c>
      <c r="AC944" s="185"/>
      <c r="AD944" s="185"/>
    </row>
    <row r="945">
      <c r="A945" s="185"/>
      <c r="B945" s="185"/>
      <c r="C945" s="185"/>
      <c r="D945" s="185"/>
      <c r="E945" s="203"/>
      <c r="F945" s="203"/>
      <c r="G945" s="185"/>
      <c r="H945" s="185"/>
      <c r="I945" s="185"/>
      <c r="J945" s="185"/>
      <c r="K945" s="185"/>
      <c r="L945" s="185"/>
      <c r="M945" s="185"/>
      <c r="N945" s="185"/>
      <c r="O945" s="185"/>
      <c r="P945" s="185"/>
      <c r="Q945" s="185"/>
      <c r="R945" s="185"/>
      <c r="S945" s="185"/>
      <c r="T945" s="185"/>
      <c r="U945" s="185"/>
      <c r="V945" s="185"/>
      <c r="W945" s="185"/>
      <c r="X945" s="185"/>
      <c r="Y945" s="185"/>
      <c r="Z945" s="185"/>
      <c r="AA945" s="185"/>
      <c r="AB945" s="185" t="str">
        <f>IFERROR(__xludf.DUMMYFUNCTION("LET(width,COLUMN($AB$1)-COLUMN($G$1),r,INDEX($G945:$AAB945,1,SEQUENCE(1,width)),flat,TOCOL(r,1),bad,FILTER(flat,COUNTIF('リスト'!$E:$E,flat)=0),IFERROR(TEXTJOIN(""\n"",TRUE,bad),""""))"),"")</f>
        <v/>
      </c>
      <c r="AC945" s="185"/>
      <c r="AD945" s="185"/>
    </row>
    <row r="946">
      <c r="A946" s="185"/>
      <c r="B946" s="185"/>
      <c r="C946" s="185"/>
      <c r="D946" s="185"/>
      <c r="E946" s="203"/>
      <c r="F946" s="203"/>
      <c r="G946" s="185"/>
      <c r="H946" s="185"/>
      <c r="I946" s="185"/>
      <c r="J946" s="185"/>
      <c r="K946" s="185"/>
      <c r="L946" s="185"/>
      <c r="M946" s="185"/>
      <c r="N946" s="185"/>
      <c r="O946" s="185"/>
      <c r="P946" s="185"/>
      <c r="Q946" s="185"/>
      <c r="R946" s="185"/>
      <c r="S946" s="185"/>
      <c r="T946" s="185"/>
      <c r="U946" s="185"/>
      <c r="V946" s="185"/>
      <c r="W946" s="185"/>
      <c r="X946" s="185"/>
      <c r="Y946" s="185"/>
      <c r="Z946" s="185"/>
      <c r="AA946" s="185"/>
      <c r="AB946" s="185" t="str">
        <f>IFERROR(__xludf.DUMMYFUNCTION("LET(width,COLUMN($AB$1)-COLUMN($G$1),r,INDEX($G946:$AAB946,1,SEQUENCE(1,width)),flat,TOCOL(r,1),bad,FILTER(flat,COUNTIF('リスト'!$E:$E,flat)=0),IFERROR(TEXTJOIN(""\n"",TRUE,bad),""""))"),"")</f>
        <v/>
      </c>
      <c r="AC946" s="185"/>
      <c r="AD946" s="185"/>
    </row>
    <row r="947">
      <c r="A947" s="185"/>
      <c r="B947" s="185"/>
      <c r="C947" s="185"/>
      <c r="D947" s="185"/>
      <c r="E947" s="203"/>
      <c r="F947" s="203"/>
      <c r="G947" s="185"/>
      <c r="H947" s="185"/>
      <c r="I947" s="185"/>
      <c r="J947" s="185"/>
      <c r="K947" s="185"/>
      <c r="L947" s="185"/>
      <c r="M947" s="185"/>
      <c r="N947" s="185"/>
      <c r="O947" s="185"/>
      <c r="P947" s="185"/>
      <c r="Q947" s="185"/>
      <c r="R947" s="185"/>
      <c r="S947" s="185"/>
      <c r="T947" s="185"/>
      <c r="U947" s="185"/>
      <c r="V947" s="185"/>
      <c r="W947" s="185"/>
      <c r="X947" s="185"/>
      <c r="Y947" s="185"/>
      <c r="Z947" s="185"/>
      <c r="AA947" s="185"/>
      <c r="AB947" s="185" t="str">
        <f>IFERROR(__xludf.DUMMYFUNCTION("LET(width,COLUMN($AB$1)-COLUMN($G$1),r,INDEX($G947:$AAB947,1,SEQUENCE(1,width)),flat,TOCOL(r,1),bad,FILTER(flat,COUNTIF('リスト'!$E:$E,flat)=0),IFERROR(TEXTJOIN(""\n"",TRUE,bad),""""))"),"")</f>
        <v/>
      </c>
      <c r="AC947" s="185"/>
      <c r="AD947" s="185"/>
    </row>
    <row r="948">
      <c r="A948" s="185"/>
      <c r="B948" s="185"/>
      <c r="C948" s="185"/>
      <c r="D948" s="185"/>
      <c r="E948" s="203"/>
      <c r="F948" s="203"/>
      <c r="G948" s="185"/>
      <c r="H948" s="185"/>
      <c r="I948" s="185"/>
      <c r="J948" s="185"/>
      <c r="K948" s="185"/>
      <c r="L948" s="185"/>
      <c r="M948" s="185"/>
      <c r="N948" s="185"/>
      <c r="O948" s="185"/>
      <c r="P948" s="185"/>
      <c r="Q948" s="185"/>
      <c r="R948" s="185"/>
      <c r="S948" s="185"/>
      <c r="T948" s="185"/>
      <c r="U948" s="185"/>
      <c r="V948" s="185"/>
      <c r="W948" s="185"/>
      <c r="X948" s="185"/>
      <c r="Y948" s="185"/>
      <c r="Z948" s="185"/>
      <c r="AA948" s="185"/>
      <c r="AB948" s="185" t="str">
        <f>IFERROR(__xludf.DUMMYFUNCTION("LET(width,COLUMN($AB$1)-COLUMN($G$1),r,INDEX($G948:$AAB948,1,SEQUENCE(1,width)),flat,TOCOL(r,1),bad,FILTER(flat,COUNTIF('リスト'!$E:$E,flat)=0),IFERROR(TEXTJOIN(""\n"",TRUE,bad),""""))"),"")</f>
        <v/>
      </c>
      <c r="AC948" s="185"/>
      <c r="AD948" s="185"/>
    </row>
    <row r="949">
      <c r="A949" s="185"/>
      <c r="B949" s="185"/>
      <c r="C949" s="185"/>
      <c r="D949" s="185"/>
      <c r="E949" s="203"/>
      <c r="F949" s="203"/>
      <c r="G949" s="185"/>
      <c r="H949" s="185"/>
      <c r="I949" s="185"/>
      <c r="J949" s="185"/>
      <c r="K949" s="185"/>
      <c r="L949" s="185"/>
      <c r="M949" s="185"/>
      <c r="N949" s="185"/>
      <c r="O949" s="185"/>
      <c r="P949" s="185"/>
      <c r="Q949" s="185"/>
      <c r="R949" s="185"/>
      <c r="S949" s="185"/>
      <c r="T949" s="185"/>
      <c r="U949" s="185"/>
      <c r="V949" s="185"/>
      <c r="W949" s="185"/>
      <c r="X949" s="185"/>
      <c r="Y949" s="185"/>
      <c r="Z949" s="185"/>
      <c r="AA949" s="185"/>
      <c r="AB949" s="185" t="str">
        <f>IFERROR(__xludf.DUMMYFUNCTION("LET(width,COLUMN($AB$1)-COLUMN($G$1),r,INDEX($G949:$AAB949,1,SEQUENCE(1,width)),flat,TOCOL(r,1),bad,FILTER(flat,COUNTIF('リスト'!$E:$E,flat)=0),IFERROR(TEXTJOIN(""\n"",TRUE,bad),""""))"),"")</f>
        <v/>
      </c>
      <c r="AC949" s="185"/>
      <c r="AD949" s="185"/>
    </row>
    <row r="950">
      <c r="A950" s="185"/>
      <c r="B950" s="185"/>
      <c r="C950" s="185"/>
      <c r="D950" s="185"/>
      <c r="E950" s="203"/>
      <c r="F950" s="203"/>
      <c r="G950" s="185"/>
      <c r="H950" s="185"/>
      <c r="I950" s="185"/>
      <c r="J950" s="185"/>
      <c r="K950" s="185"/>
      <c r="L950" s="185"/>
      <c r="M950" s="185"/>
      <c r="N950" s="185"/>
      <c r="O950" s="185"/>
      <c r="P950" s="185"/>
      <c r="Q950" s="185"/>
      <c r="R950" s="185"/>
      <c r="S950" s="185"/>
      <c r="T950" s="185"/>
      <c r="U950" s="185"/>
      <c r="V950" s="185"/>
      <c r="W950" s="185"/>
      <c r="X950" s="185"/>
      <c r="Y950" s="185"/>
      <c r="Z950" s="185"/>
      <c r="AA950" s="185"/>
      <c r="AB950" s="185" t="str">
        <f>IFERROR(__xludf.DUMMYFUNCTION("LET(width,COLUMN($AB$1)-COLUMN($G$1),r,INDEX($G950:$AAB950,1,SEQUENCE(1,width)),flat,TOCOL(r,1),bad,FILTER(flat,COUNTIF('リスト'!$E:$E,flat)=0),IFERROR(TEXTJOIN(""\n"",TRUE,bad),""""))"),"")</f>
        <v/>
      </c>
      <c r="AC950" s="185"/>
      <c r="AD950" s="185"/>
    </row>
    <row r="951">
      <c r="A951" s="185"/>
      <c r="B951" s="185"/>
      <c r="C951" s="185"/>
      <c r="D951" s="185"/>
      <c r="E951" s="203"/>
      <c r="F951" s="203"/>
      <c r="G951" s="185"/>
      <c r="H951" s="185"/>
      <c r="I951" s="185"/>
      <c r="J951" s="185"/>
      <c r="K951" s="185"/>
      <c r="L951" s="185"/>
      <c r="M951" s="185"/>
      <c r="N951" s="185"/>
      <c r="O951" s="185"/>
      <c r="P951" s="185"/>
      <c r="Q951" s="185"/>
      <c r="R951" s="185"/>
      <c r="S951" s="185"/>
      <c r="T951" s="185"/>
      <c r="U951" s="185"/>
      <c r="V951" s="185"/>
      <c r="W951" s="185"/>
      <c r="X951" s="185"/>
      <c r="Y951" s="185"/>
      <c r="Z951" s="185"/>
      <c r="AA951" s="185"/>
      <c r="AB951" s="185" t="str">
        <f>IFERROR(__xludf.DUMMYFUNCTION("LET(width,COLUMN($AB$1)-COLUMN($G$1),r,INDEX($G951:$AAB951,1,SEQUENCE(1,width)),flat,TOCOL(r,1),bad,FILTER(flat,COUNTIF('リスト'!$E:$E,flat)=0),IFERROR(TEXTJOIN(""\n"",TRUE,bad),""""))"),"")</f>
        <v/>
      </c>
      <c r="AC951" s="185"/>
      <c r="AD951" s="185"/>
    </row>
    <row r="952">
      <c r="A952" s="185"/>
      <c r="B952" s="185"/>
      <c r="C952" s="185"/>
      <c r="D952" s="185"/>
      <c r="E952" s="203"/>
      <c r="F952" s="203"/>
      <c r="G952" s="185"/>
      <c r="H952" s="185"/>
      <c r="I952" s="185"/>
      <c r="J952" s="185"/>
      <c r="K952" s="185"/>
      <c r="L952" s="185"/>
      <c r="M952" s="185"/>
      <c r="N952" s="185"/>
      <c r="O952" s="185"/>
      <c r="P952" s="185"/>
      <c r="Q952" s="185"/>
      <c r="R952" s="185"/>
      <c r="S952" s="185"/>
      <c r="T952" s="185"/>
      <c r="U952" s="185"/>
      <c r="V952" s="185"/>
      <c r="W952" s="185"/>
      <c r="X952" s="185"/>
      <c r="Y952" s="185"/>
      <c r="Z952" s="185"/>
      <c r="AA952" s="185"/>
      <c r="AB952" s="185" t="str">
        <f>IFERROR(__xludf.DUMMYFUNCTION("LET(width,COLUMN($AB$1)-COLUMN($G$1),r,INDEX($G952:$AAB952,1,SEQUENCE(1,width)),flat,TOCOL(r,1),bad,FILTER(flat,COUNTIF('リスト'!$E:$E,flat)=0),IFERROR(TEXTJOIN(""\n"",TRUE,bad),""""))"),"")</f>
        <v/>
      </c>
      <c r="AC952" s="185"/>
      <c r="AD952" s="185"/>
    </row>
    <row r="953">
      <c r="A953" s="185"/>
      <c r="B953" s="185"/>
      <c r="C953" s="185"/>
      <c r="D953" s="185"/>
      <c r="E953" s="203"/>
      <c r="F953" s="203"/>
      <c r="G953" s="185"/>
      <c r="H953" s="185"/>
      <c r="I953" s="185"/>
      <c r="J953" s="185"/>
      <c r="K953" s="185"/>
      <c r="L953" s="185"/>
      <c r="M953" s="185"/>
      <c r="N953" s="185"/>
      <c r="O953" s="185"/>
      <c r="P953" s="185"/>
      <c r="Q953" s="185"/>
      <c r="R953" s="185"/>
      <c r="S953" s="185"/>
      <c r="T953" s="185"/>
      <c r="U953" s="185"/>
      <c r="V953" s="185"/>
      <c r="W953" s="185"/>
      <c r="X953" s="185"/>
      <c r="Y953" s="185"/>
      <c r="Z953" s="185"/>
      <c r="AA953" s="185"/>
      <c r="AB953" s="185" t="str">
        <f>IFERROR(__xludf.DUMMYFUNCTION("LET(width,COLUMN($AB$1)-COLUMN($G$1),r,INDEX($G953:$AAB953,1,SEQUENCE(1,width)),flat,TOCOL(r,1),bad,FILTER(flat,COUNTIF('リスト'!$E:$E,flat)=0),IFERROR(TEXTJOIN(""\n"",TRUE,bad),""""))"),"")</f>
        <v/>
      </c>
      <c r="AC953" s="185"/>
      <c r="AD953" s="185"/>
    </row>
    <row r="954">
      <c r="A954" s="185"/>
      <c r="B954" s="185"/>
      <c r="C954" s="185"/>
      <c r="D954" s="185"/>
      <c r="E954" s="203"/>
      <c r="F954" s="203"/>
      <c r="G954" s="185"/>
      <c r="H954" s="185"/>
      <c r="I954" s="185"/>
      <c r="J954" s="185"/>
      <c r="K954" s="185"/>
      <c r="L954" s="185"/>
      <c r="M954" s="185"/>
      <c r="N954" s="185"/>
      <c r="O954" s="185"/>
      <c r="P954" s="185"/>
      <c r="Q954" s="185"/>
      <c r="R954" s="185"/>
      <c r="S954" s="185"/>
      <c r="T954" s="185"/>
      <c r="U954" s="185"/>
      <c r="V954" s="185"/>
      <c r="W954" s="185"/>
      <c r="X954" s="185"/>
      <c r="Y954" s="185"/>
      <c r="Z954" s="185"/>
      <c r="AA954" s="185"/>
      <c r="AB954" s="185" t="str">
        <f>IFERROR(__xludf.DUMMYFUNCTION("LET(width,COLUMN($AB$1)-COLUMN($G$1),r,INDEX($G954:$AAB954,1,SEQUENCE(1,width)),flat,TOCOL(r,1),bad,FILTER(flat,COUNTIF('リスト'!$E:$E,flat)=0),IFERROR(TEXTJOIN(""\n"",TRUE,bad),""""))"),"")</f>
        <v/>
      </c>
      <c r="AC954" s="185"/>
      <c r="AD954" s="185"/>
    </row>
    <row r="955">
      <c r="A955" s="185"/>
      <c r="B955" s="185"/>
      <c r="C955" s="185"/>
      <c r="D955" s="185"/>
      <c r="E955" s="203"/>
      <c r="F955" s="203"/>
      <c r="G955" s="185"/>
      <c r="H955" s="185"/>
      <c r="I955" s="185"/>
      <c r="J955" s="185"/>
      <c r="K955" s="185"/>
      <c r="L955" s="185"/>
      <c r="M955" s="185"/>
      <c r="N955" s="185"/>
      <c r="O955" s="185"/>
      <c r="P955" s="185"/>
      <c r="Q955" s="185"/>
      <c r="R955" s="185"/>
      <c r="S955" s="185"/>
      <c r="T955" s="185"/>
      <c r="U955" s="185"/>
      <c r="V955" s="185"/>
      <c r="W955" s="185"/>
      <c r="X955" s="185"/>
      <c r="Y955" s="185"/>
      <c r="Z955" s="185"/>
      <c r="AA955" s="185"/>
      <c r="AB955" s="185" t="str">
        <f>IFERROR(__xludf.DUMMYFUNCTION("LET(width,COLUMN($AB$1)-COLUMN($G$1),r,INDEX($G955:$AAB955,1,SEQUENCE(1,width)),flat,TOCOL(r,1),bad,FILTER(flat,COUNTIF('リスト'!$E:$E,flat)=0),IFERROR(TEXTJOIN(""\n"",TRUE,bad),""""))"),"")</f>
        <v/>
      </c>
      <c r="AC955" s="185"/>
      <c r="AD955" s="185"/>
    </row>
    <row r="956">
      <c r="A956" s="185"/>
      <c r="B956" s="185"/>
      <c r="C956" s="185"/>
      <c r="D956" s="185"/>
      <c r="E956" s="203"/>
      <c r="F956" s="203"/>
      <c r="G956" s="185"/>
      <c r="H956" s="185"/>
      <c r="I956" s="185"/>
      <c r="J956" s="185"/>
      <c r="K956" s="185"/>
      <c r="L956" s="185"/>
      <c r="M956" s="185"/>
      <c r="N956" s="185"/>
      <c r="O956" s="185"/>
      <c r="P956" s="185"/>
      <c r="Q956" s="185"/>
      <c r="R956" s="185"/>
      <c r="S956" s="185"/>
      <c r="T956" s="185"/>
      <c r="U956" s="185"/>
      <c r="V956" s="185"/>
      <c r="W956" s="185"/>
      <c r="X956" s="185"/>
      <c r="Y956" s="185"/>
      <c r="Z956" s="185"/>
      <c r="AA956" s="185"/>
      <c r="AB956" s="185" t="str">
        <f>IFERROR(__xludf.DUMMYFUNCTION("LET(width,COLUMN($AB$1)-COLUMN($G$1),r,INDEX($G956:$AAB956,1,SEQUENCE(1,width)),flat,TOCOL(r,1),bad,FILTER(flat,COUNTIF('リスト'!$E:$E,flat)=0),IFERROR(TEXTJOIN(""\n"",TRUE,bad),""""))"),"")</f>
        <v/>
      </c>
      <c r="AC956" s="185"/>
      <c r="AD956" s="185"/>
    </row>
    <row r="957">
      <c r="A957" s="185"/>
      <c r="B957" s="185"/>
      <c r="C957" s="185"/>
      <c r="D957" s="185"/>
      <c r="E957" s="203"/>
      <c r="F957" s="203"/>
      <c r="G957" s="185"/>
      <c r="H957" s="185"/>
      <c r="I957" s="185"/>
      <c r="J957" s="185"/>
      <c r="K957" s="185"/>
      <c r="L957" s="185"/>
      <c r="M957" s="185"/>
      <c r="N957" s="185"/>
      <c r="O957" s="185"/>
      <c r="P957" s="185"/>
      <c r="Q957" s="185"/>
      <c r="R957" s="185"/>
      <c r="S957" s="185"/>
      <c r="T957" s="185"/>
      <c r="U957" s="185"/>
      <c r="V957" s="185"/>
      <c r="W957" s="185"/>
      <c r="X957" s="185"/>
      <c r="Y957" s="185"/>
      <c r="Z957" s="185"/>
      <c r="AA957" s="185"/>
      <c r="AB957" s="185" t="str">
        <f>IFERROR(__xludf.DUMMYFUNCTION("LET(width,COLUMN($AB$1)-COLUMN($G$1),r,INDEX($G957:$AAB957,1,SEQUENCE(1,width)),flat,TOCOL(r,1),bad,FILTER(flat,COUNTIF('リスト'!$E:$E,flat)=0),IFERROR(TEXTJOIN(""\n"",TRUE,bad),""""))"),"")</f>
        <v/>
      </c>
      <c r="AC957" s="185"/>
      <c r="AD957" s="185"/>
    </row>
    <row r="958">
      <c r="A958" s="185"/>
      <c r="B958" s="185"/>
      <c r="C958" s="185"/>
      <c r="D958" s="185"/>
      <c r="E958" s="203"/>
      <c r="F958" s="203"/>
      <c r="G958" s="185"/>
      <c r="H958" s="185"/>
      <c r="I958" s="185"/>
      <c r="J958" s="185"/>
      <c r="K958" s="185"/>
      <c r="L958" s="185"/>
      <c r="M958" s="185"/>
      <c r="N958" s="185"/>
      <c r="O958" s="185"/>
      <c r="P958" s="185"/>
      <c r="Q958" s="185"/>
      <c r="R958" s="185"/>
      <c r="S958" s="185"/>
      <c r="T958" s="185"/>
      <c r="U958" s="185"/>
      <c r="V958" s="185"/>
      <c r="W958" s="185"/>
      <c r="X958" s="185"/>
      <c r="Y958" s="185"/>
      <c r="Z958" s="185"/>
      <c r="AA958" s="185"/>
      <c r="AB958" s="185" t="str">
        <f>IFERROR(__xludf.DUMMYFUNCTION("LET(width,COLUMN($AB$1)-COLUMN($G$1),r,INDEX($G958:$AAB958,1,SEQUENCE(1,width)),flat,TOCOL(r,1),bad,FILTER(flat,COUNTIF('リスト'!$E:$E,flat)=0),IFERROR(TEXTJOIN(""\n"",TRUE,bad),""""))"),"")</f>
        <v/>
      </c>
      <c r="AC958" s="185"/>
      <c r="AD958" s="185"/>
    </row>
    <row r="959">
      <c r="A959" s="185"/>
      <c r="B959" s="185"/>
      <c r="C959" s="185"/>
      <c r="D959" s="185"/>
      <c r="E959" s="203"/>
      <c r="F959" s="203"/>
      <c r="G959" s="185"/>
      <c r="H959" s="185"/>
      <c r="I959" s="185"/>
      <c r="J959" s="185"/>
      <c r="K959" s="185"/>
      <c r="L959" s="185"/>
      <c r="M959" s="185"/>
      <c r="N959" s="185"/>
      <c r="O959" s="185"/>
      <c r="P959" s="185"/>
      <c r="Q959" s="185"/>
      <c r="R959" s="185"/>
      <c r="S959" s="185"/>
      <c r="T959" s="185"/>
      <c r="U959" s="185"/>
      <c r="V959" s="185"/>
      <c r="W959" s="185"/>
      <c r="X959" s="185"/>
      <c r="Y959" s="185"/>
      <c r="Z959" s="185"/>
      <c r="AA959" s="185"/>
      <c r="AB959" s="185" t="str">
        <f>IFERROR(__xludf.DUMMYFUNCTION("LET(width,COLUMN($AB$1)-COLUMN($G$1),r,INDEX($G959:$AAB959,1,SEQUENCE(1,width)),flat,TOCOL(r,1),bad,FILTER(flat,COUNTIF('リスト'!$E:$E,flat)=0),IFERROR(TEXTJOIN(""\n"",TRUE,bad),""""))"),"")</f>
        <v/>
      </c>
      <c r="AC959" s="185"/>
      <c r="AD959" s="185"/>
    </row>
    <row r="960">
      <c r="A960" s="185"/>
      <c r="B960" s="185"/>
      <c r="C960" s="185"/>
      <c r="D960" s="185"/>
      <c r="E960" s="203"/>
      <c r="F960" s="203"/>
      <c r="G960" s="185"/>
      <c r="H960" s="185"/>
      <c r="I960" s="185"/>
      <c r="J960" s="185"/>
      <c r="K960" s="185"/>
      <c r="L960" s="185"/>
      <c r="M960" s="185"/>
      <c r="N960" s="185"/>
      <c r="O960" s="185"/>
      <c r="P960" s="185"/>
      <c r="Q960" s="185"/>
      <c r="R960" s="185"/>
      <c r="S960" s="185"/>
      <c r="T960" s="185"/>
      <c r="U960" s="185"/>
      <c r="V960" s="185"/>
      <c r="W960" s="185"/>
      <c r="X960" s="185"/>
      <c r="Y960" s="185"/>
      <c r="Z960" s="185"/>
      <c r="AA960" s="185"/>
      <c r="AB960" s="185" t="str">
        <f>IFERROR(__xludf.DUMMYFUNCTION("LET(width,COLUMN($AB$1)-COLUMN($G$1),r,INDEX($G960:$AAB960,1,SEQUENCE(1,width)),flat,TOCOL(r,1),bad,FILTER(flat,COUNTIF('リスト'!$E:$E,flat)=0),IFERROR(TEXTJOIN(""\n"",TRUE,bad),""""))"),"")</f>
        <v/>
      </c>
      <c r="AC960" s="185"/>
      <c r="AD960" s="185"/>
    </row>
    <row r="961">
      <c r="A961" s="185"/>
      <c r="B961" s="185"/>
      <c r="C961" s="185"/>
      <c r="D961" s="185"/>
      <c r="E961" s="203"/>
      <c r="F961" s="203"/>
      <c r="G961" s="185"/>
      <c r="H961" s="185"/>
      <c r="I961" s="185"/>
      <c r="J961" s="185"/>
      <c r="K961" s="185"/>
      <c r="L961" s="185"/>
      <c r="M961" s="185"/>
      <c r="N961" s="185"/>
      <c r="O961" s="185"/>
      <c r="P961" s="185"/>
      <c r="Q961" s="185"/>
      <c r="R961" s="185"/>
      <c r="S961" s="185"/>
      <c r="T961" s="185"/>
      <c r="U961" s="185"/>
      <c r="V961" s="185"/>
      <c r="W961" s="185"/>
      <c r="X961" s="185"/>
      <c r="Y961" s="185"/>
      <c r="Z961" s="185"/>
      <c r="AA961" s="185"/>
      <c r="AB961" s="185" t="str">
        <f>IFERROR(__xludf.DUMMYFUNCTION("LET(width,COLUMN($AB$1)-COLUMN($G$1),r,INDEX($G961:$AAB961,1,SEQUENCE(1,width)),flat,TOCOL(r,1),bad,FILTER(flat,COUNTIF('リスト'!$E:$E,flat)=0),IFERROR(TEXTJOIN(""\n"",TRUE,bad),""""))"),"")</f>
        <v/>
      </c>
      <c r="AC961" s="185"/>
      <c r="AD961" s="185"/>
    </row>
    <row r="962">
      <c r="A962" s="185"/>
      <c r="B962" s="185"/>
      <c r="C962" s="185"/>
      <c r="D962" s="185"/>
      <c r="E962" s="203"/>
      <c r="F962" s="203"/>
      <c r="G962" s="185"/>
      <c r="H962" s="185"/>
      <c r="I962" s="185"/>
      <c r="J962" s="185"/>
      <c r="K962" s="185"/>
      <c r="L962" s="185"/>
      <c r="M962" s="185"/>
      <c r="N962" s="185"/>
      <c r="O962" s="185"/>
      <c r="P962" s="185"/>
      <c r="Q962" s="185"/>
      <c r="R962" s="185"/>
      <c r="S962" s="185"/>
      <c r="T962" s="185"/>
      <c r="U962" s="185"/>
      <c r="V962" s="185"/>
      <c r="W962" s="185"/>
      <c r="X962" s="185"/>
      <c r="Y962" s="185"/>
      <c r="Z962" s="185"/>
      <c r="AA962" s="185"/>
      <c r="AB962" s="185" t="str">
        <f>IFERROR(__xludf.DUMMYFUNCTION("LET(width,COLUMN($AB$1)-COLUMN($G$1),r,INDEX($G962:$AAB962,1,SEQUENCE(1,width)),flat,TOCOL(r,1),bad,FILTER(flat,COUNTIF('リスト'!$E:$E,flat)=0),IFERROR(TEXTJOIN(""\n"",TRUE,bad),""""))"),"")</f>
        <v/>
      </c>
      <c r="AC962" s="185"/>
      <c r="AD962" s="185"/>
    </row>
    <row r="963">
      <c r="A963" s="185"/>
      <c r="B963" s="185"/>
      <c r="C963" s="185"/>
      <c r="D963" s="185"/>
      <c r="E963" s="203"/>
      <c r="F963" s="203"/>
      <c r="G963" s="185"/>
      <c r="H963" s="185"/>
      <c r="I963" s="185"/>
      <c r="J963" s="185"/>
      <c r="K963" s="185"/>
      <c r="L963" s="185"/>
      <c r="M963" s="185"/>
      <c r="N963" s="185"/>
      <c r="O963" s="185"/>
      <c r="P963" s="185"/>
      <c r="Q963" s="185"/>
      <c r="R963" s="185"/>
      <c r="S963" s="185"/>
      <c r="T963" s="185"/>
      <c r="U963" s="185"/>
      <c r="V963" s="185"/>
      <c r="W963" s="185"/>
      <c r="X963" s="185"/>
      <c r="Y963" s="185"/>
      <c r="Z963" s="185"/>
      <c r="AA963" s="185"/>
      <c r="AB963" s="185" t="str">
        <f>IFERROR(__xludf.DUMMYFUNCTION("LET(width,COLUMN($AB$1)-COLUMN($G$1),r,INDEX($G963:$AAB963,1,SEQUENCE(1,width)),flat,TOCOL(r,1),bad,FILTER(flat,COUNTIF('リスト'!$E:$E,flat)=0),IFERROR(TEXTJOIN(""\n"",TRUE,bad),""""))"),"")</f>
        <v/>
      </c>
      <c r="AC963" s="185"/>
      <c r="AD963" s="185"/>
    </row>
    <row r="964">
      <c r="A964" s="185"/>
      <c r="B964" s="185"/>
      <c r="C964" s="185"/>
      <c r="D964" s="185"/>
      <c r="E964" s="203"/>
      <c r="F964" s="203"/>
      <c r="G964" s="185"/>
      <c r="H964" s="185"/>
      <c r="I964" s="185"/>
      <c r="J964" s="185"/>
      <c r="K964" s="185"/>
      <c r="L964" s="185"/>
      <c r="M964" s="185"/>
      <c r="N964" s="185"/>
      <c r="O964" s="185"/>
      <c r="P964" s="185"/>
      <c r="Q964" s="185"/>
      <c r="R964" s="185"/>
      <c r="S964" s="185"/>
      <c r="T964" s="185"/>
      <c r="U964" s="185"/>
      <c r="V964" s="185"/>
      <c r="W964" s="185"/>
      <c r="X964" s="185"/>
      <c r="Y964" s="185"/>
      <c r="Z964" s="185"/>
      <c r="AA964" s="185"/>
      <c r="AB964" s="185" t="str">
        <f>IFERROR(__xludf.DUMMYFUNCTION("LET(width,COLUMN($AB$1)-COLUMN($G$1),r,INDEX($G964:$AAB964,1,SEQUENCE(1,width)),flat,TOCOL(r,1),bad,FILTER(flat,COUNTIF('リスト'!$E:$E,flat)=0),IFERROR(TEXTJOIN(""\n"",TRUE,bad),""""))"),"")</f>
        <v/>
      </c>
      <c r="AC964" s="185"/>
      <c r="AD964" s="185"/>
    </row>
    <row r="965">
      <c r="A965" s="185"/>
      <c r="B965" s="185"/>
      <c r="C965" s="185"/>
      <c r="D965" s="185"/>
      <c r="E965" s="203"/>
      <c r="F965" s="203"/>
      <c r="G965" s="185"/>
      <c r="H965" s="185"/>
      <c r="I965" s="185"/>
      <c r="J965" s="185"/>
      <c r="K965" s="185"/>
      <c r="L965" s="185"/>
      <c r="M965" s="185"/>
      <c r="N965" s="185"/>
      <c r="O965" s="185"/>
      <c r="P965" s="185"/>
      <c r="Q965" s="185"/>
      <c r="R965" s="185"/>
      <c r="S965" s="185"/>
      <c r="T965" s="185"/>
      <c r="U965" s="185"/>
      <c r="V965" s="185"/>
      <c r="W965" s="185"/>
      <c r="X965" s="185"/>
      <c r="Y965" s="185"/>
      <c r="Z965" s="185"/>
      <c r="AA965" s="185"/>
      <c r="AB965" s="185" t="str">
        <f>IFERROR(__xludf.DUMMYFUNCTION("LET(width,COLUMN($AB$1)-COLUMN($G$1),r,INDEX($G965:$AAB965,1,SEQUENCE(1,width)),flat,TOCOL(r,1),bad,FILTER(flat,COUNTIF('リスト'!$E:$E,flat)=0),IFERROR(TEXTJOIN(""\n"",TRUE,bad),""""))"),"")</f>
        <v/>
      </c>
      <c r="AC965" s="185"/>
      <c r="AD965" s="185"/>
    </row>
    <row r="966">
      <c r="A966" s="185"/>
      <c r="B966" s="185"/>
      <c r="C966" s="185"/>
      <c r="D966" s="185"/>
      <c r="E966" s="203"/>
      <c r="F966" s="203"/>
      <c r="G966" s="185"/>
      <c r="H966" s="185"/>
      <c r="I966" s="185"/>
      <c r="J966" s="185"/>
      <c r="K966" s="185"/>
      <c r="L966" s="185"/>
      <c r="M966" s="185"/>
      <c r="N966" s="185"/>
      <c r="O966" s="185"/>
      <c r="P966" s="185"/>
      <c r="Q966" s="185"/>
      <c r="R966" s="185"/>
      <c r="S966" s="185"/>
      <c r="T966" s="185"/>
      <c r="U966" s="185"/>
      <c r="V966" s="185"/>
      <c r="W966" s="185"/>
      <c r="X966" s="185"/>
      <c r="Y966" s="185"/>
      <c r="Z966" s="185"/>
      <c r="AA966" s="185"/>
      <c r="AB966" s="185" t="str">
        <f>IFERROR(__xludf.DUMMYFUNCTION("LET(width,COLUMN($AB$1)-COLUMN($G$1),r,INDEX($G966:$AAB966,1,SEQUENCE(1,width)),flat,TOCOL(r,1),bad,FILTER(flat,COUNTIF('リスト'!$E:$E,flat)=0),IFERROR(TEXTJOIN(""\n"",TRUE,bad),""""))"),"")</f>
        <v/>
      </c>
      <c r="AC966" s="185"/>
      <c r="AD966" s="185"/>
    </row>
    <row r="967">
      <c r="A967" s="185"/>
      <c r="B967" s="185"/>
      <c r="C967" s="185"/>
      <c r="D967" s="185"/>
      <c r="E967" s="203"/>
      <c r="F967" s="203"/>
      <c r="G967" s="185"/>
      <c r="H967" s="185"/>
      <c r="I967" s="185"/>
      <c r="J967" s="185"/>
      <c r="K967" s="185"/>
      <c r="L967" s="185"/>
      <c r="M967" s="185"/>
      <c r="N967" s="185"/>
      <c r="O967" s="185"/>
      <c r="P967" s="185"/>
      <c r="Q967" s="185"/>
      <c r="R967" s="185"/>
      <c r="S967" s="185"/>
      <c r="T967" s="185"/>
      <c r="U967" s="185"/>
      <c r="V967" s="185"/>
      <c r="W967" s="185"/>
      <c r="X967" s="185"/>
      <c r="Y967" s="185"/>
      <c r="Z967" s="185"/>
      <c r="AA967" s="185"/>
      <c r="AB967" s="185" t="str">
        <f>IFERROR(__xludf.DUMMYFUNCTION("LET(width,COLUMN($AB$1)-COLUMN($G$1),r,INDEX($G967:$AAB967,1,SEQUENCE(1,width)),flat,TOCOL(r,1),bad,FILTER(flat,COUNTIF('リスト'!$E:$E,flat)=0),IFERROR(TEXTJOIN(""\n"",TRUE,bad),""""))"),"")</f>
        <v/>
      </c>
      <c r="AC967" s="185"/>
      <c r="AD967" s="185"/>
    </row>
    <row r="968">
      <c r="A968" s="185"/>
      <c r="B968" s="185"/>
      <c r="C968" s="185"/>
      <c r="D968" s="185"/>
      <c r="E968" s="203"/>
      <c r="F968" s="203"/>
      <c r="G968" s="185"/>
      <c r="H968" s="185"/>
      <c r="I968" s="185"/>
      <c r="J968" s="185"/>
      <c r="K968" s="185"/>
      <c r="L968" s="185"/>
      <c r="M968" s="185"/>
      <c r="N968" s="185"/>
      <c r="O968" s="185"/>
      <c r="P968" s="185"/>
      <c r="Q968" s="185"/>
      <c r="R968" s="185"/>
      <c r="S968" s="185"/>
      <c r="T968" s="185"/>
      <c r="U968" s="185"/>
      <c r="V968" s="185"/>
      <c r="W968" s="185"/>
      <c r="X968" s="185"/>
      <c r="Y968" s="185"/>
      <c r="Z968" s="185"/>
      <c r="AA968" s="185"/>
      <c r="AB968" s="185" t="str">
        <f>IFERROR(__xludf.DUMMYFUNCTION("LET(width,COLUMN($AB$1)-COLUMN($G$1),r,INDEX($G968:$AAB968,1,SEQUENCE(1,width)),flat,TOCOL(r,1),bad,FILTER(flat,COUNTIF('リスト'!$E:$E,flat)=0),IFERROR(TEXTJOIN(""\n"",TRUE,bad),""""))"),"")</f>
        <v/>
      </c>
      <c r="AC968" s="185"/>
      <c r="AD968" s="185"/>
    </row>
    <row r="969">
      <c r="A969" s="185"/>
      <c r="B969" s="185"/>
      <c r="C969" s="185"/>
      <c r="D969" s="185"/>
      <c r="E969" s="203"/>
      <c r="F969" s="203"/>
      <c r="G969" s="185"/>
      <c r="H969" s="185"/>
      <c r="I969" s="185"/>
      <c r="J969" s="185"/>
      <c r="K969" s="185"/>
      <c r="L969" s="185"/>
      <c r="M969" s="185"/>
      <c r="N969" s="185"/>
      <c r="O969" s="185"/>
      <c r="P969" s="185"/>
      <c r="Q969" s="185"/>
      <c r="R969" s="185"/>
      <c r="S969" s="185"/>
      <c r="T969" s="185"/>
      <c r="U969" s="185"/>
      <c r="V969" s="185"/>
      <c r="W969" s="185"/>
      <c r="X969" s="185"/>
      <c r="Y969" s="185"/>
      <c r="Z969" s="185"/>
      <c r="AA969" s="185"/>
      <c r="AB969" s="185" t="str">
        <f>IFERROR(__xludf.DUMMYFUNCTION("LET(width,COLUMN($AB$1)-COLUMN($G$1),r,INDEX($G969:$AAB969,1,SEQUENCE(1,width)),flat,TOCOL(r,1),bad,FILTER(flat,COUNTIF('リスト'!$E:$E,flat)=0),IFERROR(TEXTJOIN(""\n"",TRUE,bad),""""))"),"")</f>
        <v/>
      </c>
      <c r="AC969" s="185"/>
      <c r="AD969" s="185"/>
    </row>
    <row r="970">
      <c r="A970" s="185"/>
      <c r="B970" s="185"/>
      <c r="C970" s="185"/>
      <c r="D970" s="185"/>
      <c r="E970" s="203"/>
      <c r="F970" s="203"/>
      <c r="G970" s="185"/>
      <c r="H970" s="185"/>
      <c r="I970" s="185"/>
      <c r="J970" s="185"/>
      <c r="K970" s="185"/>
      <c r="L970" s="185"/>
      <c r="M970" s="185"/>
      <c r="N970" s="185"/>
      <c r="O970" s="185"/>
      <c r="P970" s="185"/>
      <c r="Q970" s="185"/>
      <c r="R970" s="185"/>
      <c r="S970" s="185"/>
      <c r="T970" s="185"/>
      <c r="U970" s="185"/>
      <c r="V970" s="185"/>
      <c r="W970" s="185"/>
      <c r="X970" s="185"/>
      <c r="Y970" s="185"/>
      <c r="Z970" s="185"/>
      <c r="AA970" s="185"/>
      <c r="AB970" s="185" t="str">
        <f>IFERROR(__xludf.DUMMYFUNCTION("LET(width,COLUMN($AB$1)-COLUMN($G$1),r,INDEX($G970:$AAB970,1,SEQUENCE(1,width)),flat,TOCOL(r,1),bad,FILTER(flat,COUNTIF('リスト'!$E:$E,flat)=0),IFERROR(TEXTJOIN(""\n"",TRUE,bad),""""))"),"")</f>
        <v/>
      </c>
      <c r="AC970" s="185"/>
      <c r="AD970" s="185"/>
    </row>
    <row r="971">
      <c r="A971" s="185"/>
      <c r="B971" s="185"/>
      <c r="C971" s="185"/>
      <c r="D971" s="185"/>
      <c r="E971" s="203"/>
      <c r="F971" s="203"/>
      <c r="G971" s="185"/>
      <c r="H971" s="185"/>
      <c r="I971" s="185"/>
      <c r="J971" s="185"/>
      <c r="K971" s="185"/>
      <c r="L971" s="185"/>
      <c r="M971" s="185"/>
      <c r="N971" s="185"/>
      <c r="O971" s="185"/>
      <c r="P971" s="185"/>
      <c r="Q971" s="185"/>
      <c r="R971" s="185"/>
      <c r="S971" s="185"/>
      <c r="T971" s="185"/>
      <c r="U971" s="185"/>
      <c r="V971" s="185"/>
      <c r="W971" s="185"/>
      <c r="X971" s="185"/>
      <c r="Y971" s="185"/>
      <c r="Z971" s="185"/>
      <c r="AA971" s="185"/>
      <c r="AB971" s="185" t="str">
        <f>IFERROR(__xludf.DUMMYFUNCTION("LET(width,COLUMN($AB$1)-COLUMN($G$1),r,INDEX($G971:$AAB971,1,SEQUENCE(1,width)),flat,TOCOL(r,1),bad,FILTER(flat,COUNTIF('リスト'!$E:$E,flat)=0),IFERROR(TEXTJOIN(""\n"",TRUE,bad),""""))"),"")</f>
        <v/>
      </c>
      <c r="AC971" s="185"/>
      <c r="AD971" s="185"/>
    </row>
    <row r="972">
      <c r="A972" s="185"/>
      <c r="B972" s="185"/>
      <c r="C972" s="185"/>
      <c r="D972" s="185"/>
      <c r="E972" s="203"/>
      <c r="F972" s="203"/>
      <c r="G972" s="185"/>
      <c r="H972" s="185"/>
      <c r="I972" s="185"/>
      <c r="J972" s="185"/>
      <c r="K972" s="185"/>
      <c r="L972" s="185"/>
      <c r="M972" s="185"/>
      <c r="N972" s="185"/>
      <c r="O972" s="185"/>
      <c r="P972" s="185"/>
      <c r="Q972" s="185"/>
      <c r="R972" s="185"/>
      <c r="S972" s="185"/>
      <c r="T972" s="185"/>
      <c r="U972" s="185"/>
      <c r="V972" s="185"/>
      <c r="W972" s="185"/>
      <c r="X972" s="185"/>
      <c r="Y972" s="185"/>
      <c r="Z972" s="185"/>
      <c r="AA972" s="185"/>
      <c r="AB972" s="185" t="str">
        <f>IFERROR(__xludf.DUMMYFUNCTION("LET(width,COLUMN($AB$1)-COLUMN($G$1),r,INDEX($G972:$AAB972,1,SEQUENCE(1,width)),flat,TOCOL(r,1),bad,FILTER(flat,COUNTIF('リスト'!$E:$E,flat)=0),IFERROR(TEXTJOIN(""\n"",TRUE,bad),""""))"),"")</f>
        <v/>
      </c>
      <c r="AC972" s="185"/>
      <c r="AD972" s="185"/>
    </row>
    <row r="973">
      <c r="A973" s="185"/>
      <c r="B973" s="185"/>
      <c r="C973" s="185"/>
      <c r="D973" s="185"/>
      <c r="E973" s="203"/>
      <c r="F973" s="203"/>
      <c r="G973" s="185"/>
      <c r="H973" s="185"/>
      <c r="I973" s="185"/>
      <c r="J973" s="185"/>
      <c r="K973" s="185"/>
      <c r="L973" s="185"/>
      <c r="M973" s="185"/>
      <c r="N973" s="185"/>
      <c r="O973" s="185"/>
      <c r="P973" s="185"/>
      <c r="Q973" s="185"/>
      <c r="R973" s="185"/>
      <c r="S973" s="185"/>
      <c r="T973" s="185"/>
      <c r="U973" s="185"/>
      <c r="V973" s="185"/>
      <c r="W973" s="185"/>
      <c r="X973" s="185"/>
      <c r="Y973" s="185"/>
      <c r="Z973" s="185"/>
      <c r="AA973" s="185"/>
      <c r="AB973" s="185" t="str">
        <f>IFERROR(__xludf.DUMMYFUNCTION("LET(width,COLUMN($AB$1)-COLUMN($G$1),r,INDEX($G973:$AAB973,1,SEQUENCE(1,width)),flat,TOCOL(r,1),bad,FILTER(flat,COUNTIF('リスト'!$E:$E,flat)=0),IFERROR(TEXTJOIN(""\n"",TRUE,bad),""""))"),"")</f>
        <v/>
      </c>
      <c r="AC973" s="185"/>
      <c r="AD973" s="185"/>
    </row>
    <row r="974">
      <c r="A974" s="185"/>
      <c r="B974" s="185"/>
      <c r="C974" s="185"/>
      <c r="D974" s="185"/>
      <c r="E974" s="203"/>
      <c r="F974" s="203"/>
      <c r="G974" s="185"/>
      <c r="H974" s="185"/>
      <c r="I974" s="185"/>
      <c r="J974" s="185"/>
      <c r="K974" s="185"/>
      <c r="L974" s="185"/>
      <c r="M974" s="185"/>
      <c r="N974" s="185"/>
      <c r="O974" s="185"/>
      <c r="P974" s="185"/>
      <c r="Q974" s="185"/>
      <c r="R974" s="185"/>
      <c r="S974" s="185"/>
      <c r="T974" s="185"/>
      <c r="U974" s="185"/>
      <c r="V974" s="185"/>
      <c r="W974" s="185"/>
      <c r="X974" s="185"/>
      <c r="Y974" s="185"/>
      <c r="Z974" s="185"/>
      <c r="AA974" s="185"/>
      <c r="AB974" s="185" t="str">
        <f>IFERROR(__xludf.DUMMYFUNCTION("LET(width,COLUMN($AB$1)-COLUMN($G$1),r,INDEX($G974:$AAB974,1,SEQUENCE(1,width)),flat,TOCOL(r,1),bad,FILTER(flat,COUNTIF('リスト'!$E:$E,flat)=0),IFERROR(TEXTJOIN(""\n"",TRUE,bad),""""))"),"")</f>
        <v/>
      </c>
      <c r="AC974" s="185"/>
      <c r="AD974" s="185"/>
    </row>
    <row r="975">
      <c r="A975" s="185"/>
      <c r="B975" s="185"/>
      <c r="C975" s="185"/>
      <c r="D975" s="185"/>
      <c r="E975" s="203"/>
      <c r="F975" s="203"/>
      <c r="G975" s="185"/>
      <c r="H975" s="185"/>
      <c r="I975" s="185"/>
      <c r="J975" s="185"/>
      <c r="K975" s="185"/>
      <c r="L975" s="185"/>
      <c r="M975" s="185"/>
      <c r="N975" s="185"/>
      <c r="O975" s="185"/>
      <c r="P975" s="185"/>
      <c r="Q975" s="185"/>
      <c r="R975" s="185"/>
      <c r="S975" s="185"/>
      <c r="T975" s="185"/>
      <c r="U975" s="185"/>
      <c r="V975" s="185"/>
      <c r="W975" s="185"/>
      <c r="X975" s="185"/>
      <c r="Y975" s="185"/>
      <c r="Z975" s="185"/>
      <c r="AA975" s="185"/>
      <c r="AB975" s="185" t="str">
        <f>IFERROR(__xludf.DUMMYFUNCTION("LET(width,COLUMN($AB$1)-COLUMN($G$1),r,INDEX($G975:$AAB975,1,SEQUENCE(1,width)),flat,TOCOL(r,1),bad,FILTER(flat,COUNTIF('リスト'!$E:$E,flat)=0),IFERROR(TEXTJOIN(""\n"",TRUE,bad),""""))"),"")</f>
        <v/>
      </c>
      <c r="AC975" s="185"/>
      <c r="AD975" s="185"/>
    </row>
    <row r="976">
      <c r="A976" s="185"/>
      <c r="B976" s="185"/>
      <c r="C976" s="185"/>
      <c r="D976" s="185"/>
      <c r="E976" s="203"/>
      <c r="F976" s="203"/>
      <c r="G976" s="185"/>
      <c r="H976" s="185"/>
      <c r="I976" s="185"/>
      <c r="J976" s="185"/>
      <c r="K976" s="185"/>
      <c r="L976" s="185"/>
      <c r="M976" s="185"/>
      <c r="N976" s="185"/>
      <c r="O976" s="185"/>
      <c r="P976" s="185"/>
      <c r="Q976" s="185"/>
      <c r="R976" s="185"/>
      <c r="S976" s="185"/>
      <c r="T976" s="185"/>
      <c r="U976" s="185"/>
      <c r="V976" s="185"/>
      <c r="W976" s="185"/>
      <c r="X976" s="185"/>
      <c r="Y976" s="185"/>
      <c r="Z976" s="185"/>
      <c r="AA976" s="185"/>
      <c r="AB976" s="185" t="str">
        <f>IFERROR(__xludf.DUMMYFUNCTION("LET(width,COLUMN($AB$1)-COLUMN($G$1),r,INDEX($G976:$AAB976,1,SEQUENCE(1,width)),flat,TOCOL(r,1),bad,FILTER(flat,COUNTIF('リスト'!$E:$E,flat)=0),IFERROR(TEXTJOIN(""\n"",TRUE,bad),""""))"),"")</f>
        <v/>
      </c>
      <c r="AC976" s="185"/>
      <c r="AD976" s="185"/>
    </row>
    <row r="977">
      <c r="A977" s="185"/>
      <c r="B977" s="185"/>
      <c r="C977" s="185"/>
      <c r="D977" s="185"/>
      <c r="E977" s="203"/>
      <c r="F977" s="203"/>
      <c r="G977" s="185"/>
      <c r="H977" s="185"/>
      <c r="I977" s="185"/>
      <c r="J977" s="185"/>
      <c r="K977" s="185"/>
      <c r="L977" s="185"/>
      <c r="M977" s="185"/>
      <c r="N977" s="185"/>
      <c r="O977" s="185"/>
      <c r="P977" s="185"/>
      <c r="Q977" s="185"/>
      <c r="R977" s="185"/>
      <c r="S977" s="185"/>
      <c r="T977" s="185"/>
      <c r="U977" s="185"/>
      <c r="V977" s="185"/>
      <c r="W977" s="185"/>
      <c r="X977" s="185"/>
      <c r="Y977" s="185"/>
      <c r="Z977" s="185"/>
      <c r="AA977" s="185"/>
      <c r="AB977" s="185" t="str">
        <f>IFERROR(__xludf.DUMMYFUNCTION("LET(width,COLUMN($AB$1)-COLUMN($G$1),r,INDEX($G977:$AAB977,1,SEQUENCE(1,width)),flat,TOCOL(r,1),bad,FILTER(flat,COUNTIF('リスト'!$E:$E,flat)=0),IFERROR(TEXTJOIN(""\n"",TRUE,bad),""""))"),"")</f>
        <v/>
      </c>
      <c r="AC977" s="185"/>
      <c r="AD977" s="185"/>
    </row>
    <row r="978">
      <c r="A978" s="185"/>
      <c r="B978" s="185"/>
      <c r="C978" s="185"/>
      <c r="D978" s="185"/>
      <c r="E978" s="203"/>
      <c r="F978" s="203"/>
      <c r="G978" s="185"/>
      <c r="H978" s="185"/>
      <c r="I978" s="185"/>
      <c r="J978" s="185"/>
      <c r="K978" s="185"/>
      <c r="L978" s="185"/>
      <c r="M978" s="185"/>
      <c r="N978" s="185"/>
      <c r="O978" s="185"/>
      <c r="P978" s="185"/>
      <c r="Q978" s="185"/>
      <c r="R978" s="185"/>
      <c r="S978" s="185"/>
      <c r="T978" s="185"/>
      <c r="U978" s="185"/>
      <c r="V978" s="185"/>
      <c r="W978" s="185"/>
      <c r="X978" s="185"/>
      <c r="Y978" s="185"/>
      <c r="Z978" s="185"/>
      <c r="AA978" s="185"/>
      <c r="AB978" s="185" t="str">
        <f>IFERROR(__xludf.DUMMYFUNCTION("LET(width,COLUMN($AB$1)-COLUMN($G$1),r,INDEX($G978:$AAB978,1,SEQUENCE(1,width)),flat,TOCOL(r,1),bad,FILTER(flat,COUNTIF('リスト'!$E:$E,flat)=0),IFERROR(TEXTJOIN(""\n"",TRUE,bad),""""))"),"")</f>
        <v/>
      </c>
      <c r="AC978" s="185"/>
      <c r="AD978" s="185"/>
    </row>
    <row r="979">
      <c r="A979" s="185"/>
      <c r="B979" s="185"/>
      <c r="C979" s="185"/>
      <c r="D979" s="185"/>
      <c r="E979" s="203"/>
      <c r="F979" s="203"/>
      <c r="G979" s="185"/>
      <c r="H979" s="185"/>
      <c r="I979" s="185"/>
      <c r="J979" s="185"/>
      <c r="K979" s="185"/>
      <c r="L979" s="185"/>
      <c r="M979" s="185"/>
      <c r="N979" s="185"/>
      <c r="O979" s="185"/>
      <c r="P979" s="185"/>
      <c r="Q979" s="185"/>
      <c r="R979" s="185"/>
      <c r="S979" s="185"/>
      <c r="T979" s="185"/>
      <c r="U979" s="185"/>
      <c r="V979" s="185"/>
      <c r="W979" s="185"/>
      <c r="X979" s="185"/>
      <c r="Y979" s="185"/>
      <c r="Z979" s="185"/>
      <c r="AA979" s="185"/>
      <c r="AB979" s="185" t="str">
        <f>IFERROR(__xludf.DUMMYFUNCTION("LET(width,COLUMN($AB$1)-COLUMN($G$1),r,INDEX($G979:$AAB979,1,SEQUENCE(1,width)),flat,TOCOL(r,1),bad,FILTER(flat,COUNTIF('リスト'!$E:$E,flat)=0),IFERROR(TEXTJOIN(""\n"",TRUE,bad),""""))"),"")</f>
        <v/>
      </c>
      <c r="AC979" s="185"/>
      <c r="AD979" s="185"/>
    </row>
    <row r="980">
      <c r="A980" s="185"/>
      <c r="B980" s="185"/>
      <c r="C980" s="185"/>
      <c r="D980" s="185"/>
      <c r="E980" s="203"/>
      <c r="F980" s="203"/>
      <c r="G980" s="185"/>
      <c r="H980" s="185"/>
      <c r="I980" s="185"/>
      <c r="J980" s="185"/>
      <c r="K980" s="185"/>
      <c r="L980" s="185"/>
      <c r="M980" s="185"/>
      <c r="N980" s="185"/>
      <c r="O980" s="185"/>
      <c r="P980" s="185"/>
      <c r="Q980" s="185"/>
      <c r="R980" s="185"/>
      <c r="S980" s="185"/>
      <c r="T980" s="185"/>
      <c r="U980" s="185"/>
      <c r="V980" s="185"/>
      <c r="W980" s="185"/>
      <c r="X980" s="185"/>
      <c r="Y980" s="185"/>
      <c r="Z980" s="185"/>
      <c r="AA980" s="185"/>
      <c r="AB980" s="185" t="str">
        <f>IFERROR(__xludf.DUMMYFUNCTION("LET(width,COLUMN($AB$1)-COLUMN($G$1),r,INDEX($G980:$AAB980,1,SEQUENCE(1,width)),flat,TOCOL(r,1),bad,FILTER(flat,COUNTIF('リスト'!$E:$E,flat)=0),IFERROR(TEXTJOIN(""\n"",TRUE,bad),""""))"),"")</f>
        <v/>
      </c>
      <c r="AC980" s="185"/>
      <c r="AD980" s="185"/>
    </row>
    <row r="981">
      <c r="A981" s="185"/>
      <c r="B981" s="185"/>
      <c r="C981" s="185"/>
      <c r="D981" s="185"/>
      <c r="E981" s="203"/>
      <c r="F981" s="203"/>
      <c r="G981" s="185"/>
      <c r="H981" s="185"/>
      <c r="I981" s="185"/>
      <c r="J981" s="185"/>
      <c r="K981" s="185"/>
      <c r="L981" s="185"/>
      <c r="M981" s="185"/>
      <c r="N981" s="185"/>
      <c r="O981" s="185"/>
      <c r="P981" s="185"/>
      <c r="Q981" s="185"/>
      <c r="R981" s="185"/>
      <c r="S981" s="185"/>
      <c r="T981" s="185"/>
      <c r="U981" s="185"/>
      <c r="V981" s="185"/>
      <c r="W981" s="185"/>
      <c r="X981" s="185"/>
      <c r="Y981" s="185"/>
      <c r="Z981" s="185"/>
      <c r="AA981" s="185"/>
      <c r="AB981" s="185" t="str">
        <f>IFERROR(__xludf.DUMMYFUNCTION("LET(width,COLUMN($AB$1)-COLUMN($G$1),r,INDEX($G981:$AAB981,1,SEQUENCE(1,width)),flat,TOCOL(r,1),bad,FILTER(flat,COUNTIF('リスト'!$E:$E,flat)=0),IFERROR(TEXTJOIN(""\n"",TRUE,bad),""""))"),"")</f>
        <v/>
      </c>
      <c r="AC981" s="185"/>
      <c r="AD981" s="185"/>
    </row>
    <row r="982">
      <c r="A982" s="185"/>
      <c r="B982" s="185"/>
      <c r="C982" s="185"/>
      <c r="D982" s="185"/>
      <c r="E982" s="203"/>
      <c r="F982" s="203"/>
      <c r="G982" s="185"/>
      <c r="H982" s="185"/>
      <c r="I982" s="185"/>
      <c r="J982" s="185"/>
      <c r="K982" s="185"/>
      <c r="L982" s="185"/>
      <c r="M982" s="185"/>
      <c r="N982" s="185"/>
      <c r="O982" s="185"/>
      <c r="P982" s="185"/>
      <c r="Q982" s="185"/>
      <c r="R982" s="185"/>
      <c r="S982" s="185"/>
      <c r="T982" s="185"/>
      <c r="U982" s="185"/>
      <c r="V982" s="185"/>
      <c r="W982" s="185"/>
      <c r="X982" s="185"/>
      <c r="Y982" s="185"/>
      <c r="Z982" s="185"/>
      <c r="AA982" s="185"/>
      <c r="AB982" s="185" t="str">
        <f>IFERROR(__xludf.DUMMYFUNCTION("LET(width,COLUMN($AB$1)-COLUMN($G$1),r,INDEX($G982:$AAB982,1,SEQUENCE(1,width)),flat,TOCOL(r,1),bad,FILTER(flat,COUNTIF('リスト'!$E:$E,flat)=0),IFERROR(TEXTJOIN(""\n"",TRUE,bad),""""))"),"")</f>
        <v/>
      </c>
      <c r="AC982" s="185"/>
      <c r="AD982" s="185"/>
    </row>
    <row r="983">
      <c r="A983" s="185"/>
      <c r="B983" s="185"/>
      <c r="C983" s="185"/>
      <c r="D983" s="185"/>
      <c r="E983" s="203"/>
      <c r="F983" s="203"/>
      <c r="G983" s="185"/>
      <c r="H983" s="185"/>
      <c r="I983" s="185"/>
      <c r="J983" s="185"/>
      <c r="K983" s="185"/>
      <c r="L983" s="185"/>
      <c r="M983" s="185"/>
      <c r="N983" s="185"/>
      <c r="O983" s="185"/>
      <c r="P983" s="185"/>
      <c r="Q983" s="185"/>
      <c r="R983" s="185"/>
      <c r="S983" s="185"/>
      <c r="T983" s="185"/>
      <c r="U983" s="185"/>
      <c r="V983" s="185"/>
      <c r="W983" s="185"/>
      <c r="X983" s="185"/>
      <c r="Y983" s="185"/>
      <c r="Z983" s="185"/>
      <c r="AA983" s="185"/>
      <c r="AB983" s="185" t="str">
        <f>IFERROR(__xludf.DUMMYFUNCTION("LET(width,COLUMN($AB$1)-COLUMN($G$1),r,INDEX($G983:$AAB983,1,SEQUENCE(1,width)),flat,TOCOL(r,1),bad,FILTER(flat,COUNTIF('リスト'!$E:$E,flat)=0),IFERROR(TEXTJOIN(""\n"",TRUE,bad),""""))"),"")</f>
        <v/>
      </c>
      <c r="AC983" s="185"/>
      <c r="AD983" s="185"/>
    </row>
    <row r="984">
      <c r="A984" s="185"/>
      <c r="B984" s="185"/>
      <c r="C984" s="185"/>
      <c r="D984" s="185"/>
      <c r="E984" s="203"/>
      <c r="F984" s="203"/>
      <c r="G984" s="185"/>
      <c r="H984" s="185"/>
      <c r="I984" s="185"/>
      <c r="J984" s="185"/>
      <c r="K984" s="185"/>
      <c r="L984" s="185"/>
      <c r="M984" s="185"/>
      <c r="N984" s="185"/>
      <c r="O984" s="185"/>
      <c r="P984" s="185"/>
      <c r="Q984" s="185"/>
      <c r="R984" s="185"/>
      <c r="S984" s="185"/>
      <c r="T984" s="185"/>
      <c r="U984" s="185"/>
      <c r="V984" s="185"/>
      <c r="W984" s="185"/>
      <c r="X984" s="185"/>
      <c r="Y984" s="185"/>
      <c r="Z984" s="185"/>
      <c r="AA984" s="185"/>
      <c r="AB984" s="185" t="str">
        <f>IFERROR(__xludf.DUMMYFUNCTION("LET(width,COLUMN($AB$1)-COLUMN($G$1),r,INDEX($G984:$AAB984,1,SEQUENCE(1,width)),flat,TOCOL(r,1),bad,FILTER(flat,COUNTIF('リスト'!$E:$E,flat)=0),IFERROR(TEXTJOIN(""\n"",TRUE,bad),""""))"),"")</f>
        <v/>
      </c>
      <c r="AC984" s="185"/>
      <c r="AD984" s="185"/>
    </row>
    <row r="985">
      <c r="A985" s="185"/>
      <c r="B985" s="185"/>
      <c r="C985" s="185"/>
      <c r="D985" s="185"/>
      <c r="E985" s="203"/>
      <c r="F985" s="203"/>
      <c r="G985" s="185"/>
      <c r="H985" s="185"/>
      <c r="I985" s="185"/>
      <c r="J985" s="185"/>
      <c r="K985" s="185"/>
      <c r="L985" s="185"/>
      <c r="M985" s="185"/>
      <c r="N985" s="185"/>
      <c r="O985" s="185"/>
      <c r="P985" s="185"/>
      <c r="Q985" s="185"/>
      <c r="R985" s="185"/>
      <c r="S985" s="185"/>
      <c r="T985" s="185"/>
      <c r="U985" s="185"/>
      <c r="V985" s="185"/>
      <c r="W985" s="185"/>
      <c r="X985" s="185"/>
      <c r="Y985" s="185"/>
      <c r="Z985" s="185"/>
      <c r="AA985" s="185"/>
      <c r="AB985" s="185" t="str">
        <f>IFERROR(__xludf.DUMMYFUNCTION("LET(width,COLUMN($AB$1)-COLUMN($G$1),r,INDEX($G985:$AAB985,1,SEQUENCE(1,width)),flat,TOCOL(r,1),bad,FILTER(flat,COUNTIF('リスト'!$E:$E,flat)=0),IFERROR(TEXTJOIN(""\n"",TRUE,bad),""""))"),"")</f>
        <v/>
      </c>
      <c r="AC985" s="185"/>
      <c r="AD985" s="185"/>
    </row>
    <row r="986">
      <c r="A986" s="185"/>
      <c r="B986" s="185"/>
      <c r="C986" s="185"/>
      <c r="D986" s="185"/>
      <c r="E986" s="203"/>
      <c r="F986" s="203"/>
      <c r="G986" s="185"/>
      <c r="H986" s="185"/>
      <c r="I986" s="185"/>
      <c r="J986" s="185"/>
      <c r="K986" s="185"/>
      <c r="L986" s="185"/>
      <c r="M986" s="185"/>
      <c r="N986" s="185"/>
      <c r="O986" s="185"/>
      <c r="P986" s="185"/>
      <c r="Q986" s="185"/>
      <c r="R986" s="185"/>
      <c r="S986" s="185"/>
      <c r="T986" s="185"/>
      <c r="U986" s="185"/>
      <c r="V986" s="185"/>
      <c r="W986" s="185"/>
      <c r="X986" s="185"/>
      <c r="Y986" s="185"/>
      <c r="Z986" s="185"/>
      <c r="AA986" s="185"/>
      <c r="AB986" s="185" t="str">
        <f>IFERROR(__xludf.DUMMYFUNCTION("LET(width,COLUMN($AB$1)-COLUMN($G$1),r,INDEX($G986:$AAB986,1,SEQUENCE(1,width)),flat,TOCOL(r,1),bad,FILTER(flat,COUNTIF('リスト'!$E:$E,flat)=0),IFERROR(TEXTJOIN(""\n"",TRUE,bad),""""))"),"")</f>
        <v/>
      </c>
      <c r="AC986" s="185"/>
      <c r="AD986" s="185"/>
    </row>
    <row r="987">
      <c r="A987" s="185"/>
      <c r="B987" s="185"/>
      <c r="C987" s="185"/>
      <c r="D987" s="185"/>
      <c r="E987" s="203"/>
      <c r="F987" s="203"/>
      <c r="G987" s="185"/>
      <c r="H987" s="185"/>
      <c r="I987" s="185"/>
      <c r="J987" s="185"/>
      <c r="K987" s="185"/>
      <c r="L987" s="185"/>
      <c r="M987" s="185"/>
      <c r="N987" s="185"/>
      <c r="O987" s="185"/>
      <c r="P987" s="185"/>
      <c r="Q987" s="185"/>
      <c r="R987" s="185"/>
      <c r="S987" s="185"/>
      <c r="T987" s="185"/>
      <c r="U987" s="185"/>
      <c r="V987" s="185"/>
      <c r="W987" s="185"/>
      <c r="X987" s="185"/>
      <c r="Y987" s="185"/>
      <c r="Z987" s="185"/>
      <c r="AA987" s="185"/>
      <c r="AB987" s="185" t="str">
        <f>IFERROR(__xludf.DUMMYFUNCTION("LET(width,COLUMN($AB$1)-COLUMN($G$1),r,INDEX($G987:$AAB987,1,SEQUENCE(1,width)),flat,TOCOL(r,1),bad,FILTER(flat,COUNTIF('リスト'!$E:$E,flat)=0),IFERROR(TEXTJOIN(""\n"",TRUE,bad),""""))"),"")</f>
        <v/>
      </c>
      <c r="AC987" s="185"/>
      <c r="AD987" s="185"/>
    </row>
    <row r="988">
      <c r="A988" s="185"/>
      <c r="B988" s="185"/>
      <c r="C988" s="185"/>
      <c r="D988" s="185"/>
      <c r="E988" s="203"/>
      <c r="F988" s="203"/>
      <c r="G988" s="185"/>
      <c r="H988" s="185"/>
      <c r="I988" s="185"/>
      <c r="J988" s="185"/>
      <c r="K988" s="185"/>
      <c r="L988" s="185"/>
      <c r="M988" s="185"/>
      <c r="N988" s="185"/>
      <c r="O988" s="185"/>
      <c r="P988" s="185"/>
      <c r="Q988" s="185"/>
      <c r="R988" s="185"/>
      <c r="S988" s="185"/>
      <c r="T988" s="185"/>
      <c r="U988" s="185"/>
      <c r="V988" s="185"/>
      <c r="W988" s="185"/>
      <c r="X988" s="185"/>
      <c r="Y988" s="185"/>
      <c r="Z988" s="185"/>
      <c r="AA988" s="185"/>
      <c r="AB988" s="185" t="str">
        <f>IFERROR(__xludf.DUMMYFUNCTION("LET(width,COLUMN($AB$1)-COLUMN($G$1),r,INDEX($G988:$AAB988,1,SEQUENCE(1,width)),flat,TOCOL(r,1),bad,FILTER(flat,COUNTIF('リスト'!$E:$E,flat)=0),IFERROR(TEXTJOIN(""\n"",TRUE,bad),""""))"),"")</f>
        <v/>
      </c>
      <c r="AC988" s="185"/>
      <c r="AD988" s="185"/>
    </row>
    <row r="989">
      <c r="A989" s="185"/>
      <c r="B989" s="185"/>
      <c r="C989" s="185"/>
      <c r="D989" s="185"/>
      <c r="E989" s="203"/>
      <c r="F989" s="203"/>
      <c r="G989" s="185"/>
      <c r="H989" s="185"/>
      <c r="I989" s="185"/>
      <c r="J989" s="185"/>
      <c r="K989" s="185"/>
      <c r="L989" s="185"/>
      <c r="M989" s="185"/>
      <c r="N989" s="185"/>
      <c r="O989" s="185"/>
      <c r="P989" s="185"/>
      <c r="Q989" s="185"/>
      <c r="R989" s="185"/>
      <c r="S989" s="185"/>
      <c r="T989" s="185"/>
      <c r="U989" s="185"/>
      <c r="V989" s="185"/>
      <c r="W989" s="185"/>
      <c r="X989" s="185"/>
      <c r="Y989" s="185"/>
      <c r="Z989" s="185"/>
      <c r="AA989" s="185"/>
      <c r="AB989" s="185" t="str">
        <f>IFERROR(__xludf.DUMMYFUNCTION("LET(width,COLUMN($AB$1)-COLUMN($G$1),r,INDEX($G989:$AAB989,1,SEQUENCE(1,width)),flat,TOCOL(r,1),bad,FILTER(flat,COUNTIF('リスト'!$E:$E,flat)=0),IFERROR(TEXTJOIN(""\n"",TRUE,bad),""""))"),"")</f>
        <v/>
      </c>
      <c r="AC989" s="185"/>
      <c r="AD989" s="185"/>
    </row>
    <row r="990">
      <c r="A990" s="185"/>
      <c r="B990" s="185"/>
      <c r="C990" s="185"/>
      <c r="D990" s="185"/>
      <c r="E990" s="203"/>
      <c r="F990" s="203"/>
      <c r="G990" s="185"/>
      <c r="H990" s="185"/>
      <c r="I990" s="185"/>
      <c r="J990" s="185"/>
      <c r="K990" s="185"/>
      <c r="L990" s="185"/>
      <c r="M990" s="185"/>
      <c r="N990" s="185"/>
      <c r="O990" s="185"/>
      <c r="P990" s="185"/>
      <c r="Q990" s="185"/>
      <c r="R990" s="185"/>
      <c r="S990" s="185"/>
      <c r="T990" s="185"/>
      <c r="U990" s="185"/>
      <c r="V990" s="185"/>
      <c r="W990" s="185"/>
      <c r="X990" s="185"/>
      <c r="Y990" s="185"/>
      <c r="Z990" s="185"/>
      <c r="AA990" s="185"/>
      <c r="AB990" s="185" t="str">
        <f>IFERROR(__xludf.DUMMYFUNCTION("LET(width,COLUMN($AB$1)-COLUMN($G$1),r,INDEX($G990:$AAB990,1,SEQUENCE(1,width)),flat,TOCOL(r,1),bad,FILTER(flat,COUNTIF('リスト'!$E:$E,flat)=0),IFERROR(TEXTJOIN(""\n"",TRUE,bad),""""))"),"")</f>
        <v/>
      </c>
      <c r="AC990" s="185"/>
      <c r="AD990" s="185"/>
    </row>
    <row r="991">
      <c r="A991" s="185"/>
      <c r="B991" s="185"/>
      <c r="C991" s="185"/>
      <c r="D991" s="185"/>
      <c r="E991" s="203"/>
      <c r="F991" s="203"/>
      <c r="G991" s="185"/>
      <c r="H991" s="185"/>
      <c r="I991" s="185"/>
      <c r="J991" s="185"/>
      <c r="K991" s="185"/>
      <c r="L991" s="185"/>
      <c r="M991" s="185"/>
      <c r="N991" s="185"/>
      <c r="O991" s="185"/>
      <c r="P991" s="185"/>
      <c r="Q991" s="185"/>
      <c r="R991" s="185"/>
      <c r="S991" s="185"/>
      <c r="T991" s="185"/>
      <c r="U991" s="185"/>
      <c r="V991" s="185"/>
      <c r="W991" s="185"/>
      <c r="X991" s="185"/>
      <c r="Y991" s="185"/>
      <c r="Z991" s="185"/>
      <c r="AA991" s="185"/>
      <c r="AB991" s="185" t="str">
        <f>IFERROR(__xludf.DUMMYFUNCTION("LET(width,COLUMN($AB$1)-COLUMN($G$1),r,INDEX($G991:$AAB991,1,SEQUENCE(1,width)),flat,TOCOL(r,1),bad,FILTER(flat,COUNTIF('リスト'!$E:$E,flat)=0),IFERROR(TEXTJOIN(""\n"",TRUE,bad),""""))"),"")</f>
        <v/>
      </c>
      <c r="AC991" s="185"/>
      <c r="AD991" s="185"/>
    </row>
    <row r="992">
      <c r="A992" s="185"/>
      <c r="B992" s="185"/>
      <c r="C992" s="185"/>
      <c r="D992" s="185"/>
      <c r="E992" s="203"/>
      <c r="F992" s="203"/>
      <c r="G992" s="185"/>
      <c r="H992" s="185"/>
      <c r="I992" s="185"/>
      <c r="J992" s="185"/>
      <c r="K992" s="185"/>
      <c r="L992" s="185"/>
      <c r="M992" s="185"/>
      <c r="N992" s="185"/>
      <c r="O992" s="185"/>
      <c r="P992" s="185"/>
      <c r="Q992" s="185"/>
      <c r="R992" s="185"/>
      <c r="S992" s="185"/>
      <c r="T992" s="185"/>
      <c r="U992" s="185"/>
      <c r="V992" s="185"/>
      <c r="W992" s="185"/>
      <c r="X992" s="185"/>
      <c r="Y992" s="185"/>
      <c r="Z992" s="185"/>
      <c r="AA992" s="185"/>
      <c r="AB992" s="185" t="str">
        <f>IFERROR(__xludf.DUMMYFUNCTION("LET(width,COLUMN($AB$1)-COLUMN($G$1),r,INDEX($G992:$AAB992,1,SEQUENCE(1,width)),flat,TOCOL(r,1),bad,FILTER(flat,COUNTIF('リスト'!$E:$E,flat)=0),IFERROR(TEXTJOIN(""\n"",TRUE,bad),""""))"),"")</f>
        <v/>
      </c>
      <c r="AC992" s="185"/>
      <c r="AD992" s="185"/>
    </row>
    <row r="993">
      <c r="A993" s="185"/>
      <c r="B993" s="185"/>
      <c r="C993" s="185"/>
      <c r="D993" s="185"/>
      <c r="E993" s="203"/>
      <c r="F993" s="203"/>
      <c r="G993" s="185"/>
      <c r="H993" s="185"/>
      <c r="I993" s="185"/>
      <c r="J993" s="185"/>
      <c r="K993" s="185"/>
      <c r="L993" s="185"/>
      <c r="M993" s="185"/>
      <c r="N993" s="185"/>
      <c r="O993" s="185"/>
      <c r="P993" s="185"/>
      <c r="Q993" s="185"/>
      <c r="R993" s="185"/>
      <c r="S993" s="185"/>
      <c r="T993" s="185"/>
      <c r="U993" s="185"/>
      <c r="V993" s="185"/>
      <c r="W993" s="185"/>
      <c r="X993" s="185"/>
      <c r="Y993" s="185"/>
      <c r="Z993" s="185"/>
      <c r="AA993" s="185"/>
      <c r="AB993" s="185" t="str">
        <f>IFERROR(__xludf.DUMMYFUNCTION("LET(width,COLUMN($AB$1)-COLUMN($G$1),r,INDEX($G993:$AAB993,1,SEQUENCE(1,width)),flat,TOCOL(r,1),bad,FILTER(flat,COUNTIF('リスト'!$E:$E,flat)=0),IFERROR(TEXTJOIN(""\n"",TRUE,bad),""""))"),"")</f>
        <v/>
      </c>
      <c r="AC993" s="185"/>
      <c r="AD993" s="185"/>
    </row>
    <row r="994">
      <c r="A994" s="204"/>
      <c r="B994" s="205"/>
      <c r="C994" s="205"/>
      <c r="D994" s="205"/>
      <c r="E994" s="206"/>
      <c r="F994" s="206"/>
      <c r="G994" s="205"/>
      <c r="H994" s="205"/>
    </row>
    <row r="995">
      <c r="A995" s="204"/>
      <c r="B995" s="205"/>
      <c r="C995" s="205"/>
      <c r="D995" s="205"/>
      <c r="E995" s="206"/>
      <c r="F995" s="206"/>
      <c r="G995" s="205"/>
      <c r="H995" s="205"/>
    </row>
    <row r="996">
      <c r="A996" s="204"/>
      <c r="B996" s="205"/>
      <c r="C996" s="205"/>
      <c r="D996" s="205"/>
      <c r="E996" s="206"/>
      <c r="F996" s="206"/>
      <c r="G996" s="205"/>
      <c r="H996" s="205"/>
    </row>
    <row r="997">
      <c r="A997" s="204"/>
      <c r="B997" s="205"/>
      <c r="C997" s="205"/>
      <c r="D997" s="205"/>
      <c r="E997" s="206"/>
      <c r="F997" s="206"/>
      <c r="G997" s="205"/>
      <c r="H997" s="205"/>
    </row>
    <row r="998">
      <c r="A998" s="204"/>
      <c r="B998" s="205"/>
      <c r="C998" s="205"/>
      <c r="D998" s="205"/>
      <c r="E998" s="206"/>
      <c r="F998" s="206"/>
      <c r="G998" s="205"/>
      <c r="H998" s="205"/>
    </row>
    <row r="999">
      <c r="A999" s="204"/>
      <c r="B999" s="205"/>
      <c r="C999" s="205"/>
      <c r="D999" s="205"/>
      <c r="E999" s="206"/>
      <c r="F999" s="206"/>
      <c r="G999" s="205"/>
      <c r="H999" s="205"/>
    </row>
    <row r="1000">
      <c r="A1000" s="204"/>
      <c r="B1000" s="205"/>
      <c r="C1000" s="205"/>
      <c r="D1000" s="205"/>
      <c r="E1000" s="206"/>
      <c r="F1000" s="206"/>
      <c r="G1000" s="205"/>
      <c r="H1000" s="205"/>
    </row>
    <row r="1001">
      <c r="A1001" s="204"/>
      <c r="B1001" s="205"/>
      <c r="C1001" s="205"/>
      <c r="D1001" s="205"/>
      <c r="E1001" s="206"/>
      <c r="F1001" s="206"/>
      <c r="G1001" s="205"/>
      <c r="H1001" s="205"/>
    </row>
    <row r="1002">
      <c r="A1002" s="204"/>
      <c r="B1002" s="205"/>
      <c r="C1002" s="205"/>
      <c r="D1002" s="205"/>
      <c r="E1002" s="206"/>
      <c r="F1002" s="206"/>
      <c r="G1002" s="205"/>
      <c r="H1002" s="205"/>
    </row>
    <row r="1003">
      <c r="A1003" s="204"/>
      <c r="B1003" s="205"/>
      <c r="C1003" s="205"/>
      <c r="D1003" s="205"/>
      <c r="E1003" s="206"/>
      <c r="F1003" s="206"/>
      <c r="G1003" s="205"/>
      <c r="H1003" s="205"/>
    </row>
    <row r="1004">
      <c r="A1004" s="204"/>
      <c r="B1004" s="205"/>
      <c r="C1004" s="205"/>
      <c r="D1004" s="205"/>
      <c r="E1004" s="206"/>
      <c r="F1004" s="206"/>
      <c r="G1004" s="205"/>
      <c r="H1004" s="205"/>
    </row>
    <row r="1005">
      <c r="A1005" s="204"/>
      <c r="B1005" s="205"/>
      <c r="C1005" s="205"/>
      <c r="D1005" s="205"/>
      <c r="E1005" s="206"/>
      <c r="F1005" s="206"/>
      <c r="G1005" s="205"/>
      <c r="H1005" s="205"/>
    </row>
    <row r="1006">
      <c r="A1006" s="204"/>
      <c r="B1006" s="205"/>
      <c r="C1006" s="205"/>
      <c r="D1006" s="205"/>
      <c r="E1006" s="206"/>
      <c r="F1006" s="206"/>
      <c r="G1006" s="205"/>
      <c r="H1006" s="205"/>
    </row>
    <row r="1007">
      <c r="A1007" s="204"/>
      <c r="B1007" s="205"/>
      <c r="C1007" s="205"/>
      <c r="D1007" s="205"/>
      <c r="E1007" s="206"/>
      <c r="F1007" s="206"/>
      <c r="G1007" s="205"/>
      <c r="H1007" s="205"/>
    </row>
    <row r="1008">
      <c r="A1008" s="204"/>
      <c r="B1008" s="205"/>
      <c r="C1008" s="205"/>
      <c r="D1008" s="205"/>
      <c r="E1008" s="206"/>
      <c r="F1008" s="206"/>
      <c r="G1008" s="205"/>
      <c r="H1008" s="205"/>
    </row>
    <row r="1009">
      <c r="A1009" s="204"/>
      <c r="B1009" s="205"/>
      <c r="C1009" s="205"/>
      <c r="D1009" s="205"/>
      <c r="E1009" s="206"/>
      <c r="F1009" s="206"/>
      <c r="G1009" s="205"/>
      <c r="H1009" s="205"/>
    </row>
    <row r="1010">
      <c r="A1010" s="204"/>
      <c r="B1010" s="205"/>
      <c r="C1010" s="205"/>
      <c r="D1010" s="205"/>
      <c r="E1010" s="206"/>
      <c r="F1010" s="206"/>
      <c r="G1010" s="205"/>
      <c r="H1010" s="205"/>
    </row>
    <row r="1011">
      <c r="A1011" s="204"/>
      <c r="B1011" s="205"/>
      <c r="C1011" s="205"/>
      <c r="D1011" s="205"/>
      <c r="E1011" s="206"/>
      <c r="F1011" s="206"/>
      <c r="G1011" s="205"/>
      <c r="H1011" s="205"/>
    </row>
    <row r="1012">
      <c r="A1012" s="204"/>
      <c r="B1012" s="205"/>
      <c r="C1012" s="205"/>
      <c r="D1012" s="205"/>
      <c r="E1012" s="206"/>
      <c r="F1012" s="206"/>
      <c r="G1012" s="205"/>
      <c r="H1012" s="205"/>
    </row>
    <row r="1013">
      <c r="A1013" s="204"/>
      <c r="B1013" s="205"/>
      <c r="C1013" s="205"/>
      <c r="D1013" s="205"/>
      <c r="E1013" s="206"/>
      <c r="F1013" s="206"/>
      <c r="G1013" s="205"/>
      <c r="H1013" s="205"/>
    </row>
    <row r="1014">
      <c r="A1014" s="204"/>
      <c r="B1014" s="205"/>
      <c r="C1014" s="205"/>
      <c r="D1014" s="205"/>
      <c r="E1014" s="206"/>
      <c r="F1014" s="206"/>
      <c r="G1014" s="205"/>
      <c r="H1014" s="205"/>
    </row>
    <row r="1015">
      <c r="A1015" s="204"/>
      <c r="B1015" s="205"/>
      <c r="C1015" s="205"/>
      <c r="D1015" s="205"/>
      <c r="E1015" s="206"/>
      <c r="F1015" s="206"/>
      <c r="G1015" s="205"/>
      <c r="H1015" s="205"/>
    </row>
    <row r="1016">
      <c r="A1016" s="204"/>
      <c r="B1016" s="205"/>
      <c r="C1016" s="205"/>
      <c r="D1016" s="205"/>
      <c r="E1016" s="206"/>
      <c r="F1016" s="206"/>
      <c r="G1016" s="205"/>
      <c r="H1016" s="205"/>
    </row>
    <row r="1017">
      <c r="A1017" s="204"/>
      <c r="B1017" s="205"/>
      <c r="C1017" s="205"/>
      <c r="D1017" s="205"/>
      <c r="E1017" s="206"/>
      <c r="F1017" s="206"/>
      <c r="G1017" s="205"/>
      <c r="H1017" s="205"/>
    </row>
    <row r="1018">
      <c r="A1018" s="204"/>
      <c r="B1018" s="205"/>
      <c r="C1018" s="205"/>
      <c r="D1018" s="205"/>
      <c r="E1018" s="206"/>
      <c r="F1018" s="206"/>
      <c r="G1018" s="205"/>
      <c r="H1018" s="205"/>
    </row>
    <row r="1019">
      <c r="A1019" s="204"/>
      <c r="B1019" s="205"/>
      <c r="C1019" s="205"/>
      <c r="D1019" s="205"/>
      <c r="E1019" s="206"/>
      <c r="F1019" s="206"/>
      <c r="G1019" s="205"/>
      <c r="H1019" s="205"/>
    </row>
    <row r="1020">
      <c r="A1020" s="204"/>
      <c r="B1020" s="205"/>
      <c r="C1020" s="205"/>
      <c r="D1020" s="205"/>
      <c r="E1020" s="206"/>
      <c r="F1020" s="206"/>
      <c r="G1020" s="205"/>
      <c r="H1020" s="205"/>
    </row>
    <row r="1021">
      <c r="A1021" s="204"/>
      <c r="B1021" s="205"/>
      <c r="C1021" s="205"/>
      <c r="D1021" s="205"/>
      <c r="E1021" s="206"/>
      <c r="F1021" s="206"/>
      <c r="G1021" s="205"/>
      <c r="H1021" s="205"/>
    </row>
    <row r="1022">
      <c r="A1022" s="204"/>
      <c r="B1022" s="205"/>
      <c r="C1022" s="205"/>
      <c r="D1022" s="205"/>
      <c r="E1022" s="206"/>
      <c r="F1022" s="206"/>
      <c r="G1022" s="205"/>
      <c r="H1022" s="205"/>
    </row>
    <row r="1023">
      <c r="A1023" s="204"/>
      <c r="B1023" s="205"/>
      <c r="C1023" s="205"/>
      <c r="D1023" s="205"/>
      <c r="E1023" s="206"/>
      <c r="F1023" s="206"/>
      <c r="G1023" s="205"/>
      <c r="H1023" s="205"/>
    </row>
    <row r="1024">
      <c r="A1024" s="204"/>
      <c r="B1024" s="205"/>
      <c r="C1024" s="205"/>
      <c r="D1024" s="205"/>
      <c r="E1024" s="206"/>
      <c r="F1024" s="206"/>
      <c r="G1024" s="205"/>
      <c r="H1024" s="205"/>
    </row>
    <row r="1025">
      <c r="A1025" s="204"/>
      <c r="B1025" s="205"/>
      <c r="C1025" s="205"/>
      <c r="D1025" s="205"/>
      <c r="E1025" s="206"/>
      <c r="F1025" s="206"/>
      <c r="G1025" s="205"/>
      <c r="H1025" s="205"/>
    </row>
    <row r="1026">
      <c r="A1026" s="204"/>
      <c r="B1026" s="205"/>
      <c r="C1026" s="205"/>
      <c r="D1026" s="205"/>
      <c r="E1026" s="206"/>
      <c r="F1026" s="206"/>
      <c r="G1026" s="205"/>
      <c r="H1026" s="205"/>
    </row>
    <row r="1027">
      <c r="A1027" s="204"/>
      <c r="B1027" s="205"/>
      <c r="C1027" s="205"/>
      <c r="D1027" s="205"/>
      <c r="E1027" s="206"/>
      <c r="F1027" s="206"/>
      <c r="G1027" s="205"/>
      <c r="H1027" s="205"/>
    </row>
    <row r="1028">
      <c r="A1028" s="204"/>
      <c r="B1028" s="205"/>
      <c r="C1028" s="205"/>
      <c r="D1028" s="205"/>
      <c r="E1028" s="206"/>
      <c r="F1028" s="206"/>
      <c r="G1028" s="205"/>
      <c r="H1028" s="205"/>
    </row>
    <row r="1029">
      <c r="A1029" s="204"/>
      <c r="B1029" s="205"/>
      <c r="C1029" s="205"/>
      <c r="D1029" s="205"/>
      <c r="E1029" s="206"/>
      <c r="F1029" s="206"/>
      <c r="G1029" s="205"/>
      <c r="H1029" s="205"/>
    </row>
    <row r="1030">
      <c r="A1030" s="204"/>
      <c r="B1030" s="205"/>
      <c r="C1030" s="205"/>
      <c r="D1030" s="205"/>
      <c r="E1030" s="206"/>
      <c r="F1030" s="206"/>
      <c r="G1030" s="205"/>
      <c r="H1030" s="205"/>
    </row>
    <row r="1031">
      <c r="A1031" s="204"/>
      <c r="B1031" s="205"/>
      <c r="C1031" s="205"/>
      <c r="D1031" s="205"/>
      <c r="E1031" s="206"/>
      <c r="F1031" s="206"/>
      <c r="G1031" s="205"/>
      <c r="H1031" s="205"/>
    </row>
    <row r="1032">
      <c r="A1032" s="204"/>
      <c r="B1032" s="205"/>
      <c r="C1032" s="205"/>
      <c r="D1032" s="205"/>
      <c r="E1032" s="206"/>
      <c r="F1032" s="206"/>
      <c r="G1032" s="205"/>
      <c r="H1032" s="205"/>
    </row>
    <row r="1033">
      <c r="A1033" s="204"/>
      <c r="B1033" s="205"/>
      <c r="C1033" s="205"/>
      <c r="D1033" s="205"/>
      <c r="E1033" s="206"/>
      <c r="F1033" s="206"/>
      <c r="G1033" s="205"/>
      <c r="H1033" s="205"/>
    </row>
    <row r="1034">
      <c r="A1034" s="204"/>
      <c r="B1034" s="205"/>
      <c r="C1034" s="205"/>
      <c r="D1034" s="205"/>
      <c r="E1034" s="206"/>
      <c r="F1034" s="206"/>
      <c r="G1034" s="205"/>
      <c r="H1034" s="205"/>
    </row>
    <row r="1035">
      <c r="A1035" s="204"/>
      <c r="B1035" s="205"/>
      <c r="C1035" s="205"/>
      <c r="D1035" s="205"/>
      <c r="E1035" s="206"/>
      <c r="F1035" s="206"/>
      <c r="G1035" s="205"/>
      <c r="H1035" s="205"/>
    </row>
    <row r="1036">
      <c r="A1036" s="204"/>
      <c r="B1036" s="205"/>
      <c r="C1036" s="205"/>
      <c r="D1036" s="205"/>
      <c r="E1036" s="206"/>
      <c r="F1036" s="206"/>
      <c r="G1036" s="205"/>
      <c r="H1036" s="205"/>
    </row>
    <row r="1037">
      <c r="A1037" s="204"/>
      <c r="B1037" s="205"/>
      <c r="C1037" s="205"/>
      <c r="D1037" s="205"/>
      <c r="E1037" s="206"/>
      <c r="F1037" s="206"/>
      <c r="G1037" s="205"/>
      <c r="H1037" s="205"/>
    </row>
    <row r="1038">
      <c r="A1038" s="204"/>
      <c r="B1038" s="205"/>
      <c r="C1038" s="205"/>
      <c r="D1038" s="205"/>
      <c r="E1038" s="206"/>
      <c r="F1038" s="206"/>
      <c r="G1038" s="205"/>
      <c r="H1038" s="205"/>
    </row>
    <row r="1039">
      <c r="A1039" s="204"/>
      <c r="B1039" s="205"/>
      <c r="C1039" s="205"/>
      <c r="D1039" s="205"/>
      <c r="E1039" s="206"/>
      <c r="F1039" s="206"/>
      <c r="G1039" s="205"/>
      <c r="H1039" s="205"/>
    </row>
    <row r="1040">
      <c r="A1040" s="204"/>
      <c r="B1040" s="205"/>
      <c r="C1040" s="205"/>
      <c r="D1040" s="205"/>
      <c r="E1040" s="206"/>
      <c r="F1040" s="206"/>
      <c r="G1040" s="205"/>
      <c r="H1040" s="205"/>
    </row>
    <row r="1041">
      <c r="A1041" s="204"/>
      <c r="B1041" s="205"/>
      <c r="C1041" s="205"/>
      <c r="D1041" s="205"/>
      <c r="E1041" s="206"/>
      <c r="F1041" s="206"/>
      <c r="G1041" s="205"/>
      <c r="H1041" s="205"/>
    </row>
    <row r="1042">
      <c r="A1042" s="204"/>
      <c r="B1042" s="205"/>
      <c r="C1042" s="205"/>
      <c r="D1042" s="205"/>
      <c r="E1042" s="206"/>
      <c r="F1042" s="206"/>
      <c r="G1042" s="205"/>
      <c r="H1042" s="205"/>
    </row>
    <row r="1043">
      <c r="A1043" s="204"/>
      <c r="B1043" s="205"/>
      <c r="C1043" s="205"/>
      <c r="D1043" s="205"/>
      <c r="E1043" s="206"/>
      <c r="F1043" s="206"/>
      <c r="G1043" s="205"/>
      <c r="H1043" s="205"/>
    </row>
    <row r="1044">
      <c r="A1044" s="204"/>
      <c r="B1044" s="205"/>
      <c r="C1044" s="205"/>
      <c r="D1044" s="205"/>
      <c r="E1044" s="206"/>
      <c r="F1044" s="206"/>
      <c r="G1044" s="205"/>
      <c r="H1044" s="205"/>
    </row>
    <row r="1045">
      <c r="A1045" s="204"/>
      <c r="B1045" s="205"/>
      <c r="C1045" s="205"/>
      <c r="D1045" s="205"/>
      <c r="E1045" s="206"/>
      <c r="F1045" s="206"/>
      <c r="G1045" s="205"/>
      <c r="H1045" s="205"/>
    </row>
    <row r="1046">
      <c r="A1046" s="204"/>
      <c r="B1046" s="205"/>
      <c r="C1046" s="205"/>
      <c r="D1046" s="205"/>
      <c r="E1046" s="206"/>
      <c r="F1046" s="206"/>
      <c r="G1046" s="205"/>
      <c r="H1046" s="205"/>
    </row>
    <row r="1047">
      <c r="A1047" s="204"/>
      <c r="B1047" s="205"/>
      <c r="C1047" s="205"/>
      <c r="D1047" s="205"/>
      <c r="E1047" s="206"/>
      <c r="F1047" s="206"/>
      <c r="G1047" s="205"/>
      <c r="H1047" s="205"/>
    </row>
    <row r="1048">
      <c r="A1048" s="204"/>
      <c r="B1048" s="205"/>
      <c r="C1048" s="205"/>
      <c r="D1048" s="205"/>
      <c r="E1048" s="206"/>
      <c r="F1048" s="206"/>
      <c r="G1048" s="205"/>
      <c r="H1048" s="205"/>
    </row>
    <row r="1049">
      <c r="A1049" s="204"/>
      <c r="B1049" s="205"/>
      <c r="C1049" s="205"/>
      <c r="D1049" s="205"/>
      <c r="E1049" s="206"/>
      <c r="F1049" s="206"/>
      <c r="G1049" s="205"/>
      <c r="H1049" s="205"/>
    </row>
    <row r="1050">
      <c r="A1050" s="204"/>
      <c r="B1050" s="205"/>
      <c r="C1050" s="205"/>
      <c r="D1050" s="205"/>
      <c r="E1050" s="206"/>
      <c r="F1050" s="206"/>
      <c r="G1050" s="205"/>
      <c r="H1050" s="205"/>
    </row>
    <row r="1051">
      <c r="A1051" s="204"/>
      <c r="B1051" s="205"/>
      <c r="C1051" s="205"/>
      <c r="D1051" s="205"/>
      <c r="E1051" s="206"/>
      <c r="F1051" s="206"/>
      <c r="G1051" s="205"/>
      <c r="H1051" s="205"/>
    </row>
  </sheetData>
  <mergeCells count="1">
    <mergeCell ref="G3:Q3"/>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75"/>
    <col customWidth="1" min="3" max="3" width="20.38"/>
    <col customWidth="1" min="4" max="5" width="22.0"/>
    <col customWidth="1" min="6" max="6" width="15.75"/>
    <col customWidth="1" min="7" max="7" width="19.63"/>
    <col customWidth="1" min="8" max="8" width="29.5"/>
  </cols>
  <sheetData>
    <row r="1">
      <c r="A1" s="207" t="s">
        <v>579</v>
      </c>
      <c r="B1" s="208" t="s">
        <v>580</v>
      </c>
      <c r="C1" s="208" t="s">
        <v>581</v>
      </c>
      <c r="D1" s="208" t="s">
        <v>582</v>
      </c>
      <c r="E1" s="208" t="s">
        <v>583</v>
      </c>
      <c r="F1" s="208" t="s">
        <v>584</v>
      </c>
      <c r="G1" s="208" t="s">
        <v>585</v>
      </c>
      <c r="H1" s="208" t="s">
        <v>586</v>
      </c>
      <c r="I1" s="208" t="s">
        <v>587</v>
      </c>
      <c r="J1" s="209"/>
      <c r="K1" s="209"/>
      <c r="L1" s="209"/>
      <c r="M1" s="210"/>
      <c r="N1" s="210"/>
      <c r="O1" s="210"/>
      <c r="P1" s="210"/>
      <c r="Q1" s="210"/>
      <c r="R1" s="210"/>
      <c r="S1" s="210"/>
    </row>
    <row r="2">
      <c r="A2" s="211">
        <v>1.0</v>
      </c>
      <c r="B2" s="212" t="s">
        <v>588</v>
      </c>
      <c r="C2" s="212" t="s">
        <v>589</v>
      </c>
      <c r="D2" s="212" t="s">
        <v>590</v>
      </c>
      <c r="E2" s="212" t="s">
        <v>591</v>
      </c>
      <c r="F2" s="213" t="s">
        <v>592</v>
      </c>
      <c r="G2" s="212" t="s">
        <v>593</v>
      </c>
      <c r="H2" s="212" t="s">
        <v>594</v>
      </c>
      <c r="I2" s="214" t="s">
        <v>595</v>
      </c>
      <c r="J2" s="209"/>
      <c r="K2" s="209"/>
      <c r="L2" s="209"/>
      <c r="M2" s="210"/>
      <c r="N2" s="210"/>
      <c r="O2" s="210"/>
      <c r="P2" s="210"/>
      <c r="Q2" s="210"/>
      <c r="R2" s="210"/>
      <c r="S2" s="210"/>
    </row>
    <row r="3">
      <c r="A3" s="211">
        <v>2.0</v>
      </c>
      <c r="B3" s="214" t="s">
        <v>596</v>
      </c>
      <c r="C3" s="214" t="s">
        <v>597</v>
      </c>
      <c r="D3" s="214" t="s">
        <v>598</v>
      </c>
      <c r="E3" s="214" t="s">
        <v>599</v>
      </c>
      <c r="F3" s="215" t="s">
        <v>600</v>
      </c>
      <c r="G3" s="212" t="s">
        <v>593</v>
      </c>
      <c r="H3" s="216" t="s">
        <v>601</v>
      </c>
      <c r="I3" s="214" t="s">
        <v>602</v>
      </c>
      <c r="J3" s="209"/>
      <c r="K3" s="209"/>
      <c r="L3" s="209"/>
      <c r="M3" s="210"/>
      <c r="N3" s="210"/>
      <c r="O3" s="210"/>
      <c r="P3" s="210"/>
      <c r="Q3" s="210"/>
      <c r="R3" s="210"/>
      <c r="S3" s="210"/>
    </row>
    <row r="4">
      <c r="A4" s="211">
        <v>3.0</v>
      </c>
      <c r="B4" s="214" t="s">
        <v>603</v>
      </c>
      <c r="C4" s="214" t="s">
        <v>604</v>
      </c>
      <c r="D4" s="214" t="s">
        <v>605</v>
      </c>
      <c r="E4" s="214" t="s">
        <v>606</v>
      </c>
      <c r="F4" s="215" t="s">
        <v>607</v>
      </c>
      <c r="G4" s="212" t="s">
        <v>608</v>
      </c>
      <c r="H4" s="212" t="s">
        <v>609</v>
      </c>
      <c r="I4" s="214" t="s">
        <v>602</v>
      </c>
      <c r="J4" s="209"/>
      <c r="K4" s="209"/>
      <c r="L4" s="209"/>
      <c r="M4" s="210"/>
      <c r="N4" s="210"/>
      <c r="O4" s="210"/>
      <c r="P4" s="210"/>
      <c r="Q4" s="210"/>
      <c r="R4" s="210"/>
      <c r="S4" s="210"/>
    </row>
    <row r="5">
      <c r="A5" s="211">
        <v>4.0</v>
      </c>
      <c r="B5" s="217" t="s">
        <v>610</v>
      </c>
      <c r="C5" s="217" t="s">
        <v>611</v>
      </c>
      <c r="D5" s="214" t="s">
        <v>612</v>
      </c>
      <c r="E5" s="214" t="s">
        <v>613</v>
      </c>
      <c r="F5" s="218" t="s">
        <v>614</v>
      </c>
      <c r="G5" s="214" t="s">
        <v>615</v>
      </c>
      <c r="H5" s="214" t="s">
        <v>616</v>
      </c>
      <c r="I5" s="214" t="s">
        <v>602</v>
      </c>
      <c r="J5" s="209"/>
      <c r="K5" s="209"/>
      <c r="L5" s="209"/>
      <c r="M5" s="210"/>
      <c r="N5" s="210"/>
      <c r="O5" s="210"/>
      <c r="P5" s="210"/>
      <c r="Q5" s="210"/>
      <c r="R5" s="210"/>
      <c r="S5" s="210"/>
    </row>
    <row r="6">
      <c r="A6" s="211">
        <v>5.0</v>
      </c>
      <c r="B6" s="217" t="s">
        <v>617</v>
      </c>
      <c r="C6" s="217" t="s">
        <v>618</v>
      </c>
      <c r="D6" s="214" t="s">
        <v>619</v>
      </c>
      <c r="E6" s="214" t="s">
        <v>620</v>
      </c>
      <c r="F6" s="218" t="s">
        <v>621</v>
      </c>
      <c r="G6" s="214" t="s">
        <v>622</v>
      </c>
      <c r="H6" s="214" t="s">
        <v>623</v>
      </c>
      <c r="I6" s="214" t="s">
        <v>595</v>
      </c>
      <c r="J6" s="209"/>
      <c r="K6" s="209"/>
      <c r="L6" s="209"/>
      <c r="M6" s="210"/>
      <c r="N6" s="210"/>
      <c r="O6" s="210"/>
      <c r="P6" s="210"/>
      <c r="Q6" s="210"/>
      <c r="R6" s="210"/>
      <c r="S6" s="210"/>
    </row>
    <row r="7">
      <c r="A7" s="211">
        <v>6.0</v>
      </c>
      <c r="B7" s="217" t="s">
        <v>624</v>
      </c>
      <c r="C7" s="217" t="s">
        <v>625</v>
      </c>
      <c r="D7" s="214" t="s">
        <v>626</v>
      </c>
      <c r="E7" s="214" t="s">
        <v>627</v>
      </c>
      <c r="F7" s="215" t="s">
        <v>628</v>
      </c>
      <c r="G7" s="217" t="s">
        <v>629</v>
      </c>
      <c r="H7" s="214" t="s">
        <v>630</v>
      </c>
      <c r="I7" s="214" t="s">
        <v>595</v>
      </c>
      <c r="J7" s="209"/>
      <c r="K7" s="209"/>
      <c r="L7" s="209"/>
      <c r="M7" s="210"/>
      <c r="N7" s="210"/>
      <c r="O7" s="210"/>
      <c r="P7" s="210"/>
      <c r="Q7" s="210"/>
      <c r="R7" s="210"/>
      <c r="S7" s="210"/>
    </row>
    <row r="8">
      <c r="A8" s="211">
        <v>7.0</v>
      </c>
      <c r="B8" s="219" t="s">
        <v>631</v>
      </c>
      <c r="C8" s="219" t="s">
        <v>632</v>
      </c>
      <c r="D8" s="219" t="s">
        <v>633</v>
      </c>
      <c r="E8" s="219" t="s">
        <v>634</v>
      </c>
      <c r="F8" s="220" t="s">
        <v>635</v>
      </c>
      <c r="G8" s="214" t="s">
        <v>636</v>
      </c>
      <c r="H8" s="219" t="s">
        <v>637</v>
      </c>
      <c r="I8" s="214" t="s">
        <v>595</v>
      </c>
      <c r="J8" s="221"/>
      <c r="K8" s="221"/>
      <c r="L8" s="221"/>
      <c r="M8" s="221"/>
      <c r="N8" s="221"/>
      <c r="O8" s="221"/>
      <c r="P8" s="221"/>
      <c r="Q8" s="221"/>
      <c r="R8" s="221"/>
      <c r="S8" s="221"/>
    </row>
    <row r="9">
      <c r="A9" s="211">
        <v>8.0</v>
      </c>
      <c r="B9" s="222" t="s">
        <v>638</v>
      </c>
      <c r="C9" s="222" t="s">
        <v>639</v>
      </c>
      <c r="D9" s="222" t="s">
        <v>640</v>
      </c>
      <c r="E9" s="222" t="s">
        <v>641</v>
      </c>
      <c r="F9" s="215" t="s">
        <v>642</v>
      </c>
      <c r="G9" s="212" t="s">
        <v>643</v>
      </c>
      <c r="H9" s="212" t="s">
        <v>644</v>
      </c>
      <c r="I9" s="214" t="s">
        <v>645</v>
      </c>
      <c r="J9" s="221"/>
      <c r="K9" s="221"/>
      <c r="L9" s="221"/>
      <c r="M9" s="221"/>
      <c r="N9" s="221"/>
      <c r="O9" s="221"/>
      <c r="P9" s="221"/>
      <c r="Q9" s="221"/>
      <c r="R9" s="221"/>
      <c r="S9" s="221"/>
    </row>
  </sheetData>
  <autoFilter ref="$A$1:$S$9"/>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0.0"/>
    <col customWidth="1" min="2" max="2" width="23.13"/>
    <col customWidth="1" min="3" max="3" width="22.88"/>
    <col customWidth="1" min="4" max="4" width="46.38"/>
    <col customWidth="1" min="5" max="5" width="6.63"/>
    <col customWidth="1" min="6" max="7" width="8.5"/>
    <col customWidth="1" min="8" max="9" width="27.63"/>
    <col customWidth="1" min="17" max="17" width="16.38"/>
  </cols>
  <sheetData>
    <row r="1" ht="24.75" customHeight="1" collapsed="1">
      <c r="A1" s="223" t="s">
        <v>646</v>
      </c>
      <c r="B1" s="224"/>
      <c r="C1" s="224"/>
      <c r="D1" s="224"/>
      <c r="E1" s="224"/>
      <c r="F1" s="225"/>
      <c r="G1" s="225"/>
      <c r="H1" s="225"/>
      <c r="I1" s="225"/>
      <c r="J1" s="225"/>
      <c r="K1" s="225"/>
      <c r="L1" s="225"/>
      <c r="M1" s="225"/>
      <c r="N1" s="225"/>
      <c r="O1" s="225"/>
      <c r="P1" s="225"/>
      <c r="Q1" s="225"/>
      <c r="R1" s="225"/>
      <c r="S1" s="225"/>
      <c r="T1" s="225"/>
      <c r="U1" s="225"/>
      <c r="V1" s="225"/>
      <c r="W1" s="225"/>
      <c r="X1" s="225"/>
      <c r="Y1" s="225"/>
      <c r="Z1" s="225"/>
      <c r="AA1" s="225"/>
      <c r="AB1" s="225"/>
      <c r="AC1" s="225"/>
    </row>
    <row r="2" ht="24.75" hidden="1" customHeight="1" outlineLevel="1">
      <c r="A2" s="226" t="s">
        <v>647</v>
      </c>
      <c r="B2" s="226" t="s">
        <v>648</v>
      </c>
      <c r="C2" s="226" t="s">
        <v>649</v>
      </c>
      <c r="D2" s="226" t="s">
        <v>650</v>
      </c>
      <c r="E2" s="226" t="s">
        <v>651</v>
      </c>
      <c r="F2" s="225"/>
      <c r="G2" s="225"/>
      <c r="H2" s="225"/>
      <c r="I2" s="225"/>
      <c r="J2" s="225"/>
      <c r="K2" s="225"/>
      <c r="L2" s="225"/>
      <c r="M2" s="225"/>
      <c r="N2" s="225"/>
      <c r="O2" s="225"/>
      <c r="P2" s="225"/>
      <c r="Q2" s="225"/>
      <c r="R2" s="225"/>
      <c r="S2" s="225"/>
      <c r="T2" s="225"/>
      <c r="U2" s="225"/>
      <c r="V2" s="225"/>
      <c r="W2" s="225"/>
      <c r="X2" s="225"/>
      <c r="Y2" s="225"/>
      <c r="Z2" s="225"/>
      <c r="AA2" s="225"/>
      <c r="AB2" s="225"/>
      <c r="AC2" s="225"/>
    </row>
    <row r="3" ht="24.75" hidden="1" customHeight="1" outlineLevel="1">
      <c r="A3" s="227">
        <v>43957.0</v>
      </c>
      <c r="B3" s="228" t="s">
        <v>652</v>
      </c>
      <c r="C3" s="229" t="s">
        <v>653</v>
      </c>
      <c r="D3" s="229" t="s">
        <v>654</v>
      </c>
      <c r="E3" s="230"/>
      <c r="F3" s="231"/>
      <c r="G3" s="231"/>
      <c r="H3" s="231"/>
      <c r="I3" s="231"/>
      <c r="J3" s="231"/>
      <c r="K3" s="231"/>
      <c r="L3" s="231"/>
      <c r="M3" s="231"/>
      <c r="N3" s="231"/>
      <c r="O3" s="231"/>
      <c r="P3" s="231"/>
      <c r="Q3" s="231"/>
      <c r="R3" s="231"/>
      <c r="S3" s="231"/>
      <c r="T3" s="231"/>
      <c r="U3" s="231"/>
      <c r="V3" s="231"/>
      <c r="W3" s="231"/>
      <c r="X3" s="231"/>
      <c r="Y3" s="231"/>
      <c r="Z3" s="231"/>
      <c r="AA3" s="231"/>
      <c r="AB3" s="231"/>
      <c r="AC3" s="231"/>
    </row>
    <row r="4" ht="24.75" hidden="1" customHeight="1" outlineLevel="1">
      <c r="A4" s="232">
        <v>43957.0</v>
      </c>
      <c r="B4" s="233" t="s">
        <v>655</v>
      </c>
      <c r="C4" s="234" t="s">
        <v>656</v>
      </c>
      <c r="D4" s="234" t="s">
        <v>657</v>
      </c>
      <c r="E4" s="30"/>
      <c r="F4" s="231"/>
      <c r="G4" s="231"/>
      <c r="H4" s="231"/>
      <c r="I4" s="231"/>
      <c r="J4" s="231"/>
      <c r="K4" s="231"/>
      <c r="L4" s="231"/>
      <c r="M4" s="231"/>
      <c r="N4" s="231"/>
      <c r="O4" s="231"/>
      <c r="P4" s="231"/>
      <c r="Q4" s="231"/>
      <c r="R4" s="231"/>
      <c r="S4" s="231"/>
      <c r="T4" s="231"/>
      <c r="U4" s="231"/>
      <c r="V4" s="231"/>
      <c r="W4" s="231"/>
      <c r="X4" s="231"/>
      <c r="Y4" s="231"/>
      <c r="Z4" s="231"/>
      <c r="AA4" s="231"/>
      <c r="AB4" s="231"/>
      <c r="AC4" s="231"/>
    </row>
    <row r="5" ht="24.75" hidden="1" customHeight="1" outlineLevel="1">
      <c r="A5" s="232">
        <v>43957.0</v>
      </c>
      <c r="B5" s="233" t="s">
        <v>658</v>
      </c>
      <c r="C5" s="234" t="s">
        <v>659</v>
      </c>
      <c r="D5" s="234" t="s">
        <v>657</v>
      </c>
      <c r="E5" s="30"/>
      <c r="F5" s="231"/>
      <c r="G5" s="231"/>
      <c r="H5" s="231"/>
      <c r="I5" s="231"/>
      <c r="J5" s="231"/>
      <c r="K5" s="231"/>
      <c r="L5" s="231"/>
      <c r="M5" s="231"/>
      <c r="N5" s="231"/>
      <c r="O5" s="231"/>
      <c r="P5" s="231"/>
      <c r="Q5" s="231"/>
      <c r="R5" s="231"/>
      <c r="S5" s="231"/>
      <c r="T5" s="231"/>
      <c r="U5" s="231"/>
      <c r="V5" s="231"/>
      <c r="W5" s="231"/>
      <c r="X5" s="231"/>
      <c r="Y5" s="231"/>
      <c r="Z5" s="231"/>
      <c r="AA5" s="231"/>
      <c r="AB5" s="231"/>
      <c r="AC5" s="231"/>
    </row>
    <row r="6" ht="24.75" hidden="1" customHeight="1" outlineLevel="1">
      <c r="A6" s="232">
        <v>43958.0</v>
      </c>
      <c r="B6" s="233" t="s">
        <v>660</v>
      </c>
      <c r="C6" s="235" t="s">
        <v>661</v>
      </c>
      <c r="D6" s="234" t="s">
        <v>662</v>
      </c>
      <c r="E6" s="30"/>
      <c r="F6" s="231"/>
      <c r="G6" s="231"/>
      <c r="H6" s="231"/>
      <c r="I6" s="231"/>
      <c r="J6" s="231"/>
      <c r="K6" s="231"/>
      <c r="L6" s="231"/>
      <c r="M6" s="231"/>
      <c r="N6" s="231"/>
      <c r="O6" s="231"/>
      <c r="P6" s="231"/>
      <c r="Q6" s="231"/>
      <c r="R6" s="231"/>
      <c r="S6" s="231"/>
      <c r="T6" s="231"/>
      <c r="U6" s="231"/>
      <c r="V6" s="231"/>
      <c r="W6" s="231"/>
      <c r="X6" s="231"/>
      <c r="Y6" s="231"/>
      <c r="Z6" s="231"/>
      <c r="AA6" s="231"/>
      <c r="AB6" s="231"/>
      <c r="AC6" s="231"/>
    </row>
    <row r="7" ht="24.75" hidden="1" customHeight="1" outlineLevel="1">
      <c r="A7" s="232">
        <v>43959.0</v>
      </c>
      <c r="B7" s="234" t="s">
        <v>663</v>
      </c>
      <c r="C7" s="233" t="s">
        <v>664</v>
      </c>
      <c r="D7" s="234" t="s">
        <v>665</v>
      </c>
      <c r="E7" s="30"/>
      <c r="F7" s="231"/>
      <c r="G7" s="231"/>
      <c r="H7" s="231"/>
      <c r="I7" s="231"/>
      <c r="J7" s="231"/>
      <c r="K7" s="231"/>
      <c r="L7" s="231"/>
      <c r="M7" s="231"/>
      <c r="N7" s="231"/>
      <c r="O7" s="231"/>
      <c r="P7" s="231"/>
      <c r="Q7" s="231"/>
      <c r="R7" s="231"/>
      <c r="S7" s="231"/>
      <c r="T7" s="231"/>
      <c r="U7" s="231"/>
      <c r="V7" s="231"/>
      <c r="W7" s="231"/>
      <c r="X7" s="231"/>
      <c r="Y7" s="231"/>
      <c r="Z7" s="231"/>
      <c r="AA7" s="231"/>
      <c r="AB7" s="231"/>
      <c r="AC7" s="231"/>
    </row>
    <row r="8" ht="24.75" hidden="1" customHeight="1" outlineLevel="1">
      <c r="A8" s="232">
        <v>43960.0</v>
      </c>
      <c r="B8" s="233" t="s">
        <v>666</v>
      </c>
      <c r="C8" s="234" t="s">
        <v>653</v>
      </c>
      <c r="D8" s="234" t="s">
        <v>662</v>
      </c>
      <c r="E8" s="31"/>
      <c r="F8" s="231"/>
      <c r="G8" s="231"/>
      <c r="H8" s="231"/>
      <c r="I8" s="231"/>
      <c r="J8" s="231"/>
      <c r="K8" s="231"/>
      <c r="L8" s="231"/>
      <c r="M8" s="231"/>
      <c r="N8" s="231"/>
      <c r="O8" s="231"/>
      <c r="P8" s="231"/>
      <c r="Q8" s="231"/>
      <c r="R8" s="231"/>
      <c r="S8" s="231"/>
      <c r="T8" s="231"/>
      <c r="U8" s="231"/>
      <c r="V8" s="231"/>
      <c r="W8" s="231"/>
      <c r="X8" s="231"/>
      <c r="Y8" s="231"/>
      <c r="Z8" s="231"/>
      <c r="AA8" s="231"/>
      <c r="AB8" s="231"/>
      <c r="AC8" s="231"/>
    </row>
    <row r="9" ht="24.75" hidden="1" customHeight="1" outlineLevel="1">
      <c r="A9" s="232">
        <v>43960.0</v>
      </c>
      <c r="B9" s="235" t="s">
        <v>667</v>
      </c>
      <c r="C9" s="235" t="s">
        <v>668</v>
      </c>
      <c r="D9" s="234" t="s">
        <v>662</v>
      </c>
      <c r="E9" s="30"/>
      <c r="F9" s="231"/>
      <c r="G9" s="231"/>
      <c r="H9" s="231"/>
      <c r="I9" s="231"/>
      <c r="J9" s="231"/>
      <c r="K9" s="231"/>
      <c r="L9" s="231"/>
      <c r="M9" s="231"/>
      <c r="N9" s="231"/>
      <c r="O9" s="231"/>
      <c r="P9" s="231"/>
      <c r="Q9" s="231"/>
      <c r="R9" s="231"/>
      <c r="S9" s="231"/>
      <c r="T9" s="231"/>
      <c r="U9" s="231"/>
      <c r="V9" s="231"/>
      <c r="W9" s="231"/>
      <c r="X9" s="231"/>
      <c r="Y9" s="231"/>
      <c r="Z9" s="231"/>
      <c r="AA9" s="231"/>
      <c r="AB9" s="231"/>
      <c r="AC9" s="231"/>
    </row>
    <row r="10" ht="24.75" hidden="1" customHeight="1" outlineLevel="1">
      <c r="A10" s="232">
        <v>43961.0</v>
      </c>
      <c r="B10" s="235" t="s">
        <v>669</v>
      </c>
      <c r="C10" s="234" t="s">
        <v>670</v>
      </c>
      <c r="D10" s="234" t="s">
        <v>662</v>
      </c>
      <c r="E10" s="30"/>
      <c r="F10" s="231"/>
      <c r="G10" s="231"/>
      <c r="H10" s="231"/>
      <c r="I10" s="231"/>
      <c r="J10" s="231"/>
      <c r="K10" s="231"/>
      <c r="L10" s="231"/>
      <c r="M10" s="231"/>
      <c r="N10" s="231"/>
      <c r="O10" s="231"/>
      <c r="P10" s="231"/>
      <c r="Q10" s="231"/>
      <c r="R10" s="231"/>
      <c r="S10" s="231"/>
      <c r="T10" s="231"/>
      <c r="U10" s="231"/>
      <c r="V10" s="231"/>
      <c r="W10" s="231"/>
      <c r="X10" s="231"/>
      <c r="Y10" s="231"/>
      <c r="Z10" s="231"/>
      <c r="AA10" s="231"/>
      <c r="AB10" s="231"/>
      <c r="AC10" s="231"/>
    </row>
    <row r="11" ht="24.75" hidden="1" customHeight="1" outlineLevel="1">
      <c r="A11" s="232">
        <v>43961.0</v>
      </c>
      <c r="B11" s="235" t="s">
        <v>671</v>
      </c>
      <c r="C11" s="234" t="s">
        <v>656</v>
      </c>
      <c r="D11" s="234" t="s">
        <v>662</v>
      </c>
      <c r="E11" s="30"/>
      <c r="F11" s="231"/>
      <c r="G11" s="231"/>
      <c r="H11" s="231"/>
      <c r="I11" s="231"/>
      <c r="J11" s="231"/>
      <c r="K11" s="231"/>
      <c r="L11" s="231"/>
      <c r="M11" s="231"/>
      <c r="N11" s="231"/>
      <c r="O11" s="231"/>
      <c r="P11" s="231"/>
      <c r="Q11" s="231"/>
      <c r="R11" s="231"/>
      <c r="S11" s="231"/>
      <c r="T11" s="231"/>
      <c r="U11" s="231"/>
      <c r="V11" s="231"/>
      <c r="W11" s="231"/>
      <c r="X11" s="231"/>
      <c r="Y11" s="231"/>
      <c r="Z11" s="231"/>
      <c r="AA11" s="231"/>
      <c r="AB11" s="231"/>
      <c r="AC11" s="231"/>
    </row>
    <row r="12" ht="24.75" hidden="1" customHeight="1" outlineLevel="1">
      <c r="A12" s="232">
        <v>43962.0</v>
      </c>
      <c r="B12" s="236" t="s">
        <v>652</v>
      </c>
      <c r="C12" s="234" t="s">
        <v>653</v>
      </c>
      <c r="D12" s="234" t="s">
        <v>662</v>
      </c>
      <c r="E12" s="31"/>
      <c r="F12" s="231"/>
      <c r="G12" s="231"/>
      <c r="H12" s="231"/>
      <c r="I12" s="231"/>
      <c r="J12" s="231"/>
      <c r="K12" s="231"/>
      <c r="L12" s="231"/>
      <c r="M12" s="231"/>
      <c r="N12" s="231"/>
      <c r="O12" s="231"/>
      <c r="P12" s="231"/>
      <c r="Q12" s="231"/>
      <c r="R12" s="231"/>
      <c r="S12" s="231"/>
      <c r="T12" s="231"/>
      <c r="U12" s="231"/>
      <c r="V12" s="231"/>
      <c r="W12" s="231"/>
      <c r="X12" s="231"/>
      <c r="Y12" s="231"/>
      <c r="Z12" s="231"/>
      <c r="AA12" s="231"/>
      <c r="AB12" s="231"/>
      <c r="AC12" s="231"/>
    </row>
    <row r="13" ht="24.75" hidden="1" customHeight="1" outlineLevel="1">
      <c r="A13" s="232">
        <v>43962.0</v>
      </c>
      <c r="B13" s="235" t="s">
        <v>672</v>
      </c>
      <c r="C13" s="235" t="s">
        <v>673</v>
      </c>
      <c r="D13" s="234" t="s">
        <v>662</v>
      </c>
      <c r="E13" s="30"/>
      <c r="F13" s="231"/>
      <c r="G13" s="231"/>
      <c r="H13" s="231"/>
      <c r="I13" s="231"/>
      <c r="J13" s="231"/>
      <c r="K13" s="231"/>
      <c r="L13" s="231"/>
      <c r="M13" s="231"/>
      <c r="N13" s="231"/>
      <c r="O13" s="231"/>
      <c r="P13" s="231"/>
      <c r="Q13" s="231"/>
      <c r="R13" s="231"/>
      <c r="S13" s="231"/>
      <c r="T13" s="231"/>
      <c r="U13" s="231"/>
      <c r="V13" s="231"/>
      <c r="W13" s="231"/>
      <c r="X13" s="231"/>
      <c r="Y13" s="231"/>
      <c r="Z13" s="231"/>
      <c r="AA13" s="231"/>
      <c r="AB13" s="231"/>
      <c r="AC13" s="231"/>
    </row>
    <row r="14" ht="24.75" hidden="1" customHeight="1" outlineLevel="1">
      <c r="A14" s="232">
        <v>43962.0</v>
      </c>
      <c r="B14" s="235" t="s">
        <v>674</v>
      </c>
      <c r="C14" s="235" t="s">
        <v>673</v>
      </c>
      <c r="D14" s="234" t="s">
        <v>662</v>
      </c>
      <c r="E14" s="30"/>
      <c r="F14" s="231"/>
      <c r="G14" s="231"/>
      <c r="H14" s="231"/>
      <c r="I14" s="231"/>
      <c r="J14" s="231"/>
      <c r="K14" s="231"/>
      <c r="L14" s="231"/>
      <c r="M14" s="231"/>
      <c r="N14" s="231"/>
      <c r="O14" s="231"/>
      <c r="P14" s="231"/>
      <c r="Q14" s="231"/>
      <c r="R14" s="231"/>
      <c r="S14" s="231"/>
      <c r="T14" s="231"/>
      <c r="U14" s="231"/>
      <c r="V14" s="231"/>
      <c r="W14" s="231"/>
      <c r="X14" s="231"/>
      <c r="Y14" s="231"/>
      <c r="Z14" s="231"/>
      <c r="AA14" s="231"/>
      <c r="AB14" s="231"/>
      <c r="AC14" s="231"/>
    </row>
    <row r="15" ht="24.75" hidden="1" customHeight="1" outlineLevel="1">
      <c r="A15" s="232">
        <v>43962.0</v>
      </c>
      <c r="B15" s="235" t="s">
        <v>165</v>
      </c>
      <c r="C15" s="235" t="s">
        <v>675</v>
      </c>
      <c r="D15" s="234" t="s">
        <v>676</v>
      </c>
      <c r="E15" s="30"/>
      <c r="F15" s="231"/>
      <c r="G15" s="231"/>
      <c r="H15" s="231"/>
      <c r="I15" s="231"/>
      <c r="J15" s="231"/>
      <c r="K15" s="231"/>
      <c r="L15" s="231"/>
      <c r="M15" s="231"/>
      <c r="N15" s="231"/>
      <c r="O15" s="231"/>
      <c r="P15" s="231"/>
      <c r="Q15" s="231"/>
      <c r="R15" s="231"/>
      <c r="S15" s="231"/>
      <c r="T15" s="231"/>
      <c r="U15" s="231"/>
      <c r="V15" s="231"/>
      <c r="W15" s="231"/>
      <c r="X15" s="231"/>
      <c r="Y15" s="231"/>
      <c r="Z15" s="231"/>
      <c r="AA15" s="231"/>
      <c r="AB15" s="231"/>
      <c r="AC15" s="231"/>
    </row>
    <row r="16" ht="24.75" customHeight="1">
      <c r="A16" s="231"/>
      <c r="B16" s="231"/>
      <c r="C16" s="231"/>
      <c r="D16" s="231"/>
      <c r="E16" s="225"/>
      <c r="F16" s="231"/>
      <c r="G16" s="231"/>
      <c r="H16" s="231"/>
      <c r="I16" s="231"/>
      <c r="J16" s="231"/>
      <c r="K16" s="231"/>
      <c r="L16" s="231"/>
      <c r="M16" s="231"/>
      <c r="N16" s="231"/>
      <c r="O16" s="231"/>
      <c r="P16" s="231"/>
      <c r="Q16" s="231"/>
      <c r="R16" s="231"/>
      <c r="S16" s="231"/>
      <c r="T16" s="231"/>
      <c r="U16" s="231"/>
      <c r="V16" s="231"/>
      <c r="W16" s="231"/>
      <c r="X16" s="231"/>
      <c r="Y16" s="231"/>
      <c r="Z16" s="231"/>
      <c r="AA16" s="231"/>
      <c r="AB16" s="231"/>
      <c r="AC16" s="231"/>
    </row>
    <row r="17" ht="24.75" customHeight="1" collapsed="1">
      <c r="A17" s="237" t="s">
        <v>677</v>
      </c>
      <c r="B17" s="231"/>
      <c r="C17" s="238"/>
      <c r="D17" s="237"/>
      <c r="E17" s="225"/>
      <c r="F17" s="231"/>
      <c r="G17" s="231"/>
      <c r="H17" s="231"/>
      <c r="I17" s="231"/>
      <c r="J17" s="231"/>
      <c r="K17" s="231"/>
      <c r="L17" s="231"/>
      <c r="M17" s="231"/>
      <c r="N17" s="231"/>
      <c r="O17" s="231"/>
      <c r="P17" s="231"/>
      <c r="Q17" s="231"/>
      <c r="R17" s="231"/>
      <c r="S17" s="231"/>
      <c r="T17" s="231"/>
      <c r="U17" s="231"/>
      <c r="V17" s="231"/>
      <c r="W17" s="231"/>
      <c r="X17" s="231"/>
      <c r="Y17" s="231"/>
      <c r="Z17" s="231"/>
      <c r="AA17" s="231"/>
      <c r="AB17" s="231"/>
      <c r="AC17" s="231"/>
    </row>
    <row r="18" ht="24.75" hidden="1" customHeight="1" outlineLevel="1">
      <c r="A18" s="226" t="s">
        <v>647</v>
      </c>
      <c r="B18" s="226" t="s">
        <v>648</v>
      </c>
      <c r="C18" s="226" t="s">
        <v>649</v>
      </c>
      <c r="D18" s="226" t="s">
        <v>650</v>
      </c>
      <c r="E18" s="226" t="s">
        <v>651</v>
      </c>
      <c r="F18" s="231"/>
      <c r="G18" s="231"/>
      <c r="H18" s="231"/>
      <c r="I18" s="231"/>
      <c r="J18" s="231"/>
      <c r="K18" s="231"/>
      <c r="L18" s="231"/>
      <c r="M18" s="231"/>
      <c r="N18" s="231"/>
      <c r="O18" s="231"/>
      <c r="P18" s="231"/>
      <c r="Q18" s="231"/>
      <c r="R18" s="231"/>
      <c r="S18" s="231"/>
      <c r="T18" s="231"/>
      <c r="U18" s="231"/>
      <c r="V18" s="231"/>
      <c r="W18" s="231"/>
      <c r="X18" s="231"/>
      <c r="Y18" s="231"/>
      <c r="Z18" s="231"/>
      <c r="AA18" s="231"/>
      <c r="AB18" s="231"/>
      <c r="AC18" s="231"/>
    </row>
    <row r="19" ht="24.75" hidden="1" customHeight="1" outlineLevel="1">
      <c r="A19" s="227">
        <v>44194.0</v>
      </c>
      <c r="B19" s="235" t="s">
        <v>678</v>
      </c>
      <c r="C19" s="229"/>
      <c r="D19" s="229" t="s">
        <v>679</v>
      </c>
      <c r="E19" s="230"/>
      <c r="F19" s="231"/>
      <c r="G19" s="231"/>
      <c r="H19" s="231"/>
      <c r="I19" s="231"/>
      <c r="J19" s="237"/>
      <c r="K19" s="231"/>
      <c r="L19" s="231"/>
      <c r="M19" s="231"/>
      <c r="N19" s="231"/>
      <c r="O19" s="231"/>
      <c r="P19" s="231"/>
      <c r="Q19" s="231"/>
      <c r="R19" s="231"/>
      <c r="S19" s="231"/>
      <c r="T19" s="231"/>
      <c r="U19" s="231"/>
      <c r="V19" s="231"/>
      <c r="W19" s="231"/>
      <c r="X19" s="231"/>
      <c r="Y19" s="231"/>
      <c r="Z19" s="231"/>
      <c r="AA19" s="231"/>
      <c r="AB19" s="231"/>
      <c r="AC19" s="231"/>
    </row>
    <row r="20" ht="24.75" hidden="1" customHeight="1" outlineLevel="1">
      <c r="A20" s="232">
        <v>44195.0</v>
      </c>
      <c r="B20" s="235" t="s">
        <v>680</v>
      </c>
      <c r="C20" s="234"/>
      <c r="D20" s="234" t="s">
        <v>657</v>
      </c>
      <c r="E20" s="30"/>
      <c r="F20" s="231"/>
      <c r="G20" s="231"/>
      <c r="H20" s="231"/>
      <c r="I20" s="231"/>
      <c r="J20" s="237"/>
      <c r="K20" s="231"/>
      <c r="L20" s="231"/>
      <c r="M20" s="231"/>
      <c r="N20" s="231"/>
      <c r="O20" s="231"/>
      <c r="P20" s="231"/>
      <c r="Q20" s="231"/>
      <c r="R20" s="231"/>
      <c r="S20" s="231"/>
      <c r="T20" s="231"/>
      <c r="U20" s="231"/>
      <c r="V20" s="231"/>
      <c r="W20" s="231"/>
      <c r="X20" s="231"/>
      <c r="Y20" s="231"/>
      <c r="Z20" s="231"/>
      <c r="AA20" s="231"/>
      <c r="AB20" s="231"/>
      <c r="AC20" s="231"/>
    </row>
    <row r="21" ht="24.75" hidden="1" customHeight="1" outlineLevel="1">
      <c r="A21" s="232">
        <v>44195.0</v>
      </c>
      <c r="B21" s="235" t="s">
        <v>655</v>
      </c>
      <c r="C21" s="234"/>
      <c r="D21" s="234" t="s">
        <v>681</v>
      </c>
      <c r="E21" s="30"/>
      <c r="F21" s="231"/>
      <c r="G21" s="231"/>
      <c r="H21" s="231"/>
      <c r="I21" s="231"/>
      <c r="J21" s="237"/>
      <c r="K21" s="231"/>
      <c r="L21" s="231"/>
      <c r="M21" s="231"/>
      <c r="N21" s="231"/>
      <c r="O21" s="231"/>
      <c r="P21" s="231"/>
      <c r="Q21" s="231"/>
      <c r="R21" s="231"/>
      <c r="S21" s="231"/>
      <c r="T21" s="231"/>
      <c r="U21" s="231"/>
      <c r="V21" s="231"/>
      <c r="W21" s="231"/>
      <c r="X21" s="231"/>
      <c r="Y21" s="231"/>
      <c r="Z21" s="231"/>
      <c r="AA21" s="231"/>
      <c r="AB21" s="231"/>
      <c r="AC21" s="231"/>
    </row>
    <row r="22" ht="24.75" hidden="1" customHeight="1" outlineLevel="1">
      <c r="A22" s="232">
        <v>44195.0</v>
      </c>
      <c r="B22" s="235" t="s">
        <v>682</v>
      </c>
      <c r="C22" s="234" t="s">
        <v>683</v>
      </c>
      <c r="D22" s="234" t="s">
        <v>684</v>
      </c>
      <c r="E22" s="30" t="s">
        <v>685</v>
      </c>
      <c r="F22" s="231"/>
      <c r="G22" s="231"/>
      <c r="H22" s="231"/>
      <c r="I22" s="231"/>
      <c r="J22" s="237"/>
      <c r="K22" s="231"/>
      <c r="L22" s="231"/>
      <c r="M22" s="231"/>
      <c r="N22" s="231"/>
      <c r="O22" s="231"/>
      <c r="P22" s="231"/>
      <c r="Q22" s="231"/>
      <c r="R22" s="231"/>
      <c r="S22" s="231"/>
      <c r="T22" s="231"/>
      <c r="U22" s="231"/>
      <c r="V22" s="231"/>
      <c r="W22" s="231"/>
      <c r="X22" s="231"/>
      <c r="Y22" s="231"/>
      <c r="Z22" s="231"/>
      <c r="AA22" s="231"/>
      <c r="AB22" s="231"/>
      <c r="AC22" s="231"/>
    </row>
    <row r="23" ht="24.75" hidden="1" customHeight="1" outlineLevel="1">
      <c r="A23" s="232">
        <v>44195.0</v>
      </c>
      <c r="B23" s="235" t="s">
        <v>686</v>
      </c>
      <c r="C23" s="235" t="s">
        <v>687</v>
      </c>
      <c r="D23" s="234" t="s">
        <v>657</v>
      </c>
      <c r="E23" s="30" t="s">
        <v>685</v>
      </c>
      <c r="F23" s="231"/>
      <c r="G23" s="231"/>
      <c r="H23" s="231"/>
      <c r="I23" s="231"/>
      <c r="J23" s="237"/>
      <c r="K23" s="231"/>
      <c r="L23" s="231"/>
      <c r="M23" s="231"/>
      <c r="N23" s="231"/>
      <c r="O23" s="231"/>
      <c r="P23" s="231"/>
      <c r="Q23" s="231"/>
      <c r="R23" s="231"/>
      <c r="S23" s="231"/>
      <c r="T23" s="231"/>
      <c r="U23" s="231"/>
      <c r="V23" s="231"/>
      <c r="W23" s="231"/>
      <c r="X23" s="231"/>
      <c r="Y23" s="231"/>
      <c r="Z23" s="231"/>
      <c r="AA23" s="231"/>
      <c r="AB23" s="231"/>
      <c r="AC23" s="231"/>
    </row>
    <row r="24" ht="24.75" hidden="1" customHeight="1" outlineLevel="1">
      <c r="A24" s="232">
        <v>44196.0</v>
      </c>
      <c r="B24" s="235" t="s">
        <v>688</v>
      </c>
      <c r="C24" s="233"/>
      <c r="D24" s="234" t="s">
        <v>657</v>
      </c>
      <c r="E24" s="30"/>
      <c r="F24" s="231"/>
      <c r="G24" s="231"/>
      <c r="H24" s="231"/>
      <c r="I24" s="231"/>
      <c r="J24" s="237"/>
      <c r="K24" s="231"/>
      <c r="L24" s="231"/>
      <c r="M24" s="231"/>
      <c r="N24" s="231"/>
      <c r="O24" s="231"/>
      <c r="P24" s="231"/>
      <c r="Q24" s="231"/>
      <c r="R24" s="231"/>
      <c r="S24" s="231"/>
      <c r="T24" s="231"/>
      <c r="U24" s="231"/>
      <c r="V24" s="231"/>
      <c r="W24" s="231"/>
      <c r="X24" s="231"/>
      <c r="Y24" s="231"/>
      <c r="Z24" s="231"/>
      <c r="AA24" s="231"/>
      <c r="AB24" s="231"/>
      <c r="AC24" s="231"/>
    </row>
    <row r="25" ht="24.75" hidden="1" customHeight="1" outlineLevel="1">
      <c r="A25" s="232">
        <v>44197.0</v>
      </c>
      <c r="B25" s="235" t="s">
        <v>689</v>
      </c>
      <c r="C25" s="233"/>
      <c r="D25" s="234" t="s">
        <v>657</v>
      </c>
      <c r="E25" s="30"/>
      <c r="F25" s="231"/>
      <c r="G25" s="231"/>
      <c r="H25" s="231"/>
      <c r="I25" s="231"/>
      <c r="J25" s="237"/>
      <c r="K25" s="231"/>
      <c r="L25" s="231"/>
      <c r="M25" s="231"/>
      <c r="N25" s="231"/>
      <c r="O25" s="231"/>
      <c r="P25" s="231"/>
      <c r="Q25" s="231"/>
      <c r="R25" s="231"/>
      <c r="S25" s="231"/>
      <c r="T25" s="231"/>
      <c r="U25" s="231"/>
      <c r="V25" s="231"/>
      <c r="W25" s="231"/>
      <c r="X25" s="231"/>
      <c r="Y25" s="231"/>
      <c r="Z25" s="231"/>
      <c r="AA25" s="231"/>
      <c r="AB25" s="231"/>
      <c r="AC25" s="231"/>
    </row>
    <row r="26" ht="24.75" hidden="1" customHeight="1" outlineLevel="1">
      <c r="A26" s="232">
        <v>44197.0</v>
      </c>
      <c r="B26" s="235" t="s">
        <v>663</v>
      </c>
      <c r="C26" s="233" t="s">
        <v>690</v>
      </c>
      <c r="D26" s="234" t="s">
        <v>657</v>
      </c>
      <c r="E26" s="30" t="s">
        <v>685</v>
      </c>
      <c r="F26" s="231"/>
      <c r="G26" s="231"/>
      <c r="H26" s="231"/>
      <c r="I26" s="231"/>
      <c r="J26" s="237"/>
      <c r="K26" s="231"/>
      <c r="L26" s="231"/>
      <c r="M26" s="231"/>
      <c r="N26" s="231"/>
      <c r="O26" s="231"/>
      <c r="P26" s="231"/>
      <c r="Q26" s="231"/>
      <c r="R26" s="231"/>
      <c r="S26" s="231"/>
      <c r="T26" s="231"/>
      <c r="U26" s="231"/>
      <c r="V26" s="231"/>
      <c r="W26" s="231"/>
      <c r="X26" s="231"/>
      <c r="Y26" s="231"/>
      <c r="Z26" s="231"/>
      <c r="AA26" s="231"/>
      <c r="AB26" s="231"/>
      <c r="AC26" s="231"/>
    </row>
    <row r="27" ht="24.75" hidden="1" customHeight="1" outlineLevel="1">
      <c r="A27" s="232">
        <v>44198.0</v>
      </c>
      <c r="B27" s="235" t="s">
        <v>691</v>
      </c>
      <c r="C27" s="234"/>
      <c r="D27" s="234" t="s">
        <v>657</v>
      </c>
      <c r="E27" s="31"/>
      <c r="F27" s="231"/>
      <c r="G27" s="231"/>
      <c r="H27" s="231"/>
      <c r="I27" s="231"/>
      <c r="J27" s="237"/>
      <c r="K27" s="231"/>
      <c r="L27" s="231"/>
      <c r="M27" s="231"/>
      <c r="N27" s="231"/>
      <c r="O27" s="231"/>
      <c r="P27" s="231"/>
      <c r="Q27" s="231"/>
      <c r="R27" s="231"/>
      <c r="S27" s="231"/>
      <c r="T27" s="231"/>
      <c r="U27" s="231"/>
      <c r="V27" s="231"/>
      <c r="W27" s="231"/>
      <c r="X27" s="231"/>
      <c r="Y27" s="231"/>
      <c r="Z27" s="231"/>
      <c r="AA27" s="231"/>
      <c r="AB27" s="231"/>
      <c r="AC27" s="231"/>
    </row>
    <row r="28" ht="24.75" hidden="1" customHeight="1" outlineLevel="1">
      <c r="A28" s="232">
        <v>44198.0</v>
      </c>
      <c r="B28" s="235" t="s">
        <v>692</v>
      </c>
      <c r="C28" s="235" t="s">
        <v>693</v>
      </c>
      <c r="D28" s="234" t="s">
        <v>694</v>
      </c>
      <c r="E28" s="30" t="s">
        <v>685</v>
      </c>
      <c r="F28" s="231"/>
      <c r="G28" s="231"/>
      <c r="H28" s="231"/>
      <c r="I28" s="231"/>
      <c r="J28" s="237"/>
      <c r="K28" s="231"/>
      <c r="L28" s="231"/>
      <c r="M28" s="231"/>
      <c r="N28" s="231"/>
      <c r="O28" s="231"/>
      <c r="P28" s="231"/>
      <c r="Q28" s="231"/>
      <c r="R28" s="231"/>
      <c r="S28" s="231"/>
      <c r="T28" s="231"/>
      <c r="U28" s="231"/>
      <c r="V28" s="231"/>
      <c r="W28" s="231"/>
      <c r="X28" s="231"/>
      <c r="Y28" s="231"/>
      <c r="Z28" s="231"/>
      <c r="AA28" s="231"/>
      <c r="AB28" s="231"/>
      <c r="AC28" s="231"/>
    </row>
    <row r="29" ht="24.75" hidden="1" customHeight="1" outlineLevel="1">
      <c r="A29" s="232">
        <v>44198.0</v>
      </c>
      <c r="B29" s="235" t="s">
        <v>695</v>
      </c>
      <c r="C29" s="234" t="s">
        <v>683</v>
      </c>
      <c r="D29" s="234" t="s">
        <v>657</v>
      </c>
      <c r="E29" s="30" t="s">
        <v>685</v>
      </c>
      <c r="F29" s="231"/>
      <c r="G29" s="231"/>
      <c r="H29" s="231"/>
      <c r="I29" s="231"/>
      <c r="J29" s="237"/>
      <c r="K29" s="231"/>
      <c r="L29" s="231"/>
      <c r="M29" s="231"/>
      <c r="N29" s="231"/>
      <c r="O29" s="231"/>
      <c r="P29" s="231"/>
      <c r="Q29" s="231"/>
      <c r="R29" s="231"/>
      <c r="S29" s="231"/>
      <c r="T29" s="231"/>
      <c r="U29" s="231"/>
      <c r="V29" s="231"/>
      <c r="W29" s="231"/>
      <c r="X29" s="231"/>
      <c r="Y29" s="231"/>
      <c r="Z29" s="231"/>
      <c r="AA29" s="231"/>
      <c r="AB29" s="231"/>
      <c r="AC29" s="231"/>
    </row>
    <row r="30" ht="24.75" hidden="1" customHeight="1" outlineLevel="1">
      <c r="A30" s="232">
        <v>44199.0</v>
      </c>
      <c r="B30" s="235" t="s">
        <v>671</v>
      </c>
      <c r="C30" s="234" t="s">
        <v>696</v>
      </c>
      <c r="D30" s="234" t="s">
        <v>657</v>
      </c>
      <c r="E30" s="30" t="s">
        <v>685</v>
      </c>
      <c r="F30" s="231"/>
      <c r="G30" s="231"/>
      <c r="H30" s="231"/>
      <c r="I30" s="231"/>
      <c r="J30" s="237"/>
      <c r="K30" s="231"/>
      <c r="L30" s="231"/>
      <c r="M30" s="231"/>
      <c r="N30" s="231"/>
      <c r="O30" s="231"/>
      <c r="P30" s="231"/>
      <c r="Q30" s="231"/>
      <c r="R30" s="231"/>
      <c r="S30" s="231"/>
      <c r="T30" s="231"/>
      <c r="U30" s="231"/>
      <c r="V30" s="231"/>
      <c r="W30" s="231"/>
      <c r="X30" s="231"/>
      <c r="Y30" s="231"/>
      <c r="Z30" s="231"/>
      <c r="AA30" s="231"/>
      <c r="AB30" s="231"/>
      <c r="AC30" s="231"/>
    </row>
    <row r="31" ht="24.75" hidden="1" customHeight="1" outlineLevel="1">
      <c r="A31" s="232">
        <v>44200.0</v>
      </c>
      <c r="B31" s="235" t="s">
        <v>697</v>
      </c>
      <c r="C31" s="234" t="s">
        <v>698</v>
      </c>
      <c r="D31" s="234" t="s">
        <v>657</v>
      </c>
      <c r="E31" s="30" t="s">
        <v>685</v>
      </c>
      <c r="F31" s="231"/>
      <c r="G31" s="231"/>
      <c r="H31" s="231"/>
      <c r="I31" s="231"/>
      <c r="J31" s="237"/>
      <c r="K31" s="231"/>
      <c r="L31" s="231"/>
      <c r="M31" s="231"/>
      <c r="N31" s="231"/>
      <c r="O31" s="231"/>
      <c r="P31" s="231"/>
      <c r="Q31" s="231"/>
      <c r="R31" s="231"/>
      <c r="S31" s="231"/>
      <c r="T31" s="231"/>
      <c r="U31" s="231"/>
      <c r="V31" s="231"/>
      <c r="W31" s="231"/>
      <c r="X31" s="231"/>
      <c r="Y31" s="231"/>
      <c r="Z31" s="231"/>
      <c r="AA31" s="231"/>
      <c r="AB31" s="231"/>
      <c r="AC31" s="231"/>
    </row>
    <row r="32" ht="24.75" hidden="1" customHeight="1" outlineLevel="1">
      <c r="A32" s="232">
        <v>44200.0</v>
      </c>
      <c r="B32" s="235" t="s">
        <v>699</v>
      </c>
      <c r="C32" s="235" t="s">
        <v>700</v>
      </c>
      <c r="D32" s="234" t="s">
        <v>657</v>
      </c>
      <c r="E32" s="30" t="s">
        <v>685</v>
      </c>
      <c r="F32" s="231"/>
      <c r="G32" s="231"/>
      <c r="H32" s="231"/>
      <c r="I32" s="231"/>
      <c r="J32" s="237"/>
      <c r="K32" s="231"/>
      <c r="L32" s="231"/>
      <c r="M32" s="231"/>
      <c r="N32" s="231"/>
      <c r="O32" s="231"/>
      <c r="P32" s="231"/>
      <c r="Q32" s="231"/>
      <c r="R32" s="231"/>
      <c r="S32" s="231"/>
      <c r="T32" s="231"/>
      <c r="U32" s="231"/>
      <c r="V32" s="231"/>
      <c r="W32" s="231"/>
      <c r="X32" s="231"/>
      <c r="Y32" s="231"/>
      <c r="Z32" s="231"/>
      <c r="AA32" s="231"/>
      <c r="AB32" s="231"/>
      <c r="AC32" s="231"/>
    </row>
    <row r="33" ht="24.75" customHeight="1">
      <c r="A33" s="239"/>
      <c r="C33" s="231"/>
      <c r="D33" s="231"/>
      <c r="E33" s="225"/>
      <c r="F33" s="231"/>
      <c r="G33" s="231"/>
      <c r="H33" s="231"/>
      <c r="I33" s="231"/>
      <c r="J33" s="237"/>
      <c r="K33" s="231"/>
      <c r="L33" s="231"/>
      <c r="M33" s="231"/>
      <c r="N33" s="231"/>
      <c r="O33" s="231"/>
      <c r="P33" s="231"/>
      <c r="Q33" s="231"/>
      <c r="R33" s="231"/>
      <c r="S33" s="231"/>
      <c r="T33" s="231"/>
      <c r="U33" s="231"/>
      <c r="V33" s="231"/>
      <c r="W33" s="231"/>
      <c r="X33" s="231"/>
      <c r="Y33" s="231"/>
      <c r="Z33" s="231"/>
      <c r="AA33" s="231"/>
      <c r="AB33" s="231"/>
      <c r="AC33" s="231"/>
    </row>
    <row r="34" ht="24.75" customHeight="1" collapsed="1">
      <c r="A34" s="223" t="s">
        <v>701</v>
      </c>
      <c r="B34" s="224"/>
      <c r="C34" s="224"/>
      <c r="D34" s="224"/>
      <c r="E34" s="224"/>
      <c r="F34" s="231"/>
      <c r="G34" s="231"/>
      <c r="H34" s="231"/>
      <c r="I34" s="231"/>
      <c r="J34" s="237"/>
      <c r="K34" s="231"/>
      <c r="L34" s="231"/>
      <c r="M34" s="231"/>
      <c r="N34" s="231"/>
      <c r="O34" s="231"/>
      <c r="P34" s="231"/>
      <c r="Q34" s="231"/>
      <c r="R34" s="231"/>
      <c r="S34" s="231"/>
      <c r="T34" s="231"/>
      <c r="U34" s="231"/>
      <c r="V34" s="231"/>
      <c r="W34" s="231"/>
      <c r="X34" s="231"/>
      <c r="Y34" s="231"/>
      <c r="Z34" s="231"/>
      <c r="AA34" s="231"/>
      <c r="AB34" s="231"/>
      <c r="AC34" s="231"/>
    </row>
    <row r="35" ht="24.75" hidden="1" customHeight="1" outlineLevel="1">
      <c r="A35" s="226" t="s">
        <v>647</v>
      </c>
      <c r="B35" s="226" t="s">
        <v>648</v>
      </c>
      <c r="C35" s="226" t="s">
        <v>649</v>
      </c>
      <c r="D35" s="226" t="s">
        <v>650</v>
      </c>
      <c r="E35" s="226" t="s">
        <v>651</v>
      </c>
      <c r="F35" s="231"/>
      <c r="G35" s="231"/>
      <c r="H35" s="231"/>
      <c r="I35" s="231"/>
      <c r="J35" s="237"/>
      <c r="K35" s="231"/>
      <c r="L35" s="231"/>
      <c r="M35" s="231"/>
      <c r="N35" s="231"/>
      <c r="O35" s="231"/>
      <c r="P35" s="231"/>
      <c r="Q35" s="231"/>
      <c r="R35" s="231"/>
      <c r="S35" s="231"/>
      <c r="T35" s="231"/>
      <c r="U35" s="231"/>
      <c r="V35" s="231"/>
      <c r="W35" s="231"/>
      <c r="X35" s="231"/>
      <c r="Y35" s="231"/>
      <c r="Z35" s="231"/>
      <c r="AA35" s="231"/>
      <c r="AB35" s="231"/>
      <c r="AC35" s="231"/>
    </row>
    <row r="36" ht="24.75" hidden="1" customHeight="1" outlineLevel="1">
      <c r="A36" s="232">
        <v>44317.0</v>
      </c>
      <c r="B36" s="235" t="s">
        <v>671</v>
      </c>
      <c r="C36" s="240" t="s">
        <v>702</v>
      </c>
      <c r="D36" s="234" t="s">
        <v>662</v>
      </c>
      <c r="E36" s="30" t="s">
        <v>703</v>
      </c>
      <c r="F36" s="231"/>
      <c r="G36" s="231"/>
      <c r="H36" s="231"/>
      <c r="I36" s="231"/>
      <c r="J36" s="231"/>
      <c r="K36" s="231"/>
      <c r="L36" s="231"/>
      <c r="M36" s="231"/>
      <c r="N36" s="231"/>
      <c r="O36" s="231"/>
      <c r="P36" s="231"/>
      <c r="Q36" s="231"/>
      <c r="R36" s="231"/>
      <c r="S36" s="231"/>
      <c r="T36" s="231"/>
      <c r="U36" s="231"/>
      <c r="V36" s="231"/>
      <c r="W36" s="231"/>
      <c r="X36" s="231"/>
      <c r="Y36" s="231"/>
      <c r="Z36" s="231"/>
      <c r="AA36" s="231"/>
      <c r="AB36" s="231"/>
      <c r="AC36" s="231"/>
    </row>
    <row r="37" ht="24.75" hidden="1" customHeight="1" outlineLevel="1">
      <c r="A37" s="232">
        <v>44317.0</v>
      </c>
      <c r="B37" s="236" t="s">
        <v>695</v>
      </c>
      <c r="C37" s="241" t="s">
        <v>704</v>
      </c>
      <c r="D37" s="234" t="s">
        <v>705</v>
      </c>
      <c r="E37" s="30" t="s">
        <v>706</v>
      </c>
      <c r="F37" s="231"/>
      <c r="G37" s="231"/>
      <c r="H37" s="231"/>
      <c r="I37" s="231"/>
      <c r="J37" s="231"/>
      <c r="K37" s="231"/>
      <c r="L37" s="231"/>
      <c r="M37" s="231"/>
      <c r="N37" s="231"/>
      <c r="O37" s="231"/>
      <c r="P37" s="231"/>
      <c r="Q37" s="231"/>
      <c r="R37" s="231"/>
      <c r="S37" s="231"/>
      <c r="T37" s="231"/>
      <c r="U37" s="231"/>
      <c r="V37" s="231"/>
      <c r="W37" s="231"/>
      <c r="X37" s="231"/>
      <c r="Y37" s="231"/>
      <c r="Z37" s="231"/>
      <c r="AA37" s="231"/>
      <c r="AB37" s="231"/>
      <c r="AC37" s="231"/>
    </row>
    <row r="38" ht="24.75" hidden="1" customHeight="1" outlineLevel="1">
      <c r="A38" s="232">
        <v>44317.0</v>
      </c>
      <c r="B38" s="235" t="s">
        <v>667</v>
      </c>
      <c r="C38" s="235" t="s">
        <v>668</v>
      </c>
      <c r="D38" s="234" t="s">
        <v>662</v>
      </c>
      <c r="E38" s="30" t="s">
        <v>703</v>
      </c>
      <c r="F38" s="231"/>
      <c r="G38" s="231"/>
      <c r="H38" s="231"/>
      <c r="I38" s="231"/>
      <c r="J38" s="231"/>
      <c r="K38" s="231"/>
      <c r="L38" s="231"/>
      <c r="M38" s="231"/>
      <c r="N38" s="231"/>
      <c r="O38" s="231"/>
      <c r="P38" s="231"/>
      <c r="Q38" s="231"/>
      <c r="R38" s="231"/>
      <c r="S38" s="231"/>
      <c r="T38" s="231"/>
      <c r="U38" s="231"/>
      <c r="V38" s="231"/>
      <c r="W38" s="231"/>
      <c r="X38" s="231"/>
      <c r="Y38" s="231"/>
      <c r="Z38" s="231"/>
      <c r="AA38" s="231"/>
      <c r="AB38" s="231"/>
      <c r="AC38" s="231"/>
    </row>
    <row r="39" ht="24.75" hidden="1" customHeight="1" outlineLevel="1">
      <c r="A39" s="232">
        <v>44318.0</v>
      </c>
      <c r="B39" s="235" t="s">
        <v>669</v>
      </c>
      <c r="C39" s="240" t="s">
        <v>670</v>
      </c>
      <c r="D39" s="234" t="s">
        <v>662</v>
      </c>
      <c r="E39" s="30" t="s">
        <v>703</v>
      </c>
      <c r="F39" s="231"/>
      <c r="G39" s="231"/>
      <c r="H39" s="231"/>
      <c r="I39" s="231"/>
      <c r="J39" s="231"/>
      <c r="K39" s="231"/>
      <c r="L39" s="231"/>
      <c r="M39" s="231"/>
      <c r="N39" s="231"/>
      <c r="O39" s="231"/>
      <c r="P39" s="231"/>
      <c r="Q39" s="231"/>
      <c r="R39" s="231"/>
      <c r="S39" s="231"/>
      <c r="T39" s="231"/>
      <c r="U39" s="231"/>
      <c r="V39" s="231"/>
      <c r="W39" s="231"/>
      <c r="X39" s="231"/>
      <c r="Y39" s="231"/>
      <c r="Z39" s="231"/>
      <c r="AA39" s="231"/>
      <c r="AB39" s="231"/>
      <c r="AC39" s="231"/>
    </row>
    <row r="40" ht="24.75" hidden="1" customHeight="1" outlineLevel="1">
      <c r="A40" s="232">
        <v>44319.0</v>
      </c>
      <c r="B40" s="235" t="s">
        <v>672</v>
      </c>
      <c r="C40" s="235" t="s">
        <v>673</v>
      </c>
      <c r="D40" s="234" t="s">
        <v>657</v>
      </c>
      <c r="E40" s="30" t="s">
        <v>706</v>
      </c>
      <c r="F40" s="231"/>
      <c r="G40" s="231"/>
      <c r="H40" s="231"/>
      <c r="I40" s="231"/>
      <c r="J40" s="231"/>
      <c r="K40" s="231"/>
      <c r="L40" s="231"/>
      <c r="M40" s="231"/>
      <c r="N40" s="231"/>
      <c r="O40" s="231"/>
      <c r="P40" s="231"/>
      <c r="Q40" s="231"/>
      <c r="R40" s="231"/>
      <c r="S40" s="231"/>
      <c r="T40" s="231"/>
      <c r="U40" s="231"/>
      <c r="V40" s="231"/>
      <c r="W40" s="231"/>
      <c r="X40" s="231"/>
      <c r="Y40" s="231"/>
      <c r="Z40" s="231"/>
      <c r="AA40" s="231"/>
      <c r="AB40" s="231"/>
      <c r="AC40" s="231"/>
    </row>
    <row r="41" ht="24.75" hidden="1" customHeight="1" outlineLevel="1">
      <c r="A41" s="232">
        <v>44319.0</v>
      </c>
      <c r="B41" s="235" t="s">
        <v>674</v>
      </c>
      <c r="C41" s="235" t="s">
        <v>673</v>
      </c>
      <c r="D41" s="234" t="s">
        <v>657</v>
      </c>
      <c r="E41" s="30" t="s">
        <v>706</v>
      </c>
      <c r="F41" s="231"/>
      <c r="G41" s="231"/>
      <c r="H41" s="231"/>
      <c r="I41" s="231"/>
      <c r="J41" s="231"/>
      <c r="K41" s="231"/>
      <c r="L41" s="231"/>
      <c r="M41" s="231"/>
      <c r="N41" s="231"/>
      <c r="O41" s="231"/>
      <c r="P41" s="231"/>
      <c r="Q41" s="231"/>
      <c r="R41" s="231"/>
      <c r="S41" s="231"/>
      <c r="T41" s="231"/>
      <c r="U41" s="231"/>
      <c r="V41" s="231"/>
      <c r="W41" s="231"/>
      <c r="X41" s="231"/>
      <c r="Y41" s="231"/>
      <c r="Z41" s="231"/>
      <c r="AA41" s="231"/>
      <c r="AB41" s="231"/>
      <c r="AC41" s="231"/>
    </row>
    <row r="42" ht="24.75" hidden="1" customHeight="1" outlineLevel="1">
      <c r="A42" s="227">
        <v>44320.0</v>
      </c>
      <c r="B42" s="235" t="s">
        <v>707</v>
      </c>
      <c r="C42" s="229"/>
      <c r="D42" s="229" t="s">
        <v>679</v>
      </c>
      <c r="E42" s="30" t="s">
        <v>703</v>
      </c>
      <c r="F42" s="231"/>
      <c r="G42" s="231"/>
      <c r="H42" s="231"/>
      <c r="I42" s="231"/>
      <c r="J42" s="231"/>
      <c r="K42" s="231"/>
      <c r="L42" s="231"/>
      <c r="M42" s="231"/>
      <c r="N42" s="231"/>
      <c r="O42" s="231"/>
      <c r="P42" s="231"/>
      <c r="Q42" s="231"/>
      <c r="R42" s="231"/>
      <c r="S42" s="231"/>
      <c r="T42" s="231"/>
      <c r="U42" s="231"/>
      <c r="V42" s="231"/>
      <c r="W42" s="231"/>
      <c r="X42" s="231"/>
      <c r="Y42" s="231"/>
      <c r="Z42" s="231"/>
      <c r="AA42" s="231"/>
      <c r="AB42" s="231"/>
      <c r="AC42" s="231"/>
    </row>
    <row r="43" ht="24.75" hidden="1" customHeight="1" outlineLevel="1">
      <c r="A43" s="227">
        <v>44321.0</v>
      </c>
      <c r="B43" s="235" t="s">
        <v>708</v>
      </c>
      <c r="C43" s="241" t="s">
        <v>704</v>
      </c>
      <c r="D43" s="229" t="s">
        <v>709</v>
      </c>
      <c r="E43" s="242" t="s">
        <v>710</v>
      </c>
      <c r="F43" s="231"/>
      <c r="G43" s="231"/>
      <c r="H43" s="231"/>
      <c r="I43" s="231"/>
      <c r="J43" s="231"/>
      <c r="K43" s="231"/>
      <c r="L43" s="231"/>
      <c r="M43" s="231"/>
      <c r="N43" s="231"/>
      <c r="O43" s="231"/>
      <c r="P43" s="231"/>
      <c r="Q43" s="231"/>
      <c r="R43" s="231"/>
      <c r="S43" s="231"/>
      <c r="T43" s="231"/>
      <c r="U43" s="231"/>
      <c r="V43" s="231"/>
      <c r="W43" s="231"/>
      <c r="X43" s="231"/>
      <c r="Y43" s="231"/>
      <c r="Z43" s="231"/>
      <c r="AA43" s="231"/>
      <c r="AB43" s="231"/>
      <c r="AC43" s="231"/>
    </row>
    <row r="44" ht="24.75" hidden="1" customHeight="1" outlineLevel="1">
      <c r="A44" s="232">
        <v>44321.0</v>
      </c>
      <c r="B44" s="235" t="s">
        <v>680</v>
      </c>
      <c r="C44" s="234"/>
      <c r="D44" s="234" t="s">
        <v>711</v>
      </c>
      <c r="E44" s="30" t="s">
        <v>703</v>
      </c>
      <c r="F44" s="231"/>
      <c r="G44" s="231"/>
      <c r="H44" s="231"/>
      <c r="I44" s="231"/>
      <c r="J44" s="231"/>
      <c r="K44" s="231"/>
      <c r="L44" s="231"/>
      <c r="M44" s="231"/>
      <c r="N44" s="231"/>
      <c r="O44" s="231"/>
      <c r="P44" s="231"/>
      <c r="Q44" s="231"/>
      <c r="R44" s="231"/>
      <c r="S44" s="231"/>
      <c r="T44" s="231"/>
      <c r="U44" s="231"/>
      <c r="V44" s="231"/>
      <c r="W44" s="231"/>
      <c r="X44" s="231"/>
      <c r="Y44" s="231"/>
      <c r="Z44" s="231"/>
      <c r="AA44" s="231"/>
      <c r="AB44" s="231"/>
      <c r="AC44" s="231"/>
    </row>
    <row r="45" ht="24.75" hidden="1" customHeight="1" outlineLevel="1">
      <c r="A45" s="232">
        <v>44321.0</v>
      </c>
      <c r="B45" s="233" t="s">
        <v>658</v>
      </c>
      <c r="C45" s="235" t="s">
        <v>687</v>
      </c>
      <c r="D45" s="234" t="s">
        <v>657</v>
      </c>
      <c r="E45" s="30" t="s">
        <v>710</v>
      </c>
      <c r="F45" s="231"/>
      <c r="G45" s="231"/>
      <c r="H45" s="231"/>
      <c r="I45" s="231"/>
      <c r="J45" s="231"/>
      <c r="K45" s="231"/>
      <c r="L45" s="231"/>
      <c r="M45" s="231"/>
      <c r="N45" s="231"/>
      <c r="O45" s="231"/>
      <c r="P45" s="231"/>
      <c r="Q45" s="231"/>
      <c r="R45" s="231"/>
      <c r="S45" s="231"/>
      <c r="T45" s="231"/>
      <c r="U45" s="231"/>
      <c r="V45" s="231"/>
      <c r="W45" s="231"/>
      <c r="X45" s="231"/>
      <c r="Y45" s="231"/>
      <c r="Z45" s="231"/>
      <c r="AA45" s="231"/>
      <c r="AB45" s="231"/>
      <c r="AC45" s="231"/>
    </row>
    <row r="46" ht="24.75" hidden="1" customHeight="1" outlineLevel="1">
      <c r="A46" s="232">
        <v>44322.0</v>
      </c>
      <c r="B46" s="233" t="s">
        <v>660</v>
      </c>
      <c r="C46" s="235" t="s">
        <v>712</v>
      </c>
      <c r="D46" s="234" t="s">
        <v>657</v>
      </c>
      <c r="E46" s="30" t="s">
        <v>706</v>
      </c>
      <c r="F46" s="231"/>
      <c r="G46" s="231"/>
      <c r="H46" s="231"/>
      <c r="I46" s="231"/>
      <c r="J46" s="231"/>
      <c r="K46" s="231"/>
      <c r="L46" s="231"/>
      <c r="M46" s="231"/>
      <c r="N46" s="231"/>
      <c r="O46" s="231"/>
      <c r="P46" s="231"/>
      <c r="Q46" s="231"/>
      <c r="R46" s="231"/>
      <c r="S46" s="231"/>
      <c r="T46" s="231"/>
      <c r="U46" s="231"/>
      <c r="V46" s="231"/>
      <c r="W46" s="231"/>
      <c r="X46" s="231"/>
      <c r="Y46" s="231"/>
      <c r="Z46" s="231"/>
      <c r="AA46" s="231"/>
      <c r="AB46" s="231"/>
      <c r="AC46" s="231"/>
    </row>
    <row r="47" ht="24.75" hidden="1" customHeight="1" outlineLevel="1">
      <c r="A47" s="232">
        <v>44324.0</v>
      </c>
      <c r="B47" s="235" t="s">
        <v>692</v>
      </c>
      <c r="C47" s="235" t="s">
        <v>693</v>
      </c>
      <c r="D47" s="234" t="s">
        <v>694</v>
      </c>
      <c r="E47" s="30"/>
      <c r="F47" s="231"/>
      <c r="G47" s="231"/>
      <c r="H47" s="231"/>
      <c r="I47" s="231"/>
      <c r="J47" s="231"/>
      <c r="K47" s="231"/>
      <c r="L47" s="231"/>
      <c r="M47" s="231"/>
      <c r="N47" s="231"/>
      <c r="O47" s="231"/>
      <c r="P47" s="231"/>
      <c r="Q47" s="231"/>
      <c r="R47" s="231"/>
      <c r="S47" s="231"/>
      <c r="T47" s="231"/>
      <c r="U47" s="231"/>
      <c r="V47" s="231"/>
      <c r="W47" s="231"/>
      <c r="X47" s="231"/>
      <c r="Y47" s="231"/>
      <c r="Z47" s="231"/>
      <c r="AA47" s="231"/>
      <c r="AB47" s="231"/>
      <c r="AC47" s="231"/>
    </row>
    <row r="48" ht="24.75" customHeight="1">
      <c r="A48" s="239"/>
      <c r="C48" s="231"/>
      <c r="D48" s="231"/>
      <c r="E48" s="225"/>
      <c r="F48" s="231"/>
      <c r="G48" s="231"/>
      <c r="H48" s="231"/>
      <c r="I48" s="231"/>
      <c r="J48" s="237"/>
      <c r="K48" s="231"/>
      <c r="L48" s="231"/>
      <c r="M48" s="231"/>
      <c r="N48" s="231"/>
      <c r="O48" s="231"/>
      <c r="P48" s="231"/>
      <c r="Q48" s="231"/>
      <c r="R48" s="231"/>
      <c r="S48" s="231"/>
      <c r="T48" s="231"/>
      <c r="U48" s="231"/>
      <c r="V48" s="231"/>
      <c r="W48" s="231"/>
      <c r="X48" s="231"/>
      <c r="Y48" s="231"/>
      <c r="Z48" s="231"/>
      <c r="AA48" s="231"/>
      <c r="AB48" s="231"/>
      <c r="AC48" s="231"/>
    </row>
    <row r="49" ht="24.75" customHeight="1" collapsed="1">
      <c r="A49" s="223" t="s">
        <v>713</v>
      </c>
      <c r="B49" s="224"/>
      <c r="C49" s="224"/>
      <c r="D49" s="224"/>
      <c r="E49" s="224"/>
      <c r="F49" s="231"/>
      <c r="G49" s="231"/>
      <c r="H49" s="231"/>
      <c r="I49" s="231"/>
      <c r="J49" s="231"/>
      <c r="K49" s="231"/>
      <c r="L49" s="231"/>
      <c r="M49" s="231"/>
      <c r="N49" s="231"/>
      <c r="O49" s="231"/>
      <c r="P49" s="231"/>
      <c r="Q49" s="231"/>
      <c r="R49" s="231"/>
      <c r="S49" s="231"/>
      <c r="T49" s="231"/>
      <c r="U49" s="231"/>
      <c r="V49" s="231"/>
      <c r="W49" s="231"/>
      <c r="X49" s="231"/>
      <c r="Y49" s="231"/>
      <c r="Z49" s="231"/>
      <c r="AA49" s="231"/>
      <c r="AB49" s="231"/>
      <c r="AC49" s="231"/>
    </row>
    <row r="50" ht="24.75" hidden="1" customHeight="1" outlineLevel="1">
      <c r="A50" s="226" t="s">
        <v>647</v>
      </c>
      <c r="B50" s="226" t="s">
        <v>648</v>
      </c>
      <c r="C50" s="226" t="s">
        <v>649</v>
      </c>
      <c r="D50" s="226" t="s">
        <v>650</v>
      </c>
      <c r="E50" s="226" t="s">
        <v>651</v>
      </c>
      <c r="F50" s="231"/>
      <c r="G50" s="231"/>
      <c r="H50" s="231"/>
      <c r="I50" s="231"/>
      <c r="J50" s="231"/>
      <c r="K50" s="231"/>
      <c r="L50" s="231"/>
      <c r="M50" s="231"/>
      <c r="N50" s="231"/>
      <c r="O50" s="231"/>
      <c r="P50" s="231"/>
      <c r="Q50" s="231"/>
      <c r="R50" s="231"/>
      <c r="S50" s="231"/>
      <c r="T50" s="231"/>
      <c r="U50" s="231"/>
      <c r="V50" s="231"/>
      <c r="W50" s="231"/>
      <c r="X50" s="231"/>
      <c r="Y50" s="231"/>
      <c r="Z50" s="231"/>
      <c r="AA50" s="231"/>
      <c r="AB50" s="231"/>
      <c r="AC50" s="231"/>
    </row>
    <row r="51" ht="24.75" hidden="1" customHeight="1" outlineLevel="1">
      <c r="A51" s="232">
        <v>44400.0</v>
      </c>
      <c r="B51" s="235" t="s">
        <v>714</v>
      </c>
      <c r="C51" s="240" t="s">
        <v>715</v>
      </c>
      <c r="D51" s="234" t="s">
        <v>716</v>
      </c>
      <c r="E51" s="30" t="s">
        <v>717</v>
      </c>
      <c r="F51" s="231"/>
      <c r="G51" s="231"/>
      <c r="H51" s="231"/>
      <c r="I51" s="231"/>
      <c r="J51" s="231"/>
      <c r="K51" s="231"/>
      <c r="L51" s="231"/>
      <c r="M51" s="231"/>
      <c r="N51" s="231"/>
      <c r="O51" s="231"/>
      <c r="P51" s="231"/>
      <c r="Q51" s="231"/>
      <c r="R51" s="231"/>
      <c r="S51" s="231"/>
      <c r="T51" s="231"/>
      <c r="U51" s="231"/>
      <c r="V51" s="231"/>
      <c r="W51" s="231"/>
      <c r="X51" s="231"/>
      <c r="Y51" s="231"/>
      <c r="Z51" s="231"/>
      <c r="AA51" s="231"/>
      <c r="AB51" s="231"/>
      <c r="AC51" s="231"/>
    </row>
    <row r="52" ht="24.75" hidden="1" customHeight="1" outlineLevel="1">
      <c r="A52" s="232">
        <v>44400.0</v>
      </c>
      <c r="B52" s="235" t="s">
        <v>663</v>
      </c>
      <c r="C52" s="241" t="s">
        <v>718</v>
      </c>
      <c r="D52" s="234" t="s">
        <v>719</v>
      </c>
      <c r="E52" s="30" t="s">
        <v>685</v>
      </c>
      <c r="F52" s="231"/>
      <c r="G52" s="231"/>
      <c r="H52" s="231"/>
      <c r="I52" s="231"/>
      <c r="J52" s="231"/>
      <c r="K52" s="231"/>
      <c r="L52" s="231"/>
      <c r="M52" s="231"/>
      <c r="N52" s="231"/>
      <c r="O52" s="231"/>
      <c r="P52" s="231"/>
      <c r="Q52" s="231"/>
      <c r="R52" s="231"/>
      <c r="S52" s="231"/>
      <c r="T52" s="231"/>
      <c r="U52" s="231"/>
      <c r="V52" s="231"/>
      <c r="W52" s="231"/>
      <c r="X52" s="231"/>
      <c r="Y52" s="231"/>
      <c r="Z52" s="231"/>
      <c r="AA52" s="231"/>
      <c r="AB52" s="231"/>
      <c r="AC52" s="231"/>
    </row>
    <row r="53" ht="24.75" hidden="1" customHeight="1" outlineLevel="1">
      <c r="A53" s="232">
        <v>44401.0</v>
      </c>
      <c r="B53" s="235" t="s">
        <v>720</v>
      </c>
      <c r="C53" s="235" t="s">
        <v>721</v>
      </c>
      <c r="D53" s="234" t="s">
        <v>657</v>
      </c>
      <c r="E53" s="30" t="s">
        <v>685</v>
      </c>
      <c r="F53" s="231"/>
      <c r="G53" s="231"/>
      <c r="H53" s="231"/>
      <c r="I53" s="231"/>
      <c r="J53" s="231"/>
      <c r="K53" s="231"/>
      <c r="L53" s="231"/>
      <c r="M53" s="231"/>
      <c r="N53" s="231"/>
      <c r="O53" s="231"/>
      <c r="P53" s="231"/>
      <c r="Q53" s="231"/>
      <c r="R53" s="231"/>
      <c r="S53" s="231"/>
      <c r="T53" s="231"/>
      <c r="U53" s="231"/>
      <c r="V53" s="231"/>
      <c r="W53" s="231"/>
      <c r="X53" s="231"/>
      <c r="Y53" s="231"/>
      <c r="Z53" s="231"/>
      <c r="AA53" s="231"/>
      <c r="AB53" s="231"/>
      <c r="AC53" s="231"/>
    </row>
    <row r="54" ht="24.75" hidden="1" customHeight="1" outlineLevel="1">
      <c r="A54" s="232">
        <v>44401.0</v>
      </c>
      <c r="B54" s="235" t="s">
        <v>692</v>
      </c>
      <c r="C54" s="240" t="s">
        <v>693</v>
      </c>
      <c r="D54" s="234" t="s">
        <v>694</v>
      </c>
      <c r="E54" s="30" t="s">
        <v>685</v>
      </c>
      <c r="F54" s="237"/>
      <c r="G54" s="237"/>
      <c r="H54" s="237" t="s">
        <v>722</v>
      </c>
      <c r="I54" s="231"/>
      <c r="J54" s="231"/>
      <c r="K54" s="231"/>
      <c r="L54" s="231"/>
      <c r="M54" s="231"/>
      <c r="N54" s="231"/>
      <c r="O54" s="231"/>
      <c r="P54" s="231"/>
      <c r="Q54" s="231"/>
      <c r="R54" s="231"/>
      <c r="S54" s="231"/>
      <c r="T54" s="231"/>
      <c r="U54" s="231"/>
      <c r="V54" s="231"/>
      <c r="W54" s="231"/>
      <c r="X54" s="231"/>
      <c r="Y54" s="231"/>
      <c r="Z54" s="231"/>
      <c r="AA54" s="231"/>
      <c r="AB54" s="231"/>
      <c r="AC54" s="231"/>
    </row>
    <row r="55" ht="24.75" hidden="1" customHeight="1" outlineLevel="1">
      <c r="A55" s="232">
        <v>44401.0</v>
      </c>
      <c r="B55" s="235" t="s">
        <v>723</v>
      </c>
      <c r="C55" s="240" t="s">
        <v>715</v>
      </c>
      <c r="D55" s="234" t="s">
        <v>724</v>
      </c>
      <c r="E55" s="30" t="s">
        <v>717</v>
      </c>
      <c r="F55" s="231"/>
      <c r="G55" s="231"/>
      <c r="H55" s="231"/>
      <c r="I55" s="231"/>
      <c r="J55" s="231"/>
      <c r="K55" s="231"/>
      <c r="L55" s="231"/>
      <c r="M55" s="231"/>
      <c r="N55" s="231"/>
      <c r="O55" s="231"/>
      <c r="P55" s="231"/>
      <c r="Q55" s="231"/>
      <c r="R55" s="231"/>
      <c r="S55" s="231"/>
      <c r="T55" s="231"/>
      <c r="U55" s="231"/>
      <c r="V55" s="231"/>
      <c r="W55" s="231"/>
      <c r="X55" s="231"/>
      <c r="Y55" s="231"/>
      <c r="Z55" s="231"/>
      <c r="AA55" s="231"/>
      <c r="AB55" s="231"/>
      <c r="AC55" s="231"/>
    </row>
    <row r="56" ht="24.75" hidden="1" customHeight="1" outlineLevel="1">
      <c r="A56" s="232">
        <v>44401.0</v>
      </c>
      <c r="B56" s="235" t="s">
        <v>695</v>
      </c>
      <c r="C56" s="240" t="s">
        <v>683</v>
      </c>
      <c r="D56" s="234" t="s">
        <v>725</v>
      </c>
      <c r="E56" s="30" t="s">
        <v>685</v>
      </c>
      <c r="F56" s="231"/>
      <c r="G56" s="231"/>
      <c r="H56" s="231"/>
      <c r="I56" s="231"/>
      <c r="J56" s="231"/>
      <c r="K56" s="231"/>
      <c r="L56" s="231"/>
      <c r="M56" s="231"/>
      <c r="N56" s="231"/>
      <c r="O56" s="231"/>
      <c r="P56" s="231"/>
      <c r="Q56" s="231"/>
      <c r="R56" s="231"/>
      <c r="S56" s="231"/>
      <c r="T56" s="231"/>
      <c r="U56" s="231"/>
      <c r="V56" s="231"/>
      <c r="W56" s="231"/>
      <c r="X56" s="231"/>
      <c r="Y56" s="231"/>
      <c r="Z56" s="231"/>
      <c r="AA56" s="231"/>
      <c r="AB56" s="231"/>
      <c r="AC56" s="231"/>
    </row>
    <row r="57" ht="24.75" hidden="1" customHeight="1" outlineLevel="1">
      <c r="A57" s="232">
        <v>44402.0</v>
      </c>
      <c r="B57" s="235" t="s">
        <v>669</v>
      </c>
      <c r="C57" s="240" t="s">
        <v>726</v>
      </c>
      <c r="D57" s="234" t="s">
        <v>727</v>
      </c>
      <c r="E57" s="30" t="s">
        <v>685</v>
      </c>
      <c r="F57" s="231"/>
      <c r="G57" s="231"/>
      <c r="H57" s="231"/>
      <c r="I57" s="231"/>
      <c r="J57" s="231"/>
      <c r="K57" s="231"/>
      <c r="L57" s="231"/>
      <c r="M57" s="231"/>
      <c r="N57" s="231"/>
      <c r="O57" s="231"/>
      <c r="P57" s="231"/>
      <c r="Q57" s="231"/>
      <c r="R57" s="231"/>
      <c r="S57" s="231"/>
      <c r="T57" s="231"/>
      <c r="U57" s="231"/>
      <c r="V57" s="231"/>
      <c r="W57" s="231"/>
      <c r="X57" s="231"/>
      <c r="Y57" s="231"/>
      <c r="Z57" s="231"/>
      <c r="AA57" s="231"/>
      <c r="AB57" s="231"/>
      <c r="AC57" s="231"/>
    </row>
    <row r="58" ht="24.75" hidden="1" customHeight="1" outlineLevel="1">
      <c r="A58" s="232">
        <v>44402.0</v>
      </c>
      <c r="B58" s="235" t="s">
        <v>728</v>
      </c>
      <c r="C58" s="240" t="s">
        <v>729</v>
      </c>
      <c r="D58" s="234" t="s">
        <v>719</v>
      </c>
      <c r="E58" s="30" t="s">
        <v>685</v>
      </c>
      <c r="F58" s="237"/>
      <c r="G58" s="237"/>
      <c r="H58" s="237" t="s">
        <v>722</v>
      </c>
      <c r="I58" s="231"/>
      <c r="J58" s="231"/>
      <c r="K58" s="231"/>
      <c r="L58" s="231"/>
      <c r="M58" s="231"/>
      <c r="N58" s="231"/>
      <c r="O58" s="231"/>
      <c r="P58" s="231"/>
      <c r="Q58" s="231"/>
      <c r="R58" s="231"/>
      <c r="S58" s="231"/>
      <c r="T58" s="231"/>
      <c r="U58" s="231"/>
      <c r="V58" s="231"/>
      <c r="W58" s="231"/>
      <c r="X58" s="231"/>
      <c r="Y58" s="231"/>
      <c r="Z58" s="231"/>
      <c r="AA58" s="231"/>
      <c r="AB58" s="231"/>
      <c r="AC58" s="231"/>
    </row>
    <row r="59" ht="24.75" hidden="1" customHeight="1" outlineLevel="1">
      <c r="A59" s="232">
        <v>44402.0</v>
      </c>
      <c r="B59" s="235" t="s">
        <v>730</v>
      </c>
      <c r="C59" s="240" t="s">
        <v>721</v>
      </c>
      <c r="D59" s="234" t="s">
        <v>657</v>
      </c>
      <c r="E59" s="30" t="s">
        <v>685</v>
      </c>
      <c r="F59" s="231"/>
      <c r="G59" s="231"/>
      <c r="H59" s="231"/>
      <c r="I59" s="231"/>
      <c r="J59" s="231"/>
      <c r="K59" s="231"/>
      <c r="L59" s="231"/>
      <c r="M59" s="231"/>
      <c r="N59" s="231"/>
      <c r="O59" s="231"/>
      <c r="P59" s="231"/>
      <c r="Q59" s="231"/>
      <c r="R59" s="231"/>
      <c r="S59" s="231"/>
      <c r="T59" s="231"/>
      <c r="U59" s="231"/>
      <c r="V59" s="231"/>
      <c r="W59" s="231"/>
      <c r="X59" s="231"/>
      <c r="Y59" s="231"/>
      <c r="Z59" s="231"/>
      <c r="AA59" s="231"/>
      <c r="AB59" s="231"/>
      <c r="AC59" s="231"/>
    </row>
    <row r="60" ht="24.75" hidden="1" customHeight="1" outlineLevel="1">
      <c r="A60" s="232">
        <v>44403.0</v>
      </c>
      <c r="B60" s="235" t="s">
        <v>731</v>
      </c>
      <c r="C60" s="240" t="s">
        <v>683</v>
      </c>
      <c r="D60" s="234" t="s">
        <v>719</v>
      </c>
      <c r="E60" s="30" t="s">
        <v>685</v>
      </c>
      <c r="F60" s="231"/>
      <c r="G60" s="231"/>
      <c r="H60" s="231"/>
      <c r="I60" s="231"/>
      <c r="J60" s="231"/>
      <c r="K60" s="231"/>
      <c r="L60" s="231"/>
      <c r="M60" s="231"/>
      <c r="N60" s="231"/>
      <c r="O60" s="231"/>
      <c r="P60" s="231"/>
      <c r="Q60" s="231"/>
      <c r="R60" s="231"/>
      <c r="S60" s="231"/>
      <c r="T60" s="231"/>
      <c r="U60" s="231"/>
      <c r="V60" s="231"/>
      <c r="W60" s="231"/>
      <c r="X60" s="231"/>
      <c r="Y60" s="231"/>
      <c r="Z60" s="231"/>
      <c r="AA60" s="231"/>
      <c r="AB60" s="231"/>
      <c r="AC60" s="231"/>
    </row>
    <row r="61" ht="24.75" hidden="1" customHeight="1" outlineLevel="1">
      <c r="A61" s="232">
        <v>44403.0</v>
      </c>
      <c r="B61" s="235" t="s">
        <v>672</v>
      </c>
      <c r="C61" s="235" t="s">
        <v>673</v>
      </c>
      <c r="D61" s="234" t="s">
        <v>657</v>
      </c>
      <c r="E61" s="30" t="s">
        <v>685</v>
      </c>
      <c r="F61" s="237"/>
      <c r="G61" s="237"/>
      <c r="H61" s="237" t="s">
        <v>722</v>
      </c>
      <c r="I61" s="231"/>
      <c r="J61" s="231"/>
      <c r="K61" s="231"/>
      <c r="L61" s="231"/>
      <c r="M61" s="231"/>
      <c r="N61" s="231"/>
      <c r="O61" s="231"/>
      <c r="P61" s="231"/>
      <c r="Q61" s="231"/>
      <c r="R61" s="231"/>
      <c r="S61" s="231"/>
      <c r="T61" s="231"/>
      <c r="U61" s="231"/>
      <c r="V61" s="231"/>
      <c r="W61" s="231"/>
      <c r="X61" s="231"/>
      <c r="Y61" s="231"/>
      <c r="Z61" s="231"/>
      <c r="AA61" s="231"/>
      <c r="AB61" s="231"/>
      <c r="AC61" s="231"/>
    </row>
    <row r="62" ht="24.75" hidden="1" customHeight="1" outlineLevel="1">
      <c r="A62" s="232">
        <v>44403.0</v>
      </c>
      <c r="B62" s="235" t="s">
        <v>674</v>
      </c>
      <c r="C62" s="235" t="s">
        <v>673</v>
      </c>
      <c r="D62" s="234" t="s">
        <v>657</v>
      </c>
      <c r="E62" s="30" t="s">
        <v>685</v>
      </c>
      <c r="F62" s="237"/>
      <c r="G62" s="237"/>
      <c r="H62" s="237" t="s">
        <v>722</v>
      </c>
      <c r="I62" s="231"/>
      <c r="J62" s="231"/>
      <c r="K62" s="231"/>
      <c r="L62" s="231"/>
      <c r="M62" s="231"/>
      <c r="N62" s="231"/>
      <c r="O62" s="231"/>
      <c r="P62" s="231"/>
      <c r="Q62" s="231"/>
      <c r="R62" s="231"/>
      <c r="S62" s="231"/>
      <c r="T62" s="231"/>
      <c r="U62" s="231"/>
      <c r="V62" s="231"/>
      <c r="W62" s="231"/>
      <c r="X62" s="231"/>
      <c r="Y62" s="231"/>
      <c r="Z62" s="231"/>
      <c r="AA62" s="231"/>
      <c r="AB62" s="231"/>
      <c r="AC62" s="231"/>
    </row>
    <row r="63" ht="24.75" customHeight="1">
      <c r="A63" s="231"/>
      <c r="B63" s="231"/>
      <c r="C63" s="231"/>
      <c r="D63" s="231"/>
      <c r="E63" s="225"/>
      <c r="F63" s="231"/>
      <c r="G63" s="231"/>
      <c r="H63" s="231"/>
      <c r="I63" s="231"/>
      <c r="J63" s="231"/>
      <c r="K63" s="231"/>
      <c r="L63" s="231"/>
      <c r="M63" s="231"/>
      <c r="N63" s="231"/>
      <c r="O63" s="231"/>
      <c r="P63" s="231"/>
      <c r="Q63" s="231"/>
      <c r="R63" s="231"/>
      <c r="S63" s="231"/>
      <c r="T63" s="231"/>
      <c r="U63" s="231"/>
      <c r="V63" s="231"/>
      <c r="W63" s="231"/>
      <c r="X63" s="231"/>
      <c r="Y63" s="231"/>
      <c r="Z63" s="231"/>
      <c r="AA63" s="231"/>
      <c r="AB63" s="231"/>
      <c r="AC63" s="231"/>
    </row>
    <row r="64" ht="24.75" customHeight="1" collapsed="1">
      <c r="A64" s="223" t="s">
        <v>732</v>
      </c>
      <c r="B64" s="224"/>
      <c r="C64" s="224"/>
      <c r="D64" s="224"/>
      <c r="E64" s="224"/>
      <c r="F64" s="231"/>
      <c r="G64" s="231"/>
      <c r="H64" s="231"/>
      <c r="I64" s="231"/>
      <c r="J64" s="231"/>
      <c r="K64" s="231"/>
      <c r="L64" s="231"/>
      <c r="M64" s="231"/>
      <c r="N64" s="231"/>
      <c r="O64" s="231"/>
      <c r="P64" s="231"/>
      <c r="Q64" s="231"/>
      <c r="R64" s="231"/>
      <c r="S64" s="231"/>
      <c r="T64" s="231"/>
      <c r="U64" s="231"/>
      <c r="V64" s="231"/>
      <c r="W64" s="231"/>
      <c r="X64" s="231"/>
      <c r="Y64" s="231"/>
      <c r="Z64" s="231"/>
      <c r="AA64" s="231"/>
      <c r="AB64" s="231"/>
      <c r="AC64" s="231"/>
    </row>
    <row r="65" ht="24.75" hidden="1" customHeight="1" outlineLevel="1">
      <c r="A65" s="226" t="s">
        <v>647</v>
      </c>
      <c r="B65" s="226" t="s">
        <v>648</v>
      </c>
      <c r="C65" s="226" t="s">
        <v>649</v>
      </c>
      <c r="D65" s="226" t="s">
        <v>650</v>
      </c>
      <c r="E65" s="226" t="s">
        <v>651</v>
      </c>
      <c r="F65" s="231"/>
      <c r="G65" s="231"/>
      <c r="H65" s="231"/>
      <c r="I65" s="237" t="s">
        <v>733</v>
      </c>
      <c r="J65" s="231"/>
      <c r="K65" s="231"/>
      <c r="L65" s="231"/>
      <c r="M65" s="231"/>
      <c r="N65" s="231"/>
      <c r="O65" s="231"/>
      <c r="P65" s="231"/>
      <c r="Q65" s="231"/>
      <c r="R65" s="231"/>
      <c r="S65" s="231"/>
      <c r="T65" s="231"/>
      <c r="U65" s="231"/>
      <c r="V65" s="231"/>
      <c r="W65" s="231"/>
      <c r="X65" s="231"/>
      <c r="Y65" s="231"/>
      <c r="Z65" s="231"/>
      <c r="AA65" s="231"/>
      <c r="AB65" s="231"/>
      <c r="AC65" s="231"/>
    </row>
    <row r="66" ht="24.75" hidden="1" customHeight="1" outlineLevel="1">
      <c r="A66" s="232">
        <v>44418.0</v>
      </c>
      <c r="B66" s="235" t="s">
        <v>714</v>
      </c>
      <c r="C66" s="240" t="s">
        <v>715</v>
      </c>
      <c r="D66" s="234" t="s">
        <v>734</v>
      </c>
      <c r="E66" s="30" t="s">
        <v>717</v>
      </c>
      <c r="F66" s="237"/>
      <c r="G66" s="237"/>
      <c r="H66" s="237"/>
      <c r="I66" s="237" t="s">
        <v>735</v>
      </c>
      <c r="J66" s="231"/>
      <c r="K66" s="231"/>
      <c r="L66" s="231"/>
      <c r="M66" s="231"/>
      <c r="N66" s="231"/>
      <c r="O66" s="231"/>
      <c r="P66" s="231"/>
      <c r="Q66" s="231"/>
      <c r="R66" s="231"/>
      <c r="S66" s="231"/>
      <c r="T66" s="231"/>
      <c r="U66" s="231"/>
      <c r="V66" s="231"/>
      <c r="W66" s="231"/>
      <c r="X66" s="231"/>
      <c r="Y66" s="231"/>
      <c r="Z66" s="231"/>
      <c r="AA66" s="231"/>
      <c r="AB66" s="231"/>
      <c r="AC66" s="231"/>
    </row>
    <row r="67" ht="24.75" hidden="1" customHeight="1" outlineLevel="1">
      <c r="A67" s="232">
        <v>44418.0</v>
      </c>
      <c r="B67" s="235" t="s">
        <v>736</v>
      </c>
      <c r="C67" s="240" t="s">
        <v>737</v>
      </c>
      <c r="D67" s="234" t="s">
        <v>734</v>
      </c>
      <c r="E67" s="30" t="s">
        <v>717</v>
      </c>
      <c r="F67" s="237"/>
      <c r="G67" s="237"/>
      <c r="H67" s="237" t="s">
        <v>738</v>
      </c>
      <c r="I67" s="231"/>
      <c r="J67" s="231"/>
      <c r="K67" s="231"/>
      <c r="L67" s="231"/>
      <c r="M67" s="231"/>
      <c r="N67" s="231"/>
      <c r="O67" s="231"/>
      <c r="P67" s="231"/>
      <c r="Q67" s="231"/>
      <c r="R67" s="231"/>
      <c r="S67" s="231"/>
      <c r="T67" s="231"/>
      <c r="U67" s="231"/>
      <c r="V67" s="231"/>
      <c r="W67" s="231"/>
      <c r="X67" s="231"/>
      <c r="Y67" s="231"/>
      <c r="Z67" s="231"/>
      <c r="AA67" s="231"/>
      <c r="AB67" s="231"/>
      <c r="AC67" s="231"/>
    </row>
    <row r="68" ht="24.75" hidden="1" customHeight="1" outlineLevel="1">
      <c r="A68" s="232">
        <v>44418.0</v>
      </c>
      <c r="B68" s="235" t="s">
        <v>680</v>
      </c>
      <c r="C68" s="240" t="s">
        <v>715</v>
      </c>
      <c r="D68" s="234" t="s">
        <v>739</v>
      </c>
      <c r="E68" s="30" t="s">
        <v>717</v>
      </c>
      <c r="I68" s="231"/>
      <c r="J68" s="231"/>
      <c r="K68" s="231"/>
      <c r="L68" s="231"/>
      <c r="M68" s="231"/>
      <c r="N68" s="231"/>
      <c r="O68" s="231"/>
      <c r="P68" s="231"/>
      <c r="Q68" s="231"/>
      <c r="R68" s="231"/>
      <c r="S68" s="231"/>
      <c r="T68" s="231"/>
      <c r="U68" s="231"/>
      <c r="V68" s="231"/>
      <c r="W68" s="231"/>
      <c r="X68" s="231"/>
      <c r="Y68" s="231"/>
      <c r="Z68" s="231"/>
      <c r="AA68" s="231"/>
      <c r="AB68" s="231"/>
      <c r="AC68" s="231"/>
    </row>
    <row r="69" ht="24.75" hidden="1" customHeight="1" outlineLevel="1">
      <c r="A69" s="232">
        <v>44419.0</v>
      </c>
      <c r="B69" s="235" t="s">
        <v>708</v>
      </c>
      <c r="C69" s="234" t="s">
        <v>683</v>
      </c>
      <c r="D69" s="234" t="s">
        <v>734</v>
      </c>
      <c r="E69" s="30" t="s">
        <v>685</v>
      </c>
      <c r="F69" s="237"/>
      <c r="G69" s="237"/>
      <c r="H69" s="237"/>
      <c r="I69" s="237"/>
      <c r="J69" s="231"/>
      <c r="K69" s="231"/>
      <c r="L69" s="231"/>
      <c r="M69" s="231"/>
      <c r="N69" s="231"/>
      <c r="O69" s="231"/>
      <c r="P69" s="231"/>
      <c r="Q69" s="231"/>
      <c r="R69" s="231"/>
      <c r="S69" s="231"/>
      <c r="T69" s="231"/>
      <c r="U69" s="231"/>
      <c r="V69" s="231"/>
      <c r="W69" s="231"/>
      <c r="X69" s="231"/>
      <c r="Y69" s="231"/>
      <c r="Z69" s="231"/>
      <c r="AA69" s="231"/>
      <c r="AB69" s="231"/>
      <c r="AC69" s="231"/>
    </row>
    <row r="70" ht="24.75" hidden="1" customHeight="1" outlineLevel="1">
      <c r="A70" s="232">
        <v>44419.0</v>
      </c>
      <c r="B70" s="235" t="s">
        <v>740</v>
      </c>
      <c r="C70" s="240" t="s">
        <v>741</v>
      </c>
      <c r="D70" s="234" t="s">
        <v>657</v>
      </c>
      <c r="E70" s="30" t="s">
        <v>685</v>
      </c>
      <c r="F70" s="237"/>
      <c r="G70" s="237"/>
      <c r="H70" s="237"/>
      <c r="I70" s="237" t="s">
        <v>742</v>
      </c>
      <c r="J70" s="231"/>
      <c r="K70" s="231"/>
      <c r="L70" s="231"/>
      <c r="M70" s="231"/>
      <c r="N70" s="231"/>
      <c r="O70" s="231"/>
      <c r="P70" s="231"/>
      <c r="Q70" s="231"/>
      <c r="R70" s="231"/>
      <c r="S70" s="231"/>
      <c r="T70" s="231"/>
      <c r="U70" s="231"/>
      <c r="V70" s="231"/>
      <c r="W70" s="231"/>
      <c r="X70" s="231"/>
      <c r="Y70" s="231"/>
      <c r="Z70" s="231"/>
      <c r="AA70" s="231"/>
      <c r="AB70" s="231"/>
      <c r="AC70" s="231"/>
    </row>
    <row r="71" ht="24.75" hidden="1" customHeight="1" outlineLevel="1">
      <c r="A71" s="232">
        <v>44419.0</v>
      </c>
      <c r="B71" s="235" t="s">
        <v>743</v>
      </c>
      <c r="C71" s="240" t="s">
        <v>737</v>
      </c>
      <c r="D71" s="234" t="s">
        <v>734</v>
      </c>
      <c r="E71" s="30" t="s">
        <v>717</v>
      </c>
      <c r="I71" s="237" t="s">
        <v>738</v>
      </c>
      <c r="J71" s="231"/>
      <c r="K71" s="231"/>
      <c r="L71" s="231"/>
      <c r="M71" s="231"/>
      <c r="N71" s="231"/>
      <c r="O71" s="231"/>
      <c r="P71" s="231"/>
      <c r="Q71" s="231"/>
      <c r="R71" s="231"/>
      <c r="S71" s="231"/>
      <c r="T71" s="231"/>
      <c r="U71" s="231"/>
      <c r="V71" s="231"/>
      <c r="W71" s="231"/>
      <c r="X71" s="231"/>
      <c r="Y71" s="231"/>
      <c r="Z71" s="231"/>
      <c r="AA71" s="231"/>
      <c r="AB71" s="231"/>
      <c r="AC71" s="231"/>
    </row>
    <row r="72" ht="24.75" hidden="1" customHeight="1" outlineLevel="1">
      <c r="A72" s="232">
        <v>44419.0</v>
      </c>
      <c r="B72" s="235" t="s">
        <v>686</v>
      </c>
      <c r="C72" s="235" t="s">
        <v>687</v>
      </c>
      <c r="D72" s="234" t="s">
        <v>657</v>
      </c>
      <c r="E72" s="30" t="s">
        <v>685</v>
      </c>
      <c r="F72" s="237"/>
      <c r="G72" s="237"/>
      <c r="H72" s="237" t="s">
        <v>722</v>
      </c>
      <c r="I72" s="237" t="s">
        <v>744</v>
      </c>
      <c r="J72" s="231"/>
      <c r="K72" s="231"/>
      <c r="L72" s="231"/>
      <c r="M72" s="231"/>
      <c r="N72" s="231"/>
      <c r="O72" s="231"/>
      <c r="P72" s="231"/>
      <c r="Q72" s="231"/>
      <c r="R72" s="231"/>
      <c r="S72" s="231"/>
      <c r="T72" s="231"/>
      <c r="U72" s="231"/>
      <c r="V72" s="231"/>
      <c r="W72" s="231"/>
      <c r="X72" s="231"/>
      <c r="Y72" s="231"/>
      <c r="Z72" s="231"/>
      <c r="AA72" s="231"/>
      <c r="AB72" s="231"/>
      <c r="AC72" s="231"/>
    </row>
    <row r="73" ht="24.75" hidden="1" customHeight="1" outlineLevel="1">
      <c r="A73" s="232">
        <v>44420.0</v>
      </c>
      <c r="B73" s="235" t="s">
        <v>745</v>
      </c>
      <c r="C73" s="240" t="s">
        <v>737</v>
      </c>
      <c r="D73" s="234" t="s">
        <v>734</v>
      </c>
      <c r="E73" s="30" t="s">
        <v>717</v>
      </c>
      <c r="F73" s="237"/>
      <c r="G73" s="237"/>
      <c r="H73" s="237" t="s">
        <v>738</v>
      </c>
      <c r="I73" s="237" t="s">
        <v>738</v>
      </c>
      <c r="J73" s="231"/>
      <c r="K73" s="231"/>
      <c r="L73" s="231"/>
      <c r="M73" s="231"/>
      <c r="N73" s="231"/>
      <c r="O73" s="231"/>
      <c r="P73" s="231"/>
      <c r="Q73" s="231"/>
      <c r="R73" s="231"/>
      <c r="S73" s="231"/>
      <c r="T73" s="231"/>
      <c r="U73" s="231"/>
      <c r="V73" s="231"/>
      <c r="W73" s="231"/>
      <c r="X73" s="231"/>
      <c r="Y73" s="231"/>
      <c r="Z73" s="231"/>
      <c r="AA73" s="231"/>
      <c r="AB73" s="231"/>
      <c r="AC73" s="231"/>
    </row>
    <row r="74" ht="24.75" hidden="1" customHeight="1" outlineLevel="1">
      <c r="A74" s="232">
        <v>44420.0</v>
      </c>
      <c r="B74" s="235" t="s">
        <v>660</v>
      </c>
      <c r="C74" s="240" t="s">
        <v>166</v>
      </c>
      <c r="D74" s="234" t="s">
        <v>657</v>
      </c>
      <c r="E74" s="30" t="s">
        <v>685</v>
      </c>
      <c r="F74" s="231"/>
      <c r="G74" s="231"/>
      <c r="H74" s="231"/>
      <c r="I74" s="237" t="s">
        <v>746</v>
      </c>
      <c r="J74" s="231"/>
      <c r="K74" s="231"/>
      <c r="L74" s="231"/>
      <c r="M74" s="231"/>
      <c r="N74" s="231"/>
      <c r="O74" s="231"/>
      <c r="P74" s="231"/>
      <c r="Q74" s="231"/>
      <c r="R74" s="231"/>
      <c r="S74" s="231"/>
      <c r="T74" s="231"/>
      <c r="U74" s="231"/>
      <c r="V74" s="231"/>
      <c r="W74" s="231"/>
      <c r="X74" s="231"/>
      <c r="Y74" s="231"/>
      <c r="Z74" s="231"/>
      <c r="AA74" s="231"/>
      <c r="AB74" s="231"/>
      <c r="AC74" s="231"/>
    </row>
    <row r="75" ht="24.75" hidden="1" customHeight="1" outlineLevel="1">
      <c r="A75" s="232">
        <v>44421.0</v>
      </c>
      <c r="B75" s="235" t="s">
        <v>714</v>
      </c>
      <c r="C75" s="240" t="s">
        <v>715</v>
      </c>
      <c r="D75" s="234" t="s">
        <v>734</v>
      </c>
      <c r="E75" s="30" t="s">
        <v>717</v>
      </c>
      <c r="F75" s="231"/>
      <c r="G75" s="231"/>
      <c r="H75" s="231"/>
      <c r="I75" s="231"/>
      <c r="J75" s="231"/>
      <c r="K75" s="231"/>
      <c r="L75" s="231"/>
      <c r="M75" s="231"/>
      <c r="N75" s="231"/>
      <c r="O75" s="231"/>
      <c r="P75" s="231"/>
      <c r="Q75" s="231"/>
      <c r="R75" s="231"/>
      <c r="S75" s="231"/>
      <c r="T75" s="231"/>
      <c r="U75" s="231"/>
      <c r="V75" s="231"/>
      <c r="W75" s="231"/>
      <c r="X75" s="231"/>
      <c r="Y75" s="231"/>
      <c r="Z75" s="231"/>
      <c r="AA75" s="231"/>
      <c r="AB75" s="231"/>
      <c r="AC75" s="231"/>
    </row>
    <row r="76" ht="24.75" hidden="1" customHeight="1" outlineLevel="1">
      <c r="A76" s="232">
        <v>44421.0</v>
      </c>
      <c r="B76" s="235" t="s">
        <v>663</v>
      </c>
      <c r="C76" s="240" t="s">
        <v>747</v>
      </c>
      <c r="D76" s="234" t="s">
        <v>657</v>
      </c>
      <c r="E76" s="30" t="s">
        <v>685</v>
      </c>
      <c r="F76" s="237"/>
      <c r="G76" s="237"/>
      <c r="H76" s="237"/>
      <c r="I76" s="237" t="s">
        <v>748</v>
      </c>
      <c r="J76" s="231"/>
      <c r="K76" s="231"/>
      <c r="L76" s="231"/>
      <c r="M76" s="231"/>
      <c r="N76" s="231"/>
      <c r="O76" s="231"/>
      <c r="P76" s="231"/>
      <c r="Q76" s="231"/>
      <c r="R76" s="231"/>
      <c r="S76" s="231"/>
      <c r="T76" s="231"/>
      <c r="U76" s="231"/>
      <c r="V76" s="231"/>
      <c r="W76" s="231"/>
      <c r="X76" s="231"/>
      <c r="Y76" s="231"/>
      <c r="Z76" s="231"/>
      <c r="AA76" s="231"/>
      <c r="AB76" s="231"/>
      <c r="AC76" s="231"/>
    </row>
    <row r="77" ht="24.75" hidden="1" customHeight="1" outlineLevel="1">
      <c r="A77" s="232">
        <v>44422.0</v>
      </c>
      <c r="B77" s="235" t="s">
        <v>720</v>
      </c>
      <c r="C77" s="240" t="s">
        <v>741</v>
      </c>
      <c r="D77" s="234" t="s">
        <v>657</v>
      </c>
      <c r="E77" s="30" t="s">
        <v>685</v>
      </c>
      <c r="F77" s="231"/>
      <c r="G77" s="231"/>
      <c r="H77" s="231"/>
      <c r="I77" s="231"/>
      <c r="J77" s="231"/>
      <c r="K77" s="231"/>
      <c r="L77" s="231"/>
      <c r="M77" s="231"/>
      <c r="N77" s="231"/>
      <c r="O77" s="231"/>
      <c r="P77" s="231"/>
      <c r="Q77" s="231"/>
      <c r="R77" s="231"/>
      <c r="S77" s="231"/>
      <c r="T77" s="231"/>
      <c r="U77" s="231"/>
      <c r="V77" s="231"/>
      <c r="W77" s="231"/>
      <c r="X77" s="231"/>
      <c r="Y77" s="231"/>
      <c r="Z77" s="231"/>
      <c r="AA77" s="231"/>
      <c r="AB77" s="231"/>
      <c r="AC77" s="231"/>
    </row>
    <row r="78" ht="24.75" hidden="1" customHeight="1" outlineLevel="1">
      <c r="A78" s="232">
        <v>44422.0</v>
      </c>
      <c r="B78" s="235" t="s">
        <v>692</v>
      </c>
      <c r="C78" s="240" t="s">
        <v>693</v>
      </c>
      <c r="D78" s="234" t="s">
        <v>749</v>
      </c>
      <c r="E78" s="30" t="s">
        <v>685</v>
      </c>
      <c r="F78" s="237"/>
      <c r="G78" s="237"/>
      <c r="H78" s="237" t="s">
        <v>722</v>
      </c>
      <c r="I78" s="237" t="s">
        <v>750</v>
      </c>
      <c r="J78" s="231"/>
      <c r="K78" s="231"/>
      <c r="L78" s="231"/>
      <c r="M78" s="231"/>
      <c r="N78" s="231"/>
      <c r="O78" s="231"/>
      <c r="P78" s="231"/>
      <c r="Q78" s="231"/>
      <c r="R78" s="231"/>
      <c r="S78" s="231"/>
      <c r="T78" s="231"/>
      <c r="U78" s="231"/>
      <c r="V78" s="231"/>
      <c r="W78" s="231"/>
      <c r="X78" s="231"/>
      <c r="Y78" s="231"/>
      <c r="Z78" s="231"/>
      <c r="AA78" s="231"/>
      <c r="AB78" s="231"/>
      <c r="AC78" s="231"/>
    </row>
    <row r="79" ht="24.75" hidden="1" customHeight="1" outlineLevel="1">
      <c r="A79" s="232">
        <v>44422.0</v>
      </c>
      <c r="B79" s="235" t="s">
        <v>695</v>
      </c>
      <c r="C79" s="234" t="s">
        <v>683</v>
      </c>
      <c r="D79" s="234" t="s">
        <v>751</v>
      </c>
      <c r="E79" s="30" t="s">
        <v>685</v>
      </c>
      <c r="F79" s="231"/>
      <c r="G79" s="231"/>
      <c r="H79" s="231"/>
      <c r="I79" s="231"/>
      <c r="J79" s="231"/>
      <c r="K79" s="231"/>
      <c r="L79" s="231"/>
      <c r="M79" s="231"/>
      <c r="N79" s="231"/>
      <c r="O79" s="231"/>
      <c r="P79" s="231"/>
      <c r="Q79" s="231"/>
      <c r="R79" s="231"/>
      <c r="S79" s="231"/>
      <c r="T79" s="231"/>
      <c r="U79" s="231"/>
      <c r="V79" s="231"/>
      <c r="W79" s="231"/>
      <c r="X79" s="231"/>
      <c r="Y79" s="231"/>
      <c r="Z79" s="231"/>
      <c r="AA79" s="231"/>
      <c r="AB79" s="231"/>
      <c r="AC79" s="231"/>
    </row>
    <row r="80" ht="24.75" hidden="1" customHeight="1" outlineLevel="1">
      <c r="A80" s="232">
        <v>44422.0</v>
      </c>
      <c r="B80" s="235" t="s">
        <v>691</v>
      </c>
      <c r="C80" s="240" t="s">
        <v>715</v>
      </c>
      <c r="D80" s="234" t="s">
        <v>724</v>
      </c>
      <c r="E80" s="30" t="s">
        <v>717</v>
      </c>
      <c r="I80" s="231"/>
      <c r="J80" s="231"/>
      <c r="K80" s="231"/>
      <c r="L80" s="231"/>
      <c r="M80" s="231"/>
      <c r="N80" s="231"/>
      <c r="O80" s="231"/>
      <c r="P80" s="231"/>
      <c r="Q80" s="231"/>
      <c r="R80" s="231"/>
      <c r="S80" s="231"/>
      <c r="T80" s="231"/>
      <c r="U80" s="231"/>
      <c r="V80" s="231"/>
      <c r="W80" s="231"/>
      <c r="X80" s="231"/>
      <c r="Y80" s="231"/>
      <c r="Z80" s="231"/>
      <c r="AA80" s="231"/>
      <c r="AB80" s="231"/>
      <c r="AC80" s="231"/>
    </row>
    <row r="81" ht="24.75" hidden="1" customHeight="1" outlineLevel="1">
      <c r="A81" s="232">
        <v>44423.0</v>
      </c>
      <c r="B81" s="235" t="s">
        <v>669</v>
      </c>
      <c r="C81" s="240" t="s">
        <v>737</v>
      </c>
      <c r="D81" s="234" t="s">
        <v>657</v>
      </c>
      <c r="E81" s="30" t="s">
        <v>717</v>
      </c>
      <c r="I81" s="237" t="s">
        <v>738</v>
      </c>
      <c r="J81" s="231"/>
      <c r="K81" s="231"/>
      <c r="L81" s="231"/>
      <c r="M81" s="231"/>
      <c r="N81" s="231"/>
      <c r="O81" s="231"/>
      <c r="P81" s="231"/>
      <c r="Q81" s="231"/>
      <c r="R81" s="231"/>
      <c r="S81" s="231"/>
      <c r="T81" s="231"/>
      <c r="U81" s="231"/>
      <c r="V81" s="231"/>
      <c r="W81" s="231"/>
      <c r="X81" s="231"/>
      <c r="Y81" s="231"/>
      <c r="Z81" s="231"/>
      <c r="AA81" s="231"/>
      <c r="AB81" s="231"/>
      <c r="AC81" s="231"/>
    </row>
    <row r="82" ht="24.75" hidden="1" customHeight="1" outlineLevel="1">
      <c r="A82" s="232">
        <v>44423.0</v>
      </c>
      <c r="B82" s="235" t="s">
        <v>671</v>
      </c>
      <c r="C82" s="240" t="s">
        <v>741</v>
      </c>
      <c r="D82" s="234" t="s">
        <v>657</v>
      </c>
      <c r="E82" s="30" t="s">
        <v>685</v>
      </c>
      <c r="I82" s="237" t="s">
        <v>752</v>
      </c>
      <c r="J82" s="231"/>
      <c r="K82" s="231"/>
      <c r="L82" s="231"/>
      <c r="M82" s="231"/>
      <c r="N82" s="231"/>
      <c r="O82" s="231"/>
      <c r="P82" s="231"/>
      <c r="Q82" s="231"/>
      <c r="R82" s="231"/>
      <c r="S82" s="231"/>
      <c r="T82" s="231"/>
      <c r="U82" s="231"/>
      <c r="V82" s="231"/>
      <c r="W82" s="231"/>
      <c r="X82" s="231"/>
      <c r="Y82" s="231"/>
      <c r="Z82" s="231"/>
      <c r="AA82" s="231"/>
      <c r="AB82" s="231"/>
      <c r="AC82" s="231"/>
    </row>
    <row r="83" ht="24.75" hidden="1" customHeight="1" outlineLevel="1">
      <c r="A83" s="232">
        <v>44424.0</v>
      </c>
      <c r="B83" s="235" t="s">
        <v>731</v>
      </c>
      <c r="C83" s="234" t="s">
        <v>683</v>
      </c>
      <c r="D83" s="234" t="s">
        <v>734</v>
      </c>
      <c r="E83" s="30" t="s">
        <v>685</v>
      </c>
      <c r="F83" s="237"/>
      <c r="G83" s="237"/>
      <c r="H83" s="237"/>
      <c r="I83" s="231"/>
      <c r="J83" s="231"/>
      <c r="K83" s="231"/>
      <c r="L83" s="231"/>
      <c r="M83" s="231"/>
      <c r="N83" s="231"/>
      <c r="O83" s="231"/>
      <c r="P83" s="231"/>
      <c r="Q83" s="231"/>
      <c r="R83" s="231"/>
      <c r="S83" s="231"/>
      <c r="T83" s="231"/>
      <c r="U83" s="231"/>
      <c r="V83" s="231"/>
      <c r="W83" s="231"/>
      <c r="X83" s="231"/>
      <c r="Y83" s="231"/>
      <c r="Z83" s="231"/>
      <c r="AA83" s="231"/>
      <c r="AB83" s="231"/>
      <c r="AC83" s="231"/>
    </row>
    <row r="84" ht="24.75" hidden="1" customHeight="1" outlineLevel="1">
      <c r="A84" s="232">
        <v>44424.0</v>
      </c>
      <c r="B84" s="235" t="s">
        <v>753</v>
      </c>
      <c r="C84" s="235" t="s">
        <v>754</v>
      </c>
      <c r="D84" s="234" t="s">
        <v>657</v>
      </c>
      <c r="E84" s="30" t="s">
        <v>685</v>
      </c>
      <c r="F84" s="237"/>
      <c r="G84" s="237"/>
      <c r="H84" s="237" t="s">
        <v>722</v>
      </c>
      <c r="I84" s="237" t="s">
        <v>755</v>
      </c>
      <c r="J84" s="231"/>
      <c r="K84" s="231"/>
      <c r="L84" s="231"/>
      <c r="M84" s="231"/>
      <c r="N84" s="231"/>
      <c r="O84" s="231"/>
      <c r="P84" s="231"/>
      <c r="Q84" s="231"/>
      <c r="R84" s="231"/>
      <c r="S84" s="231"/>
      <c r="T84" s="231"/>
      <c r="U84" s="231"/>
      <c r="V84" s="231"/>
      <c r="W84" s="231"/>
      <c r="X84" s="231"/>
      <c r="Y84" s="231"/>
      <c r="Z84" s="231"/>
      <c r="AA84" s="231"/>
      <c r="AB84" s="231"/>
      <c r="AC84" s="231"/>
    </row>
    <row r="85" ht="24.75" hidden="1" customHeight="1" outlineLevel="1">
      <c r="A85" s="232">
        <v>44424.0</v>
      </c>
      <c r="B85" s="235" t="s">
        <v>756</v>
      </c>
      <c r="C85" s="235" t="s">
        <v>673</v>
      </c>
      <c r="D85" s="234" t="s">
        <v>657</v>
      </c>
      <c r="E85" s="30" t="s">
        <v>685</v>
      </c>
      <c r="F85" s="237"/>
      <c r="G85" s="237"/>
      <c r="H85" s="237" t="s">
        <v>722</v>
      </c>
      <c r="I85" s="237" t="s">
        <v>755</v>
      </c>
      <c r="J85" s="231"/>
      <c r="K85" s="231"/>
      <c r="L85" s="231"/>
      <c r="M85" s="231"/>
      <c r="N85" s="231"/>
      <c r="O85" s="231"/>
      <c r="P85" s="231"/>
      <c r="Q85" s="231"/>
      <c r="R85" s="231"/>
      <c r="S85" s="231"/>
      <c r="T85" s="231"/>
      <c r="U85" s="231"/>
      <c r="V85" s="231"/>
      <c r="W85" s="231"/>
      <c r="X85" s="231"/>
      <c r="Y85" s="231"/>
      <c r="Z85" s="231"/>
      <c r="AA85" s="231"/>
      <c r="AB85" s="231"/>
      <c r="AC85" s="231"/>
    </row>
    <row r="86" ht="24.75" customHeight="1">
      <c r="F86" s="231"/>
      <c r="G86" s="231"/>
      <c r="H86" s="231"/>
      <c r="I86" s="231"/>
      <c r="J86" s="231"/>
      <c r="K86" s="231"/>
      <c r="L86" s="231"/>
      <c r="M86" s="231"/>
      <c r="N86" s="231"/>
      <c r="O86" s="231"/>
      <c r="P86" s="231"/>
      <c r="Q86" s="231"/>
      <c r="R86" s="231"/>
      <c r="S86" s="231"/>
      <c r="T86" s="231"/>
      <c r="U86" s="231"/>
      <c r="V86" s="231"/>
      <c r="W86" s="231"/>
      <c r="X86" s="231"/>
      <c r="Y86" s="231"/>
      <c r="Z86" s="231"/>
      <c r="AA86" s="231"/>
      <c r="AB86" s="231"/>
      <c r="AC86" s="231"/>
    </row>
    <row r="87" ht="24.75" customHeight="1">
      <c r="A87" s="231"/>
      <c r="B87" s="231"/>
      <c r="C87" s="231"/>
      <c r="D87" s="231"/>
      <c r="E87" s="225"/>
      <c r="F87" s="231"/>
      <c r="G87" s="231"/>
      <c r="H87" s="231"/>
      <c r="I87" s="231"/>
      <c r="J87" s="231"/>
      <c r="K87" s="231"/>
      <c r="L87" s="231"/>
      <c r="M87" s="231"/>
      <c r="N87" s="231"/>
      <c r="O87" s="231"/>
      <c r="P87" s="231"/>
      <c r="Q87" s="231"/>
      <c r="R87" s="231"/>
      <c r="S87" s="231"/>
      <c r="T87" s="231"/>
      <c r="U87" s="231"/>
      <c r="V87" s="231"/>
      <c r="W87" s="231"/>
      <c r="X87" s="231"/>
      <c r="Y87" s="231"/>
      <c r="Z87" s="231"/>
      <c r="AA87" s="231"/>
      <c r="AB87" s="231"/>
      <c r="AC87" s="231"/>
    </row>
    <row r="88" ht="24.75" customHeight="1" collapsed="1">
      <c r="A88" s="243"/>
      <c r="B88" s="244" t="s">
        <v>757</v>
      </c>
      <c r="C88" s="243"/>
      <c r="D88" s="243"/>
      <c r="E88" s="245"/>
      <c r="F88" s="243"/>
      <c r="G88" s="243"/>
      <c r="H88" s="243"/>
      <c r="I88" s="243"/>
      <c r="J88" s="243"/>
      <c r="K88" s="243"/>
      <c r="L88" s="243"/>
      <c r="M88" s="243"/>
      <c r="N88" s="243"/>
      <c r="O88" s="243"/>
      <c r="P88" s="243"/>
      <c r="Q88" s="243"/>
      <c r="R88" s="243"/>
      <c r="S88" s="243"/>
      <c r="T88" s="243"/>
      <c r="U88" s="243"/>
      <c r="V88" s="243"/>
      <c r="W88" s="243"/>
      <c r="X88" s="243"/>
      <c r="Y88" s="243"/>
      <c r="Z88" s="243"/>
      <c r="AA88" s="243"/>
      <c r="AB88" s="243"/>
      <c r="AC88" s="243"/>
    </row>
    <row r="89" ht="24.75" hidden="1" customHeight="1" outlineLevel="1">
      <c r="A89" s="231"/>
      <c r="B89" s="237" t="s">
        <v>758</v>
      </c>
      <c r="C89" s="231"/>
      <c r="D89" s="231"/>
      <c r="E89" s="225"/>
      <c r="F89" s="231"/>
      <c r="G89" s="231"/>
      <c r="H89" s="231"/>
      <c r="I89" s="231"/>
      <c r="J89" s="231"/>
      <c r="K89" s="231"/>
      <c r="L89" s="231"/>
      <c r="M89" s="231"/>
      <c r="N89" s="231"/>
      <c r="O89" s="231"/>
      <c r="P89" s="231"/>
      <c r="Q89" s="231"/>
      <c r="R89" s="231"/>
      <c r="S89" s="231"/>
      <c r="T89" s="231"/>
      <c r="U89" s="231"/>
      <c r="V89" s="231"/>
      <c r="W89" s="231"/>
      <c r="X89" s="231"/>
      <c r="Y89" s="231"/>
      <c r="Z89" s="231"/>
      <c r="AA89" s="231"/>
      <c r="AB89" s="231"/>
      <c r="AC89" s="231"/>
    </row>
    <row r="90" ht="24.75" hidden="1" customHeight="1" outlineLevel="1">
      <c r="A90" s="231"/>
      <c r="B90" s="237" t="s">
        <v>759</v>
      </c>
      <c r="C90" s="231"/>
      <c r="D90" s="231"/>
      <c r="E90" s="225"/>
      <c r="F90" s="231"/>
      <c r="G90" s="231"/>
      <c r="H90" s="231"/>
      <c r="I90" s="231"/>
      <c r="J90" s="231"/>
      <c r="K90" s="231"/>
      <c r="L90" s="231"/>
      <c r="M90" s="231"/>
      <c r="N90" s="231"/>
      <c r="O90" s="231"/>
      <c r="P90" s="231"/>
      <c r="Q90" s="231"/>
      <c r="R90" s="231"/>
      <c r="S90" s="231"/>
      <c r="T90" s="231"/>
      <c r="U90" s="231"/>
      <c r="V90" s="231"/>
      <c r="W90" s="231"/>
      <c r="X90" s="231"/>
      <c r="Y90" s="231"/>
      <c r="Z90" s="231"/>
      <c r="AA90" s="231"/>
      <c r="AB90" s="231"/>
      <c r="AC90" s="231"/>
    </row>
    <row r="91" ht="24.75" hidden="1" customHeight="1" outlineLevel="1">
      <c r="A91" s="231"/>
      <c r="B91" s="237" t="s">
        <v>760</v>
      </c>
      <c r="C91" s="231"/>
      <c r="D91" s="231"/>
      <c r="E91" s="225"/>
      <c r="F91" s="231"/>
      <c r="G91" s="231"/>
      <c r="H91" s="231"/>
      <c r="I91" s="231"/>
      <c r="J91" s="231"/>
      <c r="K91" s="231"/>
      <c r="L91" s="231"/>
      <c r="M91" s="231"/>
      <c r="N91" s="231"/>
      <c r="O91" s="231"/>
      <c r="P91" s="231"/>
      <c r="Q91" s="231"/>
      <c r="R91" s="231"/>
      <c r="S91" s="231"/>
      <c r="T91" s="231"/>
      <c r="U91" s="231"/>
      <c r="V91" s="231"/>
      <c r="W91" s="231"/>
      <c r="X91" s="231"/>
      <c r="Y91" s="231"/>
      <c r="Z91" s="231"/>
      <c r="AA91" s="231"/>
      <c r="AB91" s="231"/>
      <c r="AC91" s="231"/>
    </row>
    <row r="92" ht="24.75" hidden="1" customHeight="1" outlineLevel="1">
      <c r="A92" s="231"/>
      <c r="B92" s="237" t="s">
        <v>761</v>
      </c>
      <c r="C92" s="231"/>
      <c r="D92" s="231"/>
      <c r="E92" s="225"/>
      <c r="F92" s="231"/>
      <c r="G92" s="231"/>
      <c r="H92" s="231"/>
      <c r="I92" s="231"/>
      <c r="J92" s="231"/>
      <c r="K92" s="231"/>
      <c r="L92" s="231"/>
      <c r="M92" s="231"/>
      <c r="N92" s="231"/>
      <c r="O92" s="231"/>
      <c r="P92" s="231"/>
      <c r="Q92" s="231"/>
      <c r="R92" s="231"/>
      <c r="S92" s="231"/>
      <c r="T92" s="231"/>
      <c r="U92" s="231"/>
      <c r="V92" s="231"/>
      <c r="W92" s="231"/>
      <c r="X92" s="231"/>
      <c r="Y92" s="231"/>
      <c r="Z92" s="231"/>
      <c r="AA92" s="231"/>
      <c r="AB92" s="231"/>
      <c r="AC92" s="231"/>
    </row>
    <row r="93" ht="24.75" hidden="1" customHeight="1" outlineLevel="1">
      <c r="A93" s="231"/>
      <c r="B93" s="231"/>
      <c r="C93" s="231"/>
      <c r="D93" s="231"/>
      <c r="E93" s="225"/>
      <c r="F93" s="231"/>
      <c r="G93" s="231"/>
      <c r="H93" s="231"/>
      <c r="I93" s="231"/>
      <c r="J93" s="231"/>
      <c r="K93" s="231"/>
      <c r="L93" s="231"/>
      <c r="M93" s="231"/>
      <c r="N93" s="231"/>
      <c r="O93" s="231"/>
      <c r="P93" s="231"/>
      <c r="Q93" s="231"/>
      <c r="R93" s="231"/>
      <c r="S93" s="231"/>
      <c r="T93" s="231"/>
      <c r="U93" s="231"/>
      <c r="V93" s="231"/>
      <c r="W93" s="231"/>
      <c r="X93" s="231"/>
      <c r="Y93" s="231"/>
      <c r="Z93" s="231"/>
      <c r="AA93" s="231"/>
      <c r="AB93" s="231"/>
      <c r="AC93" s="231"/>
    </row>
    <row r="94" ht="24.75" hidden="1" customHeight="1" outlineLevel="1">
      <c r="A94" s="231"/>
      <c r="B94" s="237" t="s">
        <v>762</v>
      </c>
      <c r="C94" s="231"/>
      <c r="D94" s="231"/>
      <c r="E94" s="225"/>
      <c r="F94" s="231"/>
      <c r="G94" s="231"/>
      <c r="H94" s="231"/>
      <c r="I94" s="231"/>
      <c r="J94" s="231"/>
      <c r="K94" s="231"/>
      <c r="L94" s="231"/>
      <c r="M94" s="231"/>
      <c r="N94" s="231"/>
      <c r="O94" s="231"/>
      <c r="P94" s="231"/>
      <c r="Q94" s="231"/>
      <c r="R94" s="231"/>
      <c r="S94" s="231"/>
      <c r="T94" s="231"/>
      <c r="U94" s="231"/>
      <c r="V94" s="231"/>
      <c r="W94" s="231"/>
      <c r="X94" s="231"/>
      <c r="Y94" s="231"/>
      <c r="Z94" s="231"/>
      <c r="AA94" s="231"/>
      <c r="AB94" s="231"/>
      <c r="AC94" s="231"/>
    </row>
    <row r="95" ht="24.75" hidden="1" customHeight="1" outlineLevel="1">
      <c r="A95" s="231"/>
      <c r="B95" s="237" t="s">
        <v>763</v>
      </c>
      <c r="C95" s="231"/>
      <c r="D95" s="231"/>
      <c r="E95" s="225"/>
      <c r="F95" s="231"/>
      <c r="G95" s="231"/>
      <c r="H95" s="231"/>
      <c r="I95" s="231"/>
      <c r="J95" s="231"/>
      <c r="K95" s="231"/>
      <c r="L95" s="231"/>
      <c r="M95" s="231"/>
      <c r="N95" s="231"/>
      <c r="O95" s="231"/>
      <c r="P95" s="231"/>
      <c r="Q95" s="231"/>
      <c r="R95" s="231"/>
      <c r="S95" s="231"/>
      <c r="T95" s="231"/>
      <c r="U95" s="231"/>
      <c r="V95" s="231"/>
      <c r="W95" s="231"/>
      <c r="X95" s="231"/>
      <c r="Y95" s="231"/>
      <c r="Z95" s="231"/>
      <c r="AA95" s="231"/>
      <c r="AB95" s="231"/>
      <c r="AC95" s="231"/>
    </row>
    <row r="96" ht="24.75" hidden="1" customHeight="1" outlineLevel="1">
      <c r="A96" s="231"/>
      <c r="B96" s="246" t="s">
        <v>764</v>
      </c>
      <c r="C96" s="231"/>
      <c r="D96" s="231"/>
      <c r="E96" s="225"/>
      <c r="F96" s="231"/>
      <c r="G96" s="231"/>
      <c r="H96" s="231"/>
      <c r="I96" s="231"/>
      <c r="J96" s="231"/>
      <c r="K96" s="231"/>
      <c r="L96" s="231"/>
      <c r="M96" s="231"/>
      <c r="N96" s="231"/>
      <c r="O96" s="231"/>
      <c r="P96" s="231"/>
      <c r="Q96" s="231"/>
      <c r="R96" s="231"/>
      <c r="S96" s="231"/>
      <c r="T96" s="231"/>
      <c r="U96" s="231"/>
      <c r="V96" s="231"/>
      <c r="W96" s="231"/>
      <c r="X96" s="231"/>
      <c r="Y96" s="231"/>
      <c r="Z96" s="231"/>
      <c r="AA96" s="231"/>
      <c r="AB96" s="231"/>
      <c r="AC96" s="231"/>
    </row>
    <row r="97" ht="24.75" hidden="1" customHeight="1" outlineLevel="1">
      <c r="A97" s="231"/>
      <c r="B97" s="237" t="s">
        <v>765</v>
      </c>
      <c r="C97" s="231"/>
      <c r="D97" s="231"/>
      <c r="E97" s="225"/>
      <c r="F97" s="231"/>
      <c r="G97" s="231"/>
      <c r="H97" s="231"/>
      <c r="I97" s="231"/>
      <c r="J97" s="231"/>
      <c r="K97" s="231"/>
      <c r="L97" s="231"/>
      <c r="M97" s="231"/>
      <c r="N97" s="231"/>
      <c r="O97" s="231"/>
      <c r="P97" s="231"/>
      <c r="Q97" s="231"/>
      <c r="R97" s="231"/>
      <c r="S97" s="231"/>
      <c r="T97" s="231"/>
      <c r="U97" s="231"/>
      <c r="V97" s="231"/>
      <c r="W97" s="231"/>
      <c r="X97" s="231"/>
      <c r="Y97" s="231"/>
      <c r="Z97" s="231"/>
      <c r="AA97" s="231"/>
      <c r="AB97" s="231"/>
      <c r="AC97" s="231"/>
    </row>
    <row r="98" ht="24.75" hidden="1" customHeight="1" outlineLevel="1">
      <c r="A98" s="231"/>
      <c r="B98" s="237" t="s">
        <v>766</v>
      </c>
      <c r="C98" s="231"/>
      <c r="D98" s="231"/>
      <c r="E98" s="225"/>
      <c r="F98" s="231"/>
      <c r="G98" s="231"/>
      <c r="H98" s="231"/>
      <c r="I98" s="231"/>
      <c r="J98" s="231"/>
      <c r="K98" s="231"/>
      <c r="L98" s="231"/>
      <c r="M98" s="231"/>
      <c r="N98" s="231"/>
      <c r="O98" s="231"/>
      <c r="P98" s="231"/>
      <c r="Q98" s="231"/>
      <c r="R98" s="231"/>
      <c r="S98" s="231"/>
      <c r="T98" s="231"/>
      <c r="U98" s="231"/>
      <c r="V98" s="231"/>
      <c r="W98" s="231"/>
      <c r="X98" s="231"/>
      <c r="Y98" s="231"/>
      <c r="Z98" s="231"/>
      <c r="AA98" s="231"/>
      <c r="AB98" s="231"/>
      <c r="AC98" s="231"/>
    </row>
    <row r="99" ht="24.75" hidden="1" customHeight="1" outlineLevel="1">
      <c r="A99" s="231"/>
      <c r="B99" s="237" t="s">
        <v>767</v>
      </c>
      <c r="C99" s="231"/>
      <c r="D99" s="231"/>
      <c r="E99" s="225"/>
      <c r="F99" s="231"/>
      <c r="G99" s="231"/>
      <c r="H99" s="231"/>
      <c r="I99" s="231"/>
      <c r="J99" s="231"/>
      <c r="K99" s="231"/>
      <c r="L99" s="231"/>
      <c r="M99" s="231"/>
      <c r="N99" s="231"/>
      <c r="O99" s="231"/>
      <c r="P99" s="231"/>
      <c r="Q99" s="231"/>
      <c r="R99" s="231"/>
      <c r="S99" s="231"/>
      <c r="T99" s="231"/>
      <c r="U99" s="231"/>
      <c r="V99" s="231"/>
      <c r="W99" s="231"/>
      <c r="X99" s="231"/>
      <c r="Y99" s="231"/>
      <c r="Z99" s="231"/>
      <c r="AA99" s="231"/>
      <c r="AB99" s="231"/>
      <c r="AC99" s="231"/>
    </row>
    <row r="100" ht="24.75" hidden="1" customHeight="1" outlineLevel="1">
      <c r="A100" s="231"/>
      <c r="B100" s="237" t="s">
        <v>768</v>
      </c>
      <c r="C100" s="231"/>
      <c r="D100" s="231"/>
      <c r="E100" s="225"/>
      <c r="F100" s="231"/>
      <c r="G100" s="231"/>
      <c r="H100" s="231"/>
      <c r="I100" s="231"/>
      <c r="J100" s="231"/>
      <c r="K100" s="231"/>
      <c r="L100" s="231"/>
      <c r="M100" s="231"/>
      <c r="N100" s="231"/>
      <c r="O100" s="231"/>
      <c r="P100" s="231"/>
      <c r="Q100" s="231"/>
      <c r="R100" s="231"/>
      <c r="S100" s="231"/>
      <c r="T100" s="231"/>
      <c r="U100" s="231"/>
      <c r="V100" s="231"/>
      <c r="W100" s="231"/>
      <c r="X100" s="231"/>
      <c r="Y100" s="231"/>
      <c r="Z100" s="231"/>
      <c r="AA100" s="231"/>
      <c r="AB100" s="231"/>
      <c r="AC100" s="231"/>
    </row>
    <row r="101" ht="24.75" hidden="1" customHeight="1" outlineLevel="1">
      <c r="A101" s="231"/>
      <c r="B101" s="237" t="s">
        <v>769</v>
      </c>
      <c r="C101" s="231"/>
      <c r="D101" s="231"/>
      <c r="E101" s="225"/>
      <c r="F101" s="231"/>
      <c r="G101" s="231"/>
      <c r="H101" s="231"/>
      <c r="I101" s="231"/>
      <c r="J101" s="231"/>
      <c r="K101" s="231"/>
      <c r="L101" s="231"/>
      <c r="M101" s="231"/>
      <c r="N101" s="231"/>
      <c r="O101" s="231"/>
      <c r="P101" s="231"/>
      <c r="Q101" s="231"/>
      <c r="R101" s="231"/>
      <c r="S101" s="231"/>
      <c r="T101" s="231"/>
      <c r="U101" s="231"/>
      <c r="V101" s="231"/>
      <c r="W101" s="231"/>
      <c r="X101" s="231"/>
      <c r="Y101" s="231"/>
      <c r="Z101" s="231"/>
      <c r="AA101" s="231"/>
      <c r="AB101" s="231"/>
      <c r="AC101" s="231"/>
    </row>
    <row r="102" ht="24.75" hidden="1" customHeight="1" outlineLevel="1">
      <c r="A102" s="231"/>
      <c r="B102" s="237" t="s">
        <v>770</v>
      </c>
      <c r="C102" s="231"/>
      <c r="D102" s="231"/>
      <c r="E102" s="225"/>
      <c r="F102" s="231"/>
      <c r="G102" s="231"/>
      <c r="H102" s="231"/>
      <c r="I102" s="231"/>
      <c r="J102" s="231"/>
      <c r="K102" s="231"/>
      <c r="L102" s="231"/>
      <c r="M102" s="231"/>
      <c r="N102" s="231"/>
      <c r="O102" s="231"/>
      <c r="P102" s="231"/>
      <c r="Q102" s="231"/>
      <c r="R102" s="231"/>
      <c r="S102" s="231"/>
      <c r="T102" s="231"/>
      <c r="U102" s="231"/>
      <c r="V102" s="231"/>
      <c r="W102" s="231"/>
      <c r="X102" s="231"/>
      <c r="Y102" s="231"/>
      <c r="Z102" s="231"/>
      <c r="AA102" s="231"/>
      <c r="AB102" s="231"/>
      <c r="AC102" s="231"/>
    </row>
    <row r="103" ht="24.75" hidden="1" customHeight="1" outlineLevel="1">
      <c r="A103" s="231"/>
      <c r="B103" s="237" t="s">
        <v>771</v>
      </c>
      <c r="C103" s="231"/>
      <c r="D103" s="231"/>
      <c r="E103" s="225"/>
      <c r="F103" s="231"/>
      <c r="G103" s="231"/>
      <c r="H103" s="231"/>
      <c r="I103" s="231"/>
      <c r="J103" s="231"/>
      <c r="K103" s="231"/>
      <c r="L103" s="231"/>
      <c r="M103" s="231"/>
      <c r="N103" s="231"/>
      <c r="O103" s="231"/>
      <c r="P103" s="231"/>
      <c r="Q103" s="231"/>
      <c r="R103" s="231"/>
      <c r="S103" s="231"/>
      <c r="T103" s="231"/>
      <c r="U103" s="231"/>
      <c r="V103" s="231"/>
      <c r="W103" s="231"/>
      <c r="X103" s="231"/>
      <c r="Y103" s="231"/>
      <c r="Z103" s="231"/>
      <c r="AA103" s="231"/>
      <c r="AB103" s="231"/>
      <c r="AC103" s="231"/>
    </row>
    <row r="104" ht="24.75" hidden="1" customHeight="1" outlineLevel="1">
      <c r="A104" s="231"/>
      <c r="B104" s="237" t="s">
        <v>772</v>
      </c>
      <c r="C104" s="231"/>
      <c r="D104" s="231"/>
      <c r="E104" s="225"/>
      <c r="F104" s="231"/>
      <c r="G104" s="231"/>
      <c r="H104" s="231"/>
      <c r="I104" s="231"/>
      <c r="J104" s="231"/>
      <c r="K104" s="231"/>
      <c r="L104" s="231"/>
      <c r="M104" s="231"/>
      <c r="N104" s="231"/>
      <c r="O104" s="231"/>
      <c r="P104" s="231"/>
      <c r="Q104" s="231"/>
      <c r="R104" s="231"/>
      <c r="S104" s="231"/>
      <c r="T104" s="231"/>
      <c r="U104" s="231"/>
      <c r="V104" s="231"/>
      <c r="W104" s="231"/>
      <c r="X104" s="231"/>
      <c r="Y104" s="231"/>
      <c r="Z104" s="231"/>
      <c r="AA104" s="231"/>
      <c r="AB104" s="231"/>
      <c r="AC104" s="231"/>
    </row>
    <row r="105" ht="24.75" hidden="1" customHeight="1" outlineLevel="1">
      <c r="A105" s="231"/>
      <c r="B105" s="237" t="s">
        <v>773</v>
      </c>
      <c r="C105" s="231"/>
      <c r="D105" s="231"/>
      <c r="E105" s="225"/>
      <c r="F105" s="231"/>
      <c r="G105" s="231"/>
      <c r="H105" s="231"/>
      <c r="I105" s="231"/>
      <c r="J105" s="231"/>
      <c r="K105" s="231"/>
      <c r="L105" s="231"/>
      <c r="M105" s="231"/>
      <c r="N105" s="231"/>
      <c r="O105" s="231"/>
      <c r="P105" s="231"/>
      <c r="Q105" s="231"/>
      <c r="R105" s="231"/>
      <c r="S105" s="231"/>
      <c r="T105" s="231"/>
      <c r="U105" s="231"/>
      <c r="V105" s="231"/>
      <c r="W105" s="231"/>
      <c r="X105" s="231"/>
      <c r="Y105" s="231"/>
      <c r="Z105" s="231"/>
      <c r="AA105" s="231"/>
      <c r="AB105" s="231"/>
      <c r="AC105" s="231"/>
    </row>
    <row r="106" ht="24.75" hidden="1" customHeight="1" outlineLevel="1">
      <c r="A106" s="231"/>
      <c r="B106" s="231"/>
      <c r="C106" s="231"/>
      <c r="D106" s="231"/>
      <c r="E106" s="225"/>
      <c r="F106" s="231"/>
      <c r="G106" s="231"/>
      <c r="H106" s="231"/>
      <c r="I106" s="231"/>
      <c r="J106" s="231"/>
      <c r="K106" s="231"/>
      <c r="L106" s="231"/>
      <c r="M106" s="231"/>
      <c r="N106" s="231"/>
      <c r="O106" s="231"/>
      <c r="P106" s="231"/>
      <c r="Q106" s="231"/>
      <c r="R106" s="231"/>
      <c r="S106" s="231"/>
      <c r="T106" s="231"/>
      <c r="U106" s="231"/>
      <c r="V106" s="231"/>
      <c r="W106" s="231"/>
      <c r="X106" s="231"/>
      <c r="Y106" s="231"/>
      <c r="Z106" s="231"/>
      <c r="AA106" s="231"/>
      <c r="AB106" s="231"/>
      <c r="AC106" s="231"/>
    </row>
    <row r="107" ht="24.75" hidden="1" customHeight="1" outlineLevel="1">
      <c r="A107" s="231"/>
      <c r="B107" s="237" t="s">
        <v>735</v>
      </c>
      <c r="C107" s="231"/>
      <c r="D107" s="231"/>
      <c r="E107" s="225"/>
      <c r="F107" s="231"/>
      <c r="G107" s="231"/>
      <c r="H107" s="231"/>
      <c r="I107" s="231"/>
      <c r="J107" s="231"/>
      <c r="K107" s="231"/>
      <c r="L107" s="231"/>
      <c r="M107" s="231"/>
      <c r="N107" s="231"/>
      <c r="O107" s="231"/>
      <c r="P107" s="231"/>
      <c r="Q107" s="231"/>
      <c r="R107" s="231"/>
      <c r="S107" s="231"/>
      <c r="T107" s="231"/>
      <c r="U107" s="231"/>
      <c r="V107" s="231"/>
      <c r="W107" s="231"/>
      <c r="X107" s="231"/>
      <c r="Y107" s="231"/>
      <c r="Z107" s="231"/>
      <c r="AA107" s="231"/>
      <c r="AB107" s="231"/>
      <c r="AC107" s="231"/>
    </row>
    <row r="108" ht="24.75" hidden="1" customHeight="1" outlineLevel="1">
      <c r="A108" s="231"/>
      <c r="B108" s="246" t="s">
        <v>774</v>
      </c>
      <c r="C108" s="231"/>
      <c r="D108" s="231"/>
      <c r="E108" s="225"/>
      <c r="F108" s="231"/>
      <c r="G108" s="231"/>
      <c r="H108" s="231"/>
      <c r="I108" s="231"/>
      <c r="J108" s="231"/>
      <c r="K108" s="231"/>
      <c r="L108" s="231"/>
      <c r="M108" s="231"/>
      <c r="N108" s="231"/>
      <c r="O108" s="231"/>
      <c r="P108" s="231"/>
      <c r="Q108" s="231"/>
      <c r="R108" s="231"/>
      <c r="S108" s="231"/>
      <c r="T108" s="231"/>
      <c r="U108" s="231"/>
      <c r="V108" s="231"/>
      <c r="W108" s="231"/>
      <c r="X108" s="231"/>
      <c r="Y108" s="231"/>
      <c r="Z108" s="231"/>
      <c r="AA108" s="231"/>
      <c r="AB108" s="231"/>
      <c r="AC108" s="231"/>
    </row>
    <row r="109" ht="24.75" hidden="1" customHeight="1" outlineLevel="1">
      <c r="A109" s="231"/>
      <c r="B109" s="237" t="s">
        <v>775</v>
      </c>
      <c r="C109" s="231"/>
      <c r="D109" s="231"/>
      <c r="E109" s="225"/>
      <c r="F109" s="231"/>
      <c r="G109" s="231"/>
      <c r="H109" s="231"/>
      <c r="I109" s="231"/>
      <c r="J109" s="231"/>
      <c r="K109" s="231"/>
      <c r="L109" s="231"/>
      <c r="M109" s="231"/>
      <c r="N109" s="231"/>
      <c r="O109" s="231"/>
      <c r="P109" s="231"/>
      <c r="Q109" s="231"/>
      <c r="R109" s="231"/>
      <c r="S109" s="231"/>
      <c r="T109" s="231"/>
      <c r="U109" s="231"/>
      <c r="V109" s="231"/>
      <c r="W109" s="231"/>
      <c r="X109" s="231"/>
      <c r="Y109" s="231"/>
      <c r="Z109" s="231"/>
      <c r="AA109" s="231"/>
      <c r="AB109" s="231"/>
      <c r="AC109" s="231"/>
    </row>
    <row r="110" ht="24.75" customHeight="1">
      <c r="A110" s="231"/>
      <c r="B110" s="231"/>
      <c r="C110" s="231"/>
      <c r="D110" s="231"/>
      <c r="E110" s="225"/>
      <c r="F110" s="231"/>
      <c r="G110" s="231"/>
      <c r="H110" s="231"/>
      <c r="I110" s="231"/>
      <c r="J110" s="231"/>
      <c r="K110" s="231"/>
      <c r="L110" s="231"/>
      <c r="M110" s="231"/>
      <c r="N110" s="231"/>
      <c r="O110" s="231"/>
      <c r="P110" s="231"/>
      <c r="Q110" s="231"/>
      <c r="R110" s="231"/>
      <c r="S110" s="231"/>
      <c r="T110" s="231"/>
      <c r="U110" s="231"/>
      <c r="V110" s="231"/>
      <c r="W110" s="231"/>
      <c r="X110" s="231"/>
      <c r="Y110" s="231"/>
      <c r="Z110" s="231"/>
      <c r="AA110" s="231"/>
      <c r="AB110" s="231"/>
      <c r="AC110" s="231"/>
    </row>
    <row r="111" ht="24.75" customHeight="1" collapsed="1">
      <c r="A111" s="247" t="s">
        <v>776</v>
      </c>
      <c r="B111" s="248"/>
      <c r="C111" s="248"/>
      <c r="D111" s="248"/>
      <c r="E111" s="248"/>
      <c r="F111" s="249"/>
      <c r="G111" s="249"/>
      <c r="H111" s="249"/>
      <c r="I111" s="249"/>
      <c r="J111" s="249"/>
      <c r="K111" s="249"/>
      <c r="L111" s="249"/>
      <c r="M111" s="249"/>
      <c r="N111" s="249"/>
      <c r="O111" s="249"/>
      <c r="P111" s="249"/>
      <c r="Q111" s="249"/>
      <c r="R111" s="249"/>
      <c r="S111" s="249"/>
      <c r="T111" s="249"/>
      <c r="U111" s="249"/>
      <c r="V111" s="249"/>
      <c r="W111" s="249"/>
      <c r="X111" s="249"/>
      <c r="Y111" s="249"/>
      <c r="Z111" s="249"/>
      <c r="AA111" s="249"/>
      <c r="AB111" s="249"/>
      <c r="AC111" s="249"/>
    </row>
    <row r="112" ht="24.75" hidden="1" customHeight="1" outlineLevel="1">
      <c r="A112" s="250" t="s">
        <v>647</v>
      </c>
      <c r="B112" s="251" t="s">
        <v>648</v>
      </c>
      <c r="C112" s="251" t="s">
        <v>649</v>
      </c>
      <c r="D112" s="251" t="s">
        <v>650</v>
      </c>
      <c r="E112" s="251" t="s">
        <v>651</v>
      </c>
      <c r="F112" s="249"/>
      <c r="G112" s="249"/>
      <c r="H112" s="249"/>
      <c r="I112" s="249"/>
      <c r="J112" s="249"/>
      <c r="K112" s="249"/>
      <c r="L112" s="249"/>
      <c r="M112" s="249"/>
      <c r="N112" s="249"/>
      <c r="O112" s="249"/>
      <c r="P112" s="249"/>
      <c r="Q112" s="249"/>
      <c r="R112" s="249"/>
      <c r="S112" s="249"/>
      <c r="T112" s="249"/>
      <c r="U112" s="249"/>
      <c r="V112" s="249"/>
      <c r="W112" s="249"/>
      <c r="X112" s="249"/>
      <c r="Y112" s="249"/>
      <c r="Z112" s="249"/>
      <c r="AA112" s="249"/>
      <c r="AB112" s="249"/>
      <c r="AC112" s="249"/>
    </row>
    <row r="113" ht="24.75" hidden="1" customHeight="1" outlineLevel="1">
      <c r="A113" s="252">
        <v>44561.0</v>
      </c>
      <c r="B113" s="253" t="s">
        <v>678</v>
      </c>
      <c r="C113" s="254"/>
      <c r="D113" s="254" t="s">
        <v>679</v>
      </c>
      <c r="E113" s="255" t="s">
        <v>717</v>
      </c>
      <c r="F113" s="249"/>
      <c r="G113" s="249"/>
      <c r="H113" s="249"/>
      <c r="I113" s="249"/>
      <c r="J113" s="249"/>
      <c r="K113" s="249"/>
      <c r="L113" s="249"/>
      <c r="M113" s="249"/>
      <c r="N113" s="249"/>
      <c r="O113" s="249"/>
      <c r="P113" s="249"/>
      <c r="Q113" s="249"/>
      <c r="R113" s="249"/>
      <c r="S113" s="249"/>
      <c r="T113" s="249"/>
      <c r="U113" s="249"/>
      <c r="V113" s="249"/>
      <c r="W113" s="249"/>
      <c r="X113" s="249"/>
      <c r="Y113" s="249"/>
      <c r="Z113" s="249"/>
      <c r="AA113" s="249"/>
      <c r="AB113" s="249"/>
      <c r="AC113" s="249"/>
    </row>
    <row r="114" ht="24.75" hidden="1" customHeight="1" outlineLevel="1">
      <c r="A114" s="252">
        <v>44561.0</v>
      </c>
      <c r="B114" s="253" t="s">
        <v>663</v>
      </c>
      <c r="C114" s="254" t="s">
        <v>690</v>
      </c>
      <c r="D114" s="254" t="s">
        <v>657</v>
      </c>
      <c r="E114" s="255" t="s">
        <v>685</v>
      </c>
      <c r="F114" s="249"/>
      <c r="G114" s="249"/>
      <c r="H114" s="249"/>
      <c r="I114" s="249"/>
      <c r="J114" s="249"/>
      <c r="K114" s="249"/>
      <c r="L114" s="249"/>
      <c r="M114" s="249"/>
      <c r="N114" s="249"/>
      <c r="O114" s="249"/>
      <c r="P114" s="249"/>
      <c r="Q114" s="249"/>
      <c r="R114" s="249"/>
      <c r="S114" s="249"/>
      <c r="T114" s="249"/>
      <c r="U114" s="249"/>
      <c r="V114" s="249"/>
      <c r="W114" s="249"/>
      <c r="X114" s="249"/>
      <c r="Y114" s="249"/>
      <c r="Z114" s="249"/>
      <c r="AA114" s="249"/>
      <c r="AB114" s="249"/>
      <c r="AC114" s="249"/>
    </row>
    <row r="115" ht="24.75" hidden="1" customHeight="1" outlineLevel="1">
      <c r="A115" s="252">
        <v>44561.0</v>
      </c>
      <c r="B115" s="253" t="s">
        <v>688</v>
      </c>
      <c r="C115" s="254"/>
      <c r="D115" s="254" t="s">
        <v>657</v>
      </c>
      <c r="E115" s="255" t="s">
        <v>703</v>
      </c>
      <c r="F115" s="249"/>
      <c r="G115" s="249"/>
      <c r="H115" s="249"/>
      <c r="I115" s="249"/>
      <c r="J115" s="249"/>
      <c r="K115" s="249"/>
      <c r="L115" s="249"/>
      <c r="M115" s="249"/>
      <c r="N115" s="249"/>
      <c r="O115" s="249"/>
      <c r="P115" s="249"/>
      <c r="Q115" s="249"/>
      <c r="R115" s="249"/>
      <c r="S115" s="249"/>
      <c r="T115" s="249"/>
      <c r="U115" s="249"/>
      <c r="V115" s="249"/>
      <c r="W115" s="249"/>
      <c r="X115" s="249"/>
      <c r="Y115" s="249"/>
      <c r="Z115" s="249"/>
      <c r="AA115" s="249"/>
      <c r="AB115" s="249"/>
      <c r="AC115" s="249"/>
    </row>
    <row r="116" ht="24.75" hidden="1" customHeight="1" outlineLevel="1">
      <c r="A116" s="252">
        <v>44562.0</v>
      </c>
      <c r="B116" s="253" t="s">
        <v>689</v>
      </c>
      <c r="C116" s="254"/>
      <c r="D116" s="254" t="s">
        <v>657</v>
      </c>
      <c r="E116" s="255" t="s">
        <v>703</v>
      </c>
      <c r="F116" s="249"/>
      <c r="G116" s="249"/>
      <c r="H116" s="249"/>
      <c r="I116" s="249"/>
      <c r="J116" s="249"/>
      <c r="K116" s="249"/>
      <c r="L116" s="249"/>
      <c r="M116" s="249"/>
      <c r="N116" s="249"/>
      <c r="O116" s="249"/>
      <c r="P116" s="249"/>
      <c r="Q116" s="249"/>
      <c r="R116" s="249"/>
      <c r="S116" s="249"/>
      <c r="T116" s="249"/>
      <c r="U116" s="249"/>
      <c r="V116" s="249"/>
      <c r="W116" s="249"/>
      <c r="X116" s="249"/>
      <c r="Y116" s="249"/>
      <c r="Z116" s="249"/>
      <c r="AA116" s="249"/>
      <c r="AB116" s="249"/>
      <c r="AC116" s="249"/>
    </row>
    <row r="117" ht="24.75" hidden="1" customHeight="1" outlineLevel="1">
      <c r="A117" s="252">
        <v>44562.0</v>
      </c>
      <c r="B117" s="235" t="s">
        <v>720</v>
      </c>
      <c r="C117" s="240" t="s">
        <v>741</v>
      </c>
      <c r="D117" s="234" t="s">
        <v>657</v>
      </c>
      <c r="E117" s="255" t="s">
        <v>685</v>
      </c>
      <c r="F117" s="249"/>
      <c r="G117" s="249"/>
      <c r="H117" s="249"/>
      <c r="I117" s="249"/>
      <c r="J117" s="249"/>
      <c r="K117" s="249"/>
      <c r="L117" s="249"/>
      <c r="M117" s="249"/>
      <c r="N117" s="249"/>
      <c r="O117" s="249"/>
      <c r="P117" s="249"/>
      <c r="Q117" s="249"/>
      <c r="R117" s="249"/>
      <c r="S117" s="249"/>
      <c r="T117" s="249"/>
      <c r="U117" s="249"/>
      <c r="V117" s="249"/>
      <c r="W117" s="249"/>
      <c r="X117" s="249"/>
      <c r="Y117" s="249"/>
      <c r="Z117" s="249"/>
      <c r="AA117" s="249"/>
      <c r="AB117" s="249"/>
      <c r="AC117" s="249"/>
    </row>
    <row r="118" ht="24.75" hidden="1" customHeight="1" outlineLevel="1">
      <c r="A118" s="252">
        <v>44562.0</v>
      </c>
      <c r="B118" s="235" t="s">
        <v>692</v>
      </c>
      <c r="C118" s="240" t="s">
        <v>693</v>
      </c>
      <c r="D118" s="234" t="s">
        <v>657</v>
      </c>
      <c r="E118" s="255" t="s">
        <v>685</v>
      </c>
      <c r="F118" s="237"/>
      <c r="G118" s="237"/>
      <c r="H118" s="237" t="s">
        <v>722</v>
      </c>
      <c r="I118" s="249"/>
      <c r="J118" s="249"/>
      <c r="K118" s="249"/>
      <c r="L118" s="249"/>
      <c r="M118" s="249"/>
      <c r="N118" s="249"/>
      <c r="O118" s="249"/>
      <c r="P118" s="249"/>
      <c r="Q118" s="249"/>
      <c r="R118" s="249"/>
      <c r="S118" s="249"/>
      <c r="T118" s="249"/>
      <c r="U118" s="249"/>
      <c r="V118" s="249"/>
      <c r="W118" s="249"/>
      <c r="X118" s="249"/>
      <c r="Y118" s="249"/>
      <c r="Z118" s="249"/>
      <c r="AA118" s="249"/>
      <c r="AB118" s="249"/>
      <c r="AC118" s="249"/>
    </row>
    <row r="119" ht="24.75" hidden="1" customHeight="1" outlineLevel="1">
      <c r="A119" s="252">
        <v>44562.0</v>
      </c>
      <c r="B119" s="235" t="s">
        <v>695</v>
      </c>
      <c r="C119" s="234" t="s">
        <v>683</v>
      </c>
      <c r="D119" s="234" t="s">
        <v>657</v>
      </c>
      <c r="E119" s="255" t="s">
        <v>685</v>
      </c>
      <c r="F119" s="249"/>
      <c r="G119" s="249"/>
      <c r="H119" s="249"/>
      <c r="I119" s="249"/>
      <c r="J119" s="249"/>
      <c r="K119" s="249"/>
      <c r="L119" s="249"/>
      <c r="M119" s="249"/>
      <c r="N119" s="249"/>
      <c r="O119" s="249"/>
      <c r="P119" s="249"/>
      <c r="Q119" s="249"/>
      <c r="R119" s="249"/>
      <c r="S119" s="249"/>
      <c r="T119" s="249"/>
      <c r="U119" s="249"/>
      <c r="V119" s="249"/>
      <c r="W119" s="249"/>
      <c r="X119" s="249"/>
      <c r="Y119" s="249"/>
      <c r="Z119" s="249"/>
      <c r="AA119" s="249"/>
      <c r="AB119" s="249"/>
      <c r="AC119" s="249"/>
    </row>
    <row r="120" ht="24.75" hidden="1" customHeight="1" outlineLevel="1">
      <c r="A120" s="252">
        <v>44562.0</v>
      </c>
      <c r="B120" s="235" t="s">
        <v>691</v>
      </c>
      <c r="C120" s="240" t="s">
        <v>715</v>
      </c>
      <c r="D120" s="234" t="s">
        <v>657</v>
      </c>
      <c r="E120" s="255" t="s">
        <v>717</v>
      </c>
      <c r="F120" s="249"/>
      <c r="G120" s="249"/>
      <c r="H120" s="249"/>
      <c r="I120" s="249"/>
      <c r="J120" s="249"/>
      <c r="K120" s="249"/>
      <c r="L120" s="249"/>
      <c r="M120" s="249"/>
      <c r="N120" s="249"/>
      <c r="O120" s="249"/>
      <c r="P120" s="249"/>
      <c r="Q120" s="249"/>
      <c r="R120" s="249"/>
      <c r="S120" s="249"/>
      <c r="T120" s="249"/>
      <c r="U120" s="249"/>
      <c r="V120" s="249"/>
      <c r="W120" s="249"/>
      <c r="X120" s="249"/>
      <c r="Y120" s="249"/>
      <c r="Z120" s="249"/>
      <c r="AA120" s="249"/>
      <c r="AB120" s="249"/>
      <c r="AC120" s="249"/>
    </row>
    <row r="121" ht="24.75" hidden="1" customHeight="1" outlineLevel="1">
      <c r="A121" s="252">
        <v>44563.0</v>
      </c>
      <c r="B121" s="235" t="s">
        <v>669</v>
      </c>
      <c r="C121" s="240" t="s">
        <v>737</v>
      </c>
      <c r="D121" s="234" t="s">
        <v>657</v>
      </c>
      <c r="E121" s="255" t="s">
        <v>685</v>
      </c>
      <c r="F121" s="249"/>
      <c r="G121" s="249"/>
      <c r="H121" s="249"/>
      <c r="I121" s="249"/>
      <c r="J121" s="249"/>
      <c r="K121" s="249"/>
      <c r="L121" s="249"/>
      <c r="M121" s="249"/>
      <c r="N121" s="249"/>
      <c r="O121" s="249"/>
      <c r="P121" s="249"/>
      <c r="Q121" s="249"/>
      <c r="R121" s="249"/>
      <c r="S121" s="249"/>
      <c r="T121" s="249"/>
      <c r="U121" s="249"/>
      <c r="V121" s="249"/>
      <c r="W121" s="249"/>
      <c r="X121" s="249"/>
      <c r="Y121" s="249"/>
      <c r="Z121" s="249"/>
      <c r="AA121" s="249"/>
      <c r="AB121" s="249"/>
      <c r="AC121" s="249"/>
    </row>
    <row r="122" ht="24.75" hidden="1" customHeight="1" outlineLevel="1">
      <c r="A122" s="252">
        <v>44563.0</v>
      </c>
      <c r="B122" s="235" t="s">
        <v>671</v>
      </c>
      <c r="C122" s="240" t="s">
        <v>741</v>
      </c>
      <c r="D122" s="234" t="s">
        <v>657</v>
      </c>
      <c r="E122" s="255" t="s">
        <v>685</v>
      </c>
      <c r="F122" s="231"/>
      <c r="G122" s="231"/>
      <c r="H122" s="231"/>
      <c r="I122" s="231"/>
      <c r="J122" s="231"/>
      <c r="K122" s="231"/>
      <c r="L122" s="231"/>
      <c r="M122" s="231"/>
      <c r="N122" s="231"/>
      <c r="O122" s="231"/>
      <c r="P122" s="231"/>
      <c r="Q122" s="231"/>
      <c r="R122" s="231"/>
      <c r="S122" s="231"/>
      <c r="T122" s="231"/>
      <c r="U122" s="231"/>
      <c r="V122" s="231"/>
      <c r="W122" s="231"/>
      <c r="X122" s="231"/>
      <c r="Y122" s="231"/>
      <c r="Z122" s="231"/>
      <c r="AA122" s="231"/>
      <c r="AB122" s="231"/>
      <c r="AC122" s="231"/>
    </row>
    <row r="123" ht="24.75" hidden="1" customHeight="1" outlineLevel="1">
      <c r="A123" s="252">
        <v>44564.0</v>
      </c>
      <c r="B123" s="253" t="s">
        <v>697</v>
      </c>
      <c r="C123" s="254" t="s">
        <v>698</v>
      </c>
      <c r="D123" s="234" t="s">
        <v>734</v>
      </c>
      <c r="E123" s="255" t="s">
        <v>685</v>
      </c>
      <c r="F123" s="249"/>
      <c r="G123" s="249"/>
      <c r="H123" s="249"/>
      <c r="I123" s="249"/>
      <c r="J123" s="249"/>
      <c r="K123" s="249"/>
      <c r="L123" s="249"/>
      <c r="M123" s="249"/>
      <c r="N123" s="249"/>
      <c r="O123" s="249"/>
      <c r="P123" s="249"/>
      <c r="Q123" s="249"/>
      <c r="R123" s="249"/>
      <c r="S123" s="249"/>
      <c r="T123" s="249"/>
      <c r="U123" s="249"/>
      <c r="V123" s="249"/>
      <c r="W123" s="249"/>
      <c r="X123" s="249"/>
      <c r="Y123" s="249"/>
      <c r="Z123" s="249"/>
      <c r="AA123" s="249"/>
      <c r="AB123" s="249"/>
      <c r="AC123" s="249"/>
    </row>
    <row r="124" ht="24.75" hidden="1" customHeight="1" outlineLevel="1">
      <c r="A124" s="252">
        <v>44564.0</v>
      </c>
      <c r="B124" s="253" t="s">
        <v>699</v>
      </c>
      <c r="C124" s="253" t="s">
        <v>700</v>
      </c>
      <c r="D124" s="254" t="s">
        <v>657</v>
      </c>
      <c r="E124" s="255" t="s">
        <v>685</v>
      </c>
      <c r="F124" s="237"/>
      <c r="G124" s="237"/>
      <c r="H124" s="237" t="s">
        <v>722</v>
      </c>
      <c r="I124" s="249"/>
      <c r="J124" s="249"/>
      <c r="K124" s="249"/>
      <c r="L124" s="249"/>
      <c r="M124" s="249"/>
      <c r="N124" s="249"/>
      <c r="O124" s="249"/>
      <c r="P124" s="249"/>
      <c r="Q124" s="249"/>
      <c r="R124" s="249"/>
      <c r="S124" s="249"/>
      <c r="T124" s="249"/>
      <c r="U124" s="249"/>
      <c r="V124" s="249"/>
      <c r="W124" s="249"/>
      <c r="X124" s="249"/>
      <c r="Y124" s="249"/>
      <c r="Z124" s="249"/>
      <c r="AA124" s="249"/>
      <c r="AB124" s="249"/>
      <c r="AC124" s="249"/>
    </row>
    <row r="125" ht="24.75" hidden="1" customHeight="1" outlineLevel="1">
      <c r="A125" s="232">
        <v>44565.0</v>
      </c>
      <c r="B125" s="235" t="s">
        <v>714</v>
      </c>
      <c r="C125" s="240" t="s">
        <v>715</v>
      </c>
      <c r="D125" s="234" t="s">
        <v>734</v>
      </c>
      <c r="E125" s="30" t="s">
        <v>717</v>
      </c>
      <c r="F125" s="231"/>
      <c r="G125" s="231"/>
      <c r="H125" s="231"/>
      <c r="I125" s="231"/>
      <c r="J125" s="231"/>
      <c r="K125" s="231"/>
      <c r="L125" s="231"/>
      <c r="M125" s="231"/>
      <c r="N125" s="231"/>
      <c r="O125" s="231"/>
      <c r="P125" s="231"/>
      <c r="Q125" s="231"/>
      <c r="R125" s="231"/>
      <c r="S125" s="231"/>
      <c r="T125" s="231"/>
      <c r="U125" s="231"/>
      <c r="V125" s="231"/>
      <c r="W125" s="231"/>
      <c r="X125" s="231"/>
      <c r="Y125" s="231"/>
      <c r="Z125" s="231"/>
      <c r="AA125" s="231"/>
      <c r="AB125" s="231"/>
      <c r="AC125" s="231"/>
    </row>
    <row r="126" ht="24.75" hidden="1" customHeight="1" outlineLevel="1">
      <c r="A126" s="232">
        <v>44565.0</v>
      </c>
      <c r="B126" s="235" t="s">
        <v>736</v>
      </c>
      <c r="C126" s="240" t="s">
        <v>737</v>
      </c>
      <c r="D126" s="234" t="s">
        <v>734</v>
      </c>
      <c r="E126" s="30" t="s">
        <v>717</v>
      </c>
      <c r="F126" s="231"/>
      <c r="G126" s="231"/>
      <c r="H126" s="231"/>
      <c r="I126" s="231"/>
      <c r="J126" s="231"/>
      <c r="K126" s="231"/>
      <c r="L126" s="231"/>
      <c r="M126" s="231"/>
      <c r="N126" s="231"/>
      <c r="O126" s="231"/>
      <c r="P126" s="231"/>
      <c r="Q126" s="231"/>
      <c r="R126" s="231"/>
      <c r="S126" s="231"/>
      <c r="T126" s="231"/>
      <c r="U126" s="231"/>
      <c r="V126" s="231"/>
      <c r="W126" s="231"/>
      <c r="X126" s="231"/>
      <c r="Y126" s="231"/>
      <c r="Z126" s="231"/>
      <c r="AA126" s="231"/>
      <c r="AB126" s="231"/>
      <c r="AC126" s="231"/>
    </row>
    <row r="127" ht="24.75" hidden="1" customHeight="1" outlineLevel="1">
      <c r="A127" s="232">
        <v>44565.0</v>
      </c>
      <c r="B127" s="235" t="s">
        <v>680</v>
      </c>
      <c r="C127" s="240" t="s">
        <v>715</v>
      </c>
      <c r="D127" s="234" t="s">
        <v>739</v>
      </c>
      <c r="E127" s="30" t="s">
        <v>717</v>
      </c>
      <c r="F127" s="231"/>
      <c r="G127" s="231"/>
      <c r="H127" s="231"/>
      <c r="I127" s="231"/>
      <c r="J127" s="231"/>
      <c r="K127" s="231"/>
      <c r="L127" s="231"/>
      <c r="M127" s="231"/>
      <c r="N127" s="231"/>
      <c r="O127" s="231"/>
      <c r="P127" s="231"/>
      <c r="Q127" s="231"/>
      <c r="R127" s="231"/>
      <c r="S127" s="231"/>
      <c r="T127" s="231"/>
      <c r="U127" s="231"/>
      <c r="V127" s="231"/>
      <c r="W127" s="231"/>
      <c r="X127" s="231"/>
      <c r="Y127" s="231"/>
      <c r="Z127" s="231"/>
      <c r="AA127" s="231"/>
      <c r="AB127" s="231"/>
      <c r="AC127" s="231"/>
    </row>
    <row r="128" ht="24.75" hidden="1" customHeight="1" outlineLevel="1">
      <c r="A128" s="232">
        <v>44566.0</v>
      </c>
      <c r="B128" s="235" t="s">
        <v>708</v>
      </c>
      <c r="C128" s="234" t="s">
        <v>683</v>
      </c>
      <c r="D128" s="234" t="s">
        <v>734</v>
      </c>
      <c r="E128" s="30" t="s">
        <v>685</v>
      </c>
      <c r="F128" s="231"/>
      <c r="G128" s="231"/>
      <c r="H128" s="231"/>
      <c r="I128" s="231"/>
      <c r="J128" s="231"/>
      <c r="K128" s="231"/>
      <c r="L128" s="231"/>
      <c r="M128" s="231"/>
      <c r="N128" s="231"/>
      <c r="O128" s="231"/>
      <c r="P128" s="231"/>
      <c r="Q128" s="231"/>
      <c r="R128" s="231"/>
      <c r="S128" s="231"/>
      <c r="T128" s="231"/>
      <c r="U128" s="231"/>
      <c r="V128" s="231"/>
      <c r="W128" s="231"/>
      <c r="X128" s="231"/>
      <c r="Y128" s="231"/>
      <c r="Z128" s="231"/>
      <c r="AA128" s="231"/>
      <c r="AB128" s="231"/>
      <c r="AC128" s="231"/>
    </row>
    <row r="129" ht="24.75" hidden="1" customHeight="1" outlineLevel="1">
      <c r="A129" s="232">
        <v>44566.0</v>
      </c>
      <c r="B129" s="235" t="s">
        <v>743</v>
      </c>
      <c r="C129" s="240" t="s">
        <v>737</v>
      </c>
      <c r="D129" s="234" t="s">
        <v>734</v>
      </c>
      <c r="E129" s="30" t="s">
        <v>685</v>
      </c>
      <c r="F129" s="231"/>
      <c r="G129" s="231"/>
      <c r="H129" s="231"/>
      <c r="I129" s="231"/>
      <c r="J129" s="231"/>
      <c r="K129" s="231"/>
      <c r="L129" s="231"/>
      <c r="M129" s="231"/>
      <c r="N129" s="231"/>
      <c r="O129" s="231"/>
      <c r="P129" s="231"/>
      <c r="Q129" s="231"/>
      <c r="R129" s="231"/>
      <c r="S129" s="231"/>
      <c r="T129" s="231"/>
      <c r="U129" s="231"/>
      <c r="V129" s="231"/>
      <c r="W129" s="231"/>
      <c r="X129" s="231"/>
      <c r="Y129" s="231"/>
      <c r="Z129" s="231"/>
      <c r="AA129" s="231"/>
      <c r="AB129" s="231"/>
      <c r="AC129" s="231"/>
    </row>
    <row r="130" ht="24.75" hidden="1" customHeight="1" outlineLevel="1">
      <c r="A130" s="232">
        <v>44567.0</v>
      </c>
      <c r="B130" s="235" t="s">
        <v>745</v>
      </c>
      <c r="C130" s="240" t="s">
        <v>737</v>
      </c>
      <c r="D130" s="234" t="s">
        <v>734</v>
      </c>
      <c r="E130" s="30" t="s">
        <v>685</v>
      </c>
      <c r="F130" s="231"/>
      <c r="G130" s="231"/>
      <c r="H130" s="231"/>
      <c r="I130" s="231"/>
      <c r="J130" s="231"/>
      <c r="K130" s="231"/>
      <c r="L130" s="231"/>
      <c r="M130" s="231"/>
      <c r="N130" s="231"/>
      <c r="O130" s="231"/>
      <c r="P130" s="231"/>
      <c r="Q130" s="231"/>
      <c r="R130" s="231"/>
      <c r="S130" s="231"/>
      <c r="T130" s="231"/>
      <c r="U130" s="231"/>
      <c r="V130" s="231"/>
      <c r="W130" s="231"/>
      <c r="X130" s="231"/>
      <c r="Y130" s="231"/>
      <c r="Z130" s="231"/>
      <c r="AA130" s="231"/>
      <c r="AB130" s="231"/>
      <c r="AC130" s="231"/>
    </row>
    <row r="131" ht="24.75" customHeight="1">
      <c r="A131" s="231"/>
      <c r="B131" s="231"/>
      <c r="C131" s="231"/>
      <c r="D131" s="231"/>
      <c r="E131" s="225"/>
      <c r="F131" s="231"/>
      <c r="G131" s="231"/>
      <c r="H131" s="231"/>
      <c r="I131" s="231"/>
      <c r="J131" s="231"/>
      <c r="K131" s="231"/>
      <c r="L131" s="231"/>
      <c r="M131" s="231"/>
      <c r="N131" s="231"/>
      <c r="O131" s="231"/>
      <c r="P131" s="231"/>
      <c r="Q131" s="231"/>
      <c r="R131" s="231"/>
      <c r="S131" s="231"/>
      <c r="T131" s="231"/>
      <c r="U131" s="231"/>
      <c r="V131" s="231"/>
      <c r="W131" s="231"/>
      <c r="X131" s="231"/>
      <c r="Y131" s="231"/>
      <c r="Z131" s="231"/>
      <c r="AA131" s="231"/>
      <c r="AB131" s="231"/>
      <c r="AC131" s="231"/>
    </row>
    <row r="132" ht="24.75" customHeight="1" collapsed="1">
      <c r="A132" s="237" t="s">
        <v>777</v>
      </c>
      <c r="B132" s="231"/>
      <c r="C132" s="231"/>
      <c r="D132" s="231"/>
      <c r="E132" s="225"/>
      <c r="F132" s="231"/>
      <c r="G132" s="231"/>
      <c r="H132" s="231"/>
      <c r="I132" s="231"/>
      <c r="J132" s="231"/>
      <c r="K132" s="231"/>
      <c r="L132" s="231"/>
      <c r="M132" s="231"/>
      <c r="N132" s="231"/>
      <c r="O132" s="231"/>
      <c r="P132" s="231"/>
      <c r="Q132" s="231"/>
      <c r="R132" s="231"/>
      <c r="S132" s="231"/>
      <c r="T132" s="231"/>
      <c r="U132" s="231"/>
      <c r="V132" s="231"/>
      <c r="W132" s="231"/>
      <c r="X132" s="231"/>
      <c r="Y132" s="231"/>
      <c r="Z132" s="231"/>
      <c r="AA132" s="231"/>
      <c r="AB132" s="231"/>
      <c r="AC132" s="231"/>
    </row>
    <row r="133" ht="24.75" hidden="1" customHeight="1" outlineLevel="1">
      <c r="A133" s="250" t="s">
        <v>647</v>
      </c>
      <c r="B133" s="251" t="s">
        <v>648</v>
      </c>
      <c r="C133" s="251" t="s">
        <v>649</v>
      </c>
      <c r="D133" s="251" t="s">
        <v>650</v>
      </c>
      <c r="E133" s="251" t="s">
        <v>651</v>
      </c>
      <c r="F133" s="231"/>
      <c r="G133" s="231"/>
      <c r="H133" s="231"/>
      <c r="I133" s="231"/>
      <c r="J133" s="231"/>
      <c r="K133" s="231"/>
      <c r="L133" s="231"/>
      <c r="M133" s="231"/>
      <c r="N133" s="231"/>
      <c r="O133" s="231"/>
      <c r="P133" s="231"/>
      <c r="Q133" s="231"/>
      <c r="R133" s="231"/>
      <c r="S133" s="231"/>
      <c r="T133" s="231"/>
      <c r="U133" s="231"/>
      <c r="V133" s="231"/>
      <c r="W133" s="231"/>
      <c r="X133" s="231"/>
      <c r="Y133" s="231"/>
      <c r="Z133" s="231"/>
      <c r="AA133" s="231"/>
      <c r="AB133" s="231"/>
      <c r="AC133" s="231"/>
    </row>
    <row r="134" ht="24.75" hidden="1" customHeight="1" outlineLevel="1">
      <c r="A134" s="252">
        <v>44603.0</v>
      </c>
      <c r="B134" s="253" t="s">
        <v>678</v>
      </c>
      <c r="C134" s="254"/>
      <c r="D134" s="256" t="s">
        <v>778</v>
      </c>
      <c r="E134" s="255" t="s">
        <v>717</v>
      </c>
      <c r="F134" s="237"/>
      <c r="G134" s="237"/>
      <c r="H134" s="237" t="s">
        <v>779</v>
      </c>
      <c r="I134" s="231"/>
      <c r="J134" s="231"/>
      <c r="K134" s="231"/>
      <c r="L134" s="231"/>
      <c r="M134" s="231"/>
      <c r="N134" s="231"/>
      <c r="O134" s="231"/>
      <c r="P134" s="231"/>
      <c r="Q134" s="231"/>
      <c r="R134" s="231"/>
      <c r="S134" s="231"/>
      <c r="T134" s="231"/>
      <c r="U134" s="231"/>
      <c r="V134" s="231"/>
      <c r="W134" s="231"/>
      <c r="X134" s="231"/>
      <c r="Y134" s="231"/>
      <c r="Z134" s="231"/>
      <c r="AA134" s="231"/>
      <c r="AB134" s="231"/>
      <c r="AC134" s="231"/>
    </row>
    <row r="135" ht="24.75" hidden="1" customHeight="1" outlineLevel="1">
      <c r="A135" s="252">
        <v>44603.0</v>
      </c>
      <c r="B135" s="253" t="s">
        <v>663</v>
      </c>
      <c r="C135" s="254" t="s">
        <v>690</v>
      </c>
      <c r="D135" s="256" t="s">
        <v>780</v>
      </c>
      <c r="E135" s="255" t="s">
        <v>685</v>
      </c>
      <c r="F135" s="231"/>
      <c r="G135" s="231"/>
      <c r="H135" s="231"/>
      <c r="I135" s="231"/>
      <c r="J135" s="231"/>
      <c r="K135" s="231"/>
      <c r="L135" s="231"/>
      <c r="M135" s="231"/>
      <c r="N135" s="231"/>
      <c r="O135" s="231"/>
      <c r="P135" s="231"/>
      <c r="Q135" s="231"/>
      <c r="R135" s="231"/>
      <c r="S135" s="231"/>
      <c r="T135" s="231"/>
      <c r="U135" s="231"/>
      <c r="V135" s="231"/>
      <c r="W135" s="231"/>
      <c r="X135" s="231"/>
      <c r="Y135" s="231"/>
      <c r="Z135" s="231"/>
      <c r="AA135" s="231"/>
      <c r="AB135" s="231"/>
      <c r="AC135" s="231"/>
    </row>
    <row r="136" ht="24.75" hidden="1" customHeight="1" outlineLevel="1">
      <c r="A136" s="252">
        <v>44604.0</v>
      </c>
      <c r="B136" s="235" t="s">
        <v>720</v>
      </c>
      <c r="C136" s="240" t="s">
        <v>741</v>
      </c>
      <c r="D136" s="234" t="s">
        <v>657</v>
      </c>
      <c r="E136" s="255" t="s">
        <v>685</v>
      </c>
      <c r="F136" s="231"/>
      <c r="G136" s="231"/>
      <c r="H136" s="231"/>
      <c r="I136" s="231"/>
      <c r="J136" s="231"/>
      <c r="K136" s="231"/>
      <c r="L136" s="231"/>
      <c r="M136" s="231"/>
      <c r="N136" s="231"/>
      <c r="O136" s="231"/>
      <c r="P136" s="231"/>
      <c r="Q136" s="231"/>
      <c r="R136" s="231"/>
      <c r="S136" s="231"/>
      <c r="T136" s="231"/>
      <c r="U136" s="231"/>
      <c r="V136" s="231"/>
      <c r="W136" s="231"/>
      <c r="X136" s="231"/>
      <c r="Y136" s="231"/>
      <c r="Z136" s="231"/>
      <c r="AA136" s="231"/>
      <c r="AB136" s="231"/>
      <c r="AC136" s="231"/>
    </row>
    <row r="137" ht="24.75" hidden="1" customHeight="1" outlineLevel="1">
      <c r="A137" s="252">
        <v>44604.0</v>
      </c>
      <c r="B137" s="235" t="s">
        <v>692</v>
      </c>
      <c r="C137" s="240" t="s">
        <v>781</v>
      </c>
      <c r="D137" s="234" t="s">
        <v>782</v>
      </c>
      <c r="E137" s="255" t="s">
        <v>703</v>
      </c>
      <c r="F137" s="237"/>
      <c r="G137" s="237"/>
      <c r="H137" s="237" t="s">
        <v>783</v>
      </c>
      <c r="I137" s="231"/>
      <c r="J137" s="231"/>
      <c r="K137" s="231"/>
      <c r="L137" s="231"/>
      <c r="M137" s="231"/>
      <c r="N137" s="231"/>
      <c r="O137" s="231"/>
      <c r="P137" s="231"/>
      <c r="Q137" s="231"/>
      <c r="R137" s="231"/>
      <c r="S137" s="231"/>
      <c r="T137" s="231"/>
      <c r="U137" s="231"/>
      <c r="V137" s="231"/>
      <c r="W137" s="231"/>
      <c r="X137" s="231"/>
      <c r="Y137" s="231"/>
      <c r="Z137" s="231"/>
      <c r="AA137" s="231"/>
      <c r="AB137" s="231"/>
      <c r="AC137" s="231"/>
    </row>
    <row r="138" ht="24.75" hidden="1" customHeight="1" outlineLevel="1">
      <c r="A138" s="252">
        <v>44604.0</v>
      </c>
      <c r="B138" s="257" t="s">
        <v>695</v>
      </c>
      <c r="C138" s="234" t="s">
        <v>784</v>
      </c>
      <c r="D138" s="234" t="s">
        <v>785</v>
      </c>
      <c r="E138" s="255" t="s">
        <v>685</v>
      </c>
      <c r="F138" s="231"/>
      <c r="G138" s="231"/>
      <c r="H138" s="231"/>
      <c r="I138" s="231"/>
      <c r="J138" s="231"/>
      <c r="K138" s="231"/>
      <c r="L138" s="231"/>
      <c r="M138" s="231"/>
      <c r="N138" s="231"/>
      <c r="O138" s="231"/>
      <c r="P138" s="231"/>
      <c r="Q138" s="231"/>
      <c r="R138" s="231"/>
      <c r="S138" s="231"/>
      <c r="T138" s="231"/>
      <c r="U138" s="231"/>
      <c r="V138" s="231"/>
      <c r="W138" s="231"/>
      <c r="X138" s="231"/>
      <c r="Y138" s="231"/>
      <c r="Z138" s="231"/>
      <c r="AA138" s="231"/>
      <c r="AB138" s="231"/>
      <c r="AC138" s="231"/>
    </row>
    <row r="139" ht="24.75" hidden="1" customHeight="1" outlineLevel="1">
      <c r="A139" s="252">
        <v>44604.0</v>
      </c>
      <c r="B139" s="235" t="s">
        <v>691</v>
      </c>
      <c r="C139" s="240" t="s">
        <v>715</v>
      </c>
      <c r="D139" s="258" t="s">
        <v>786</v>
      </c>
      <c r="E139" s="255" t="s">
        <v>717</v>
      </c>
      <c r="F139" s="231"/>
      <c r="G139" s="231"/>
      <c r="H139" s="231"/>
      <c r="I139" s="231"/>
      <c r="J139" s="231"/>
      <c r="K139" s="231"/>
      <c r="L139" s="231"/>
      <c r="M139" s="231"/>
      <c r="N139" s="231"/>
      <c r="O139" s="231"/>
      <c r="P139" s="231"/>
      <c r="Q139" s="231"/>
      <c r="R139" s="231"/>
      <c r="S139" s="231"/>
      <c r="T139" s="231"/>
      <c r="U139" s="231"/>
      <c r="V139" s="231"/>
      <c r="W139" s="231"/>
      <c r="X139" s="231"/>
      <c r="Y139" s="231"/>
      <c r="Z139" s="231"/>
      <c r="AA139" s="231"/>
      <c r="AB139" s="231"/>
      <c r="AC139" s="231"/>
    </row>
    <row r="140" ht="24.75" hidden="1" customHeight="1" outlineLevel="1">
      <c r="A140" s="252">
        <v>44605.0</v>
      </c>
      <c r="B140" s="235" t="s">
        <v>669</v>
      </c>
      <c r="C140" s="240" t="s">
        <v>787</v>
      </c>
      <c r="D140" s="234" t="s">
        <v>788</v>
      </c>
      <c r="E140" s="255" t="s">
        <v>685</v>
      </c>
      <c r="F140" s="231"/>
      <c r="G140" s="231"/>
      <c r="H140" s="231"/>
      <c r="I140" s="231"/>
      <c r="J140" s="231"/>
      <c r="K140" s="231"/>
      <c r="L140" s="231"/>
      <c r="M140" s="231"/>
      <c r="N140" s="231"/>
      <c r="O140" s="231"/>
      <c r="P140" s="231"/>
      <c r="Q140" s="231"/>
      <c r="R140" s="231"/>
      <c r="S140" s="231"/>
      <c r="T140" s="231"/>
      <c r="U140" s="231"/>
      <c r="V140" s="231"/>
      <c r="W140" s="231"/>
      <c r="X140" s="231"/>
      <c r="Y140" s="231"/>
      <c r="Z140" s="231"/>
      <c r="AA140" s="231"/>
      <c r="AB140" s="231"/>
      <c r="AC140" s="231"/>
    </row>
    <row r="141" ht="24.75" hidden="1" customHeight="1" outlineLevel="1">
      <c r="A141" s="252">
        <v>44605.0</v>
      </c>
      <c r="B141" s="257" t="s">
        <v>671</v>
      </c>
      <c r="C141" s="240" t="s">
        <v>741</v>
      </c>
      <c r="D141" s="234" t="s">
        <v>789</v>
      </c>
      <c r="E141" s="255" t="s">
        <v>685</v>
      </c>
      <c r="F141" s="231"/>
      <c r="G141" s="231"/>
      <c r="H141" s="231"/>
      <c r="I141" s="231"/>
      <c r="J141" s="231"/>
      <c r="K141" s="231"/>
      <c r="L141" s="231"/>
      <c r="M141" s="231"/>
      <c r="N141" s="231"/>
      <c r="O141" s="231"/>
      <c r="P141" s="231"/>
      <c r="Q141" s="231"/>
      <c r="R141" s="231"/>
      <c r="S141" s="231"/>
      <c r="T141" s="231"/>
      <c r="U141" s="231"/>
      <c r="V141" s="231"/>
      <c r="W141" s="231"/>
      <c r="X141" s="231"/>
      <c r="Y141" s="231"/>
      <c r="Z141" s="231"/>
      <c r="AA141" s="231"/>
      <c r="AB141" s="231"/>
      <c r="AC141" s="231"/>
    </row>
    <row r="142" ht="24.75" hidden="1" customHeight="1" outlineLevel="1">
      <c r="A142" s="252">
        <v>44605.0</v>
      </c>
      <c r="B142" s="259" t="s">
        <v>728</v>
      </c>
      <c r="C142" s="235" t="s">
        <v>790</v>
      </c>
      <c r="D142" s="256" t="s">
        <v>791</v>
      </c>
      <c r="E142" s="255" t="s">
        <v>685</v>
      </c>
      <c r="F142" s="237"/>
      <c r="G142" s="237"/>
      <c r="H142" s="237" t="s">
        <v>792</v>
      </c>
      <c r="I142" s="231"/>
      <c r="J142" s="231"/>
      <c r="K142" s="231"/>
      <c r="L142" s="231"/>
      <c r="M142" s="231"/>
      <c r="N142" s="231"/>
      <c r="O142" s="231"/>
      <c r="P142" s="231"/>
      <c r="Q142" s="231"/>
      <c r="R142" s="231"/>
      <c r="S142" s="231"/>
      <c r="T142" s="231"/>
      <c r="U142" s="231"/>
      <c r="V142" s="231"/>
      <c r="W142" s="231"/>
      <c r="X142" s="231"/>
      <c r="Y142" s="231"/>
      <c r="Z142" s="231"/>
      <c r="AA142" s="231"/>
      <c r="AB142" s="231"/>
      <c r="AC142" s="231"/>
    </row>
    <row r="143" ht="24.75" hidden="1" customHeight="1" outlineLevel="1">
      <c r="A143" s="252">
        <v>44606.0</v>
      </c>
      <c r="B143" s="260" t="s">
        <v>697</v>
      </c>
      <c r="C143" s="256" t="s">
        <v>793</v>
      </c>
      <c r="D143" s="234" t="s">
        <v>789</v>
      </c>
      <c r="E143" s="255" t="s">
        <v>685</v>
      </c>
      <c r="F143" s="231"/>
      <c r="G143" s="231"/>
      <c r="H143" s="231"/>
      <c r="I143" s="231"/>
      <c r="J143" s="231"/>
      <c r="K143" s="231"/>
      <c r="L143" s="231"/>
      <c r="M143" s="231"/>
      <c r="N143" s="231"/>
      <c r="O143" s="231"/>
      <c r="P143" s="231"/>
      <c r="Q143" s="231"/>
      <c r="R143" s="231"/>
      <c r="S143" s="231"/>
      <c r="T143" s="231"/>
      <c r="U143" s="231"/>
      <c r="V143" s="231"/>
      <c r="W143" s="231"/>
      <c r="X143" s="231"/>
      <c r="Y143" s="231"/>
      <c r="Z143" s="231"/>
      <c r="AA143" s="231"/>
      <c r="AB143" s="231"/>
      <c r="AC143" s="231"/>
    </row>
    <row r="144" ht="24.75" hidden="1" customHeight="1" outlineLevel="1">
      <c r="A144" s="252">
        <v>44606.0</v>
      </c>
      <c r="B144" s="253" t="s">
        <v>699</v>
      </c>
      <c r="C144" s="261" t="s">
        <v>794</v>
      </c>
      <c r="D144" s="256" t="s">
        <v>791</v>
      </c>
      <c r="E144" s="255" t="s">
        <v>685</v>
      </c>
      <c r="F144" s="231"/>
      <c r="G144" s="231"/>
      <c r="H144" s="231"/>
      <c r="I144" s="231"/>
      <c r="J144" s="231"/>
      <c r="K144" s="231"/>
      <c r="L144" s="231"/>
      <c r="M144" s="231"/>
      <c r="N144" s="231"/>
      <c r="O144" s="231"/>
      <c r="P144" s="231"/>
      <c r="Q144" s="231"/>
      <c r="R144" s="231"/>
      <c r="S144" s="231"/>
      <c r="T144" s="231"/>
      <c r="U144" s="231"/>
      <c r="V144" s="231"/>
      <c r="W144" s="231"/>
      <c r="X144" s="231"/>
      <c r="Y144" s="231"/>
      <c r="Z144" s="231"/>
      <c r="AA144" s="231"/>
      <c r="AB144" s="231"/>
      <c r="AC144" s="231"/>
    </row>
    <row r="145" ht="24.75" customHeight="1">
      <c r="A145" s="231"/>
      <c r="B145" s="231"/>
      <c r="C145" s="231"/>
      <c r="D145" s="231"/>
      <c r="E145" s="225"/>
      <c r="F145" s="231"/>
      <c r="G145" s="231"/>
      <c r="H145" s="231"/>
      <c r="I145" s="231"/>
      <c r="J145" s="231"/>
      <c r="K145" s="231"/>
      <c r="L145" s="231"/>
      <c r="M145" s="231"/>
      <c r="N145" s="231"/>
      <c r="O145" s="231"/>
      <c r="P145" s="231"/>
      <c r="Q145" s="231"/>
      <c r="R145" s="231"/>
      <c r="S145" s="231"/>
      <c r="T145" s="231"/>
      <c r="U145" s="231"/>
      <c r="V145" s="231"/>
      <c r="W145" s="231"/>
      <c r="X145" s="231"/>
      <c r="Y145" s="231"/>
      <c r="Z145" s="231"/>
      <c r="AA145" s="231"/>
      <c r="AB145" s="231"/>
      <c r="AC145" s="231"/>
    </row>
    <row r="146" ht="24.75" customHeight="1" collapsed="1">
      <c r="A146" s="262" t="s">
        <v>795</v>
      </c>
      <c r="B146" s="249"/>
      <c r="C146" s="249"/>
      <c r="D146" s="249"/>
      <c r="E146" s="249"/>
      <c r="F146" s="231"/>
      <c r="G146" s="231"/>
      <c r="H146" s="231"/>
      <c r="I146" s="231"/>
      <c r="J146" s="231"/>
      <c r="K146" s="231"/>
      <c r="L146" s="231"/>
      <c r="M146" s="231"/>
      <c r="N146" s="231"/>
      <c r="O146" s="231"/>
      <c r="P146" s="231"/>
      <c r="Q146" s="231"/>
      <c r="R146" s="231"/>
      <c r="S146" s="231"/>
      <c r="T146" s="231"/>
      <c r="U146" s="231"/>
      <c r="V146" s="231"/>
      <c r="W146" s="231"/>
      <c r="X146" s="231"/>
      <c r="Y146" s="231"/>
      <c r="Z146" s="231"/>
      <c r="AA146" s="231"/>
      <c r="AB146" s="231"/>
      <c r="AC146" s="231"/>
    </row>
    <row r="147" ht="24.75" hidden="1" customHeight="1" outlineLevel="1">
      <c r="A147" s="263" t="s">
        <v>647</v>
      </c>
      <c r="B147" s="264" t="s">
        <v>648</v>
      </c>
      <c r="C147" s="264" t="s">
        <v>649</v>
      </c>
      <c r="D147" s="264" t="s">
        <v>650</v>
      </c>
      <c r="E147" s="264" t="s">
        <v>651</v>
      </c>
      <c r="F147" s="231"/>
      <c r="G147" s="231"/>
      <c r="H147" s="231"/>
      <c r="I147" s="231"/>
      <c r="J147" s="231"/>
      <c r="K147" s="231"/>
      <c r="L147" s="231"/>
      <c r="M147" s="231"/>
      <c r="N147" s="231"/>
      <c r="O147" s="231"/>
      <c r="P147" s="231"/>
      <c r="Q147" s="231"/>
      <c r="R147" s="231"/>
      <c r="S147" s="231"/>
      <c r="T147" s="231"/>
      <c r="U147" s="231"/>
      <c r="V147" s="231"/>
      <c r="W147" s="231"/>
      <c r="X147" s="231"/>
      <c r="Y147" s="231"/>
      <c r="Z147" s="231"/>
      <c r="AA147" s="231"/>
      <c r="AB147" s="231"/>
      <c r="AC147" s="231"/>
    </row>
    <row r="148" ht="24.75" hidden="1" customHeight="1" outlineLevel="1">
      <c r="A148" s="232">
        <v>44615.0</v>
      </c>
      <c r="B148" s="235" t="s">
        <v>708</v>
      </c>
      <c r="C148" s="256" t="s">
        <v>793</v>
      </c>
      <c r="D148" s="234" t="s">
        <v>796</v>
      </c>
      <c r="E148" s="30" t="s">
        <v>685</v>
      </c>
      <c r="F148" s="231"/>
      <c r="G148" s="231"/>
      <c r="H148" s="231"/>
      <c r="I148" s="231"/>
      <c r="J148" s="231"/>
      <c r="K148" s="231"/>
      <c r="L148" s="231"/>
      <c r="M148" s="231"/>
      <c r="N148" s="231"/>
      <c r="O148" s="231"/>
      <c r="P148" s="231"/>
      <c r="Q148" s="231"/>
      <c r="R148" s="231"/>
      <c r="S148" s="231"/>
      <c r="T148" s="231"/>
      <c r="U148" s="231"/>
      <c r="V148" s="231"/>
      <c r="W148" s="231"/>
      <c r="X148" s="231"/>
      <c r="Y148" s="231"/>
      <c r="Z148" s="231"/>
      <c r="AA148" s="231"/>
      <c r="AB148" s="231"/>
      <c r="AC148" s="231"/>
    </row>
    <row r="149" ht="24.75" customHeight="1">
      <c r="A149" s="231"/>
      <c r="B149" s="231"/>
      <c r="C149" s="231"/>
      <c r="D149" s="231"/>
      <c r="E149" s="225"/>
      <c r="F149" s="231"/>
      <c r="G149" s="231"/>
      <c r="H149" s="231"/>
      <c r="I149" s="231"/>
      <c r="J149" s="231"/>
      <c r="K149" s="231"/>
      <c r="L149" s="231"/>
      <c r="M149" s="231"/>
      <c r="N149" s="231"/>
      <c r="O149" s="231"/>
      <c r="P149" s="231"/>
      <c r="Q149" s="231"/>
      <c r="R149" s="231"/>
      <c r="S149" s="231"/>
      <c r="T149" s="231"/>
      <c r="U149" s="231"/>
      <c r="V149" s="231"/>
      <c r="W149" s="231"/>
      <c r="X149" s="231"/>
      <c r="Y149" s="231"/>
      <c r="Z149" s="231"/>
      <c r="AA149" s="231"/>
      <c r="AB149" s="231"/>
      <c r="AC149" s="231"/>
    </row>
    <row r="150" ht="24.75" customHeight="1" collapsed="1">
      <c r="A150" s="262" t="s">
        <v>797</v>
      </c>
      <c r="B150" s="249"/>
      <c r="C150" s="249"/>
      <c r="D150" s="249"/>
      <c r="E150" s="249"/>
      <c r="F150" s="231"/>
      <c r="G150" s="231"/>
      <c r="H150" s="231"/>
      <c r="I150" s="231"/>
      <c r="J150" s="231"/>
      <c r="K150" s="231"/>
      <c r="L150" s="231"/>
      <c r="M150" s="231"/>
      <c r="N150" s="231"/>
      <c r="O150" s="231"/>
      <c r="P150" s="231"/>
      <c r="Q150" s="231"/>
      <c r="R150" s="231"/>
      <c r="S150" s="231"/>
      <c r="T150" s="231"/>
      <c r="U150" s="231"/>
      <c r="V150" s="231"/>
      <c r="W150" s="231"/>
      <c r="X150" s="231"/>
      <c r="Y150" s="231"/>
      <c r="Z150" s="231"/>
      <c r="AA150" s="231"/>
      <c r="AB150" s="231"/>
      <c r="AC150" s="231"/>
    </row>
    <row r="151" ht="24.75" hidden="1" customHeight="1" outlineLevel="1">
      <c r="A151" s="265" t="s">
        <v>647</v>
      </c>
      <c r="B151" s="266" t="s">
        <v>648</v>
      </c>
      <c r="C151" s="266" t="s">
        <v>649</v>
      </c>
      <c r="D151" s="266" t="s">
        <v>650</v>
      </c>
      <c r="E151" s="266" t="s">
        <v>651</v>
      </c>
      <c r="F151" s="231"/>
      <c r="G151" s="231"/>
      <c r="H151" s="231"/>
      <c r="I151" s="231"/>
      <c r="J151" s="231"/>
      <c r="K151" s="231"/>
      <c r="L151" s="231"/>
      <c r="M151" s="231"/>
      <c r="N151" s="231"/>
      <c r="O151" s="231"/>
      <c r="P151" s="231"/>
      <c r="Q151" s="231"/>
      <c r="R151" s="231"/>
      <c r="S151" s="231"/>
      <c r="T151" s="231"/>
      <c r="U151" s="231"/>
      <c r="V151" s="231"/>
      <c r="W151" s="231"/>
      <c r="X151" s="231"/>
      <c r="Y151" s="231"/>
      <c r="Z151" s="231"/>
      <c r="AA151" s="231"/>
      <c r="AB151" s="231"/>
      <c r="AC151" s="231"/>
    </row>
    <row r="152" ht="24.75" hidden="1" customHeight="1" outlineLevel="1">
      <c r="A152" s="232">
        <v>44640.0</v>
      </c>
      <c r="B152" s="235" t="s">
        <v>669</v>
      </c>
      <c r="C152" s="240" t="s">
        <v>737</v>
      </c>
      <c r="D152" s="234" t="s">
        <v>657</v>
      </c>
      <c r="E152" s="30" t="s">
        <v>685</v>
      </c>
      <c r="F152" s="267"/>
      <c r="G152" s="267"/>
      <c r="H152" s="268" t="s">
        <v>798</v>
      </c>
      <c r="I152" s="231"/>
      <c r="J152" s="231"/>
      <c r="K152" s="231"/>
      <c r="L152" s="231"/>
      <c r="M152" s="231"/>
      <c r="N152" s="231"/>
      <c r="O152" s="231"/>
      <c r="P152" s="231"/>
      <c r="Q152" s="231"/>
      <c r="R152" s="231"/>
      <c r="S152" s="231"/>
      <c r="T152" s="231"/>
      <c r="U152" s="231"/>
      <c r="V152" s="231"/>
      <c r="W152" s="231"/>
      <c r="X152" s="231"/>
      <c r="Y152" s="231"/>
      <c r="Z152" s="231"/>
      <c r="AA152" s="231"/>
      <c r="AB152" s="231"/>
      <c r="AC152" s="231"/>
    </row>
    <row r="153" ht="24.75" hidden="1" customHeight="1" outlineLevel="1">
      <c r="A153" s="269">
        <v>44640.0</v>
      </c>
      <c r="B153" s="270" t="s">
        <v>671</v>
      </c>
      <c r="C153" s="271" t="s">
        <v>741</v>
      </c>
      <c r="D153" s="271" t="s">
        <v>799</v>
      </c>
      <c r="E153" s="272"/>
      <c r="F153" s="237"/>
      <c r="G153" s="237"/>
      <c r="H153" s="237" t="s">
        <v>800</v>
      </c>
      <c r="I153" s="231"/>
      <c r="J153" s="231"/>
      <c r="K153" s="231"/>
      <c r="L153" s="231"/>
      <c r="M153" s="231"/>
      <c r="N153" s="231"/>
      <c r="O153" s="231"/>
      <c r="P153" s="231"/>
      <c r="Q153" s="231"/>
      <c r="R153" s="231"/>
      <c r="S153" s="231"/>
      <c r="T153" s="231"/>
      <c r="U153" s="231"/>
      <c r="V153" s="231"/>
      <c r="W153" s="231"/>
      <c r="X153" s="231"/>
      <c r="Y153" s="231"/>
      <c r="Z153" s="231"/>
      <c r="AA153" s="231"/>
      <c r="AB153" s="231"/>
      <c r="AC153" s="231"/>
    </row>
    <row r="154" ht="24.75" hidden="1" customHeight="1" outlineLevel="1">
      <c r="A154" s="269">
        <v>44641.0</v>
      </c>
      <c r="B154" s="270" t="s">
        <v>697</v>
      </c>
      <c r="C154" s="273" t="s">
        <v>793</v>
      </c>
      <c r="D154" s="271" t="s">
        <v>799</v>
      </c>
      <c r="E154" s="272"/>
      <c r="F154" s="237"/>
      <c r="G154" s="237"/>
      <c r="H154" s="237" t="s">
        <v>800</v>
      </c>
      <c r="I154" s="231"/>
      <c r="J154" s="231"/>
      <c r="K154" s="231"/>
      <c r="L154" s="231"/>
      <c r="M154" s="231"/>
      <c r="N154" s="231"/>
      <c r="O154" s="231"/>
      <c r="P154" s="231"/>
      <c r="Q154" s="231"/>
      <c r="R154" s="231"/>
      <c r="S154" s="231"/>
      <c r="T154" s="231"/>
      <c r="U154" s="231"/>
      <c r="V154" s="231"/>
      <c r="W154" s="231"/>
      <c r="X154" s="231"/>
      <c r="Y154" s="231"/>
      <c r="Z154" s="231"/>
      <c r="AA154" s="231"/>
      <c r="AB154" s="231"/>
      <c r="AC154" s="231"/>
    </row>
    <row r="155" ht="24.75" hidden="1" customHeight="1" outlineLevel="1">
      <c r="A155" s="232">
        <v>44641.0</v>
      </c>
      <c r="B155" s="235" t="s">
        <v>801</v>
      </c>
      <c r="C155" s="235" t="s">
        <v>715</v>
      </c>
      <c r="D155" s="235" t="s">
        <v>802</v>
      </c>
      <c r="E155" s="30" t="s">
        <v>717</v>
      </c>
      <c r="F155" s="237"/>
      <c r="G155" s="237"/>
      <c r="H155" s="237" t="s">
        <v>803</v>
      </c>
      <c r="I155" s="231"/>
      <c r="J155" s="231"/>
      <c r="K155" s="231"/>
      <c r="L155" s="231"/>
      <c r="M155" s="231"/>
      <c r="N155" s="231"/>
      <c r="O155" s="231"/>
      <c r="P155" s="231"/>
      <c r="Q155" s="231"/>
      <c r="R155" s="231"/>
      <c r="S155" s="231"/>
      <c r="T155" s="231"/>
      <c r="U155" s="231"/>
      <c r="V155" s="231"/>
      <c r="W155" s="231"/>
      <c r="X155" s="231"/>
      <c r="Y155" s="231"/>
      <c r="Z155" s="231"/>
      <c r="AA155" s="231"/>
      <c r="AB155" s="231"/>
      <c r="AC155" s="231"/>
    </row>
    <row r="156" ht="24.75" hidden="1" customHeight="1" outlineLevel="1">
      <c r="A156" s="269">
        <v>44641.0</v>
      </c>
      <c r="B156" s="270" t="s">
        <v>699</v>
      </c>
      <c r="C156" s="274" t="s">
        <v>794</v>
      </c>
      <c r="D156" s="271" t="s">
        <v>804</v>
      </c>
      <c r="E156" s="272"/>
      <c r="F156" s="237"/>
      <c r="G156" s="237"/>
      <c r="H156" s="237" t="s">
        <v>800</v>
      </c>
      <c r="I156" s="231"/>
      <c r="J156" s="231"/>
      <c r="K156" s="231"/>
      <c r="L156" s="231"/>
      <c r="M156" s="231"/>
      <c r="N156" s="231"/>
      <c r="O156" s="231"/>
      <c r="P156" s="231"/>
      <c r="Q156" s="231"/>
      <c r="R156" s="231"/>
      <c r="S156" s="231"/>
      <c r="T156" s="231"/>
      <c r="U156" s="231"/>
      <c r="V156" s="231"/>
      <c r="W156" s="231"/>
      <c r="X156" s="231"/>
      <c r="Y156" s="231"/>
      <c r="Z156" s="231"/>
      <c r="AA156" s="231"/>
      <c r="AB156" s="231"/>
      <c r="AC156" s="231"/>
    </row>
    <row r="157" ht="24.75" hidden="1" customHeight="1" outlineLevel="1">
      <c r="A157" s="232">
        <v>44642.0</v>
      </c>
      <c r="B157" s="235" t="s">
        <v>805</v>
      </c>
      <c r="C157" s="235" t="s">
        <v>715</v>
      </c>
      <c r="D157" s="235" t="s">
        <v>802</v>
      </c>
      <c r="E157" s="30" t="s">
        <v>717</v>
      </c>
      <c r="F157" s="231"/>
      <c r="G157" s="231"/>
      <c r="H157" s="231"/>
      <c r="I157" s="231"/>
      <c r="J157" s="231"/>
      <c r="K157" s="231"/>
      <c r="L157" s="231"/>
      <c r="M157" s="231"/>
      <c r="N157" s="231"/>
      <c r="O157" s="231"/>
      <c r="P157" s="231"/>
      <c r="Q157" s="231"/>
      <c r="R157" s="231"/>
      <c r="S157" s="231"/>
      <c r="T157" s="231"/>
      <c r="U157" s="231"/>
      <c r="V157" s="231"/>
      <c r="W157" s="231"/>
      <c r="X157" s="231"/>
      <c r="Y157" s="231"/>
      <c r="Z157" s="231"/>
      <c r="AA157" s="231"/>
      <c r="AB157" s="231"/>
      <c r="AC157" s="231"/>
    </row>
    <row r="158" ht="24.75" hidden="1" customHeight="1" outlineLevel="1">
      <c r="A158" s="232">
        <v>44642.0</v>
      </c>
      <c r="B158" s="235" t="s">
        <v>806</v>
      </c>
      <c r="C158" s="256" t="s">
        <v>715</v>
      </c>
      <c r="D158" s="235" t="s">
        <v>802</v>
      </c>
      <c r="E158" s="255" t="s">
        <v>717</v>
      </c>
      <c r="F158" s="237"/>
      <c r="G158" s="237"/>
      <c r="H158" s="237" t="s">
        <v>807</v>
      </c>
      <c r="I158" s="231"/>
      <c r="J158" s="231"/>
      <c r="K158" s="231"/>
      <c r="L158" s="231"/>
      <c r="M158" s="231"/>
      <c r="N158" s="231"/>
      <c r="O158" s="231"/>
      <c r="P158" s="231"/>
      <c r="Q158" s="231"/>
      <c r="R158" s="231"/>
      <c r="S158" s="231"/>
      <c r="T158" s="231"/>
      <c r="U158" s="231"/>
      <c r="V158" s="231"/>
      <c r="W158" s="231"/>
      <c r="X158" s="231"/>
      <c r="Y158" s="231"/>
      <c r="Z158" s="231"/>
      <c r="AA158" s="231"/>
      <c r="AB158" s="231"/>
      <c r="AC158" s="231"/>
    </row>
    <row r="159" ht="24.75" hidden="1" customHeight="1" outlineLevel="1">
      <c r="A159" s="232">
        <v>44642.0</v>
      </c>
      <c r="B159" s="235" t="s">
        <v>808</v>
      </c>
      <c r="C159" s="256" t="s">
        <v>715</v>
      </c>
      <c r="D159" s="235" t="s">
        <v>802</v>
      </c>
      <c r="E159" s="255" t="s">
        <v>717</v>
      </c>
      <c r="F159" s="237"/>
      <c r="G159" s="237"/>
      <c r="H159" s="237" t="s">
        <v>809</v>
      </c>
      <c r="I159" s="231"/>
      <c r="J159" s="231"/>
      <c r="K159" s="231"/>
      <c r="L159" s="231"/>
      <c r="M159" s="231"/>
      <c r="N159" s="231"/>
      <c r="O159" s="231"/>
      <c r="P159" s="231"/>
      <c r="Q159" s="231"/>
      <c r="R159" s="231"/>
      <c r="S159" s="231"/>
      <c r="T159" s="231"/>
      <c r="U159" s="231"/>
      <c r="V159" s="231"/>
      <c r="W159" s="231"/>
      <c r="X159" s="231"/>
      <c r="Y159" s="231"/>
      <c r="Z159" s="231"/>
      <c r="AA159" s="231"/>
      <c r="AB159" s="231"/>
      <c r="AC159" s="231"/>
    </row>
    <row r="160" ht="24.75" customHeight="1">
      <c r="A160" s="231"/>
      <c r="B160" s="231"/>
      <c r="C160" s="231"/>
      <c r="D160" s="231"/>
      <c r="E160" s="225"/>
      <c r="F160" s="231"/>
      <c r="G160" s="231"/>
      <c r="H160" s="231"/>
      <c r="I160" s="231"/>
      <c r="J160" s="231"/>
      <c r="K160" s="231"/>
      <c r="L160" s="231"/>
      <c r="M160" s="231"/>
      <c r="N160" s="231"/>
      <c r="O160" s="231"/>
      <c r="P160" s="231"/>
      <c r="Q160" s="231"/>
      <c r="R160" s="231"/>
      <c r="S160" s="231"/>
      <c r="T160" s="231"/>
      <c r="U160" s="231"/>
      <c r="V160" s="231"/>
      <c r="W160" s="231"/>
      <c r="X160" s="231"/>
      <c r="Y160" s="231"/>
      <c r="Z160" s="231"/>
      <c r="AA160" s="231"/>
      <c r="AB160" s="231"/>
      <c r="AC160" s="231"/>
    </row>
    <row r="161" ht="24.75" customHeight="1" collapsed="1">
      <c r="A161" s="223" t="s">
        <v>810</v>
      </c>
      <c r="B161" s="231"/>
      <c r="C161" s="231"/>
      <c r="D161" s="231"/>
      <c r="E161" s="225"/>
      <c r="F161" s="231"/>
      <c r="G161" s="231"/>
      <c r="H161" s="231"/>
      <c r="I161" s="231"/>
      <c r="J161" s="231"/>
      <c r="K161" s="231"/>
      <c r="L161" s="231"/>
      <c r="M161" s="231"/>
      <c r="N161" s="231"/>
      <c r="O161" s="231"/>
      <c r="P161" s="231"/>
      <c r="Q161" s="231"/>
      <c r="R161" s="231"/>
      <c r="S161" s="231"/>
      <c r="T161" s="231"/>
      <c r="U161" s="231"/>
      <c r="V161" s="231"/>
      <c r="W161" s="231"/>
      <c r="X161" s="231"/>
      <c r="Y161" s="231"/>
      <c r="Z161" s="231"/>
      <c r="AA161" s="231"/>
      <c r="AB161" s="231"/>
      <c r="AC161" s="231"/>
    </row>
    <row r="162" ht="24.75" hidden="1" customHeight="1" outlineLevel="1">
      <c r="A162" s="237" t="s">
        <v>811</v>
      </c>
      <c r="B162" s="231"/>
      <c r="C162" s="231"/>
      <c r="D162" s="231"/>
      <c r="E162" s="225"/>
      <c r="F162" s="231"/>
      <c r="G162" s="231"/>
      <c r="H162" s="231"/>
      <c r="I162" s="231"/>
      <c r="J162" s="231"/>
      <c r="K162" s="231"/>
      <c r="L162" s="231"/>
      <c r="M162" s="231"/>
      <c r="N162" s="231"/>
      <c r="O162" s="231"/>
      <c r="P162" s="231"/>
      <c r="Q162" s="231"/>
      <c r="R162" s="231"/>
      <c r="S162" s="231"/>
      <c r="T162" s="231"/>
      <c r="U162" s="231"/>
      <c r="V162" s="231"/>
      <c r="W162" s="231"/>
      <c r="X162" s="231"/>
      <c r="Y162" s="231"/>
      <c r="Z162" s="231"/>
      <c r="AA162" s="231"/>
      <c r="AB162" s="231"/>
      <c r="AC162" s="231"/>
    </row>
    <row r="163" ht="24.75" hidden="1" customHeight="1" outlineLevel="1">
      <c r="A163" s="275" t="s">
        <v>647</v>
      </c>
      <c r="B163" s="275" t="s">
        <v>648</v>
      </c>
      <c r="C163" s="275" t="s">
        <v>649</v>
      </c>
      <c r="D163" s="275" t="s">
        <v>650</v>
      </c>
      <c r="E163" s="275" t="s">
        <v>651</v>
      </c>
      <c r="F163" s="231"/>
      <c r="G163" s="231"/>
      <c r="H163" s="231"/>
      <c r="I163" s="231"/>
      <c r="J163" s="231"/>
      <c r="K163" s="231"/>
      <c r="L163" s="231"/>
      <c r="M163" s="231"/>
      <c r="N163" s="231"/>
      <c r="O163" s="231"/>
      <c r="P163" s="231"/>
      <c r="Q163" s="231"/>
      <c r="R163" s="231"/>
      <c r="S163" s="231"/>
      <c r="T163" s="231"/>
      <c r="U163" s="231"/>
      <c r="V163" s="231"/>
      <c r="W163" s="231"/>
      <c r="X163" s="231"/>
      <c r="Y163" s="231"/>
      <c r="Z163" s="231"/>
      <c r="AA163" s="231"/>
      <c r="AB163" s="231"/>
      <c r="AC163" s="231"/>
    </row>
    <row r="164" ht="24.75" hidden="1" customHeight="1" outlineLevel="1">
      <c r="A164" s="276">
        <v>44680.0</v>
      </c>
      <c r="B164" s="235" t="s">
        <v>714</v>
      </c>
      <c r="C164" s="277"/>
      <c r="D164" s="278" t="s">
        <v>778</v>
      </c>
      <c r="E164" s="279" t="s">
        <v>717</v>
      </c>
      <c r="F164" s="237"/>
      <c r="G164" s="237"/>
      <c r="H164" s="237"/>
      <c r="I164" s="231"/>
      <c r="J164" s="231"/>
      <c r="K164" s="231"/>
      <c r="L164" s="231"/>
      <c r="M164" s="231"/>
      <c r="N164" s="231"/>
      <c r="O164" s="231"/>
      <c r="P164" s="231"/>
      <c r="Q164" s="231"/>
      <c r="R164" s="231"/>
      <c r="S164" s="231"/>
      <c r="T164" s="231"/>
      <c r="U164" s="231"/>
      <c r="V164" s="231"/>
      <c r="W164" s="231"/>
      <c r="X164" s="231"/>
      <c r="Y164" s="231"/>
      <c r="Z164" s="231"/>
      <c r="AA164" s="231"/>
      <c r="AB164" s="231"/>
      <c r="AC164" s="231"/>
    </row>
    <row r="165" ht="24.75" hidden="1" customHeight="1" outlineLevel="1">
      <c r="A165" s="276">
        <v>44680.0</v>
      </c>
      <c r="B165" s="277" t="s">
        <v>663</v>
      </c>
      <c r="C165" s="278" t="s">
        <v>812</v>
      </c>
      <c r="D165" s="278" t="s">
        <v>813</v>
      </c>
      <c r="E165" s="30" t="s">
        <v>685</v>
      </c>
      <c r="F165" s="231"/>
      <c r="G165" s="231"/>
      <c r="H165" s="231"/>
      <c r="I165" s="231"/>
      <c r="J165" s="231"/>
      <c r="K165" s="231"/>
      <c r="L165" s="231"/>
      <c r="M165" s="231"/>
      <c r="N165" s="231"/>
      <c r="O165" s="231"/>
      <c r="P165" s="231"/>
      <c r="Q165" s="231"/>
      <c r="R165" s="231"/>
      <c r="S165" s="231"/>
      <c r="T165" s="231"/>
      <c r="U165" s="231"/>
      <c r="V165" s="231"/>
      <c r="W165" s="231"/>
      <c r="X165" s="231"/>
      <c r="Y165" s="231"/>
      <c r="Z165" s="231"/>
      <c r="AA165" s="231"/>
      <c r="AB165" s="231"/>
      <c r="AC165" s="231"/>
    </row>
    <row r="166" ht="24.75" hidden="1" customHeight="1" outlineLevel="1">
      <c r="A166" s="280">
        <v>44681.0</v>
      </c>
      <c r="B166" s="235" t="s">
        <v>720</v>
      </c>
      <c r="C166" s="240" t="s">
        <v>741</v>
      </c>
      <c r="D166" s="240" t="s">
        <v>814</v>
      </c>
      <c r="E166" s="30" t="s">
        <v>685</v>
      </c>
      <c r="F166" s="231"/>
      <c r="G166" s="231"/>
      <c r="H166" s="231"/>
      <c r="I166" s="231"/>
      <c r="J166" s="231"/>
      <c r="K166" s="231"/>
      <c r="L166" s="231"/>
      <c r="M166" s="231"/>
      <c r="N166" s="231"/>
      <c r="O166" s="231"/>
      <c r="P166" s="231"/>
      <c r="Q166" s="231"/>
      <c r="R166" s="231"/>
      <c r="S166" s="231"/>
      <c r="T166" s="231"/>
      <c r="U166" s="231"/>
      <c r="V166" s="231"/>
      <c r="W166" s="231"/>
      <c r="X166" s="231"/>
      <c r="Y166" s="231"/>
      <c r="Z166" s="231"/>
      <c r="AA166" s="231"/>
      <c r="AB166" s="231"/>
      <c r="AC166" s="231"/>
    </row>
    <row r="167" ht="24.75" hidden="1" customHeight="1" outlineLevel="1">
      <c r="A167" s="280">
        <v>44681.0</v>
      </c>
      <c r="B167" s="257" t="s">
        <v>692</v>
      </c>
      <c r="C167" s="240" t="s">
        <v>781</v>
      </c>
      <c r="D167" s="240" t="s">
        <v>782</v>
      </c>
      <c r="E167" s="255" t="s">
        <v>685</v>
      </c>
      <c r="F167" s="237"/>
      <c r="G167" s="237"/>
      <c r="H167" s="237" t="s">
        <v>722</v>
      </c>
      <c r="I167" s="231"/>
      <c r="J167" s="231"/>
      <c r="K167" s="231"/>
      <c r="L167" s="231"/>
      <c r="M167" s="231"/>
      <c r="N167" s="231"/>
      <c r="O167" s="231"/>
      <c r="P167" s="231"/>
      <c r="Q167" s="231"/>
      <c r="R167" s="231"/>
      <c r="S167" s="231"/>
      <c r="T167" s="231"/>
      <c r="U167" s="231"/>
      <c r="V167" s="231"/>
      <c r="W167" s="231"/>
      <c r="X167" s="231"/>
      <c r="Y167" s="231"/>
      <c r="Z167" s="231"/>
      <c r="AA167" s="231"/>
      <c r="AB167" s="231"/>
      <c r="AC167" s="231"/>
    </row>
    <row r="168" ht="24.75" hidden="1" customHeight="1" outlineLevel="1">
      <c r="A168" s="280">
        <v>44681.0</v>
      </c>
      <c r="B168" s="257" t="s">
        <v>695</v>
      </c>
      <c r="C168" s="240" t="s">
        <v>784</v>
      </c>
      <c r="D168" s="240" t="s">
        <v>785</v>
      </c>
      <c r="E168" s="30" t="s">
        <v>685</v>
      </c>
      <c r="F168" s="231"/>
      <c r="G168" s="231"/>
      <c r="H168" s="231"/>
      <c r="I168" s="231"/>
      <c r="J168" s="231"/>
      <c r="K168" s="231"/>
      <c r="L168" s="231"/>
      <c r="M168" s="231"/>
      <c r="N168" s="231"/>
      <c r="O168" s="231"/>
      <c r="P168" s="231"/>
      <c r="Q168" s="231"/>
      <c r="R168" s="231"/>
      <c r="S168" s="231"/>
      <c r="T168" s="231"/>
      <c r="U168" s="231"/>
      <c r="V168" s="231"/>
      <c r="W168" s="231"/>
      <c r="X168" s="231"/>
      <c r="Y168" s="231"/>
      <c r="Z168" s="231"/>
      <c r="AA168" s="231"/>
      <c r="AB168" s="231"/>
      <c r="AC168" s="231"/>
    </row>
    <row r="169" ht="24.75" hidden="1" customHeight="1" outlineLevel="1">
      <c r="A169" s="280">
        <v>44681.0</v>
      </c>
      <c r="B169" s="235" t="s">
        <v>691</v>
      </c>
      <c r="C169" s="240" t="s">
        <v>715</v>
      </c>
      <c r="D169" s="281" t="s">
        <v>815</v>
      </c>
      <c r="E169" s="255" t="s">
        <v>717</v>
      </c>
      <c r="F169" s="231"/>
      <c r="G169" s="231"/>
      <c r="H169" s="231"/>
      <c r="I169" s="231"/>
      <c r="J169" s="231"/>
      <c r="K169" s="231"/>
      <c r="L169" s="231"/>
      <c r="M169" s="231"/>
      <c r="N169" s="231"/>
      <c r="O169" s="231"/>
      <c r="P169" s="231"/>
      <c r="Q169" s="231"/>
      <c r="R169" s="231"/>
      <c r="S169" s="231"/>
      <c r="T169" s="231"/>
      <c r="U169" s="231"/>
      <c r="V169" s="231"/>
      <c r="W169" s="231"/>
      <c r="X169" s="231"/>
      <c r="Y169" s="231"/>
      <c r="Z169" s="231"/>
      <c r="AA169" s="231"/>
      <c r="AB169" s="231"/>
      <c r="AC169" s="231"/>
    </row>
    <row r="170" ht="24.75" hidden="1" customHeight="1" outlineLevel="1">
      <c r="A170" s="280">
        <v>44682.0</v>
      </c>
      <c r="B170" s="257" t="s">
        <v>669</v>
      </c>
      <c r="C170" s="240" t="s">
        <v>787</v>
      </c>
      <c r="D170" s="240" t="s">
        <v>816</v>
      </c>
      <c r="E170" s="30" t="s">
        <v>685</v>
      </c>
      <c r="F170" s="231"/>
      <c r="G170" s="231"/>
      <c r="H170" s="231"/>
      <c r="I170" s="231"/>
      <c r="J170" s="231"/>
      <c r="K170" s="231"/>
      <c r="L170" s="231"/>
      <c r="M170" s="231"/>
      <c r="N170" s="231"/>
      <c r="O170" s="231"/>
      <c r="P170" s="231"/>
      <c r="Q170" s="231"/>
      <c r="R170" s="231"/>
      <c r="S170" s="231"/>
      <c r="T170" s="231"/>
      <c r="U170" s="231"/>
      <c r="V170" s="231"/>
      <c r="W170" s="231"/>
      <c r="X170" s="231"/>
      <c r="Y170" s="231"/>
      <c r="Z170" s="231"/>
      <c r="AA170" s="231"/>
      <c r="AB170" s="231"/>
      <c r="AC170" s="231"/>
    </row>
    <row r="171" ht="24.75" hidden="1" customHeight="1" outlineLevel="1">
      <c r="A171" s="280">
        <v>44682.0</v>
      </c>
      <c r="B171" s="257" t="s">
        <v>671</v>
      </c>
      <c r="C171" s="240" t="s">
        <v>741</v>
      </c>
      <c r="D171" s="240" t="s">
        <v>817</v>
      </c>
      <c r="E171" s="30" t="s">
        <v>685</v>
      </c>
      <c r="F171" s="231"/>
      <c r="G171" s="231"/>
      <c r="H171" s="231"/>
      <c r="I171" s="231"/>
      <c r="J171" s="231"/>
      <c r="K171" s="231"/>
      <c r="L171" s="231"/>
      <c r="M171" s="231"/>
      <c r="N171" s="231"/>
      <c r="O171" s="231"/>
      <c r="P171" s="231"/>
      <c r="Q171" s="231"/>
      <c r="R171" s="231"/>
      <c r="S171" s="231"/>
      <c r="T171" s="231"/>
      <c r="U171" s="231"/>
      <c r="V171" s="231"/>
      <c r="W171" s="231"/>
      <c r="X171" s="231"/>
      <c r="Y171" s="231"/>
      <c r="Z171" s="231"/>
      <c r="AA171" s="231"/>
      <c r="AB171" s="231"/>
      <c r="AC171" s="231"/>
    </row>
    <row r="172" ht="24.75" hidden="1" customHeight="1" outlineLevel="1">
      <c r="A172" s="280">
        <v>44683.0</v>
      </c>
      <c r="B172" s="260" t="s">
        <v>697</v>
      </c>
      <c r="C172" s="261" t="s">
        <v>793</v>
      </c>
      <c r="D172" s="240" t="s">
        <v>817</v>
      </c>
      <c r="E172" s="30" t="s">
        <v>685</v>
      </c>
      <c r="F172" s="231"/>
      <c r="G172" s="231"/>
      <c r="H172" s="231"/>
      <c r="I172" s="231"/>
      <c r="J172" s="231"/>
      <c r="K172" s="231"/>
      <c r="L172" s="231"/>
      <c r="M172" s="231"/>
      <c r="N172" s="231"/>
      <c r="O172" s="231"/>
      <c r="P172" s="231"/>
      <c r="Q172" s="231"/>
      <c r="R172" s="231"/>
      <c r="S172" s="231"/>
      <c r="T172" s="231"/>
      <c r="U172" s="231"/>
      <c r="V172" s="231"/>
      <c r="W172" s="231"/>
      <c r="X172" s="231"/>
      <c r="Y172" s="231"/>
      <c r="Z172" s="231"/>
      <c r="AA172" s="231"/>
      <c r="AB172" s="231"/>
      <c r="AC172" s="231"/>
    </row>
    <row r="173" ht="39.75" hidden="1" customHeight="1" outlineLevel="1">
      <c r="A173" s="280">
        <v>44683.0</v>
      </c>
      <c r="B173" s="253" t="s">
        <v>699</v>
      </c>
      <c r="C173" s="261" t="s">
        <v>794</v>
      </c>
      <c r="D173" s="261" t="s">
        <v>818</v>
      </c>
      <c r="E173" s="30" t="s">
        <v>685</v>
      </c>
      <c r="F173" s="237"/>
      <c r="G173" s="237"/>
      <c r="H173" s="237" t="s">
        <v>722</v>
      </c>
      <c r="I173" s="231"/>
      <c r="J173" s="231"/>
      <c r="K173" s="231"/>
      <c r="L173" s="231"/>
      <c r="M173" s="231"/>
      <c r="N173" s="231"/>
      <c r="O173" s="231"/>
      <c r="P173" s="231"/>
      <c r="Q173" s="231"/>
      <c r="R173" s="231"/>
      <c r="S173" s="231"/>
      <c r="T173" s="231"/>
      <c r="U173" s="231"/>
      <c r="V173" s="231"/>
      <c r="W173" s="231"/>
      <c r="X173" s="231"/>
      <c r="Y173" s="231"/>
      <c r="Z173" s="231"/>
      <c r="AA173" s="231"/>
      <c r="AB173" s="231"/>
      <c r="AC173" s="231"/>
    </row>
    <row r="174" ht="24.75" hidden="1" customHeight="1" outlineLevel="1">
      <c r="A174" s="282">
        <v>44684.0</v>
      </c>
      <c r="B174" s="235" t="s">
        <v>714</v>
      </c>
      <c r="C174" s="240" t="s">
        <v>715</v>
      </c>
      <c r="D174" s="261" t="s">
        <v>778</v>
      </c>
      <c r="E174" s="30" t="s">
        <v>717</v>
      </c>
      <c r="F174" s="237"/>
      <c r="G174" s="237"/>
      <c r="H174" s="237"/>
      <c r="I174" s="231"/>
      <c r="J174" s="231"/>
      <c r="K174" s="231"/>
      <c r="L174" s="231"/>
      <c r="M174" s="231"/>
      <c r="N174" s="231"/>
      <c r="O174" s="231"/>
      <c r="P174" s="231"/>
      <c r="Q174" s="231"/>
      <c r="R174" s="231"/>
      <c r="S174" s="231"/>
      <c r="T174" s="231"/>
      <c r="U174" s="231"/>
      <c r="V174" s="231"/>
      <c r="W174" s="231"/>
      <c r="X174" s="231"/>
      <c r="Y174" s="231"/>
      <c r="Z174" s="231"/>
      <c r="AA174" s="231"/>
      <c r="AB174" s="231"/>
      <c r="AC174" s="231"/>
    </row>
    <row r="175" ht="24.75" hidden="1" customHeight="1" outlineLevel="1">
      <c r="A175" s="282">
        <v>44685.0</v>
      </c>
      <c r="B175" s="235" t="s">
        <v>680</v>
      </c>
      <c r="C175" s="240" t="s">
        <v>715</v>
      </c>
      <c r="D175" s="240" t="s">
        <v>739</v>
      </c>
      <c r="E175" s="30" t="s">
        <v>717</v>
      </c>
      <c r="F175" s="231"/>
      <c r="G175" s="231"/>
      <c r="H175" s="231"/>
      <c r="I175" s="231"/>
      <c r="J175" s="231"/>
      <c r="K175" s="231"/>
      <c r="L175" s="231"/>
      <c r="M175" s="231"/>
      <c r="N175" s="231"/>
      <c r="O175" s="231"/>
      <c r="P175" s="231"/>
      <c r="Q175" s="231"/>
      <c r="R175" s="231"/>
      <c r="S175" s="231"/>
      <c r="T175" s="231"/>
      <c r="U175" s="231"/>
      <c r="V175" s="231"/>
      <c r="W175" s="231"/>
      <c r="X175" s="231"/>
      <c r="Y175" s="231"/>
      <c r="Z175" s="231"/>
      <c r="AA175" s="231"/>
      <c r="AB175" s="231"/>
      <c r="AC175" s="231"/>
    </row>
    <row r="176" ht="24.75" hidden="1" customHeight="1" outlineLevel="1">
      <c r="A176" s="282">
        <v>44685.0</v>
      </c>
      <c r="B176" s="235" t="s">
        <v>740</v>
      </c>
      <c r="C176" s="240" t="s">
        <v>741</v>
      </c>
      <c r="D176" s="240" t="s">
        <v>819</v>
      </c>
      <c r="E176" s="30" t="s">
        <v>685</v>
      </c>
      <c r="F176" s="231"/>
      <c r="G176" s="231"/>
      <c r="H176" s="231"/>
      <c r="I176" s="231"/>
      <c r="J176" s="231"/>
      <c r="K176" s="231"/>
      <c r="L176" s="231"/>
      <c r="M176" s="231"/>
      <c r="N176" s="231"/>
      <c r="O176" s="231"/>
      <c r="P176" s="231"/>
      <c r="Q176" s="231"/>
      <c r="R176" s="231"/>
      <c r="S176" s="231"/>
      <c r="T176" s="231"/>
      <c r="U176" s="231"/>
      <c r="V176" s="231"/>
      <c r="W176" s="231"/>
      <c r="X176" s="231"/>
      <c r="Y176" s="231"/>
      <c r="Z176" s="231"/>
      <c r="AA176" s="231"/>
      <c r="AB176" s="231"/>
      <c r="AC176" s="231"/>
    </row>
    <row r="177" ht="24.75" hidden="1" customHeight="1" outlineLevel="1">
      <c r="A177" s="282">
        <v>44685.0</v>
      </c>
      <c r="B177" s="260" t="s">
        <v>697</v>
      </c>
      <c r="C177" s="261" t="s">
        <v>793</v>
      </c>
      <c r="D177" s="240" t="s">
        <v>820</v>
      </c>
      <c r="E177" s="283" t="s">
        <v>685</v>
      </c>
      <c r="F177" s="237"/>
      <c r="G177" s="237"/>
      <c r="H177" s="237" t="s">
        <v>821</v>
      </c>
      <c r="I177" s="231"/>
      <c r="J177" s="231"/>
      <c r="K177" s="231"/>
      <c r="L177" s="231"/>
      <c r="M177" s="231"/>
      <c r="N177" s="231"/>
      <c r="O177" s="231"/>
      <c r="P177" s="231"/>
      <c r="Q177" s="231"/>
      <c r="R177" s="231"/>
      <c r="S177" s="231"/>
      <c r="T177" s="231"/>
      <c r="U177" s="231"/>
      <c r="V177" s="231"/>
      <c r="W177" s="231"/>
      <c r="X177" s="231"/>
      <c r="Y177" s="231"/>
      <c r="Z177" s="231"/>
      <c r="AA177" s="231"/>
      <c r="AB177" s="231"/>
      <c r="AC177" s="231"/>
    </row>
    <row r="178" ht="24.75" hidden="1" customHeight="1" outlineLevel="1">
      <c r="A178" s="282">
        <v>44685.0</v>
      </c>
      <c r="B178" s="284" t="s">
        <v>822</v>
      </c>
      <c r="C178" s="235" t="s">
        <v>823</v>
      </c>
      <c r="D178" s="285" t="s">
        <v>657</v>
      </c>
      <c r="E178" s="30" t="s">
        <v>685</v>
      </c>
      <c r="F178" s="237"/>
      <c r="G178" s="237"/>
      <c r="H178" s="237" t="s">
        <v>824</v>
      </c>
      <c r="I178" s="231"/>
      <c r="J178" s="231"/>
      <c r="K178" s="231"/>
      <c r="L178" s="231"/>
      <c r="M178" s="231"/>
      <c r="N178" s="231"/>
      <c r="O178" s="231"/>
      <c r="P178" s="231"/>
      <c r="Q178" s="231"/>
      <c r="R178" s="231"/>
      <c r="S178" s="231"/>
      <c r="T178" s="231"/>
      <c r="U178" s="231"/>
      <c r="V178" s="231"/>
      <c r="W178" s="231"/>
      <c r="X178" s="231"/>
      <c r="Y178" s="231"/>
      <c r="Z178" s="231"/>
      <c r="AA178" s="231"/>
      <c r="AB178" s="231"/>
      <c r="AC178" s="231"/>
    </row>
    <row r="179" ht="24.75" hidden="1" customHeight="1" outlineLevel="1">
      <c r="A179" s="282">
        <v>44686.0</v>
      </c>
      <c r="B179" s="286" t="s">
        <v>660</v>
      </c>
      <c r="C179" s="287" t="s">
        <v>166</v>
      </c>
      <c r="D179" s="287" t="s">
        <v>657</v>
      </c>
      <c r="E179" s="288" t="s">
        <v>685</v>
      </c>
      <c r="F179" s="289"/>
      <c r="G179" s="289"/>
      <c r="H179" s="290" t="s">
        <v>746</v>
      </c>
      <c r="I179" s="290"/>
      <c r="J179" s="291"/>
      <c r="K179" s="249"/>
      <c r="L179" s="249"/>
      <c r="M179" s="249"/>
      <c r="N179" s="249"/>
      <c r="O179" s="249"/>
      <c r="P179" s="249"/>
      <c r="Q179" s="249"/>
      <c r="R179" s="249"/>
      <c r="S179" s="249"/>
      <c r="T179" s="249"/>
      <c r="U179" s="249"/>
      <c r="V179" s="249"/>
      <c r="W179" s="249"/>
      <c r="X179" s="249"/>
      <c r="Y179" s="249"/>
      <c r="Z179" s="249"/>
      <c r="AA179" s="249"/>
      <c r="AB179" s="249"/>
      <c r="AC179" s="249"/>
    </row>
    <row r="180" ht="24.75" hidden="1" customHeight="1" outlineLevel="1">
      <c r="A180" s="276">
        <v>44687.0</v>
      </c>
      <c r="B180" s="277" t="s">
        <v>663</v>
      </c>
      <c r="C180" s="278" t="s">
        <v>812</v>
      </c>
      <c r="D180" s="278" t="s">
        <v>813</v>
      </c>
      <c r="E180" s="30" t="s">
        <v>685</v>
      </c>
      <c r="F180" s="237"/>
      <c r="G180" s="237"/>
      <c r="H180" s="237"/>
      <c r="I180" s="231"/>
      <c r="J180" s="231"/>
      <c r="K180" s="231"/>
      <c r="L180" s="231"/>
      <c r="M180" s="231"/>
      <c r="N180" s="231"/>
      <c r="O180" s="231"/>
      <c r="P180" s="231"/>
      <c r="Q180" s="231"/>
      <c r="R180" s="231"/>
      <c r="S180" s="231"/>
      <c r="T180" s="231"/>
      <c r="U180" s="231"/>
      <c r="V180" s="231"/>
      <c r="W180" s="231"/>
      <c r="X180" s="231"/>
      <c r="Y180" s="231"/>
      <c r="Z180" s="231"/>
      <c r="AA180" s="231"/>
      <c r="AB180" s="231"/>
      <c r="AC180" s="231"/>
    </row>
    <row r="181" ht="24.75" hidden="1" customHeight="1" outlineLevel="1">
      <c r="A181" s="280">
        <v>44688.0</v>
      </c>
      <c r="B181" s="257" t="s">
        <v>692</v>
      </c>
      <c r="C181" s="240" t="s">
        <v>781</v>
      </c>
      <c r="D181" s="240" t="s">
        <v>825</v>
      </c>
      <c r="E181" s="30" t="s">
        <v>685</v>
      </c>
      <c r="F181" s="237"/>
      <c r="G181" s="237"/>
      <c r="H181" s="237" t="s">
        <v>826</v>
      </c>
      <c r="I181" s="231"/>
      <c r="J181" s="231"/>
      <c r="K181" s="231"/>
      <c r="L181" s="231"/>
      <c r="M181" s="231"/>
      <c r="N181" s="231"/>
      <c r="O181" s="231"/>
      <c r="P181" s="231"/>
      <c r="Q181" s="231"/>
      <c r="R181" s="231"/>
      <c r="S181" s="231"/>
      <c r="T181" s="231"/>
      <c r="U181" s="231"/>
      <c r="V181" s="231"/>
      <c r="W181" s="231"/>
      <c r="X181" s="231"/>
      <c r="Y181" s="231"/>
      <c r="Z181" s="231"/>
      <c r="AA181" s="231"/>
      <c r="AB181" s="231"/>
      <c r="AC181" s="231"/>
    </row>
    <row r="182" ht="24.75" hidden="1" customHeight="1" outlineLevel="1">
      <c r="A182" s="280">
        <v>44688.0</v>
      </c>
      <c r="B182" s="257" t="s">
        <v>695</v>
      </c>
      <c r="C182" s="240" t="s">
        <v>784</v>
      </c>
      <c r="D182" s="240" t="s">
        <v>827</v>
      </c>
      <c r="E182" s="30" t="s">
        <v>685</v>
      </c>
      <c r="F182" s="231"/>
      <c r="G182" s="231"/>
      <c r="H182" s="231"/>
      <c r="I182" s="231"/>
      <c r="J182" s="231"/>
      <c r="K182" s="231"/>
      <c r="L182" s="231"/>
      <c r="M182" s="231"/>
      <c r="N182" s="231"/>
      <c r="O182" s="231"/>
      <c r="P182" s="231"/>
      <c r="Q182" s="231"/>
      <c r="R182" s="231"/>
      <c r="S182" s="231"/>
      <c r="T182" s="231"/>
      <c r="U182" s="231"/>
      <c r="V182" s="231"/>
      <c r="W182" s="231"/>
      <c r="X182" s="231"/>
      <c r="Y182" s="231"/>
      <c r="Z182" s="231"/>
      <c r="AA182" s="231"/>
      <c r="AB182" s="231"/>
      <c r="AC182" s="231"/>
    </row>
    <row r="183" ht="24.75" hidden="1" customHeight="1" outlineLevel="1">
      <c r="A183" s="280">
        <v>44688.0</v>
      </c>
      <c r="B183" s="235" t="s">
        <v>691</v>
      </c>
      <c r="C183" s="240" t="s">
        <v>715</v>
      </c>
      <c r="D183" s="281" t="s">
        <v>828</v>
      </c>
      <c r="E183" s="255" t="s">
        <v>717</v>
      </c>
      <c r="F183" s="231"/>
      <c r="G183" s="231"/>
      <c r="H183" s="231"/>
      <c r="I183" s="231"/>
      <c r="J183" s="231"/>
      <c r="K183" s="231"/>
      <c r="L183" s="231"/>
      <c r="M183" s="231"/>
      <c r="N183" s="231"/>
      <c r="O183" s="231"/>
      <c r="P183" s="231"/>
      <c r="Q183" s="231"/>
      <c r="R183" s="231"/>
      <c r="S183" s="231"/>
      <c r="T183" s="231"/>
      <c r="U183" s="231"/>
      <c r="V183" s="231"/>
      <c r="W183" s="231"/>
      <c r="X183" s="231"/>
      <c r="Y183" s="231"/>
      <c r="Z183" s="231"/>
      <c r="AA183" s="231"/>
      <c r="AB183" s="231"/>
      <c r="AC183" s="231"/>
    </row>
    <row r="184" ht="24.75" hidden="1" customHeight="1" outlineLevel="1">
      <c r="A184" s="280">
        <v>44689.0</v>
      </c>
      <c r="B184" s="257" t="s">
        <v>669</v>
      </c>
      <c r="C184" s="240" t="s">
        <v>787</v>
      </c>
      <c r="D184" s="240" t="s">
        <v>829</v>
      </c>
      <c r="E184" s="30" t="s">
        <v>685</v>
      </c>
      <c r="F184" s="231"/>
      <c r="G184" s="231"/>
      <c r="H184" s="231"/>
      <c r="I184" s="231"/>
      <c r="J184" s="231"/>
      <c r="K184" s="231"/>
      <c r="L184" s="231"/>
      <c r="M184" s="231"/>
      <c r="N184" s="231"/>
      <c r="O184" s="231"/>
      <c r="P184" s="231"/>
      <c r="Q184" s="231"/>
      <c r="R184" s="231"/>
      <c r="S184" s="231"/>
      <c r="T184" s="231"/>
      <c r="U184" s="231"/>
      <c r="V184" s="231"/>
      <c r="W184" s="231"/>
      <c r="X184" s="231"/>
      <c r="Y184" s="231"/>
      <c r="Z184" s="231"/>
      <c r="AA184" s="231"/>
      <c r="AB184" s="231"/>
      <c r="AC184" s="231"/>
    </row>
    <row r="185" ht="24.75" hidden="1" customHeight="1" outlineLevel="1">
      <c r="A185" s="280">
        <v>44689.0</v>
      </c>
      <c r="B185" s="257" t="s">
        <v>671</v>
      </c>
      <c r="C185" s="240" t="s">
        <v>741</v>
      </c>
      <c r="D185" s="240" t="s">
        <v>830</v>
      </c>
      <c r="E185" s="30" t="s">
        <v>685</v>
      </c>
      <c r="F185" s="237"/>
      <c r="G185" s="237"/>
      <c r="H185" s="237"/>
      <c r="I185" s="231"/>
      <c r="J185" s="231"/>
      <c r="K185" s="231"/>
      <c r="L185" s="231"/>
      <c r="M185" s="231"/>
      <c r="N185" s="231"/>
      <c r="O185" s="231"/>
      <c r="P185" s="231"/>
      <c r="Q185" s="231"/>
      <c r="R185" s="231"/>
      <c r="S185" s="231"/>
      <c r="T185" s="231"/>
      <c r="U185" s="231"/>
      <c r="V185" s="231"/>
      <c r="W185" s="231"/>
      <c r="X185" s="231"/>
      <c r="Y185" s="231"/>
      <c r="Z185" s="231"/>
      <c r="AA185" s="231"/>
      <c r="AB185" s="231"/>
      <c r="AC185" s="231"/>
    </row>
    <row r="186" ht="24.75" hidden="1" customHeight="1" outlineLevel="1">
      <c r="A186" s="280">
        <v>44689.0</v>
      </c>
      <c r="B186" s="259" t="s">
        <v>728</v>
      </c>
      <c r="C186" s="235" t="s">
        <v>831</v>
      </c>
      <c r="D186" s="261" t="s">
        <v>832</v>
      </c>
      <c r="E186" s="30" t="s">
        <v>685</v>
      </c>
      <c r="F186" s="237"/>
      <c r="G186" s="237"/>
      <c r="H186" s="237" t="s">
        <v>833</v>
      </c>
      <c r="I186" s="237"/>
      <c r="J186" s="231"/>
      <c r="K186" s="231"/>
      <c r="L186" s="231"/>
      <c r="M186" s="231"/>
      <c r="N186" s="231"/>
      <c r="O186" s="231"/>
      <c r="P186" s="231"/>
      <c r="Q186" s="231"/>
      <c r="R186" s="231"/>
      <c r="S186" s="231"/>
      <c r="T186" s="231"/>
      <c r="U186" s="231"/>
      <c r="V186" s="231"/>
      <c r="W186" s="231"/>
      <c r="X186" s="231"/>
      <c r="Y186" s="231"/>
      <c r="Z186" s="231"/>
      <c r="AA186" s="231"/>
      <c r="AB186" s="231"/>
      <c r="AC186" s="231"/>
    </row>
    <row r="187" ht="24.75" hidden="1" customHeight="1" outlineLevel="1">
      <c r="A187" s="280">
        <v>44690.0</v>
      </c>
      <c r="B187" s="260" t="s">
        <v>697</v>
      </c>
      <c r="C187" s="261" t="s">
        <v>793</v>
      </c>
      <c r="D187" s="240" t="s">
        <v>830</v>
      </c>
      <c r="E187" s="30" t="s">
        <v>685</v>
      </c>
      <c r="F187" s="231"/>
      <c r="G187" s="231"/>
      <c r="H187" s="231"/>
      <c r="I187" s="231"/>
      <c r="J187" s="231"/>
      <c r="K187" s="231"/>
      <c r="L187" s="231"/>
      <c r="M187" s="231"/>
      <c r="N187" s="231"/>
      <c r="O187" s="231"/>
      <c r="P187" s="231"/>
      <c r="Q187" s="231"/>
      <c r="R187" s="231"/>
      <c r="S187" s="231"/>
      <c r="T187" s="231"/>
      <c r="U187" s="231"/>
      <c r="V187" s="231"/>
      <c r="W187" s="231"/>
      <c r="X187" s="231"/>
      <c r="Y187" s="231"/>
      <c r="Z187" s="231"/>
      <c r="AA187" s="231"/>
      <c r="AB187" s="231"/>
      <c r="AC187" s="231"/>
    </row>
    <row r="188" ht="39.75" hidden="1" customHeight="1" outlineLevel="1">
      <c r="A188" s="280">
        <v>44690.0</v>
      </c>
      <c r="B188" s="253" t="s">
        <v>699</v>
      </c>
      <c r="C188" s="261" t="s">
        <v>794</v>
      </c>
      <c r="D188" s="261" t="s">
        <v>834</v>
      </c>
      <c r="E188" s="30" t="s">
        <v>685</v>
      </c>
      <c r="F188" s="237"/>
      <c r="G188" s="237"/>
      <c r="H188" s="237" t="s">
        <v>722</v>
      </c>
      <c r="I188" s="231"/>
      <c r="J188" s="231"/>
      <c r="K188" s="231"/>
      <c r="L188" s="231"/>
      <c r="M188" s="231"/>
      <c r="N188" s="231"/>
      <c r="O188" s="231"/>
      <c r="P188" s="231"/>
      <c r="Q188" s="231"/>
      <c r="R188" s="231"/>
      <c r="S188" s="231"/>
      <c r="T188" s="231"/>
      <c r="U188" s="231"/>
      <c r="V188" s="231"/>
      <c r="W188" s="231"/>
      <c r="X188" s="231"/>
      <c r="Y188" s="231"/>
      <c r="Z188" s="231"/>
      <c r="AA188" s="231"/>
      <c r="AB188" s="231"/>
      <c r="AC188" s="231"/>
    </row>
    <row r="189" ht="24.75" hidden="1" customHeight="1" outlineLevel="1">
      <c r="A189" s="282">
        <v>44691.0</v>
      </c>
      <c r="B189" s="235" t="s">
        <v>736</v>
      </c>
      <c r="C189" s="240" t="s">
        <v>787</v>
      </c>
      <c r="D189" s="240" t="s">
        <v>835</v>
      </c>
      <c r="E189" s="30" t="s">
        <v>685</v>
      </c>
      <c r="F189" s="237"/>
      <c r="G189" s="237"/>
      <c r="H189" s="237" t="s">
        <v>821</v>
      </c>
      <c r="I189" s="231"/>
      <c r="J189" s="231"/>
      <c r="K189" s="231"/>
      <c r="L189" s="231"/>
      <c r="M189" s="231"/>
      <c r="N189" s="231"/>
      <c r="O189" s="231"/>
      <c r="P189" s="231"/>
      <c r="Q189" s="231"/>
      <c r="R189" s="231"/>
      <c r="S189" s="231"/>
      <c r="T189" s="231"/>
      <c r="U189" s="231"/>
      <c r="V189" s="231"/>
      <c r="W189" s="231"/>
      <c r="X189" s="231"/>
      <c r="Y189" s="231"/>
      <c r="Z189" s="231"/>
      <c r="AA189" s="231"/>
      <c r="AB189" s="231"/>
      <c r="AC189" s="231"/>
    </row>
    <row r="190" ht="24.75" hidden="1" customHeight="1" outlineLevel="1">
      <c r="A190" s="282">
        <v>44692.0</v>
      </c>
      <c r="B190" s="235" t="s">
        <v>743</v>
      </c>
      <c r="C190" s="240" t="s">
        <v>787</v>
      </c>
      <c r="D190" s="240" t="s">
        <v>835</v>
      </c>
      <c r="E190" s="30" t="s">
        <v>685</v>
      </c>
      <c r="F190" s="237"/>
      <c r="G190" s="237"/>
      <c r="H190" s="237" t="s">
        <v>821</v>
      </c>
      <c r="I190" s="231"/>
      <c r="J190" s="231"/>
      <c r="K190" s="231"/>
      <c r="L190" s="231"/>
      <c r="M190" s="231"/>
      <c r="N190" s="231"/>
      <c r="O190" s="231"/>
      <c r="P190" s="231"/>
      <c r="Q190" s="231"/>
      <c r="R190" s="231"/>
      <c r="S190" s="231"/>
      <c r="T190" s="231"/>
      <c r="U190" s="231"/>
      <c r="V190" s="231"/>
      <c r="W190" s="231"/>
      <c r="X190" s="231"/>
      <c r="Y190" s="231"/>
      <c r="Z190" s="231"/>
      <c r="AA190" s="231"/>
      <c r="AB190" s="231"/>
      <c r="AC190" s="231"/>
    </row>
    <row r="191" ht="24.75" hidden="1" customHeight="1" outlineLevel="1">
      <c r="A191" s="282">
        <v>44693.0</v>
      </c>
      <c r="B191" s="235" t="s">
        <v>745</v>
      </c>
      <c r="C191" s="240" t="s">
        <v>787</v>
      </c>
      <c r="D191" s="240" t="s">
        <v>835</v>
      </c>
      <c r="E191" s="30" t="s">
        <v>685</v>
      </c>
      <c r="F191" s="237"/>
      <c r="G191" s="237"/>
      <c r="H191" s="237" t="s">
        <v>821</v>
      </c>
      <c r="I191" s="231"/>
      <c r="J191" s="231"/>
      <c r="K191" s="231"/>
      <c r="L191" s="231"/>
      <c r="M191" s="231"/>
      <c r="N191" s="231"/>
      <c r="O191" s="231"/>
      <c r="P191" s="231"/>
      <c r="Q191" s="231"/>
      <c r="R191" s="231"/>
      <c r="S191" s="231"/>
      <c r="T191" s="231"/>
      <c r="U191" s="231"/>
      <c r="V191" s="231"/>
      <c r="W191" s="231"/>
      <c r="X191" s="231"/>
      <c r="Y191" s="231"/>
      <c r="Z191" s="231"/>
      <c r="AA191" s="231"/>
      <c r="AB191" s="231"/>
      <c r="AC191" s="231"/>
    </row>
    <row r="192" ht="24.75" customHeight="1">
      <c r="A192" s="231"/>
      <c r="B192" s="231"/>
      <c r="C192" s="231"/>
      <c r="D192" s="231"/>
      <c r="E192" s="225"/>
      <c r="F192" s="231"/>
      <c r="G192" s="231"/>
      <c r="H192" s="231"/>
      <c r="I192" s="231"/>
      <c r="J192" s="231"/>
      <c r="K192" s="231"/>
      <c r="L192" s="231"/>
      <c r="M192" s="231"/>
      <c r="N192" s="231"/>
      <c r="O192" s="231"/>
      <c r="P192" s="231"/>
      <c r="Q192" s="231"/>
      <c r="R192" s="231"/>
      <c r="S192" s="231"/>
      <c r="T192" s="231"/>
      <c r="U192" s="231"/>
      <c r="V192" s="231"/>
      <c r="W192" s="231"/>
      <c r="X192" s="231"/>
      <c r="Y192" s="231"/>
      <c r="Z192" s="231"/>
      <c r="AA192" s="231"/>
      <c r="AB192" s="231"/>
      <c r="AC192" s="231"/>
    </row>
    <row r="193" ht="24.75" customHeight="1" collapsed="1">
      <c r="A193" s="262" t="s">
        <v>836</v>
      </c>
      <c r="B193" s="249"/>
      <c r="C193" s="249"/>
      <c r="D193" s="249"/>
      <c r="E193" s="249"/>
      <c r="F193" s="231"/>
      <c r="G193" s="231"/>
      <c r="H193" s="231"/>
      <c r="I193" s="231"/>
      <c r="J193" s="231"/>
      <c r="K193" s="231"/>
      <c r="L193" s="231"/>
      <c r="M193" s="231"/>
      <c r="N193" s="231"/>
      <c r="O193" s="231"/>
      <c r="P193" s="231"/>
      <c r="Q193" s="231"/>
      <c r="R193" s="231"/>
      <c r="S193" s="231"/>
      <c r="T193" s="231"/>
      <c r="U193" s="231"/>
      <c r="V193" s="231"/>
      <c r="W193" s="231"/>
      <c r="X193" s="231"/>
      <c r="Y193" s="231"/>
      <c r="Z193" s="231"/>
      <c r="AA193" s="231"/>
      <c r="AB193" s="231"/>
      <c r="AC193" s="231"/>
    </row>
    <row r="194" ht="24.75" hidden="1" customHeight="1" outlineLevel="1">
      <c r="A194" s="263" t="s">
        <v>647</v>
      </c>
      <c r="B194" s="264" t="s">
        <v>648</v>
      </c>
      <c r="C194" s="264" t="s">
        <v>649</v>
      </c>
      <c r="D194" s="264" t="s">
        <v>650</v>
      </c>
      <c r="E194" s="264" t="s">
        <v>651</v>
      </c>
      <c r="F194" s="231"/>
      <c r="G194" s="231"/>
      <c r="H194" s="231"/>
      <c r="I194" s="231"/>
      <c r="J194" s="231"/>
      <c r="K194" s="231"/>
      <c r="L194" s="231"/>
      <c r="M194" s="231"/>
      <c r="N194" s="231"/>
      <c r="O194" s="231"/>
      <c r="P194" s="231"/>
      <c r="Q194" s="231"/>
      <c r="R194" s="231"/>
      <c r="S194" s="231"/>
      <c r="T194" s="231"/>
      <c r="U194" s="231"/>
      <c r="V194" s="231"/>
      <c r="W194" s="231"/>
      <c r="X194" s="231"/>
      <c r="Y194" s="231"/>
      <c r="Z194" s="231"/>
      <c r="AA194" s="231"/>
      <c r="AB194" s="231"/>
      <c r="AC194" s="231"/>
    </row>
    <row r="195" ht="24.75" hidden="1" customHeight="1" outlineLevel="1">
      <c r="A195" s="232">
        <v>44760.0</v>
      </c>
      <c r="B195" s="235" t="s">
        <v>731</v>
      </c>
      <c r="C195" s="256" t="s">
        <v>793</v>
      </c>
      <c r="D195" s="234" t="s">
        <v>837</v>
      </c>
      <c r="E195" s="30" t="s">
        <v>717</v>
      </c>
      <c r="F195" s="237"/>
      <c r="G195" s="237"/>
      <c r="H195" s="237" t="s">
        <v>838</v>
      </c>
      <c r="I195" s="231"/>
      <c r="J195" s="231"/>
      <c r="K195" s="231"/>
      <c r="L195" s="231"/>
      <c r="M195" s="231"/>
      <c r="N195" s="231"/>
      <c r="O195" s="231"/>
      <c r="P195" s="231"/>
      <c r="Q195" s="231"/>
      <c r="R195" s="231"/>
      <c r="S195" s="231"/>
      <c r="T195" s="231"/>
      <c r="U195" s="231"/>
      <c r="V195" s="231"/>
      <c r="W195" s="231"/>
      <c r="X195" s="231"/>
      <c r="Y195" s="231"/>
      <c r="Z195" s="231"/>
      <c r="AA195" s="231"/>
      <c r="AB195" s="231"/>
      <c r="AC195" s="231"/>
    </row>
    <row r="196" ht="24.75" hidden="1" customHeight="1" outlineLevel="1">
      <c r="A196" s="232">
        <v>44760.0</v>
      </c>
      <c r="B196" s="235" t="s">
        <v>801</v>
      </c>
      <c r="C196" s="235" t="s">
        <v>715</v>
      </c>
      <c r="D196" s="235" t="s">
        <v>802</v>
      </c>
      <c r="E196" s="30" t="s">
        <v>717</v>
      </c>
      <c r="F196" s="237"/>
      <c r="G196" s="237"/>
      <c r="H196" s="237" t="s">
        <v>803</v>
      </c>
      <c r="I196" s="231"/>
      <c r="J196" s="231"/>
      <c r="K196" s="231"/>
      <c r="L196" s="231"/>
      <c r="M196" s="231"/>
      <c r="N196" s="231"/>
      <c r="O196" s="231"/>
      <c r="P196" s="231"/>
      <c r="Q196" s="231"/>
      <c r="R196" s="231"/>
      <c r="S196" s="231"/>
      <c r="T196" s="231"/>
      <c r="U196" s="231"/>
      <c r="V196" s="231"/>
      <c r="W196" s="231"/>
      <c r="X196" s="231"/>
      <c r="Y196" s="231"/>
      <c r="Z196" s="231"/>
      <c r="AA196" s="231"/>
      <c r="AB196" s="231"/>
      <c r="AC196" s="231"/>
    </row>
    <row r="197" ht="24.75" hidden="1" customHeight="1" outlineLevel="1">
      <c r="A197" s="232">
        <v>44760.0</v>
      </c>
      <c r="B197" s="253" t="s">
        <v>699</v>
      </c>
      <c r="C197" s="261" t="s">
        <v>794</v>
      </c>
      <c r="D197" s="234" t="s">
        <v>837</v>
      </c>
      <c r="E197" s="30" t="s">
        <v>717</v>
      </c>
      <c r="F197" s="237"/>
      <c r="G197" s="237"/>
      <c r="H197" s="237" t="s">
        <v>722</v>
      </c>
      <c r="I197" s="231"/>
      <c r="J197" s="231"/>
      <c r="K197" s="231"/>
      <c r="L197" s="231"/>
      <c r="M197" s="231"/>
      <c r="N197" s="231"/>
      <c r="O197" s="231"/>
      <c r="P197" s="231"/>
      <c r="Q197" s="231"/>
      <c r="R197" s="231"/>
      <c r="S197" s="231"/>
      <c r="T197" s="231"/>
      <c r="U197" s="231"/>
      <c r="V197" s="231"/>
      <c r="W197" s="231"/>
      <c r="X197" s="231"/>
      <c r="Y197" s="231"/>
      <c r="Z197" s="231"/>
      <c r="AA197" s="231"/>
      <c r="AB197" s="231"/>
      <c r="AC197" s="231"/>
    </row>
    <row r="198" ht="24.75" hidden="1" customHeight="1" outlineLevel="1">
      <c r="A198" s="232">
        <v>44761.0</v>
      </c>
      <c r="B198" s="235" t="s">
        <v>839</v>
      </c>
      <c r="C198" s="235" t="s">
        <v>715</v>
      </c>
      <c r="D198" s="235" t="s">
        <v>802</v>
      </c>
      <c r="E198" s="30" t="s">
        <v>717</v>
      </c>
      <c r="F198" s="231"/>
      <c r="G198" s="231"/>
      <c r="H198" s="231"/>
      <c r="I198" s="231"/>
      <c r="J198" s="231"/>
      <c r="K198" s="231"/>
      <c r="L198" s="231"/>
      <c r="M198" s="231"/>
      <c r="N198" s="231"/>
      <c r="O198" s="231"/>
      <c r="P198" s="231"/>
      <c r="Q198" s="231"/>
      <c r="R198" s="231"/>
      <c r="S198" s="231"/>
      <c r="T198" s="231"/>
      <c r="U198" s="231"/>
      <c r="V198" s="231"/>
      <c r="W198" s="231"/>
      <c r="X198" s="231"/>
      <c r="Y198" s="231"/>
      <c r="Z198" s="231"/>
      <c r="AA198" s="231"/>
      <c r="AB198" s="231"/>
      <c r="AC198" s="231"/>
    </row>
    <row r="199" ht="24.75" hidden="1" customHeight="1" outlineLevel="1">
      <c r="A199" s="292">
        <v>44761.0</v>
      </c>
      <c r="B199" s="293" t="s">
        <v>806</v>
      </c>
      <c r="C199" s="294" t="s">
        <v>715</v>
      </c>
      <c r="D199" s="293" t="s">
        <v>802</v>
      </c>
      <c r="E199" s="295" t="s">
        <v>717</v>
      </c>
      <c r="F199" s="237"/>
      <c r="G199" s="237"/>
      <c r="H199" s="237" t="s">
        <v>807</v>
      </c>
      <c r="I199" s="231"/>
      <c r="J199" s="231"/>
      <c r="K199" s="231"/>
      <c r="L199" s="231"/>
      <c r="M199" s="231"/>
      <c r="N199" s="231"/>
      <c r="O199" s="231"/>
      <c r="P199" s="231"/>
      <c r="Q199" s="231"/>
      <c r="R199" s="231"/>
      <c r="S199" s="231"/>
      <c r="T199" s="231"/>
      <c r="U199" s="231"/>
      <c r="V199" s="231"/>
      <c r="W199" s="231"/>
      <c r="X199" s="231"/>
      <c r="Y199" s="231"/>
      <c r="Z199" s="231"/>
      <c r="AA199" s="231"/>
      <c r="AB199" s="231"/>
      <c r="AC199" s="231"/>
    </row>
    <row r="200" ht="24.75" hidden="1" customHeight="1" outlineLevel="1">
      <c r="A200" s="232">
        <v>44761.0</v>
      </c>
      <c r="B200" s="257" t="s">
        <v>669</v>
      </c>
      <c r="C200" s="240" t="s">
        <v>787</v>
      </c>
      <c r="D200" s="235" t="s">
        <v>802</v>
      </c>
      <c r="E200" s="255" t="s">
        <v>717</v>
      </c>
      <c r="F200" s="231"/>
      <c r="G200" s="231"/>
      <c r="H200" s="231"/>
      <c r="I200" s="231"/>
      <c r="J200" s="231"/>
      <c r="K200" s="231"/>
      <c r="L200" s="231"/>
      <c r="M200" s="231"/>
      <c r="N200" s="231"/>
      <c r="O200" s="231"/>
      <c r="P200" s="231"/>
      <c r="Q200" s="231"/>
      <c r="R200" s="231"/>
      <c r="S200" s="231"/>
      <c r="T200" s="231"/>
      <c r="U200" s="231"/>
      <c r="V200" s="231"/>
      <c r="W200" s="231"/>
      <c r="X200" s="231"/>
      <c r="Y200" s="231"/>
      <c r="Z200" s="231"/>
      <c r="AA200" s="231"/>
      <c r="AB200" s="231"/>
      <c r="AC200" s="231"/>
    </row>
    <row r="201" ht="24.75" hidden="1" customHeight="1" outlineLevel="1">
      <c r="A201" s="292">
        <v>44761.0</v>
      </c>
      <c r="B201" s="293" t="s">
        <v>808</v>
      </c>
      <c r="C201" s="294" t="s">
        <v>715</v>
      </c>
      <c r="D201" s="293" t="s">
        <v>802</v>
      </c>
      <c r="E201" s="295" t="s">
        <v>717</v>
      </c>
      <c r="F201" s="237"/>
      <c r="G201" s="237"/>
      <c r="H201" s="237" t="s">
        <v>809</v>
      </c>
      <c r="I201" s="231"/>
      <c r="J201" s="231"/>
      <c r="K201" s="231"/>
      <c r="L201" s="231"/>
      <c r="M201" s="231"/>
      <c r="N201" s="231"/>
      <c r="O201" s="231"/>
      <c r="P201" s="231"/>
      <c r="Q201" s="231"/>
      <c r="R201" s="231"/>
      <c r="S201" s="231"/>
      <c r="T201" s="231"/>
      <c r="U201" s="231"/>
      <c r="V201" s="231"/>
      <c r="W201" s="231"/>
      <c r="X201" s="231"/>
      <c r="Y201" s="231"/>
      <c r="Z201" s="231"/>
      <c r="AA201" s="231"/>
      <c r="AB201" s="231"/>
      <c r="AC201" s="231"/>
    </row>
    <row r="202" ht="24.75" customHeight="1">
      <c r="A202" s="231"/>
      <c r="B202" s="231"/>
      <c r="C202" s="231"/>
      <c r="D202" s="231"/>
      <c r="E202" s="225"/>
      <c r="F202" s="231"/>
      <c r="G202" s="231"/>
      <c r="H202" s="231"/>
      <c r="I202" s="231"/>
      <c r="J202" s="231"/>
      <c r="K202" s="231"/>
      <c r="L202" s="231"/>
      <c r="M202" s="231"/>
      <c r="N202" s="231"/>
      <c r="O202" s="231"/>
      <c r="P202" s="231"/>
      <c r="Q202" s="231"/>
      <c r="R202" s="231"/>
      <c r="S202" s="231"/>
      <c r="T202" s="231"/>
      <c r="U202" s="231"/>
      <c r="V202" s="231"/>
      <c r="W202" s="231"/>
      <c r="X202" s="231"/>
      <c r="Y202" s="231"/>
      <c r="Z202" s="231"/>
      <c r="AA202" s="231"/>
      <c r="AB202" s="231"/>
      <c r="AC202" s="231"/>
    </row>
    <row r="203" ht="24.75" customHeight="1" collapsed="1">
      <c r="A203" s="223" t="s">
        <v>840</v>
      </c>
      <c r="B203" s="224"/>
      <c r="C203" s="224"/>
      <c r="D203" s="224"/>
      <c r="E203" s="224"/>
      <c r="F203" s="231"/>
      <c r="G203" s="231"/>
      <c r="H203" s="231"/>
      <c r="I203" s="231"/>
      <c r="J203" s="231"/>
      <c r="K203" s="231"/>
      <c r="L203" s="231"/>
      <c r="M203" s="231"/>
      <c r="N203" s="231"/>
      <c r="O203" s="231"/>
      <c r="P203" s="231"/>
      <c r="Q203" s="231"/>
      <c r="R203" s="231"/>
      <c r="S203" s="231"/>
      <c r="T203" s="231"/>
      <c r="U203" s="231"/>
      <c r="V203" s="231"/>
      <c r="W203" s="231"/>
      <c r="X203" s="231"/>
      <c r="Y203" s="231"/>
      <c r="Z203" s="231"/>
      <c r="AA203" s="231"/>
      <c r="AB203" s="231"/>
      <c r="AC203" s="231"/>
    </row>
    <row r="204" ht="24.75" hidden="1" customHeight="1" outlineLevel="1">
      <c r="A204" s="226" t="s">
        <v>647</v>
      </c>
      <c r="B204" s="226" t="s">
        <v>648</v>
      </c>
      <c r="C204" s="226" t="s">
        <v>649</v>
      </c>
      <c r="D204" s="226" t="s">
        <v>650</v>
      </c>
      <c r="E204" s="226" t="s">
        <v>651</v>
      </c>
      <c r="F204" s="231"/>
      <c r="G204" s="231"/>
      <c r="H204" s="231"/>
      <c r="I204" s="237"/>
      <c r="J204" s="231"/>
      <c r="K204" s="231"/>
      <c r="L204" s="231"/>
      <c r="M204" s="231"/>
      <c r="N204" s="231"/>
      <c r="O204" s="231"/>
      <c r="P204" s="231"/>
      <c r="Q204" s="231"/>
      <c r="R204" s="231"/>
      <c r="S204" s="231"/>
      <c r="T204" s="231"/>
      <c r="U204" s="231"/>
      <c r="V204" s="231"/>
      <c r="W204" s="231"/>
      <c r="X204" s="231"/>
      <c r="Y204" s="231"/>
      <c r="Z204" s="231"/>
      <c r="AA204" s="231"/>
      <c r="AB204" s="231"/>
      <c r="AC204" s="231"/>
    </row>
    <row r="205" ht="24.75" hidden="1" customHeight="1" outlineLevel="1">
      <c r="A205" s="296">
        <v>44784.0</v>
      </c>
      <c r="B205" s="235" t="s">
        <v>745</v>
      </c>
      <c r="C205" s="240" t="s">
        <v>841</v>
      </c>
      <c r="D205" s="235" t="s">
        <v>802</v>
      </c>
      <c r="E205" s="30" t="s">
        <v>717</v>
      </c>
      <c r="F205" s="237"/>
      <c r="G205" s="237"/>
      <c r="H205" s="237"/>
      <c r="I205" s="237"/>
      <c r="J205" s="231"/>
      <c r="K205" s="231"/>
      <c r="L205" s="231"/>
      <c r="M205" s="231"/>
      <c r="N205" s="231"/>
      <c r="O205" s="231"/>
      <c r="P205" s="231"/>
      <c r="Q205" s="231"/>
      <c r="R205" s="231"/>
      <c r="S205" s="231"/>
      <c r="T205" s="231"/>
      <c r="U205" s="231"/>
      <c r="V205" s="231"/>
      <c r="W205" s="231"/>
      <c r="X205" s="231"/>
      <c r="Y205" s="231"/>
      <c r="Z205" s="231"/>
      <c r="AA205" s="231"/>
      <c r="AB205" s="231"/>
      <c r="AC205" s="231"/>
    </row>
    <row r="206" ht="24.75" hidden="1" customHeight="1" outlineLevel="1">
      <c r="A206" s="296">
        <v>44784.0</v>
      </c>
      <c r="B206" s="235" t="s">
        <v>660</v>
      </c>
      <c r="C206" s="240" t="s">
        <v>166</v>
      </c>
      <c r="D206" s="235" t="s">
        <v>802</v>
      </c>
      <c r="E206" s="30" t="s">
        <v>717</v>
      </c>
      <c r="F206" s="231"/>
      <c r="G206" s="231"/>
      <c r="H206" s="231"/>
      <c r="I206" s="237" t="s">
        <v>746</v>
      </c>
      <c r="J206" s="231"/>
      <c r="K206" s="231"/>
      <c r="L206" s="231"/>
      <c r="M206" s="231"/>
      <c r="N206" s="231"/>
      <c r="O206" s="231"/>
      <c r="P206" s="231"/>
      <c r="Q206" s="231"/>
      <c r="R206" s="231"/>
      <c r="S206" s="231"/>
      <c r="T206" s="231"/>
      <c r="U206" s="231"/>
      <c r="V206" s="231"/>
      <c r="W206" s="231"/>
      <c r="X206" s="231"/>
      <c r="Y206" s="231"/>
      <c r="Z206" s="231"/>
      <c r="AA206" s="231"/>
      <c r="AB206" s="231"/>
      <c r="AC206" s="231"/>
    </row>
    <row r="207" ht="39.0" hidden="1" customHeight="1" outlineLevel="1">
      <c r="A207" s="296">
        <v>44785.0</v>
      </c>
      <c r="B207" s="235" t="s">
        <v>714</v>
      </c>
      <c r="C207" s="240" t="s">
        <v>715</v>
      </c>
      <c r="D207" s="297" t="s">
        <v>778</v>
      </c>
      <c r="E207" s="30" t="s">
        <v>717</v>
      </c>
      <c r="F207" s="231"/>
      <c r="G207" s="231"/>
      <c r="H207" s="231"/>
      <c r="I207" s="231"/>
      <c r="J207" s="231"/>
      <c r="K207" s="231"/>
      <c r="L207" s="231"/>
      <c r="M207" s="231"/>
      <c r="N207" s="231"/>
      <c r="O207" s="231"/>
      <c r="P207" s="231"/>
      <c r="Q207" s="231"/>
      <c r="R207" s="231"/>
      <c r="S207" s="231"/>
      <c r="T207" s="231"/>
      <c r="U207" s="231"/>
      <c r="V207" s="231"/>
      <c r="W207" s="231"/>
      <c r="X207" s="231"/>
      <c r="Y207" s="231"/>
      <c r="Z207" s="231"/>
      <c r="AA207" s="231"/>
      <c r="AB207" s="231"/>
      <c r="AC207" s="231"/>
    </row>
    <row r="208" ht="24.75" hidden="1" customHeight="1" outlineLevel="1">
      <c r="A208" s="296">
        <v>44785.0</v>
      </c>
      <c r="B208" s="235" t="s">
        <v>663</v>
      </c>
      <c r="C208" s="240" t="s">
        <v>842</v>
      </c>
      <c r="D208" s="240" t="s">
        <v>657</v>
      </c>
      <c r="E208" s="30" t="s">
        <v>685</v>
      </c>
      <c r="F208" s="237"/>
      <c r="G208" s="237"/>
      <c r="H208" s="237"/>
      <c r="I208" s="237" t="s">
        <v>843</v>
      </c>
      <c r="J208" s="231"/>
      <c r="K208" s="231"/>
      <c r="L208" s="231"/>
      <c r="M208" s="231"/>
      <c r="N208" s="231"/>
      <c r="O208" s="231"/>
      <c r="P208" s="231"/>
      <c r="Q208" s="231"/>
      <c r="R208" s="231"/>
      <c r="S208" s="231"/>
      <c r="T208" s="231"/>
      <c r="U208" s="231"/>
      <c r="V208" s="231"/>
      <c r="W208" s="231"/>
      <c r="X208" s="231"/>
      <c r="Y208" s="231"/>
      <c r="Z208" s="231"/>
      <c r="AA208" s="231"/>
      <c r="AB208" s="231"/>
      <c r="AC208" s="231"/>
    </row>
    <row r="209" ht="24.75" hidden="1" customHeight="1" outlineLevel="1">
      <c r="A209" s="296">
        <v>44786.0</v>
      </c>
      <c r="B209" s="298" t="s">
        <v>720</v>
      </c>
      <c r="C209" s="299" t="s">
        <v>741</v>
      </c>
      <c r="D209" s="299" t="s">
        <v>657</v>
      </c>
      <c r="E209" s="30" t="s">
        <v>685</v>
      </c>
      <c r="F209" s="231"/>
      <c r="G209" s="231"/>
      <c r="H209" s="231"/>
      <c r="I209" s="231"/>
      <c r="J209" s="231"/>
      <c r="K209" s="231"/>
      <c r="L209" s="231"/>
      <c r="M209" s="231"/>
      <c r="N209" s="231"/>
      <c r="O209" s="231"/>
      <c r="P209" s="231"/>
      <c r="Q209" s="231"/>
      <c r="R209" s="231"/>
      <c r="S209" s="231"/>
      <c r="T209" s="231"/>
      <c r="U209" s="231"/>
      <c r="V209" s="231"/>
      <c r="W209" s="231"/>
      <c r="X209" s="231"/>
      <c r="Y209" s="231"/>
      <c r="Z209" s="231"/>
      <c r="AA209" s="231"/>
      <c r="AB209" s="231"/>
      <c r="AC209" s="231"/>
    </row>
    <row r="210" ht="24.75" hidden="1" customHeight="1" outlineLevel="1">
      <c r="A210" s="296">
        <v>44786.0</v>
      </c>
      <c r="B210" s="298" t="s">
        <v>692</v>
      </c>
      <c r="C210" s="299" t="s">
        <v>844</v>
      </c>
      <c r="D210" s="299" t="s">
        <v>845</v>
      </c>
      <c r="E210" s="30" t="s">
        <v>685</v>
      </c>
      <c r="F210" s="237"/>
      <c r="G210" s="237"/>
      <c r="H210" s="237" t="s">
        <v>846</v>
      </c>
      <c r="I210" s="237"/>
      <c r="J210" s="231"/>
      <c r="K210" s="231"/>
      <c r="L210" s="231"/>
      <c r="M210" s="231"/>
      <c r="N210" s="231"/>
      <c r="O210" s="231"/>
      <c r="P210" s="231"/>
      <c r="Q210" s="231"/>
      <c r="R210" s="231"/>
      <c r="S210" s="231"/>
      <c r="T210" s="231"/>
      <c r="U210" s="231"/>
      <c r="V210" s="231"/>
      <c r="W210" s="231"/>
      <c r="X210" s="231"/>
      <c r="Y210" s="231"/>
      <c r="Z210" s="231"/>
      <c r="AA210" s="231"/>
      <c r="AB210" s="231"/>
      <c r="AC210" s="231"/>
    </row>
    <row r="211" ht="24.75" hidden="1" customHeight="1" outlineLevel="1">
      <c r="A211" s="296">
        <v>44786.0</v>
      </c>
      <c r="B211" s="298" t="s">
        <v>695</v>
      </c>
      <c r="C211" s="299" t="s">
        <v>784</v>
      </c>
      <c r="D211" s="299" t="s">
        <v>657</v>
      </c>
      <c r="E211" s="30" t="s">
        <v>685</v>
      </c>
      <c r="F211" s="231"/>
      <c r="G211" s="231"/>
      <c r="H211" s="231"/>
      <c r="I211" s="231"/>
      <c r="J211" s="231"/>
      <c r="K211" s="231"/>
      <c r="L211" s="231"/>
      <c r="M211" s="231"/>
      <c r="N211" s="231"/>
      <c r="O211" s="231"/>
      <c r="P211" s="231"/>
      <c r="Q211" s="231"/>
      <c r="R211" s="231"/>
      <c r="S211" s="231"/>
      <c r="T211" s="231"/>
      <c r="U211" s="231"/>
      <c r="V211" s="231"/>
      <c r="W211" s="231"/>
      <c r="X211" s="231"/>
      <c r="Y211" s="231"/>
      <c r="Z211" s="231"/>
      <c r="AA211" s="231"/>
      <c r="AB211" s="231"/>
      <c r="AC211" s="231"/>
    </row>
    <row r="212" ht="24.75" hidden="1" customHeight="1" outlineLevel="1">
      <c r="A212" s="296">
        <v>44786.0</v>
      </c>
      <c r="B212" s="235" t="s">
        <v>691</v>
      </c>
      <c r="C212" s="240" t="s">
        <v>715</v>
      </c>
      <c r="D212" s="240" t="s">
        <v>724</v>
      </c>
      <c r="E212" s="30" t="s">
        <v>717</v>
      </c>
      <c r="I212" s="231"/>
      <c r="J212" s="231"/>
      <c r="K212" s="231"/>
      <c r="L212" s="231"/>
      <c r="M212" s="231"/>
      <c r="N212" s="231"/>
      <c r="O212" s="231"/>
      <c r="P212" s="231"/>
      <c r="Q212" s="231"/>
      <c r="R212" s="231"/>
      <c r="S212" s="231"/>
      <c r="T212" s="231"/>
      <c r="U212" s="231"/>
      <c r="V212" s="231"/>
      <c r="W212" s="231"/>
      <c r="X212" s="231"/>
      <c r="Y212" s="231"/>
      <c r="Z212" s="231"/>
      <c r="AA212" s="231"/>
      <c r="AB212" s="231"/>
      <c r="AC212" s="231"/>
    </row>
    <row r="213" ht="24.75" hidden="1" customHeight="1" outlineLevel="1">
      <c r="A213" s="296">
        <v>44787.0</v>
      </c>
      <c r="B213" s="298" t="s">
        <v>669</v>
      </c>
      <c r="C213" s="299" t="s">
        <v>847</v>
      </c>
      <c r="D213" s="299" t="s">
        <v>848</v>
      </c>
      <c r="E213" s="30" t="s">
        <v>685</v>
      </c>
      <c r="I213" s="237" t="s">
        <v>738</v>
      </c>
      <c r="J213" s="231"/>
      <c r="K213" s="231"/>
      <c r="L213" s="231"/>
      <c r="M213" s="231"/>
      <c r="N213" s="231"/>
      <c r="O213" s="231"/>
      <c r="P213" s="231"/>
      <c r="Q213" s="231"/>
      <c r="R213" s="231"/>
      <c r="S213" s="231"/>
      <c r="T213" s="231"/>
      <c r="U213" s="231"/>
      <c r="V213" s="231"/>
      <c r="W213" s="231"/>
      <c r="X213" s="231"/>
      <c r="Y213" s="231"/>
      <c r="Z213" s="231"/>
      <c r="AA213" s="231"/>
      <c r="AB213" s="231"/>
      <c r="AC213" s="231"/>
    </row>
    <row r="214" ht="24.75" hidden="1" customHeight="1" outlineLevel="1">
      <c r="A214" s="296">
        <v>44787.0</v>
      </c>
      <c r="B214" s="298" t="s">
        <v>671</v>
      </c>
      <c r="C214" s="299" t="s">
        <v>741</v>
      </c>
      <c r="D214" s="299" t="s">
        <v>657</v>
      </c>
      <c r="E214" s="30" t="s">
        <v>685</v>
      </c>
      <c r="I214" s="237" t="s">
        <v>752</v>
      </c>
      <c r="J214" s="231"/>
      <c r="K214" s="231"/>
      <c r="L214" s="231"/>
      <c r="M214" s="231"/>
      <c r="N214" s="231"/>
      <c r="O214" s="231"/>
      <c r="P214" s="231"/>
      <c r="Q214" s="231"/>
      <c r="R214" s="231"/>
      <c r="S214" s="231"/>
      <c r="T214" s="231"/>
      <c r="U214" s="231"/>
      <c r="V214" s="231"/>
      <c r="W214" s="231"/>
      <c r="X214" s="231"/>
      <c r="Y214" s="231"/>
      <c r="Z214" s="231"/>
      <c r="AA214" s="231"/>
      <c r="AB214" s="231"/>
      <c r="AC214" s="231"/>
    </row>
    <row r="215" ht="24.75" hidden="1" customHeight="1" outlineLevel="1">
      <c r="A215" s="296">
        <v>44787.0</v>
      </c>
      <c r="B215" s="298" t="s">
        <v>728</v>
      </c>
      <c r="C215" s="299" t="s">
        <v>831</v>
      </c>
      <c r="D215" s="299" t="s">
        <v>849</v>
      </c>
      <c r="E215" s="30" t="s">
        <v>685</v>
      </c>
      <c r="F215" s="237"/>
      <c r="G215" s="237"/>
      <c r="H215" s="237"/>
      <c r="I215" s="231"/>
      <c r="J215" s="231"/>
      <c r="K215" s="231"/>
      <c r="L215" s="231"/>
      <c r="M215" s="231"/>
      <c r="N215" s="231"/>
      <c r="O215" s="231"/>
      <c r="P215" s="231"/>
      <c r="Q215" s="231"/>
      <c r="R215" s="231"/>
      <c r="S215" s="231"/>
      <c r="T215" s="231"/>
      <c r="U215" s="231"/>
      <c r="V215" s="231"/>
      <c r="W215" s="231"/>
      <c r="X215" s="231"/>
      <c r="Y215" s="231"/>
      <c r="Z215" s="231"/>
      <c r="AA215" s="231"/>
      <c r="AB215" s="231"/>
      <c r="AC215" s="231"/>
    </row>
    <row r="216" ht="24.75" hidden="1" customHeight="1" outlineLevel="1">
      <c r="A216" s="296">
        <v>44788.0</v>
      </c>
      <c r="B216" s="298" t="s">
        <v>731</v>
      </c>
      <c r="C216" s="299" t="s">
        <v>784</v>
      </c>
      <c r="D216" s="299" t="s">
        <v>734</v>
      </c>
      <c r="E216" s="30" t="s">
        <v>685</v>
      </c>
      <c r="F216" s="237"/>
      <c r="G216" s="237"/>
      <c r="H216" s="237"/>
      <c r="I216" s="231"/>
      <c r="J216" s="231"/>
      <c r="K216" s="231"/>
      <c r="L216" s="231"/>
      <c r="M216" s="231"/>
      <c r="N216" s="231"/>
      <c r="O216" s="231"/>
      <c r="P216" s="231"/>
      <c r="Q216" s="231"/>
      <c r="R216" s="231"/>
      <c r="S216" s="231"/>
      <c r="T216" s="231"/>
      <c r="U216" s="231"/>
      <c r="V216" s="231"/>
      <c r="W216" s="231"/>
      <c r="X216" s="231"/>
      <c r="Y216" s="231"/>
      <c r="Z216" s="231"/>
      <c r="AA216" s="231"/>
      <c r="AB216" s="231"/>
      <c r="AC216" s="231"/>
    </row>
    <row r="217" ht="24.75" hidden="1" customHeight="1" outlineLevel="1">
      <c r="A217" s="296">
        <v>44788.0</v>
      </c>
      <c r="B217" s="235" t="s">
        <v>753</v>
      </c>
      <c r="C217" s="261" t="s">
        <v>850</v>
      </c>
      <c r="D217" s="240" t="s">
        <v>657</v>
      </c>
      <c r="E217" s="30" t="s">
        <v>685</v>
      </c>
      <c r="F217" s="237"/>
      <c r="G217" s="237"/>
      <c r="H217" s="237" t="s">
        <v>851</v>
      </c>
      <c r="I217" s="237" t="s">
        <v>755</v>
      </c>
      <c r="J217" s="231"/>
      <c r="K217" s="231"/>
      <c r="L217" s="231"/>
      <c r="M217" s="231"/>
      <c r="N217" s="231"/>
      <c r="O217" s="231"/>
      <c r="P217" s="231"/>
      <c r="Q217" s="231"/>
      <c r="R217" s="231"/>
      <c r="S217" s="231"/>
      <c r="T217" s="231"/>
      <c r="U217" s="231"/>
      <c r="V217" s="231"/>
      <c r="W217" s="231"/>
      <c r="X217" s="231"/>
      <c r="Y217" s="231"/>
      <c r="Z217" s="231"/>
      <c r="AA217" s="231"/>
      <c r="AB217" s="231"/>
      <c r="AC217" s="231"/>
    </row>
    <row r="218" ht="24.75" hidden="1" customHeight="1" outlineLevel="1">
      <c r="A218" s="296">
        <v>44788.0</v>
      </c>
      <c r="B218" s="235" t="s">
        <v>756</v>
      </c>
      <c r="C218" s="261" t="s">
        <v>850</v>
      </c>
      <c r="D218" s="240" t="s">
        <v>657</v>
      </c>
      <c r="E218" s="30" t="s">
        <v>685</v>
      </c>
      <c r="F218" s="237"/>
      <c r="G218" s="237"/>
      <c r="H218" s="237" t="s">
        <v>851</v>
      </c>
      <c r="I218" s="237" t="s">
        <v>755</v>
      </c>
      <c r="J218" s="231"/>
      <c r="K218" s="231"/>
      <c r="L218" s="231"/>
      <c r="M218" s="231"/>
      <c r="N218" s="231"/>
      <c r="O218" s="231"/>
      <c r="P218" s="231"/>
      <c r="Q218" s="231"/>
      <c r="R218" s="231"/>
      <c r="S218" s="231"/>
      <c r="T218" s="231"/>
      <c r="U218" s="231"/>
      <c r="V218" s="231"/>
      <c r="W218" s="231"/>
      <c r="X218" s="231"/>
      <c r="Y218" s="231"/>
      <c r="Z218" s="231"/>
      <c r="AA218" s="231"/>
      <c r="AB218" s="231"/>
      <c r="AC218" s="231"/>
    </row>
    <row r="219" ht="24.75" hidden="1" customHeight="1" outlineLevel="1">
      <c r="A219" s="296">
        <v>44788.0</v>
      </c>
      <c r="B219" s="235" t="s">
        <v>801</v>
      </c>
      <c r="C219" s="235" t="s">
        <v>715</v>
      </c>
      <c r="D219" s="235" t="s">
        <v>657</v>
      </c>
      <c r="E219" s="30" t="s">
        <v>717</v>
      </c>
      <c r="F219" s="237"/>
      <c r="G219" s="237"/>
      <c r="H219" s="237" t="s">
        <v>852</v>
      </c>
      <c r="I219" s="231"/>
      <c r="J219" s="231"/>
      <c r="K219" s="231"/>
      <c r="L219" s="231"/>
      <c r="M219" s="231"/>
      <c r="N219" s="231"/>
      <c r="O219" s="231"/>
      <c r="P219" s="231"/>
      <c r="Q219" s="231"/>
      <c r="R219" s="231"/>
      <c r="S219" s="231"/>
      <c r="T219" s="231"/>
      <c r="U219" s="231"/>
      <c r="V219" s="231"/>
      <c r="W219" s="231"/>
      <c r="X219" s="231"/>
      <c r="Y219" s="231"/>
      <c r="Z219" s="231"/>
      <c r="AA219" s="231"/>
      <c r="AB219" s="231"/>
      <c r="AC219" s="231"/>
    </row>
    <row r="220" ht="39.0" hidden="1" customHeight="1" outlineLevel="1">
      <c r="A220" s="296">
        <v>44789.0</v>
      </c>
      <c r="B220" s="235" t="s">
        <v>714</v>
      </c>
      <c r="C220" s="240" t="s">
        <v>715</v>
      </c>
      <c r="D220" s="297" t="s">
        <v>778</v>
      </c>
      <c r="E220" s="30" t="s">
        <v>717</v>
      </c>
      <c r="F220" s="231"/>
      <c r="G220" s="231"/>
      <c r="H220" s="231"/>
      <c r="I220" s="231"/>
      <c r="J220" s="231"/>
      <c r="K220" s="231"/>
      <c r="L220" s="231"/>
      <c r="M220" s="231"/>
      <c r="N220" s="231"/>
      <c r="O220" s="231"/>
      <c r="P220" s="231"/>
      <c r="Q220" s="231"/>
      <c r="R220" s="231"/>
      <c r="S220" s="231"/>
      <c r="T220" s="231"/>
      <c r="U220" s="231"/>
      <c r="V220" s="231"/>
      <c r="W220" s="231"/>
      <c r="X220" s="231"/>
      <c r="Y220" s="231"/>
      <c r="Z220" s="231"/>
      <c r="AA220" s="231"/>
      <c r="AB220" s="231"/>
      <c r="AC220" s="231"/>
    </row>
    <row r="221" ht="24.75" hidden="1" customHeight="1" outlineLevel="1">
      <c r="A221" s="296">
        <v>44789.0</v>
      </c>
      <c r="B221" s="298" t="s">
        <v>736</v>
      </c>
      <c r="C221" s="299" t="s">
        <v>853</v>
      </c>
      <c r="D221" s="299" t="s">
        <v>854</v>
      </c>
      <c r="E221" s="30" t="s">
        <v>685</v>
      </c>
      <c r="F221" s="231"/>
      <c r="G221" s="231"/>
      <c r="H221" s="231"/>
      <c r="I221" s="231"/>
      <c r="J221" s="231"/>
      <c r="K221" s="231"/>
      <c r="L221" s="231"/>
      <c r="M221" s="231"/>
      <c r="N221" s="231"/>
      <c r="O221" s="231"/>
      <c r="P221" s="231"/>
      <c r="Q221" s="231"/>
      <c r="R221" s="231"/>
      <c r="S221" s="231"/>
      <c r="T221" s="231"/>
      <c r="U221" s="231"/>
      <c r="V221" s="231"/>
      <c r="W221" s="231"/>
      <c r="X221" s="231"/>
      <c r="Y221" s="231"/>
      <c r="Z221" s="231"/>
      <c r="AA221" s="231"/>
      <c r="AB221" s="231"/>
      <c r="AC221" s="231"/>
    </row>
    <row r="222" ht="24.75" hidden="1" customHeight="1" outlineLevel="1">
      <c r="A222" s="296">
        <v>44789.0</v>
      </c>
      <c r="B222" s="235" t="s">
        <v>808</v>
      </c>
      <c r="C222" s="261" t="s">
        <v>715</v>
      </c>
      <c r="D222" s="235" t="s">
        <v>802</v>
      </c>
      <c r="E222" s="30" t="s">
        <v>717</v>
      </c>
      <c r="F222" s="237"/>
      <c r="G222" s="237"/>
      <c r="H222" s="237" t="s">
        <v>809</v>
      </c>
      <c r="I222" s="231"/>
      <c r="J222" s="231"/>
      <c r="K222" s="231"/>
      <c r="L222" s="231"/>
      <c r="M222" s="231"/>
      <c r="N222" s="231"/>
      <c r="O222" s="231"/>
      <c r="P222" s="231"/>
      <c r="Q222" s="231"/>
      <c r="R222" s="231"/>
      <c r="S222" s="231"/>
      <c r="T222" s="231"/>
      <c r="U222" s="231"/>
      <c r="V222" s="231"/>
      <c r="W222" s="231"/>
      <c r="X222" s="231"/>
      <c r="Y222" s="231"/>
      <c r="Z222" s="231"/>
      <c r="AA222" s="231"/>
      <c r="AB222" s="231"/>
      <c r="AC222" s="231"/>
    </row>
    <row r="223" ht="24.75" hidden="1" customHeight="1" outlineLevel="1">
      <c r="A223" s="296">
        <v>44790.0</v>
      </c>
      <c r="B223" s="235" t="s">
        <v>680</v>
      </c>
      <c r="C223" s="240" t="s">
        <v>715</v>
      </c>
      <c r="D223" s="240" t="s">
        <v>739</v>
      </c>
      <c r="E223" s="30" t="s">
        <v>717</v>
      </c>
      <c r="F223" s="231"/>
      <c r="G223" s="231"/>
      <c r="H223" s="231"/>
      <c r="I223" s="231"/>
      <c r="J223" s="231"/>
      <c r="K223" s="231"/>
      <c r="L223" s="231"/>
      <c r="M223" s="231"/>
      <c r="N223" s="231"/>
      <c r="O223" s="231"/>
      <c r="P223" s="231"/>
      <c r="Q223" s="231"/>
      <c r="R223" s="231"/>
      <c r="S223" s="231"/>
      <c r="T223" s="231"/>
      <c r="U223" s="231"/>
      <c r="V223" s="231"/>
      <c r="W223" s="231"/>
      <c r="X223" s="231"/>
      <c r="Y223" s="231"/>
      <c r="Z223" s="231"/>
      <c r="AA223" s="231"/>
      <c r="AB223" s="231"/>
      <c r="AC223" s="231"/>
    </row>
    <row r="224" ht="24.75" hidden="1" customHeight="1" outlineLevel="1">
      <c r="A224" s="296">
        <v>44790.0</v>
      </c>
      <c r="B224" s="298" t="s">
        <v>708</v>
      </c>
      <c r="C224" s="299" t="s">
        <v>784</v>
      </c>
      <c r="D224" s="299" t="s">
        <v>734</v>
      </c>
      <c r="E224" s="30" t="s">
        <v>685</v>
      </c>
      <c r="F224" s="231"/>
      <c r="G224" s="231"/>
      <c r="H224" s="231"/>
      <c r="I224" s="231"/>
      <c r="J224" s="231"/>
      <c r="K224" s="231"/>
      <c r="L224" s="231"/>
      <c r="M224" s="231"/>
      <c r="N224" s="231"/>
      <c r="O224" s="231"/>
      <c r="P224" s="231"/>
      <c r="Q224" s="231"/>
      <c r="R224" s="231"/>
      <c r="S224" s="231"/>
      <c r="T224" s="231"/>
      <c r="U224" s="231"/>
      <c r="V224" s="231"/>
      <c r="W224" s="231"/>
      <c r="X224" s="231"/>
      <c r="Y224" s="231"/>
      <c r="Z224" s="231"/>
      <c r="AA224" s="231"/>
      <c r="AB224" s="231"/>
      <c r="AC224" s="231"/>
    </row>
    <row r="225" ht="24.75" hidden="1" customHeight="1" outlineLevel="1">
      <c r="A225" s="296">
        <v>44790.0</v>
      </c>
      <c r="B225" s="298" t="s">
        <v>740</v>
      </c>
      <c r="C225" s="299" t="s">
        <v>741</v>
      </c>
      <c r="D225" s="299" t="s">
        <v>657</v>
      </c>
      <c r="E225" s="30" t="s">
        <v>685</v>
      </c>
      <c r="F225" s="231"/>
      <c r="G225" s="231"/>
      <c r="H225" s="231"/>
      <c r="I225" s="231"/>
      <c r="J225" s="231"/>
      <c r="K225" s="231"/>
      <c r="L225" s="231"/>
      <c r="M225" s="231"/>
      <c r="N225" s="231"/>
      <c r="O225" s="231"/>
      <c r="P225" s="231"/>
      <c r="Q225" s="231"/>
      <c r="R225" s="231"/>
      <c r="S225" s="231"/>
      <c r="T225" s="231"/>
      <c r="U225" s="231"/>
      <c r="V225" s="231"/>
      <c r="W225" s="231"/>
      <c r="X225" s="231"/>
      <c r="Y225" s="231"/>
      <c r="Z225" s="231"/>
      <c r="AA225" s="231"/>
      <c r="AB225" s="231"/>
      <c r="AC225" s="231"/>
    </row>
    <row r="226" ht="24.75" hidden="1" customHeight="1" outlineLevel="1">
      <c r="A226" s="296">
        <v>44790.0</v>
      </c>
      <c r="B226" s="298" t="s">
        <v>743</v>
      </c>
      <c r="C226" s="299" t="s">
        <v>855</v>
      </c>
      <c r="D226" s="299" t="s">
        <v>856</v>
      </c>
      <c r="E226" s="30" t="s">
        <v>685</v>
      </c>
      <c r="F226" s="231"/>
      <c r="G226" s="231"/>
      <c r="H226" s="231"/>
      <c r="I226" s="231"/>
      <c r="J226" s="231"/>
      <c r="K226" s="231"/>
      <c r="L226" s="231"/>
      <c r="M226" s="231"/>
      <c r="N226" s="231"/>
      <c r="O226" s="231"/>
      <c r="P226" s="231"/>
      <c r="Q226" s="231"/>
      <c r="R226" s="231"/>
      <c r="S226" s="231"/>
      <c r="T226" s="231"/>
      <c r="U226" s="231"/>
      <c r="V226" s="231"/>
      <c r="W226" s="231"/>
      <c r="X226" s="231"/>
      <c r="Y226" s="231"/>
      <c r="Z226" s="231"/>
      <c r="AA226" s="231"/>
      <c r="AB226" s="231"/>
      <c r="AC226" s="231"/>
    </row>
    <row r="227" ht="24.75" hidden="1" customHeight="1" outlineLevel="1">
      <c r="A227" s="296">
        <v>44790.0</v>
      </c>
      <c r="B227" s="298" t="s">
        <v>686</v>
      </c>
      <c r="C227" s="298" t="s">
        <v>823</v>
      </c>
      <c r="D227" s="299" t="s">
        <v>657</v>
      </c>
      <c r="E227" s="30" t="s">
        <v>685</v>
      </c>
      <c r="F227" s="237"/>
      <c r="G227" s="237"/>
      <c r="H227" s="237" t="s">
        <v>846</v>
      </c>
      <c r="I227" s="231"/>
      <c r="J227" s="231"/>
      <c r="K227" s="231"/>
      <c r="L227" s="231"/>
      <c r="M227" s="231"/>
      <c r="N227" s="231"/>
      <c r="O227" s="231"/>
      <c r="P227" s="231"/>
      <c r="Q227" s="231"/>
      <c r="R227" s="231"/>
      <c r="S227" s="231"/>
      <c r="T227" s="231"/>
      <c r="U227" s="231"/>
      <c r="V227" s="231"/>
      <c r="W227" s="231"/>
      <c r="X227" s="231"/>
      <c r="Y227" s="231"/>
      <c r="Z227" s="231"/>
      <c r="AA227" s="231"/>
      <c r="AB227" s="231"/>
      <c r="AC227" s="231"/>
    </row>
    <row r="228" ht="24.75" hidden="1" customHeight="1" outlineLevel="1">
      <c r="A228" s="296">
        <v>44791.0</v>
      </c>
      <c r="B228" s="298" t="s">
        <v>745</v>
      </c>
      <c r="C228" s="299" t="s">
        <v>857</v>
      </c>
      <c r="D228" s="299" t="s">
        <v>858</v>
      </c>
      <c r="E228" s="30" t="s">
        <v>685</v>
      </c>
      <c r="F228" s="231"/>
      <c r="G228" s="231"/>
      <c r="H228" s="231"/>
      <c r="I228" s="231"/>
      <c r="J228" s="231"/>
      <c r="K228" s="231"/>
      <c r="L228" s="231"/>
      <c r="M228" s="231"/>
      <c r="N228" s="231"/>
      <c r="O228" s="231"/>
      <c r="P228" s="231"/>
      <c r="Q228" s="231"/>
      <c r="R228" s="231"/>
      <c r="S228" s="231"/>
      <c r="T228" s="231"/>
      <c r="U228" s="231"/>
      <c r="V228" s="231"/>
      <c r="W228" s="231"/>
      <c r="X228" s="231"/>
      <c r="Y228" s="231"/>
      <c r="Z228" s="231"/>
      <c r="AA228" s="231"/>
      <c r="AB228" s="231"/>
      <c r="AC228" s="231"/>
    </row>
    <row r="229" ht="24.75" hidden="1" customHeight="1" outlineLevel="1">
      <c r="A229" s="296">
        <v>44791.0</v>
      </c>
      <c r="B229" s="300" t="s">
        <v>660</v>
      </c>
      <c r="C229" s="234" t="s">
        <v>166</v>
      </c>
      <c r="D229" s="234" t="s">
        <v>657</v>
      </c>
      <c r="E229" s="301" t="s">
        <v>685</v>
      </c>
      <c r="F229" s="231"/>
      <c r="G229" s="231"/>
      <c r="H229" s="231"/>
      <c r="I229" s="231"/>
      <c r="J229" s="231"/>
      <c r="K229" s="231"/>
      <c r="L229" s="231"/>
      <c r="M229" s="231"/>
      <c r="N229" s="231"/>
      <c r="O229" s="231"/>
      <c r="P229" s="231"/>
      <c r="Q229" s="231"/>
      <c r="R229" s="231"/>
      <c r="S229" s="231"/>
      <c r="T229" s="231"/>
      <c r="U229" s="231"/>
      <c r="V229" s="231"/>
      <c r="W229" s="231"/>
      <c r="X229" s="231"/>
      <c r="Y229" s="231"/>
      <c r="Z229" s="231"/>
      <c r="AA229" s="231"/>
      <c r="AB229" s="231"/>
      <c r="AC229" s="231"/>
    </row>
    <row r="230" ht="24.75" hidden="1" customHeight="1" outlineLevel="1">
      <c r="A230" s="296">
        <v>44793.0</v>
      </c>
      <c r="B230" s="298" t="s">
        <v>692</v>
      </c>
      <c r="C230" s="299" t="s">
        <v>844</v>
      </c>
      <c r="D230" s="299" t="s">
        <v>859</v>
      </c>
      <c r="E230" s="301" t="s">
        <v>685</v>
      </c>
      <c r="F230" s="237"/>
      <c r="G230" s="237"/>
      <c r="H230" s="237" t="s">
        <v>846</v>
      </c>
      <c r="I230" s="231"/>
      <c r="J230" s="231"/>
      <c r="K230" s="231"/>
      <c r="L230" s="231"/>
      <c r="M230" s="231"/>
      <c r="N230" s="231"/>
      <c r="O230" s="231"/>
      <c r="P230" s="231"/>
      <c r="Q230" s="231"/>
      <c r="R230" s="231"/>
      <c r="S230" s="231"/>
      <c r="T230" s="231"/>
      <c r="U230" s="231"/>
      <c r="V230" s="231"/>
      <c r="W230" s="231"/>
      <c r="X230" s="231"/>
      <c r="Y230" s="231"/>
      <c r="Z230" s="231"/>
      <c r="AA230" s="231"/>
      <c r="AB230" s="231"/>
      <c r="AC230" s="231"/>
    </row>
    <row r="231" ht="24.75" hidden="1" customHeight="1" outlineLevel="1">
      <c r="A231" s="296">
        <v>44794.0</v>
      </c>
      <c r="B231" s="302" t="s">
        <v>669</v>
      </c>
      <c r="C231" s="299" t="s">
        <v>860</v>
      </c>
      <c r="D231" s="303" t="s">
        <v>657</v>
      </c>
      <c r="E231" s="301" t="s">
        <v>685</v>
      </c>
      <c r="F231" s="231"/>
      <c r="G231" s="231"/>
      <c r="H231" s="231"/>
      <c r="I231" s="231"/>
      <c r="J231" s="231"/>
      <c r="K231" s="231"/>
      <c r="L231" s="231"/>
      <c r="M231" s="231"/>
      <c r="N231" s="231"/>
      <c r="O231" s="231"/>
      <c r="P231" s="231"/>
      <c r="Q231" s="231"/>
      <c r="R231" s="231"/>
      <c r="S231" s="231"/>
      <c r="T231" s="231"/>
      <c r="U231" s="231"/>
      <c r="V231" s="231"/>
      <c r="W231" s="231"/>
      <c r="X231" s="231"/>
      <c r="Y231" s="231"/>
      <c r="Z231" s="231"/>
      <c r="AA231" s="231"/>
      <c r="AB231" s="231"/>
      <c r="AC231" s="231"/>
    </row>
    <row r="232" ht="24.75" hidden="1" customHeight="1" outlineLevel="1">
      <c r="A232" s="296">
        <v>44796.0</v>
      </c>
      <c r="B232" s="302" t="s">
        <v>736</v>
      </c>
      <c r="C232" s="299" t="s">
        <v>861</v>
      </c>
      <c r="D232" s="303" t="s">
        <v>734</v>
      </c>
      <c r="E232" s="301" t="s">
        <v>685</v>
      </c>
      <c r="F232" s="231"/>
      <c r="G232" s="231"/>
      <c r="H232" s="231"/>
      <c r="I232" s="231"/>
      <c r="J232" s="231"/>
      <c r="K232" s="231"/>
      <c r="L232" s="231"/>
      <c r="M232" s="231"/>
      <c r="N232" s="231"/>
      <c r="O232" s="231"/>
      <c r="P232" s="231"/>
      <c r="Q232" s="231"/>
      <c r="R232" s="231"/>
      <c r="S232" s="231"/>
      <c r="T232" s="231"/>
      <c r="U232" s="231"/>
      <c r="V232" s="231"/>
      <c r="W232" s="231"/>
      <c r="X232" s="231"/>
      <c r="Y232" s="231"/>
      <c r="Z232" s="231"/>
      <c r="AA232" s="231"/>
      <c r="AB232" s="231"/>
      <c r="AC232" s="231"/>
    </row>
    <row r="233" ht="24.75" hidden="1" customHeight="1" outlineLevel="1">
      <c r="A233" s="296">
        <v>44797.0</v>
      </c>
      <c r="B233" s="302" t="s">
        <v>743</v>
      </c>
      <c r="C233" s="299" t="s">
        <v>862</v>
      </c>
      <c r="D233" s="303" t="s">
        <v>734</v>
      </c>
      <c r="E233" s="301" t="s">
        <v>685</v>
      </c>
      <c r="F233" s="231"/>
      <c r="G233" s="231"/>
      <c r="H233" s="231"/>
      <c r="I233" s="231"/>
      <c r="J233" s="231"/>
      <c r="K233" s="231"/>
      <c r="L233" s="231"/>
      <c r="M233" s="231"/>
      <c r="N233" s="231"/>
      <c r="O233" s="231"/>
      <c r="P233" s="231"/>
      <c r="Q233" s="231"/>
      <c r="R233" s="231"/>
      <c r="S233" s="231"/>
      <c r="T233" s="231"/>
      <c r="U233" s="231"/>
      <c r="V233" s="231"/>
      <c r="W233" s="231"/>
      <c r="X233" s="231"/>
      <c r="Y233" s="231"/>
      <c r="Z233" s="231"/>
      <c r="AA233" s="231"/>
      <c r="AB233" s="231"/>
      <c r="AC233" s="231"/>
    </row>
    <row r="234" ht="24.75" hidden="1" customHeight="1" outlineLevel="1">
      <c r="A234" s="296">
        <v>44798.0</v>
      </c>
      <c r="B234" s="302" t="s">
        <v>745</v>
      </c>
      <c r="C234" s="299" t="s">
        <v>863</v>
      </c>
      <c r="D234" s="303" t="s">
        <v>734</v>
      </c>
      <c r="E234" s="301" t="s">
        <v>685</v>
      </c>
      <c r="F234" s="231"/>
      <c r="G234" s="231"/>
      <c r="H234" s="231"/>
      <c r="I234" s="231"/>
      <c r="J234" s="231"/>
      <c r="K234" s="231"/>
      <c r="L234" s="231"/>
      <c r="M234" s="231"/>
      <c r="N234" s="231"/>
      <c r="O234" s="231"/>
      <c r="P234" s="231"/>
      <c r="Q234" s="231"/>
      <c r="R234" s="231"/>
      <c r="S234" s="231"/>
      <c r="T234" s="231"/>
      <c r="U234" s="231"/>
      <c r="V234" s="231"/>
      <c r="W234" s="231"/>
      <c r="X234" s="231"/>
      <c r="Y234" s="231"/>
      <c r="Z234" s="231"/>
      <c r="AA234" s="231"/>
      <c r="AB234" s="231"/>
      <c r="AC234" s="231"/>
    </row>
    <row r="235" ht="24.75" customHeight="1">
      <c r="A235" s="231"/>
      <c r="B235" s="231"/>
      <c r="C235" s="231"/>
      <c r="D235" s="231"/>
      <c r="E235" s="225"/>
      <c r="F235" s="231"/>
      <c r="G235" s="231"/>
      <c r="H235" s="231"/>
      <c r="I235" s="231"/>
      <c r="J235" s="231"/>
      <c r="K235" s="231"/>
      <c r="L235" s="231"/>
      <c r="M235" s="231"/>
      <c r="N235" s="231"/>
      <c r="O235" s="231"/>
      <c r="P235" s="231"/>
      <c r="Q235" s="231"/>
      <c r="R235" s="231"/>
      <c r="S235" s="231"/>
      <c r="T235" s="231"/>
      <c r="U235" s="231"/>
      <c r="V235" s="231"/>
      <c r="W235" s="231"/>
      <c r="X235" s="231"/>
      <c r="Y235" s="231"/>
      <c r="Z235" s="231"/>
      <c r="AA235" s="231"/>
      <c r="AB235" s="231"/>
      <c r="AC235" s="231"/>
    </row>
    <row r="236" ht="24.75" customHeight="1" collapsed="1">
      <c r="A236" s="237" t="s">
        <v>864</v>
      </c>
      <c r="B236" s="231"/>
      <c r="C236" s="231"/>
      <c r="D236" s="231"/>
      <c r="E236" s="231"/>
      <c r="F236" s="231"/>
      <c r="G236" s="231"/>
      <c r="H236" s="231"/>
      <c r="I236" s="231"/>
      <c r="J236" s="231"/>
      <c r="K236" s="231"/>
      <c r="L236" s="231"/>
      <c r="M236" s="231"/>
      <c r="N236" s="231"/>
      <c r="O236" s="231"/>
      <c r="P236" s="231"/>
      <c r="Q236" s="231"/>
      <c r="R236" s="231"/>
      <c r="S236" s="231"/>
      <c r="T236" s="231"/>
      <c r="U236" s="231"/>
      <c r="V236" s="231"/>
      <c r="W236" s="231"/>
      <c r="X236" s="231"/>
      <c r="Y236" s="231"/>
      <c r="Z236" s="231"/>
      <c r="AA236" s="231"/>
      <c r="AB236" s="231"/>
      <c r="AC236" s="231"/>
    </row>
    <row r="237" ht="24.75" hidden="1" customHeight="1" outlineLevel="1">
      <c r="A237" s="296">
        <v>44826.0</v>
      </c>
      <c r="B237" s="235" t="s">
        <v>660</v>
      </c>
      <c r="C237" s="240" t="s">
        <v>166</v>
      </c>
      <c r="D237" s="235" t="s">
        <v>802</v>
      </c>
      <c r="E237" s="30" t="s">
        <v>717</v>
      </c>
      <c r="F237" s="231"/>
      <c r="G237" s="231"/>
      <c r="H237" s="231"/>
      <c r="I237" s="237" t="s">
        <v>746</v>
      </c>
      <c r="J237" s="231"/>
      <c r="K237" s="231"/>
      <c r="L237" s="231"/>
      <c r="M237" s="231"/>
      <c r="N237" s="231"/>
      <c r="O237" s="231"/>
      <c r="P237" s="231"/>
      <c r="Q237" s="231"/>
      <c r="R237" s="231"/>
      <c r="S237" s="231"/>
      <c r="T237" s="231"/>
      <c r="U237" s="231"/>
      <c r="V237" s="231"/>
      <c r="W237" s="231"/>
      <c r="X237" s="231"/>
      <c r="Y237" s="231"/>
      <c r="Z237" s="231"/>
      <c r="AA237" s="231"/>
      <c r="AB237" s="231"/>
      <c r="AC237" s="231"/>
    </row>
    <row r="238" ht="24.75" hidden="1" customHeight="1" outlineLevel="1">
      <c r="A238" s="296">
        <v>44827.0</v>
      </c>
      <c r="B238" s="235" t="s">
        <v>714</v>
      </c>
      <c r="C238" s="240" t="s">
        <v>715</v>
      </c>
      <c r="D238" s="297" t="s">
        <v>778</v>
      </c>
      <c r="E238" s="30" t="s">
        <v>717</v>
      </c>
      <c r="F238" s="231"/>
      <c r="G238" s="231"/>
      <c r="H238" s="231"/>
      <c r="I238" s="231"/>
      <c r="J238" s="231"/>
      <c r="K238" s="231"/>
      <c r="L238" s="231"/>
      <c r="M238" s="231"/>
      <c r="N238" s="231"/>
      <c r="O238" s="231"/>
      <c r="P238" s="231"/>
      <c r="Q238" s="231"/>
      <c r="R238" s="231"/>
      <c r="S238" s="231"/>
      <c r="T238" s="231"/>
      <c r="U238" s="231"/>
      <c r="V238" s="231"/>
      <c r="W238" s="231"/>
      <c r="X238" s="231"/>
      <c r="Y238" s="231"/>
      <c r="Z238" s="231"/>
      <c r="AA238" s="231"/>
      <c r="AB238" s="231"/>
      <c r="AC238" s="231"/>
    </row>
    <row r="239" ht="24.75" hidden="1" customHeight="1" outlineLevel="1">
      <c r="A239" s="296">
        <v>44827.0</v>
      </c>
      <c r="B239" s="235" t="s">
        <v>865</v>
      </c>
      <c r="C239" s="235" t="s">
        <v>715</v>
      </c>
      <c r="D239" s="235" t="s">
        <v>802</v>
      </c>
      <c r="E239" s="30" t="s">
        <v>717</v>
      </c>
      <c r="F239" s="231"/>
      <c r="G239" s="231"/>
      <c r="H239" s="231"/>
      <c r="I239" s="231"/>
      <c r="J239" s="231"/>
      <c r="K239" s="231"/>
      <c r="L239" s="231"/>
      <c r="M239" s="231"/>
      <c r="N239" s="231"/>
      <c r="O239" s="231"/>
      <c r="P239" s="231"/>
      <c r="Q239" s="231"/>
      <c r="R239" s="231"/>
      <c r="S239" s="231"/>
      <c r="T239" s="231"/>
      <c r="U239" s="231"/>
      <c r="V239" s="231"/>
      <c r="W239" s="231"/>
      <c r="X239" s="231"/>
      <c r="Y239" s="231"/>
      <c r="Z239" s="231"/>
      <c r="AA239" s="231"/>
      <c r="AB239" s="231"/>
      <c r="AC239" s="231"/>
    </row>
    <row r="240" ht="24.75" hidden="1" customHeight="1" outlineLevel="1">
      <c r="A240" s="304">
        <v>44827.0</v>
      </c>
      <c r="B240" s="277" t="s">
        <v>663</v>
      </c>
      <c r="C240" s="278" t="s">
        <v>812</v>
      </c>
      <c r="D240" s="278" t="s">
        <v>866</v>
      </c>
      <c r="E240" s="305" t="s">
        <v>685</v>
      </c>
      <c r="F240" s="231"/>
      <c r="G240" s="231"/>
      <c r="H240" s="231"/>
      <c r="I240" s="231"/>
      <c r="J240" s="231"/>
      <c r="K240" s="231"/>
      <c r="L240" s="231"/>
      <c r="M240" s="231"/>
      <c r="N240" s="231"/>
      <c r="O240" s="231"/>
      <c r="P240" s="231"/>
      <c r="Q240" s="231"/>
      <c r="R240" s="231"/>
      <c r="S240" s="231"/>
      <c r="T240" s="231"/>
      <c r="U240" s="231"/>
      <c r="V240" s="231"/>
      <c r="W240" s="231"/>
      <c r="X240" s="231"/>
      <c r="Y240" s="231"/>
      <c r="Z240" s="231"/>
      <c r="AA240" s="231"/>
      <c r="AB240" s="231"/>
      <c r="AC240" s="231"/>
    </row>
    <row r="241" ht="24.75" hidden="1" customHeight="1" outlineLevel="1">
      <c r="A241" s="296">
        <v>44828.0</v>
      </c>
      <c r="B241" s="235" t="s">
        <v>691</v>
      </c>
      <c r="C241" s="240" t="s">
        <v>715</v>
      </c>
      <c r="D241" s="240" t="s">
        <v>724</v>
      </c>
      <c r="E241" s="30" t="s">
        <v>717</v>
      </c>
      <c r="I241" s="231"/>
      <c r="J241" s="231"/>
      <c r="K241" s="231"/>
      <c r="L241" s="231"/>
      <c r="M241" s="231"/>
      <c r="N241" s="231"/>
      <c r="O241" s="231"/>
      <c r="P241" s="231"/>
      <c r="Q241" s="231"/>
      <c r="R241" s="231"/>
      <c r="S241" s="231"/>
      <c r="T241" s="231"/>
      <c r="U241" s="231"/>
      <c r="V241" s="231"/>
      <c r="W241" s="231"/>
      <c r="X241" s="231"/>
      <c r="Y241" s="231"/>
      <c r="Z241" s="231"/>
      <c r="AA241" s="231"/>
      <c r="AB241" s="231"/>
      <c r="AC241" s="231"/>
    </row>
    <row r="242" ht="24.75" hidden="1" customHeight="1" outlineLevel="1">
      <c r="A242" s="296">
        <v>44828.0</v>
      </c>
      <c r="B242" s="298" t="s">
        <v>720</v>
      </c>
      <c r="C242" s="299" t="s">
        <v>741</v>
      </c>
      <c r="D242" s="299" t="s">
        <v>657</v>
      </c>
      <c r="E242" s="305" t="s">
        <v>685</v>
      </c>
      <c r="F242" s="237"/>
      <c r="G242" s="237"/>
      <c r="H242" s="237" t="s">
        <v>867</v>
      </c>
      <c r="I242" s="231"/>
      <c r="J242" s="231"/>
      <c r="K242" s="231"/>
      <c r="L242" s="231"/>
      <c r="M242" s="231"/>
      <c r="N242" s="231"/>
      <c r="O242" s="231"/>
      <c r="P242" s="231"/>
      <c r="Q242" s="231"/>
      <c r="R242" s="231"/>
      <c r="S242" s="231"/>
      <c r="T242" s="231"/>
      <c r="U242" s="231"/>
      <c r="V242" s="231"/>
      <c r="W242" s="231"/>
      <c r="X242" s="231"/>
      <c r="Y242" s="231"/>
      <c r="Z242" s="231"/>
      <c r="AA242" s="231"/>
      <c r="AB242" s="231"/>
      <c r="AC242" s="231"/>
    </row>
    <row r="243" ht="24.75" hidden="1" customHeight="1" outlineLevel="1">
      <c r="A243" s="296">
        <v>44828.0</v>
      </c>
      <c r="B243" s="257" t="s">
        <v>692</v>
      </c>
      <c r="C243" s="299" t="s">
        <v>844</v>
      </c>
      <c r="D243" s="240" t="s">
        <v>782</v>
      </c>
      <c r="E243" s="30" t="s">
        <v>717</v>
      </c>
      <c r="F243" s="237"/>
      <c r="G243" s="237"/>
      <c r="H243" s="237" t="s">
        <v>722</v>
      </c>
      <c r="I243" s="231"/>
      <c r="J243" s="231"/>
      <c r="K243" s="231"/>
      <c r="L243" s="231"/>
      <c r="M243" s="231"/>
      <c r="N243" s="231"/>
      <c r="O243" s="231"/>
      <c r="P243" s="231"/>
      <c r="Q243" s="231"/>
      <c r="R243" s="231"/>
      <c r="S243" s="231"/>
      <c r="T243" s="231"/>
      <c r="U243" s="231"/>
      <c r="V243" s="231"/>
      <c r="W243" s="231"/>
      <c r="X243" s="231"/>
      <c r="Y243" s="231"/>
      <c r="Z243" s="231"/>
      <c r="AA243" s="231"/>
      <c r="AB243" s="231"/>
      <c r="AC243" s="231"/>
    </row>
    <row r="244" ht="24.75" hidden="1" customHeight="1" outlineLevel="1">
      <c r="A244" s="296">
        <v>44828.0</v>
      </c>
      <c r="B244" s="257" t="s">
        <v>695</v>
      </c>
      <c r="C244" s="240" t="s">
        <v>784</v>
      </c>
      <c r="D244" s="240" t="s">
        <v>868</v>
      </c>
      <c r="E244" s="305" t="s">
        <v>685</v>
      </c>
      <c r="F244" s="237"/>
      <c r="G244" s="237"/>
      <c r="H244" s="237" t="s">
        <v>869</v>
      </c>
      <c r="I244" s="231"/>
      <c r="J244" s="231"/>
      <c r="K244" s="231"/>
      <c r="L244" s="231"/>
      <c r="M244" s="231"/>
      <c r="N244" s="231"/>
      <c r="O244" s="231"/>
      <c r="P244" s="231"/>
      <c r="Q244" s="231"/>
      <c r="R244" s="231"/>
      <c r="S244" s="231"/>
      <c r="T244" s="231"/>
      <c r="U244" s="231"/>
      <c r="V244" s="231"/>
      <c r="W244" s="231"/>
      <c r="X244" s="231"/>
      <c r="Y244" s="231"/>
      <c r="Z244" s="231"/>
      <c r="AA244" s="231"/>
      <c r="AB244" s="231"/>
      <c r="AC244" s="231"/>
    </row>
    <row r="245" ht="24.75" hidden="1" customHeight="1" outlineLevel="1">
      <c r="A245" s="296">
        <v>44829.0</v>
      </c>
      <c r="B245" s="298" t="s">
        <v>728</v>
      </c>
      <c r="C245" s="299" t="s">
        <v>831</v>
      </c>
      <c r="D245" s="299" t="s">
        <v>870</v>
      </c>
      <c r="E245" s="305" t="s">
        <v>685</v>
      </c>
      <c r="F245" s="237"/>
      <c r="G245" s="237"/>
      <c r="H245" s="237" t="s">
        <v>871</v>
      </c>
      <c r="I245" s="231"/>
      <c r="J245" s="231"/>
      <c r="K245" s="231"/>
      <c r="L245" s="231"/>
      <c r="M245" s="231"/>
      <c r="N245" s="231"/>
      <c r="O245" s="231"/>
      <c r="P245" s="231"/>
      <c r="Q245" s="231"/>
      <c r="R245" s="231"/>
      <c r="S245" s="231"/>
      <c r="T245" s="231"/>
      <c r="U245" s="231"/>
      <c r="V245" s="231"/>
      <c r="W245" s="231"/>
      <c r="X245" s="231"/>
      <c r="Y245" s="231"/>
      <c r="Z245" s="231"/>
      <c r="AA245" s="231"/>
      <c r="AB245" s="231"/>
      <c r="AC245" s="231"/>
    </row>
    <row r="246" ht="24.75" hidden="1" customHeight="1" outlineLevel="1">
      <c r="A246" s="296">
        <v>44829.0</v>
      </c>
      <c r="B246" s="298" t="s">
        <v>671</v>
      </c>
      <c r="C246" s="299" t="s">
        <v>741</v>
      </c>
      <c r="D246" s="240" t="s">
        <v>868</v>
      </c>
      <c r="E246" s="305" t="s">
        <v>685</v>
      </c>
      <c r="F246" s="237"/>
      <c r="G246" s="237"/>
      <c r="H246" s="237" t="s">
        <v>867</v>
      </c>
      <c r="I246" s="237"/>
      <c r="J246" s="231"/>
      <c r="K246" s="231"/>
      <c r="L246" s="231"/>
      <c r="M246" s="231"/>
      <c r="N246" s="231"/>
      <c r="O246" s="231"/>
      <c r="P246" s="231"/>
      <c r="Q246" s="231"/>
      <c r="R246" s="231"/>
      <c r="S246" s="231"/>
      <c r="T246" s="231"/>
      <c r="U246" s="231"/>
      <c r="V246" s="231"/>
      <c r="W246" s="231"/>
      <c r="X246" s="231"/>
      <c r="Y246" s="231"/>
      <c r="Z246" s="231"/>
      <c r="AA246" s="231"/>
      <c r="AB246" s="231"/>
      <c r="AC246" s="231"/>
    </row>
    <row r="247" ht="24.75" hidden="1" customHeight="1" outlineLevel="1">
      <c r="A247" s="296">
        <v>44830.0</v>
      </c>
      <c r="B247" s="235" t="s">
        <v>731</v>
      </c>
      <c r="C247" s="306" t="s">
        <v>784</v>
      </c>
      <c r="D247" s="240" t="s">
        <v>868</v>
      </c>
      <c r="E247" s="305" t="s">
        <v>685</v>
      </c>
      <c r="F247" s="237"/>
      <c r="G247" s="237"/>
      <c r="H247" s="237" t="s">
        <v>869</v>
      </c>
      <c r="I247" s="231"/>
      <c r="J247" s="231"/>
      <c r="K247" s="231"/>
      <c r="L247" s="231"/>
      <c r="M247" s="231"/>
      <c r="N247" s="231"/>
      <c r="O247" s="231"/>
      <c r="P247" s="231"/>
      <c r="Q247" s="231"/>
      <c r="R247" s="231"/>
      <c r="S247" s="231"/>
      <c r="T247" s="231"/>
      <c r="U247" s="231"/>
      <c r="V247" s="231"/>
      <c r="W247" s="231"/>
      <c r="X247" s="231"/>
      <c r="Y247" s="231"/>
      <c r="Z247" s="231"/>
      <c r="AA247" s="231"/>
      <c r="AB247" s="231"/>
      <c r="AC247" s="231"/>
    </row>
    <row r="248" ht="24.75" hidden="1" customHeight="1" outlineLevel="1">
      <c r="A248" s="296">
        <v>44830.0</v>
      </c>
      <c r="B248" s="235" t="s">
        <v>801</v>
      </c>
      <c r="C248" s="235" t="s">
        <v>715</v>
      </c>
      <c r="D248" s="235" t="s">
        <v>802</v>
      </c>
      <c r="E248" s="30" t="s">
        <v>717</v>
      </c>
      <c r="F248" s="237"/>
      <c r="G248" s="237"/>
      <c r="H248" s="237" t="s">
        <v>803</v>
      </c>
      <c r="I248" s="231"/>
      <c r="J248" s="231"/>
      <c r="K248" s="231"/>
      <c r="L248" s="231"/>
      <c r="M248" s="231"/>
      <c r="N248" s="231"/>
      <c r="O248" s="231"/>
      <c r="P248" s="231"/>
      <c r="Q248" s="231"/>
      <c r="R248" s="231"/>
      <c r="S248" s="231"/>
      <c r="T248" s="231"/>
      <c r="U248" s="231"/>
      <c r="V248" s="231"/>
      <c r="W248" s="231"/>
      <c r="X248" s="231"/>
      <c r="Y248" s="231"/>
      <c r="Z248" s="231"/>
      <c r="AA248" s="231"/>
      <c r="AB248" s="231"/>
      <c r="AC248" s="231"/>
    </row>
    <row r="249" ht="24.75" customHeight="1">
      <c r="A249" s="231"/>
      <c r="B249" s="231"/>
      <c r="C249" s="231"/>
      <c r="D249" s="231"/>
      <c r="E249" s="225"/>
      <c r="F249" s="231"/>
      <c r="G249" s="231"/>
      <c r="H249" s="231"/>
      <c r="I249" s="231"/>
      <c r="J249" s="231"/>
      <c r="K249" s="231"/>
      <c r="L249" s="231"/>
      <c r="M249" s="231"/>
      <c r="N249" s="231"/>
      <c r="O249" s="231"/>
      <c r="P249" s="231"/>
      <c r="Q249" s="231"/>
      <c r="R249" s="231"/>
      <c r="S249" s="231"/>
      <c r="T249" s="231"/>
      <c r="U249" s="231"/>
      <c r="V249" s="231"/>
      <c r="W249" s="231"/>
      <c r="X249" s="231"/>
      <c r="Y249" s="231"/>
      <c r="Z249" s="231"/>
      <c r="AA249" s="231"/>
      <c r="AB249" s="231"/>
      <c r="AC249" s="231"/>
    </row>
    <row r="250" ht="24.75" customHeight="1" collapsed="1">
      <c r="A250" s="237" t="s">
        <v>872</v>
      </c>
      <c r="B250" s="231"/>
      <c r="C250" s="231"/>
      <c r="D250" s="231"/>
      <c r="E250" s="225"/>
      <c r="F250" s="231"/>
      <c r="G250" s="231"/>
      <c r="H250" s="231"/>
      <c r="I250" s="231"/>
      <c r="J250" s="231"/>
      <c r="K250" s="231"/>
      <c r="L250" s="231"/>
      <c r="M250" s="231"/>
      <c r="N250" s="231"/>
      <c r="O250" s="231"/>
      <c r="P250" s="231"/>
      <c r="Q250" s="231"/>
      <c r="R250" s="231"/>
      <c r="S250" s="231"/>
      <c r="T250" s="231"/>
      <c r="U250" s="231"/>
      <c r="V250" s="231"/>
      <c r="W250" s="231"/>
      <c r="X250" s="231"/>
      <c r="Y250" s="231"/>
      <c r="Z250" s="231"/>
      <c r="AA250" s="231"/>
      <c r="AB250" s="231"/>
      <c r="AC250" s="231"/>
    </row>
    <row r="251" ht="24.75" hidden="1" customHeight="1" outlineLevel="1">
      <c r="A251" s="226" t="s">
        <v>647</v>
      </c>
      <c r="B251" s="226" t="s">
        <v>648</v>
      </c>
      <c r="C251" s="226" t="s">
        <v>649</v>
      </c>
      <c r="D251" s="226" t="s">
        <v>650</v>
      </c>
      <c r="E251" s="226" t="s">
        <v>651</v>
      </c>
      <c r="F251" s="231"/>
      <c r="G251" s="231"/>
      <c r="H251" s="231"/>
      <c r="I251" s="231"/>
      <c r="J251" s="231"/>
      <c r="K251" s="231"/>
      <c r="L251" s="231"/>
      <c r="M251" s="231"/>
      <c r="N251" s="231"/>
      <c r="O251" s="231"/>
      <c r="P251" s="231"/>
      <c r="Q251" s="231"/>
      <c r="R251" s="231"/>
      <c r="S251" s="231"/>
      <c r="T251" s="231"/>
      <c r="U251" s="231"/>
      <c r="V251" s="231"/>
      <c r="W251" s="231"/>
      <c r="X251" s="231"/>
      <c r="Y251" s="231"/>
      <c r="Z251" s="231"/>
      <c r="AA251" s="231"/>
      <c r="AB251" s="231"/>
      <c r="AC251" s="231"/>
    </row>
    <row r="252" ht="24.75" hidden="1" customHeight="1" outlineLevel="1">
      <c r="A252" s="296">
        <v>44857.0</v>
      </c>
      <c r="B252" s="307" t="s">
        <v>669</v>
      </c>
      <c r="C252" s="306" t="s">
        <v>873</v>
      </c>
      <c r="D252" s="308" t="s">
        <v>657</v>
      </c>
      <c r="E252" s="305" t="s">
        <v>685</v>
      </c>
      <c r="F252" s="231"/>
      <c r="G252" s="231"/>
      <c r="H252" s="231"/>
      <c r="I252" s="231"/>
      <c r="J252" s="231"/>
      <c r="K252" s="231"/>
      <c r="L252" s="231"/>
      <c r="M252" s="231"/>
      <c r="N252" s="231"/>
      <c r="O252" s="231"/>
      <c r="P252" s="231"/>
      <c r="Q252" s="231"/>
      <c r="R252" s="231"/>
      <c r="S252" s="231"/>
      <c r="T252" s="231"/>
      <c r="U252" s="231"/>
      <c r="V252" s="231"/>
      <c r="W252" s="231"/>
      <c r="X252" s="231"/>
      <c r="Y252" s="231"/>
      <c r="Z252" s="231"/>
      <c r="AA252" s="231"/>
      <c r="AB252" s="231"/>
      <c r="AC252" s="231"/>
    </row>
    <row r="253" ht="24.75" hidden="1" customHeight="1" outlineLevel="1">
      <c r="A253" s="296">
        <v>44857.0</v>
      </c>
      <c r="B253" s="309" t="s">
        <v>728</v>
      </c>
      <c r="C253" s="306" t="s">
        <v>874</v>
      </c>
      <c r="D253" s="308" t="s">
        <v>657</v>
      </c>
      <c r="E253" s="305" t="s">
        <v>685</v>
      </c>
      <c r="F253" s="231"/>
      <c r="G253" s="231"/>
      <c r="H253" s="231"/>
      <c r="I253" s="231"/>
      <c r="J253" s="231"/>
      <c r="K253" s="231"/>
      <c r="L253" s="231"/>
      <c r="M253" s="231"/>
      <c r="N253" s="231"/>
      <c r="O253" s="231"/>
      <c r="P253" s="231"/>
      <c r="Q253" s="231"/>
      <c r="R253" s="231"/>
      <c r="S253" s="231"/>
      <c r="T253" s="231"/>
      <c r="U253" s="231"/>
      <c r="V253" s="231"/>
      <c r="W253" s="231"/>
      <c r="X253" s="231"/>
      <c r="Y253" s="231"/>
      <c r="Z253" s="231"/>
      <c r="AA253" s="231"/>
      <c r="AB253" s="231"/>
      <c r="AC253" s="231"/>
    </row>
    <row r="254" ht="24.75" hidden="1" customHeight="1" outlineLevel="1">
      <c r="A254" s="296">
        <v>44857.0</v>
      </c>
      <c r="B254" s="309" t="s">
        <v>671</v>
      </c>
      <c r="C254" s="306" t="s">
        <v>741</v>
      </c>
      <c r="D254" s="308" t="s">
        <v>657</v>
      </c>
      <c r="E254" s="305" t="s">
        <v>685</v>
      </c>
      <c r="F254" s="231"/>
      <c r="G254" s="231"/>
      <c r="H254" s="231"/>
      <c r="I254" s="231"/>
      <c r="J254" s="231"/>
      <c r="K254" s="231"/>
      <c r="L254" s="231"/>
      <c r="M254" s="231"/>
      <c r="N254" s="231"/>
      <c r="O254" s="231"/>
      <c r="P254" s="231"/>
      <c r="Q254" s="231"/>
      <c r="R254" s="231"/>
      <c r="S254" s="231"/>
      <c r="T254" s="231"/>
      <c r="U254" s="231"/>
      <c r="V254" s="231"/>
      <c r="W254" s="231"/>
      <c r="X254" s="231"/>
      <c r="Y254" s="231"/>
      <c r="Z254" s="231"/>
      <c r="AA254" s="231"/>
      <c r="AB254" s="231"/>
      <c r="AC254" s="231"/>
    </row>
    <row r="255" ht="24.75" hidden="1" customHeight="1" outlineLevel="1">
      <c r="A255" s="296">
        <v>44858.0</v>
      </c>
      <c r="B255" s="235" t="s">
        <v>731</v>
      </c>
      <c r="C255" s="306" t="s">
        <v>784</v>
      </c>
      <c r="D255" s="308" t="s">
        <v>657</v>
      </c>
      <c r="E255" s="305" t="s">
        <v>685</v>
      </c>
      <c r="F255" s="231"/>
      <c r="G255" s="231"/>
      <c r="H255" s="231"/>
      <c r="I255" s="231"/>
      <c r="J255" s="231"/>
      <c r="K255" s="231"/>
      <c r="L255" s="231"/>
      <c r="M255" s="231"/>
      <c r="N255" s="231"/>
      <c r="O255" s="231"/>
      <c r="P255" s="231"/>
      <c r="Q255" s="231"/>
      <c r="R255" s="231"/>
      <c r="S255" s="231"/>
      <c r="T255" s="231"/>
      <c r="U255" s="231"/>
      <c r="V255" s="231"/>
      <c r="W255" s="231"/>
      <c r="X255" s="231"/>
      <c r="Y255" s="231"/>
      <c r="Z255" s="231"/>
      <c r="AA255" s="231"/>
      <c r="AB255" s="231"/>
      <c r="AC255" s="231"/>
    </row>
    <row r="256" ht="24.75" hidden="1" customHeight="1" outlineLevel="1">
      <c r="A256" s="296">
        <v>44858.0</v>
      </c>
      <c r="B256" s="235" t="s">
        <v>801</v>
      </c>
      <c r="C256" s="235" t="s">
        <v>715</v>
      </c>
      <c r="D256" s="308" t="s">
        <v>657</v>
      </c>
      <c r="E256" s="30" t="s">
        <v>717</v>
      </c>
      <c r="F256" s="231"/>
      <c r="G256" s="231"/>
      <c r="H256" s="231"/>
      <c r="I256" s="231"/>
      <c r="J256" s="231"/>
      <c r="K256" s="231"/>
      <c r="L256" s="231"/>
      <c r="M256" s="231"/>
      <c r="N256" s="231"/>
      <c r="O256" s="231"/>
      <c r="P256" s="231"/>
      <c r="Q256" s="231"/>
      <c r="R256" s="231"/>
      <c r="S256" s="231"/>
      <c r="T256" s="231"/>
      <c r="U256" s="231"/>
      <c r="V256" s="231"/>
      <c r="W256" s="231"/>
      <c r="X256" s="231"/>
      <c r="Y256" s="231"/>
      <c r="Z256" s="231"/>
      <c r="AA256" s="231"/>
      <c r="AB256" s="231"/>
      <c r="AC256" s="231"/>
    </row>
    <row r="257" ht="24.75" hidden="1" customHeight="1" outlineLevel="1">
      <c r="A257" s="296">
        <v>44858.0</v>
      </c>
      <c r="B257" s="235" t="s">
        <v>753</v>
      </c>
      <c r="C257" s="261" t="s">
        <v>850</v>
      </c>
      <c r="D257" s="308" t="s">
        <v>657</v>
      </c>
      <c r="E257" s="305" t="s">
        <v>685</v>
      </c>
      <c r="F257" s="231"/>
      <c r="G257" s="231"/>
      <c r="H257" s="231"/>
      <c r="I257" s="231"/>
      <c r="J257" s="231"/>
      <c r="K257" s="231"/>
      <c r="L257" s="231"/>
      <c r="M257" s="231"/>
      <c r="N257" s="231"/>
      <c r="O257" s="231"/>
      <c r="P257" s="231"/>
      <c r="Q257" s="231"/>
      <c r="R257" s="231"/>
      <c r="S257" s="231"/>
      <c r="T257" s="231"/>
      <c r="U257" s="231"/>
      <c r="V257" s="231"/>
      <c r="W257" s="231"/>
      <c r="X257" s="231"/>
      <c r="Y257" s="231"/>
      <c r="Z257" s="231"/>
      <c r="AA257" s="231"/>
      <c r="AB257" s="231"/>
      <c r="AC257" s="231"/>
    </row>
    <row r="258" ht="24.75" hidden="1" customHeight="1" outlineLevel="1">
      <c r="A258" s="296">
        <v>44858.0</v>
      </c>
      <c r="B258" s="235" t="s">
        <v>756</v>
      </c>
      <c r="C258" s="261" t="s">
        <v>850</v>
      </c>
      <c r="D258" s="308" t="s">
        <v>657</v>
      </c>
      <c r="E258" s="305" t="s">
        <v>685</v>
      </c>
      <c r="F258" s="231"/>
      <c r="G258" s="231"/>
      <c r="H258" s="231"/>
      <c r="I258" s="231"/>
      <c r="J258" s="231"/>
      <c r="K258" s="231"/>
      <c r="L258" s="231"/>
      <c r="M258" s="231"/>
      <c r="N258" s="231"/>
      <c r="O258" s="231"/>
      <c r="P258" s="231"/>
      <c r="Q258" s="231"/>
      <c r="R258" s="231"/>
      <c r="S258" s="231"/>
      <c r="T258" s="231"/>
      <c r="U258" s="231"/>
      <c r="V258" s="231"/>
      <c r="W258" s="231"/>
      <c r="X258" s="231"/>
      <c r="Y258" s="231"/>
      <c r="Z258" s="231"/>
      <c r="AA258" s="231"/>
      <c r="AB258" s="231"/>
      <c r="AC258" s="231"/>
    </row>
    <row r="259" ht="24.75" customHeight="1">
      <c r="A259" s="231"/>
      <c r="B259" s="231"/>
      <c r="C259" s="231"/>
      <c r="D259" s="231"/>
      <c r="E259" s="225"/>
      <c r="F259" s="231"/>
      <c r="G259" s="231"/>
      <c r="H259" s="231"/>
      <c r="I259" s="231"/>
      <c r="J259" s="231"/>
      <c r="K259" s="231"/>
      <c r="L259" s="231"/>
      <c r="M259" s="231"/>
      <c r="N259" s="231"/>
      <c r="O259" s="231"/>
      <c r="P259" s="231"/>
      <c r="Q259" s="231"/>
      <c r="R259" s="231"/>
      <c r="S259" s="231"/>
      <c r="T259" s="231"/>
      <c r="U259" s="231"/>
      <c r="V259" s="231"/>
      <c r="W259" s="231"/>
      <c r="X259" s="231"/>
      <c r="Y259" s="231"/>
      <c r="Z259" s="231"/>
      <c r="AA259" s="231"/>
      <c r="AB259" s="231"/>
      <c r="AC259" s="231"/>
    </row>
    <row r="260" ht="24.75" customHeight="1" collapsed="1">
      <c r="A260" s="310" t="s">
        <v>875</v>
      </c>
      <c r="B260" s="231"/>
      <c r="C260" s="231"/>
      <c r="D260" s="231"/>
      <c r="E260" s="225"/>
      <c r="F260" s="231"/>
      <c r="G260" s="231"/>
      <c r="H260" s="231"/>
      <c r="I260" s="231"/>
      <c r="J260" s="231"/>
      <c r="K260" s="231"/>
      <c r="L260" s="231"/>
      <c r="M260" s="231"/>
      <c r="N260" s="231"/>
      <c r="O260" s="231"/>
      <c r="P260" s="231"/>
      <c r="Q260" s="231"/>
      <c r="R260" s="231"/>
      <c r="S260" s="231"/>
      <c r="T260" s="231"/>
      <c r="U260" s="231"/>
      <c r="V260" s="231"/>
      <c r="W260" s="231"/>
      <c r="X260" s="231"/>
      <c r="Y260" s="231"/>
      <c r="Z260" s="231"/>
      <c r="AA260" s="231"/>
      <c r="AB260" s="231"/>
      <c r="AC260" s="231"/>
    </row>
    <row r="261" ht="24.75" hidden="1" customHeight="1" outlineLevel="1">
      <c r="A261" s="226" t="s">
        <v>647</v>
      </c>
      <c r="B261" s="226" t="s">
        <v>648</v>
      </c>
      <c r="C261" s="226" t="s">
        <v>649</v>
      </c>
      <c r="D261" s="226" t="s">
        <v>650</v>
      </c>
      <c r="E261" s="226" t="s">
        <v>651</v>
      </c>
      <c r="F261" s="311"/>
      <c r="G261" s="311"/>
      <c r="H261" s="311" t="s">
        <v>876</v>
      </c>
      <c r="I261" s="312" t="s">
        <v>877</v>
      </c>
      <c r="J261" s="231"/>
      <c r="K261" s="231"/>
      <c r="L261" s="231"/>
      <c r="M261" s="231"/>
      <c r="N261" s="231"/>
      <c r="O261" s="231"/>
      <c r="P261" s="231"/>
      <c r="Q261" s="231"/>
      <c r="R261" s="231"/>
      <c r="S261" s="231"/>
      <c r="T261" s="231"/>
      <c r="U261" s="231"/>
      <c r="V261" s="231"/>
      <c r="W261" s="231"/>
      <c r="X261" s="231"/>
      <c r="Y261" s="231"/>
      <c r="Z261" s="231"/>
      <c r="AA261" s="231"/>
      <c r="AB261" s="231"/>
      <c r="AC261" s="231"/>
    </row>
    <row r="262" ht="24.75" hidden="1" customHeight="1" outlineLevel="1">
      <c r="A262" s="296">
        <v>44867.0</v>
      </c>
      <c r="B262" s="313" t="s">
        <v>691</v>
      </c>
      <c r="C262" s="314" t="s">
        <v>715</v>
      </c>
      <c r="D262" s="315" t="s">
        <v>878</v>
      </c>
      <c r="E262" s="316" t="s">
        <v>717</v>
      </c>
      <c r="F262" s="231"/>
      <c r="G262" s="231"/>
      <c r="H262" s="231"/>
      <c r="I262" s="231"/>
      <c r="J262" s="231"/>
      <c r="K262" s="231"/>
      <c r="L262" s="231"/>
      <c r="M262" s="231"/>
      <c r="N262" s="231"/>
      <c r="O262" s="231"/>
      <c r="P262" s="231"/>
      <c r="Q262" s="231"/>
      <c r="R262" s="231"/>
      <c r="S262" s="231"/>
      <c r="T262" s="231"/>
      <c r="U262" s="231"/>
      <c r="V262" s="231"/>
      <c r="W262" s="231"/>
      <c r="X262" s="231"/>
      <c r="Y262" s="231"/>
      <c r="Z262" s="231"/>
      <c r="AA262" s="231"/>
      <c r="AB262" s="231"/>
      <c r="AC262" s="231"/>
    </row>
    <row r="263" ht="24.75" hidden="1" customHeight="1" outlineLevel="1">
      <c r="A263" s="296">
        <v>44867.0</v>
      </c>
      <c r="B263" s="317" t="s">
        <v>708</v>
      </c>
      <c r="C263" s="318" t="s">
        <v>784</v>
      </c>
      <c r="D263" s="319" t="s">
        <v>879</v>
      </c>
      <c r="E263" s="316" t="s">
        <v>717</v>
      </c>
      <c r="F263" s="231"/>
      <c r="G263" s="231"/>
      <c r="H263" s="231"/>
      <c r="I263" s="231"/>
      <c r="J263" s="231"/>
      <c r="K263" s="231"/>
      <c r="L263" s="231"/>
      <c r="M263" s="231"/>
      <c r="N263" s="231"/>
      <c r="O263" s="231"/>
      <c r="P263" s="231"/>
      <c r="Q263" s="231"/>
      <c r="R263" s="231"/>
      <c r="S263" s="231"/>
      <c r="T263" s="231"/>
      <c r="U263" s="231"/>
      <c r="V263" s="231"/>
      <c r="W263" s="231"/>
      <c r="X263" s="231"/>
      <c r="Y263" s="231"/>
      <c r="Z263" s="231"/>
      <c r="AA263" s="231"/>
      <c r="AB263" s="231"/>
      <c r="AC263" s="231"/>
    </row>
    <row r="264" ht="24.75" hidden="1" customHeight="1" outlineLevel="1">
      <c r="A264" s="296">
        <v>44867.0</v>
      </c>
      <c r="B264" s="317" t="s">
        <v>740</v>
      </c>
      <c r="C264" s="318" t="s">
        <v>741</v>
      </c>
      <c r="D264" s="319" t="s">
        <v>662</v>
      </c>
      <c r="E264" s="316" t="s">
        <v>717</v>
      </c>
      <c r="F264" s="231"/>
      <c r="G264" s="231"/>
      <c r="H264" s="231"/>
      <c r="I264" s="231"/>
      <c r="J264" s="231"/>
      <c r="K264" s="231"/>
      <c r="L264" s="231"/>
      <c r="M264" s="231"/>
      <c r="N264" s="231"/>
      <c r="O264" s="231"/>
      <c r="P264" s="231"/>
      <c r="Q264" s="231"/>
      <c r="R264" s="231"/>
      <c r="S264" s="231"/>
      <c r="T264" s="231"/>
      <c r="U264" s="231"/>
      <c r="V264" s="231"/>
      <c r="W264" s="231"/>
      <c r="X264" s="231"/>
      <c r="Y264" s="231"/>
      <c r="Z264" s="231"/>
      <c r="AA264" s="231"/>
      <c r="AB264" s="231"/>
      <c r="AC264" s="231"/>
    </row>
    <row r="265" ht="24.75" hidden="1" customHeight="1" outlineLevel="1">
      <c r="A265" s="296">
        <v>44867.0</v>
      </c>
      <c r="B265" s="317" t="s">
        <v>686</v>
      </c>
      <c r="C265" s="318" t="s">
        <v>823</v>
      </c>
      <c r="D265" s="319" t="s">
        <v>662</v>
      </c>
      <c r="E265" s="316" t="s">
        <v>717</v>
      </c>
      <c r="F265" s="231"/>
      <c r="G265" s="231"/>
      <c r="H265" s="231"/>
      <c r="I265" s="231"/>
      <c r="J265" s="231"/>
      <c r="K265" s="231"/>
      <c r="L265" s="231"/>
      <c r="M265" s="231"/>
      <c r="N265" s="231"/>
      <c r="O265" s="231"/>
      <c r="P265" s="231"/>
      <c r="Q265" s="231"/>
      <c r="R265" s="231"/>
      <c r="S265" s="231"/>
      <c r="T265" s="231"/>
      <c r="U265" s="231"/>
      <c r="V265" s="231"/>
      <c r="W265" s="231"/>
      <c r="X265" s="231"/>
      <c r="Y265" s="231"/>
      <c r="Z265" s="231"/>
      <c r="AA265" s="231"/>
      <c r="AB265" s="231"/>
      <c r="AC265" s="231"/>
    </row>
    <row r="266" ht="24.75" hidden="1" customHeight="1" outlineLevel="1">
      <c r="A266" s="296">
        <v>44868.0</v>
      </c>
      <c r="B266" s="307" t="s">
        <v>669</v>
      </c>
      <c r="C266" s="306" t="s">
        <v>873</v>
      </c>
      <c r="D266" s="308" t="s">
        <v>880</v>
      </c>
      <c r="E266" s="305" t="s">
        <v>685</v>
      </c>
      <c r="F266" s="231"/>
      <c r="G266" s="231"/>
      <c r="H266" s="231"/>
      <c r="I266" s="231"/>
      <c r="J266" s="231"/>
      <c r="K266" s="231"/>
      <c r="L266" s="231"/>
      <c r="M266" s="231"/>
      <c r="N266" s="231"/>
      <c r="O266" s="231"/>
      <c r="P266" s="231"/>
      <c r="Q266" s="231"/>
      <c r="R266" s="231"/>
      <c r="S266" s="231"/>
      <c r="T266" s="231"/>
      <c r="U266" s="231"/>
      <c r="V266" s="231"/>
      <c r="W266" s="231"/>
      <c r="X266" s="231"/>
      <c r="Y266" s="231"/>
      <c r="Z266" s="231"/>
      <c r="AA266" s="231"/>
      <c r="AB266" s="231"/>
      <c r="AC266" s="231"/>
    </row>
    <row r="267" ht="24.75" hidden="1" customHeight="1" outlineLevel="1">
      <c r="A267" s="296">
        <v>44869.0</v>
      </c>
      <c r="B267" s="235" t="s">
        <v>714</v>
      </c>
      <c r="C267" s="240" t="s">
        <v>715</v>
      </c>
      <c r="D267" s="319" t="s">
        <v>662</v>
      </c>
      <c r="E267" s="316" t="s">
        <v>717</v>
      </c>
      <c r="F267" s="231"/>
      <c r="G267" s="231"/>
      <c r="H267" s="231"/>
      <c r="I267" s="231"/>
      <c r="J267" s="231"/>
      <c r="K267" s="231"/>
      <c r="L267" s="231"/>
      <c r="M267" s="231"/>
      <c r="N267" s="231"/>
      <c r="O267" s="231"/>
      <c r="P267" s="231"/>
      <c r="Q267" s="231"/>
      <c r="R267" s="231"/>
      <c r="S267" s="231"/>
      <c r="T267" s="231"/>
      <c r="U267" s="231"/>
      <c r="V267" s="231"/>
      <c r="W267" s="231"/>
      <c r="X267" s="231"/>
      <c r="Y267" s="231"/>
      <c r="Z267" s="231"/>
      <c r="AA267" s="231"/>
      <c r="AB267" s="231"/>
      <c r="AC267" s="231"/>
    </row>
    <row r="268" ht="24.75" hidden="1" customHeight="1" outlineLevel="1">
      <c r="A268" s="296">
        <v>44869.0</v>
      </c>
      <c r="B268" s="235" t="s">
        <v>865</v>
      </c>
      <c r="C268" s="235" t="s">
        <v>715</v>
      </c>
      <c r="D268" s="308" t="s">
        <v>662</v>
      </c>
      <c r="E268" s="320" t="s">
        <v>717</v>
      </c>
      <c r="F268" s="231"/>
      <c r="G268" s="231"/>
      <c r="H268" s="231"/>
      <c r="I268" s="231"/>
      <c r="J268" s="231"/>
      <c r="K268" s="231"/>
      <c r="L268" s="231"/>
      <c r="M268" s="231"/>
      <c r="N268" s="231"/>
      <c r="O268" s="231"/>
      <c r="P268" s="231"/>
      <c r="Q268" s="231"/>
      <c r="R268" s="231"/>
      <c r="S268" s="231"/>
      <c r="T268" s="231"/>
      <c r="U268" s="231"/>
      <c r="V268" s="231"/>
      <c r="W268" s="231"/>
      <c r="X268" s="231"/>
      <c r="Y268" s="231"/>
      <c r="Z268" s="231"/>
      <c r="AA268" s="231"/>
      <c r="AB268" s="231"/>
      <c r="AC268" s="231"/>
    </row>
    <row r="269" ht="24.75" hidden="1" customHeight="1" outlineLevel="1">
      <c r="A269" s="296">
        <v>44869.0</v>
      </c>
      <c r="B269" s="277" t="s">
        <v>663</v>
      </c>
      <c r="C269" s="278" t="s">
        <v>881</v>
      </c>
      <c r="D269" s="278" t="s">
        <v>882</v>
      </c>
      <c r="E269" s="305" t="s">
        <v>685</v>
      </c>
      <c r="F269" s="231"/>
      <c r="G269" s="231"/>
      <c r="H269" s="231"/>
      <c r="I269" s="231"/>
      <c r="J269" s="231"/>
      <c r="K269" s="231"/>
      <c r="L269" s="231"/>
      <c r="M269" s="231"/>
      <c r="N269" s="231"/>
      <c r="O269" s="231"/>
      <c r="P269" s="231"/>
      <c r="Q269" s="231"/>
      <c r="R269" s="231"/>
      <c r="S269" s="231"/>
      <c r="T269" s="231"/>
      <c r="U269" s="231"/>
      <c r="V269" s="231"/>
      <c r="W269" s="231"/>
      <c r="X269" s="231"/>
      <c r="Y269" s="231"/>
      <c r="Z269" s="231"/>
      <c r="AA269" s="231"/>
      <c r="AB269" s="231"/>
      <c r="AC269" s="231"/>
    </row>
    <row r="270" ht="24.75" customHeight="1">
      <c r="A270" s="231"/>
      <c r="B270" s="231"/>
      <c r="C270" s="231"/>
      <c r="D270" s="231"/>
      <c r="E270" s="225"/>
      <c r="F270" s="231"/>
      <c r="G270" s="231"/>
      <c r="H270" s="231"/>
      <c r="I270" s="231"/>
      <c r="J270" s="231"/>
      <c r="K270" s="231"/>
      <c r="L270" s="231"/>
      <c r="M270" s="231"/>
      <c r="N270" s="231"/>
      <c r="O270" s="231"/>
      <c r="P270" s="231"/>
      <c r="Q270" s="231"/>
      <c r="R270" s="231"/>
      <c r="S270" s="231"/>
      <c r="T270" s="231"/>
      <c r="U270" s="231"/>
      <c r="V270" s="231"/>
      <c r="W270" s="231"/>
      <c r="X270" s="231"/>
      <c r="Y270" s="231"/>
      <c r="Z270" s="231"/>
      <c r="AA270" s="231"/>
      <c r="AB270" s="231"/>
      <c r="AC270" s="231"/>
    </row>
    <row r="271" ht="24.75" customHeight="1" collapsed="1">
      <c r="A271" s="237" t="s">
        <v>883</v>
      </c>
      <c r="B271" s="231"/>
      <c r="C271" s="231"/>
      <c r="D271" s="231"/>
      <c r="E271" s="225"/>
      <c r="F271" s="231"/>
      <c r="G271" s="231"/>
      <c r="H271" s="231"/>
      <c r="I271" s="231"/>
      <c r="J271" s="231"/>
      <c r="K271" s="231"/>
      <c r="L271" s="231"/>
      <c r="M271" s="231"/>
      <c r="N271" s="231"/>
      <c r="O271" s="231"/>
      <c r="P271" s="231"/>
      <c r="Q271" s="231"/>
      <c r="R271" s="231"/>
      <c r="S271" s="231"/>
      <c r="T271" s="231"/>
      <c r="U271" s="231"/>
      <c r="V271" s="231"/>
      <c r="W271" s="231"/>
      <c r="X271" s="231"/>
      <c r="Y271" s="231"/>
      <c r="Z271" s="231"/>
      <c r="AA271" s="231"/>
      <c r="AB271" s="231"/>
      <c r="AC271" s="231"/>
    </row>
    <row r="272" ht="24.75" hidden="1" customHeight="1" outlineLevel="1">
      <c r="A272" s="226" t="s">
        <v>647</v>
      </c>
      <c r="B272" s="226" t="s">
        <v>648</v>
      </c>
      <c r="C272" s="226" t="s">
        <v>649</v>
      </c>
      <c r="D272" s="226" t="s">
        <v>650</v>
      </c>
      <c r="E272" s="226" t="s">
        <v>651</v>
      </c>
      <c r="F272" s="311"/>
      <c r="G272" s="311"/>
      <c r="H272" s="311" t="s">
        <v>876</v>
      </c>
      <c r="I272" s="312" t="s">
        <v>877</v>
      </c>
      <c r="J272" s="231"/>
      <c r="K272" s="231"/>
      <c r="L272" s="231"/>
      <c r="M272" s="231"/>
      <c r="N272" s="231"/>
      <c r="O272" s="231"/>
      <c r="P272" s="231"/>
      <c r="Q272" s="231"/>
      <c r="R272" s="231"/>
      <c r="S272" s="231"/>
      <c r="T272" s="231"/>
      <c r="U272" s="231"/>
      <c r="V272" s="231"/>
      <c r="W272" s="231"/>
      <c r="X272" s="231"/>
      <c r="Y272" s="231"/>
      <c r="Z272" s="231"/>
      <c r="AA272" s="231"/>
      <c r="AB272" s="231"/>
      <c r="AC272" s="231"/>
    </row>
    <row r="273" ht="24.75" hidden="1" customHeight="1" outlineLevel="1">
      <c r="A273" s="296">
        <v>44887.0</v>
      </c>
      <c r="B273" s="235" t="s">
        <v>805</v>
      </c>
      <c r="C273" s="235" t="s">
        <v>715</v>
      </c>
      <c r="D273" s="235" t="s">
        <v>802</v>
      </c>
      <c r="E273" s="305" t="s">
        <v>717</v>
      </c>
      <c r="F273" s="231"/>
      <c r="G273" s="231"/>
      <c r="H273" s="231"/>
      <c r="I273" s="231"/>
      <c r="J273" s="231"/>
      <c r="K273" s="231"/>
      <c r="L273" s="231"/>
      <c r="M273" s="231"/>
      <c r="N273" s="231"/>
      <c r="O273" s="231"/>
      <c r="P273" s="231"/>
      <c r="Q273" s="231"/>
      <c r="R273" s="231"/>
      <c r="S273" s="231"/>
      <c r="T273" s="231"/>
      <c r="U273" s="231"/>
      <c r="V273" s="231"/>
      <c r="W273" s="231"/>
      <c r="X273" s="231"/>
      <c r="Y273" s="231"/>
      <c r="Z273" s="231"/>
      <c r="AA273" s="231"/>
      <c r="AB273" s="231"/>
      <c r="AC273" s="231"/>
    </row>
    <row r="274" ht="24.75" hidden="1" customHeight="1" outlineLevel="1">
      <c r="A274" s="296">
        <v>44887.0</v>
      </c>
      <c r="B274" s="235" t="s">
        <v>714</v>
      </c>
      <c r="C274" s="240" t="s">
        <v>715</v>
      </c>
      <c r="D274" s="235" t="s">
        <v>802</v>
      </c>
      <c r="E274" s="321" t="s">
        <v>717</v>
      </c>
      <c r="F274" s="231"/>
      <c r="G274" s="231"/>
      <c r="H274" s="231"/>
      <c r="I274" s="231"/>
      <c r="J274" s="231"/>
      <c r="K274" s="231"/>
      <c r="L274" s="231"/>
      <c r="M274" s="231"/>
      <c r="N274" s="231"/>
      <c r="O274" s="231"/>
      <c r="P274" s="231"/>
      <c r="Q274" s="231"/>
      <c r="R274" s="231"/>
      <c r="S274" s="231"/>
      <c r="T274" s="231"/>
      <c r="U274" s="231"/>
      <c r="V274" s="231"/>
      <c r="W274" s="231"/>
      <c r="X274" s="231"/>
      <c r="Y274" s="231"/>
      <c r="Z274" s="231"/>
      <c r="AA274" s="231"/>
      <c r="AB274" s="231"/>
      <c r="AC274" s="231"/>
    </row>
    <row r="275" ht="24.75" hidden="1" customHeight="1" outlineLevel="1">
      <c r="A275" s="296">
        <v>44887.0</v>
      </c>
      <c r="B275" s="235" t="s">
        <v>808</v>
      </c>
      <c r="C275" s="261" t="s">
        <v>715</v>
      </c>
      <c r="D275" s="235" t="s">
        <v>802</v>
      </c>
      <c r="E275" s="321" t="s">
        <v>717</v>
      </c>
      <c r="F275" s="231"/>
      <c r="G275" s="231"/>
      <c r="H275" s="231"/>
      <c r="I275" s="231"/>
      <c r="J275" s="231"/>
      <c r="K275" s="231"/>
      <c r="L275" s="231"/>
      <c r="M275" s="231"/>
      <c r="N275" s="231"/>
      <c r="O275" s="231"/>
      <c r="P275" s="231"/>
      <c r="Q275" s="231"/>
      <c r="R275" s="231"/>
      <c r="S275" s="231"/>
      <c r="T275" s="231"/>
      <c r="U275" s="231"/>
      <c r="V275" s="231"/>
      <c r="W275" s="231"/>
      <c r="X275" s="231"/>
      <c r="Y275" s="231"/>
      <c r="Z275" s="231"/>
      <c r="AA275" s="231"/>
      <c r="AB275" s="231"/>
      <c r="AC275" s="231"/>
    </row>
    <row r="276" ht="24.75" hidden="1" customHeight="1" outlineLevel="1">
      <c r="A276" s="296">
        <v>44888.0</v>
      </c>
      <c r="B276" s="235" t="s">
        <v>680</v>
      </c>
      <c r="C276" s="240" t="s">
        <v>715</v>
      </c>
      <c r="D276" s="235" t="s">
        <v>802</v>
      </c>
      <c r="E276" s="321" t="s">
        <v>717</v>
      </c>
      <c r="F276" s="231"/>
      <c r="G276" s="231"/>
      <c r="H276" s="231"/>
      <c r="I276" s="231"/>
      <c r="J276" s="231"/>
      <c r="K276" s="231"/>
      <c r="L276" s="231"/>
      <c r="M276" s="231"/>
      <c r="N276" s="231"/>
      <c r="O276" s="231"/>
      <c r="P276" s="231"/>
      <c r="Q276" s="231"/>
      <c r="R276" s="231"/>
      <c r="S276" s="231"/>
      <c r="T276" s="231"/>
      <c r="U276" s="231"/>
      <c r="V276" s="231"/>
      <c r="W276" s="231"/>
      <c r="X276" s="231"/>
      <c r="Y276" s="231"/>
      <c r="Z276" s="231"/>
      <c r="AA276" s="231"/>
      <c r="AB276" s="231"/>
      <c r="AC276" s="231"/>
    </row>
    <row r="277" ht="24.75" hidden="1" customHeight="1" outlineLevel="1">
      <c r="A277" s="296">
        <v>44888.0</v>
      </c>
      <c r="B277" s="235" t="s">
        <v>708</v>
      </c>
      <c r="C277" s="318" t="s">
        <v>784</v>
      </c>
      <c r="D277" s="235" t="s">
        <v>802</v>
      </c>
      <c r="E277" s="321" t="s">
        <v>717</v>
      </c>
      <c r="F277" s="231"/>
      <c r="G277" s="231"/>
      <c r="H277" s="231"/>
      <c r="I277" s="231"/>
      <c r="J277" s="231"/>
      <c r="K277" s="231"/>
      <c r="L277" s="231"/>
      <c r="M277" s="231"/>
      <c r="N277" s="231"/>
      <c r="O277" s="231"/>
      <c r="P277" s="231"/>
      <c r="Q277" s="231"/>
      <c r="R277" s="231"/>
      <c r="S277" s="231"/>
      <c r="T277" s="231"/>
      <c r="U277" s="231"/>
      <c r="V277" s="231"/>
      <c r="W277" s="231"/>
      <c r="X277" s="231"/>
      <c r="Y277" s="231"/>
      <c r="Z277" s="231"/>
      <c r="AA277" s="231"/>
      <c r="AB277" s="231"/>
      <c r="AC277" s="231"/>
    </row>
    <row r="278" ht="24.75" hidden="1" customHeight="1" outlineLevel="1">
      <c r="A278" s="296">
        <v>44888.0</v>
      </c>
      <c r="B278" s="322" t="s">
        <v>740</v>
      </c>
      <c r="C278" s="318" t="s">
        <v>741</v>
      </c>
      <c r="D278" s="235" t="s">
        <v>802</v>
      </c>
      <c r="E278" s="321" t="s">
        <v>717</v>
      </c>
      <c r="F278" s="231"/>
      <c r="G278" s="231"/>
      <c r="H278" s="231"/>
      <c r="I278" s="231"/>
      <c r="J278" s="231"/>
      <c r="K278" s="231"/>
      <c r="L278" s="231"/>
      <c r="M278" s="231"/>
      <c r="N278" s="231"/>
      <c r="O278" s="231"/>
      <c r="P278" s="231"/>
      <c r="Q278" s="231"/>
      <c r="R278" s="231"/>
      <c r="S278" s="231"/>
      <c r="T278" s="231"/>
      <c r="U278" s="231"/>
      <c r="V278" s="231"/>
      <c r="W278" s="231"/>
      <c r="X278" s="231"/>
      <c r="Y278" s="231"/>
      <c r="Z278" s="231"/>
      <c r="AA278" s="231"/>
      <c r="AB278" s="231"/>
      <c r="AC278" s="231"/>
    </row>
    <row r="279" ht="24.75" hidden="1" customHeight="1" outlineLevel="1">
      <c r="A279" s="296">
        <v>44888.0</v>
      </c>
      <c r="B279" s="322" t="s">
        <v>686</v>
      </c>
      <c r="C279" s="318" t="s">
        <v>884</v>
      </c>
      <c r="D279" s="235" t="s">
        <v>802</v>
      </c>
      <c r="E279" s="321" t="s">
        <v>717</v>
      </c>
      <c r="F279" s="237"/>
      <c r="G279" s="237"/>
      <c r="H279" s="237" t="s">
        <v>885</v>
      </c>
      <c r="I279" s="231"/>
      <c r="J279" s="231"/>
      <c r="K279" s="231"/>
      <c r="L279" s="231"/>
      <c r="M279" s="231"/>
      <c r="N279" s="231"/>
      <c r="O279" s="231"/>
      <c r="P279" s="231"/>
      <c r="Q279" s="231"/>
      <c r="R279" s="231"/>
      <c r="S279" s="231"/>
      <c r="T279" s="231"/>
      <c r="U279" s="231"/>
      <c r="V279" s="231"/>
      <c r="W279" s="231"/>
      <c r="X279" s="231"/>
      <c r="Y279" s="231"/>
      <c r="Z279" s="231"/>
      <c r="AA279" s="231"/>
      <c r="AB279" s="231"/>
      <c r="AC279" s="231"/>
    </row>
    <row r="280" ht="24.75" hidden="1" customHeight="1" outlineLevel="1">
      <c r="A280" s="296">
        <v>44889.0</v>
      </c>
      <c r="B280" s="235" t="s">
        <v>660</v>
      </c>
      <c r="C280" s="240" t="s">
        <v>166</v>
      </c>
      <c r="D280" s="235" t="s">
        <v>802</v>
      </c>
      <c r="E280" s="323" t="s">
        <v>717</v>
      </c>
      <c r="F280" s="231"/>
      <c r="G280" s="231"/>
      <c r="H280" s="231"/>
      <c r="I280" s="231"/>
      <c r="J280" s="231"/>
      <c r="K280" s="231"/>
      <c r="L280" s="231"/>
      <c r="M280" s="231"/>
      <c r="N280" s="231"/>
      <c r="O280" s="231"/>
      <c r="P280" s="231"/>
      <c r="Q280" s="231"/>
      <c r="R280" s="231"/>
      <c r="S280" s="231"/>
      <c r="T280" s="231"/>
      <c r="U280" s="231"/>
      <c r="V280" s="231"/>
      <c r="W280" s="231"/>
      <c r="X280" s="231"/>
      <c r="Y280" s="231"/>
      <c r="Z280" s="231"/>
      <c r="AA280" s="231"/>
      <c r="AB280" s="231"/>
      <c r="AC280" s="231"/>
    </row>
    <row r="281" ht="24.75" customHeight="1">
      <c r="A281" s="231"/>
      <c r="B281" s="231"/>
      <c r="C281" s="231"/>
      <c r="D281" s="231"/>
      <c r="E281" s="225"/>
      <c r="F281" s="231"/>
      <c r="G281" s="231"/>
      <c r="H281" s="231"/>
      <c r="I281" s="231"/>
      <c r="J281" s="231"/>
      <c r="K281" s="231"/>
      <c r="L281" s="231"/>
      <c r="M281" s="231"/>
      <c r="N281" s="231"/>
      <c r="O281" s="231"/>
      <c r="P281" s="231"/>
      <c r="Q281" s="231"/>
      <c r="R281" s="231"/>
      <c r="S281" s="231"/>
      <c r="T281" s="231"/>
      <c r="U281" s="231"/>
      <c r="V281" s="231"/>
      <c r="W281" s="231"/>
      <c r="X281" s="231"/>
      <c r="Y281" s="231"/>
      <c r="Z281" s="231"/>
      <c r="AA281" s="231"/>
      <c r="AB281" s="231"/>
      <c r="AC281" s="231"/>
    </row>
    <row r="282" ht="24.75" customHeight="1" collapsed="1">
      <c r="A282" s="324" t="s">
        <v>886</v>
      </c>
      <c r="B282" s="325"/>
      <c r="C282" s="325"/>
      <c r="D282" s="325"/>
      <c r="E282" s="326"/>
      <c r="F282" s="231"/>
      <c r="G282" s="231"/>
      <c r="H282" s="231"/>
      <c r="I282" s="231"/>
      <c r="J282" s="231"/>
      <c r="K282" s="231"/>
      <c r="L282" s="231"/>
      <c r="M282" s="231"/>
      <c r="N282" s="231"/>
      <c r="O282" s="231"/>
      <c r="P282" s="231"/>
      <c r="Q282" s="231"/>
      <c r="R282" s="231"/>
      <c r="S282" s="231"/>
      <c r="T282" s="231"/>
      <c r="U282" s="231"/>
      <c r="V282" s="231"/>
      <c r="W282" s="231"/>
      <c r="X282" s="231"/>
      <c r="Y282" s="231"/>
      <c r="Z282" s="231"/>
      <c r="AA282" s="231"/>
      <c r="AB282" s="231"/>
      <c r="AC282" s="231"/>
    </row>
    <row r="283" ht="24.75" hidden="1" customHeight="1" outlineLevel="1">
      <c r="A283" s="327" t="s">
        <v>647</v>
      </c>
      <c r="B283" s="327" t="s">
        <v>648</v>
      </c>
      <c r="C283" s="327" t="s">
        <v>649</v>
      </c>
      <c r="D283" s="327" t="s">
        <v>650</v>
      </c>
      <c r="E283" s="327" t="s">
        <v>651</v>
      </c>
      <c r="F283" s="311"/>
      <c r="G283" s="311"/>
      <c r="H283" s="311" t="s">
        <v>876</v>
      </c>
      <c r="I283" s="312" t="s">
        <v>877</v>
      </c>
      <c r="J283" s="231"/>
      <c r="K283" s="231"/>
      <c r="L283" s="237" t="s">
        <v>887</v>
      </c>
      <c r="M283" s="231"/>
      <c r="N283" s="231"/>
      <c r="O283" s="231"/>
      <c r="P283" s="231"/>
      <c r="Q283" s="231"/>
      <c r="R283" s="231"/>
      <c r="S283" s="231"/>
      <c r="T283" s="231"/>
      <c r="U283" s="231"/>
      <c r="V283" s="231"/>
      <c r="W283" s="231"/>
      <c r="X283" s="231"/>
      <c r="Y283" s="231"/>
      <c r="Z283" s="231"/>
      <c r="AA283" s="231"/>
      <c r="AB283" s="231"/>
      <c r="AC283" s="231"/>
    </row>
    <row r="284" ht="24.75" hidden="1" customHeight="1" outlineLevel="1">
      <c r="A284" s="282">
        <v>44924.0</v>
      </c>
      <c r="B284" s="235" t="s">
        <v>660</v>
      </c>
      <c r="C284" s="240" t="s">
        <v>166</v>
      </c>
      <c r="D284" s="235" t="s">
        <v>802</v>
      </c>
      <c r="E284" s="305" t="s">
        <v>717</v>
      </c>
      <c r="F284" s="231"/>
      <c r="G284" s="231"/>
      <c r="H284" s="231"/>
      <c r="J284" s="231"/>
      <c r="K284" s="231"/>
      <c r="L284" s="231"/>
      <c r="M284" s="231"/>
      <c r="N284" s="231"/>
      <c r="O284" s="231"/>
      <c r="P284" s="231"/>
      <c r="Q284" s="231"/>
      <c r="R284" s="231"/>
      <c r="S284" s="231"/>
      <c r="T284" s="231"/>
      <c r="U284" s="231"/>
      <c r="V284" s="231"/>
      <c r="W284" s="231"/>
      <c r="X284" s="231"/>
      <c r="Y284" s="231"/>
      <c r="Z284" s="231"/>
      <c r="AA284" s="231"/>
      <c r="AB284" s="231"/>
      <c r="AC284" s="231"/>
    </row>
    <row r="285" ht="24.75" hidden="1" customHeight="1" outlineLevel="1">
      <c r="A285" s="282">
        <v>44925.0</v>
      </c>
      <c r="B285" s="235" t="s">
        <v>714</v>
      </c>
      <c r="C285" s="240" t="s">
        <v>715</v>
      </c>
      <c r="D285" s="235" t="s">
        <v>888</v>
      </c>
      <c r="E285" s="323" t="s">
        <v>717</v>
      </c>
      <c r="I285" s="237"/>
      <c r="J285" s="231"/>
      <c r="K285" s="231"/>
      <c r="L285" s="328" t="s">
        <v>889</v>
      </c>
      <c r="M285" s="231"/>
      <c r="N285" s="231"/>
      <c r="O285" s="231"/>
      <c r="P285" s="231"/>
      <c r="Q285" s="231"/>
      <c r="R285" s="231"/>
      <c r="S285" s="231"/>
      <c r="T285" s="231"/>
      <c r="U285" s="231"/>
      <c r="V285" s="231"/>
      <c r="W285" s="231"/>
      <c r="X285" s="231"/>
      <c r="Y285" s="231"/>
      <c r="Z285" s="231"/>
      <c r="AA285" s="231"/>
      <c r="AB285" s="231"/>
      <c r="AC285" s="231"/>
    </row>
    <row r="286" ht="24.75" hidden="1" customHeight="1" outlineLevel="1">
      <c r="A286" s="282">
        <v>44925.0</v>
      </c>
      <c r="B286" s="235" t="s">
        <v>890</v>
      </c>
      <c r="C286" s="235" t="s">
        <v>715</v>
      </c>
      <c r="D286" s="235" t="s">
        <v>802</v>
      </c>
      <c r="E286" s="305" t="s">
        <v>717</v>
      </c>
      <c r="I286" s="231"/>
      <c r="J286" s="231"/>
      <c r="K286" s="231"/>
      <c r="L286" s="328" t="s">
        <v>891</v>
      </c>
      <c r="M286" s="231"/>
      <c r="N286" s="231"/>
      <c r="O286" s="231"/>
      <c r="P286" s="231"/>
      <c r="Q286" s="231"/>
      <c r="R286" s="231"/>
      <c r="S286" s="231"/>
      <c r="T286" s="231"/>
      <c r="U286" s="231"/>
      <c r="V286" s="231"/>
      <c r="W286" s="231"/>
      <c r="X286" s="231"/>
      <c r="Y286" s="231"/>
      <c r="Z286" s="231"/>
      <c r="AA286" s="231"/>
      <c r="AB286" s="231"/>
      <c r="AC286" s="231"/>
    </row>
    <row r="287" ht="24.75" hidden="1" customHeight="1" outlineLevel="1">
      <c r="A287" s="282">
        <v>44926.0</v>
      </c>
      <c r="B287" s="235" t="s">
        <v>691</v>
      </c>
      <c r="C287" s="235" t="s">
        <v>715</v>
      </c>
      <c r="D287" s="235" t="s">
        <v>146</v>
      </c>
      <c r="E287" s="305" t="s">
        <v>717</v>
      </c>
      <c r="I287" s="237"/>
      <c r="J287" s="231"/>
      <c r="K287" s="231"/>
      <c r="L287" s="328" t="s">
        <v>892</v>
      </c>
      <c r="M287" s="231"/>
      <c r="N287" s="231"/>
      <c r="O287" s="231"/>
      <c r="P287" s="231"/>
      <c r="Q287" s="231"/>
      <c r="R287" s="231"/>
      <c r="S287" s="231"/>
      <c r="T287" s="231"/>
      <c r="U287" s="231"/>
      <c r="V287" s="231"/>
      <c r="W287" s="231"/>
      <c r="X287" s="231"/>
      <c r="Y287" s="231"/>
      <c r="Z287" s="231"/>
      <c r="AA287" s="231"/>
      <c r="AB287" s="231"/>
      <c r="AC287" s="231"/>
    </row>
    <row r="288" ht="24.75" hidden="1" customHeight="1" outlineLevel="1">
      <c r="A288" s="282">
        <v>44926.0</v>
      </c>
      <c r="B288" s="235" t="s">
        <v>720</v>
      </c>
      <c r="C288" s="240" t="s">
        <v>741</v>
      </c>
      <c r="D288" s="235" t="s">
        <v>657</v>
      </c>
      <c r="E288" s="305" t="s">
        <v>685</v>
      </c>
      <c r="I288" s="237"/>
      <c r="J288" s="231"/>
      <c r="K288" s="231"/>
      <c r="L288" s="231"/>
      <c r="M288" s="231"/>
      <c r="N288" s="231"/>
      <c r="O288" s="231"/>
      <c r="P288" s="231"/>
      <c r="Q288" s="231"/>
      <c r="R288" s="231"/>
      <c r="S288" s="231"/>
      <c r="T288" s="231"/>
      <c r="U288" s="231"/>
      <c r="V288" s="231"/>
      <c r="W288" s="231"/>
      <c r="X288" s="231"/>
      <c r="Y288" s="231"/>
      <c r="Z288" s="231"/>
      <c r="AA288" s="231"/>
      <c r="AB288" s="231"/>
      <c r="AC288" s="231"/>
    </row>
    <row r="289" ht="24.75" hidden="1" customHeight="1" outlineLevel="1">
      <c r="A289" s="282">
        <v>44926.0</v>
      </c>
      <c r="B289" s="257" t="s">
        <v>692</v>
      </c>
      <c r="C289" s="306" t="s">
        <v>893</v>
      </c>
      <c r="D289" s="235" t="s">
        <v>657</v>
      </c>
      <c r="E289" s="305" t="s">
        <v>685</v>
      </c>
      <c r="F289" s="237"/>
      <c r="G289" s="237"/>
      <c r="H289" s="237" t="s">
        <v>722</v>
      </c>
      <c r="I289" s="237"/>
      <c r="J289" s="231"/>
      <c r="K289" s="231"/>
      <c r="L289" s="237" t="s">
        <v>894</v>
      </c>
      <c r="M289" s="231"/>
      <c r="N289" s="231"/>
      <c r="O289" s="231"/>
      <c r="P289" s="231"/>
      <c r="Q289" s="231"/>
      <c r="R289" s="231"/>
      <c r="S289" s="231"/>
      <c r="T289" s="231"/>
      <c r="U289" s="231"/>
      <c r="V289" s="231"/>
      <c r="W289" s="231"/>
      <c r="X289" s="231"/>
      <c r="Y289" s="231"/>
      <c r="Z289" s="231"/>
      <c r="AA289" s="231"/>
      <c r="AB289" s="231"/>
      <c r="AC289" s="231"/>
    </row>
    <row r="290" ht="24.75" hidden="1" customHeight="1" outlineLevel="1">
      <c r="A290" s="282">
        <v>44926.0</v>
      </c>
      <c r="B290" s="257" t="s">
        <v>695</v>
      </c>
      <c r="C290" s="240" t="s">
        <v>784</v>
      </c>
      <c r="D290" s="235" t="s">
        <v>657</v>
      </c>
      <c r="E290" s="305" t="s">
        <v>685</v>
      </c>
      <c r="F290" s="237"/>
      <c r="G290" s="237"/>
      <c r="H290" s="237" t="s">
        <v>869</v>
      </c>
      <c r="I290" s="231"/>
      <c r="J290" s="231"/>
      <c r="K290" s="231"/>
      <c r="L290" s="231"/>
      <c r="M290" s="231"/>
      <c r="N290" s="231"/>
      <c r="O290" s="231"/>
      <c r="P290" s="231"/>
      <c r="Q290" s="231"/>
      <c r="R290" s="231"/>
      <c r="S290" s="231"/>
      <c r="T290" s="231"/>
      <c r="U290" s="231"/>
      <c r="V290" s="231"/>
      <c r="W290" s="231"/>
      <c r="X290" s="231"/>
      <c r="Y290" s="231"/>
      <c r="Z290" s="231"/>
      <c r="AA290" s="231"/>
      <c r="AB290" s="231"/>
      <c r="AC290" s="231"/>
    </row>
    <row r="291" ht="24.75" hidden="1" customHeight="1" outlineLevel="1">
      <c r="A291" s="282">
        <v>44927.0</v>
      </c>
      <c r="B291" s="235" t="s">
        <v>669</v>
      </c>
      <c r="C291" s="240" t="s">
        <v>895</v>
      </c>
      <c r="D291" s="235" t="s">
        <v>657</v>
      </c>
      <c r="E291" s="305" t="s">
        <v>685</v>
      </c>
      <c r="I291" s="237"/>
      <c r="J291" s="231"/>
      <c r="K291" s="231"/>
      <c r="L291" s="231"/>
      <c r="M291" s="231"/>
      <c r="N291" s="231"/>
      <c r="O291" s="231"/>
      <c r="P291" s="231"/>
      <c r="Q291" s="231"/>
      <c r="R291" s="231"/>
      <c r="S291" s="231"/>
      <c r="T291" s="231"/>
      <c r="U291" s="231"/>
      <c r="V291" s="231"/>
      <c r="W291" s="231"/>
      <c r="X291" s="231"/>
      <c r="Y291" s="231"/>
      <c r="Z291" s="231"/>
      <c r="AA291" s="231"/>
      <c r="AB291" s="231"/>
      <c r="AC291" s="231"/>
    </row>
    <row r="292" ht="24.75" hidden="1" customHeight="1" outlineLevel="1">
      <c r="A292" s="282">
        <v>44927.0</v>
      </c>
      <c r="B292" s="235" t="s">
        <v>671</v>
      </c>
      <c r="C292" s="240" t="s">
        <v>741</v>
      </c>
      <c r="D292" s="235" t="s">
        <v>657</v>
      </c>
      <c r="E292" s="305" t="s">
        <v>685</v>
      </c>
      <c r="F292" s="231"/>
      <c r="G292" s="231"/>
      <c r="H292" s="231"/>
      <c r="I292" s="231"/>
      <c r="J292" s="231"/>
      <c r="K292" s="231"/>
      <c r="L292" s="231"/>
      <c r="M292" s="231"/>
      <c r="N292" s="231"/>
      <c r="O292" s="231"/>
      <c r="P292" s="231"/>
      <c r="Q292" s="231"/>
      <c r="R292" s="231"/>
      <c r="S292" s="231"/>
      <c r="T292" s="231"/>
      <c r="U292" s="231"/>
      <c r="V292" s="231"/>
      <c r="W292" s="231"/>
      <c r="X292" s="231"/>
      <c r="Y292" s="231"/>
      <c r="Z292" s="231"/>
      <c r="AA292" s="231"/>
      <c r="AB292" s="231"/>
      <c r="AC292" s="231"/>
    </row>
    <row r="293" ht="24.75" hidden="1" customHeight="1" outlineLevel="1">
      <c r="A293" s="282">
        <v>44928.0</v>
      </c>
      <c r="B293" s="235" t="s">
        <v>731</v>
      </c>
      <c r="C293" s="240" t="s">
        <v>784</v>
      </c>
      <c r="D293" s="235" t="s">
        <v>657</v>
      </c>
      <c r="E293" s="305" t="s">
        <v>685</v>
      </c>
      <c r="F293" s="231"/>
      <c r="G293" s="231"/>
      <c r="H293" s="231"/>
      <c r="I293" s="231"/>
      <c r="J293" s="231"/>
      <c r="K293" s="231"/>
      <c r="L293" s="231"/>
      <c r="M293" s="231"/>
      <c r="N293" s="231"/>
      <c r="O293" s="231"/>
      <c r="P293" s="231"/>
      <c r="Q293" s="231"/>
      <c r="R293" s="231"/>
      <c r="S293" s="231"/>
      <c r="T293" s="231"/>
      <c r="U293" s="231"/>
      <c r="V293" s="231"/>
      <c r="W293" s="231"/>
      <c r="X293" s="231"/>
      <c r="Y293" s="231"/>
      <c r="Z293" s="231"/>
      <c r="AA293" s="231"/>
      <c r="AB293" s="231"/>
      <c r="AC293" s="231"/>
    </row>
    <row r="294" ht="24.75" hidden="1" customHeight="1" outlineLevel="1">
      <c r="A294" s="282">
        <v>44928.0</v>
      </c>
      <c r="B294" s="235" t="s">
        <v>801</v>
      </c>
      <c r="C294" s="240" t="s">
        <v>715</v>
      </c>
      <c r="D294" s="235" t="s">
        <v>657</v>
      </c>
      <c r="E294" s="305" t="s">
        <v>717</v>
      </c>
      <c r="F294" s="231"/>
      <c r="G294" s="231"/>
      <c r="H294" s="231"/>
      <c r="I294" s="231"/>
      <c r="J294" s="231"/>
      <c r="K294" s="231"/>
      <c r="L294" s="231"/>
      <c r="M294" s="231"/>
      <c r="N294" s="231"/>
      <c r="O294" s="231"/>
      <c r="P294" s="231"/>
      <c r="Q294" s="231"/>
      <c r="R294" s="231"/>
      <c r="S294" s="231"/>
      <c r="T294" s="231"/>
      <c r="U294" s="231"/>
      <c r="V294" s="231"/>
      <c r="W294" s="231"/>
      <c r="X294" s="231"/>
      <c r="Y294" s="231"/>
      <c r="Z294" s="231"/>
      <c r="AA294" s="231"/>
      <c r="AB294" s="231"/>
      <c r="AC294" s="231"/>
    </row>
    <row r="295" ht="24.75" hidden="1" customHeight="1" outlineLevel="1">
      <c r="A295" s="282">
        <v>44928.0</v>
      </c>
      <c r="B295" s="235" t="s">
        <v>699</v>
      </c>
      <c r="C295" s="240" t="s">
        <v>850</v>
      </c>
      <c r="D295" s="235" t="s">
        <v>657</v>
      </c>
      <c r="E295" s="305" t="s">
        <v>685</v>
      </c>
      <c r="F295" s="237"/>
      <c r="G295" s="237"/>
      <c r="H295" s="237" t="s">
        <v>722</v>
      </c>
      <c r="I295" s="231"/>
      <c r="J295" s="231"/>
      <c r="K295" s="231"/>
      <c r="L295" s="231"/>
      <c r="M295" s="231"/>
      <c r="N295" s="231"/>
      <c r="O295" s="231"/>
      <c r="P295" s="231"/>
      <c r="Q295" s="231"/>
      <c r="R295" s="231"/>
      <c r="S295" s="231"/>
      <c r="T295" s="231"/>
      <c r="U295" s="231"/>
      <c r="V295" s="231"/>
      <c r="W295" s="231"/>
      <c r="X295" s="231"/>
      <c r="Y295" s="231"/>
      <c r="Z295" s="231"/>
      <c r="AA295" s="231"/>
      <c r="AB295" s="231"/>
      <c r="AC295" s="231"/>
    </row>
    <row r="296" ht="24.75" hidden="1" customHeight="1" outlineLevel="1">
      <c r="A296" s="296">
        <v>44929.0</v>
      </c>
      <c r="B296" s="235" t="s">
        <v>896</v>
      </c>
      <c r="C296" s="240" t="s">
        <v>715</v>
      </c>
      <c r="D296" s="235" t="s">
        <v>802</v>
      </c>
      <c r="E296" s="305" t="s">
        <v>717</v>
      </c>
      <c r="F296" s="231"/>
      <c r="G296" s="231"/>
      <c r="H296" s="231"/>
      <c r="I296" s="231"/>
      <c r="J296" s="231"/>
      <c r="K296" s="231"/>
      <c r="L296" s="231"/>
      <c r="M296" s="231"/>
      <c r="N296" s="231"/>
      <c r="O296" s="231"/>
      <c r="P296" s="231"/>
      <c r="Q296" s="231"/>
      <c r="R296" s="231"/>
      <c r="S296" s="231"/>
      <c r="T296" s="231"/>
      <c r="U296" s="231"/>
      <c r="V296" s="231"/>
      <c r="W296" s="231"/>
      <c r="X296" s="231"/>
      <c r="Y296" s="231"/>
      <c r="Z296" s="231"/>
      <c r="AA296" s="231"/>
      <c r="AB296" s="231"/>
      <c r="AC296" s="231"/>
    </row>
    <row r="297" ht="30.0" hidden="1" customHeight="1" outlineLevel="1">
      <c r="A297" s="296">
        <v>44929.0</v>
      </c>
      <c r="B297" s="235" t="s">
        <v>714</v>
      </c>
      <c r="C297" s="240" t="s">
        <v>715</v>
      </c>
      <c r="D297" s="311" t="s">
        <v>897</v>
      </c>
      <c r="E297" s="305" t="s">
        <v>717</v>
      </c>
      <c r="F297" s="231"/>
      <c r="G297" s="231"/>
      <c r="H297" s="231"/>
      <c r="I297" s="231"/>
      <c r="J297" s="231"/>
      <c r="K297" s="231"/>
      <c r="L297" s="231"/>
      <c r="M297" s="231"/>
      <c r="N297" s="231"/>
      <c r="O297" s="231"/>
      <c r="P297" s="231"/>
      <c r="Q297" s="231"/>
      <c r="R297" s="231"/>
      <c r="S297" s="231"/>
      <c r="T297" s="231"/>
      <c r="U297" s="231"/>
      <c r="V297" s="231"/>
      <c r="W297" s="231"/>
      <c r="X297" s="231"/>
      <c r="Y297" s="231"/>
      <c r="Z297" s="231"/>
      <c r="AA297" s="231"/>
      <c r="AB297" s="231"/>
      <c r="AC297" s="231"/>
    </row>
    <row r="298" ht="24.75" hidden="1" customHeight="1" outlineLevel="1">
      <c r="A298" s="296">
        <v>44929.0</v>
      </c>
      <c r="B298" s="235" t="s">
        <v>898</v>
      </c>
      <c r="C298" s="240" t="s">
        <v>715</v>
      </c>
      <c r="D298" s="235" t="s">
        <v>662</v>
      </c>
      <c r="E298" s="305" t="s">
        <v>717</v>
      </c>
      <c r="F298" s="231"/>
      <c r="G298" s="231"/>
      <c r="H298" s="231"/>
      <c r="I298" s="231"/>
      <c r="J298" s="231"/>
      <c r="K298" s="231"/>
      <c r="L298" s="231"/>
      <c r="M298" s="231"/>
      <c r="N298" s="231"/>
      <c r="O298" s="231"/>
      <c r="P298" s="231"/>
      <c r="Q298" s="231"/>
      <c r="R298" s="231"/>
      <c r="S298" s="231"/>
      <c r="T298" s="231"/>
      <c r="U298" s="231"/>
      <c r="V298" s="231"/>
      <c r="W298" s="231"/>
      <c r="X298" s="231"/>
      <c r="Y298" s="231"/>
      <c r="Z298" s="231"/>
      <c r="AA298" s="231"/>
      <c r="AB298" s="231"/>
      <c r="AC298" s="231"/>
    </row>
    <row r="299" ht="24.75" hidden="1" customHeight="1" outlineLevel="1">
      <c r="A299" s="296">
        <v>44929.0</v>
      </c>
      <c r="B299" s="235" t="s">
        <v>736</v>
      </c>
      <c r="C299" s="240" t="s">
        <v>895</v>
      </c>
      <c r="D299" s="235" t="s">
        <v>802</v>
      </c>
      <c r="E299" s="305" t="s">
        <v>717</v>
      </c>
      <c r="F299" s="231"/>
      <c r="G299" s="231"/>
      <c r="H299" s="231"/>
      <c r="I299" s="231"/>
      <c r="J299" s="231"/>
      <c r="K299" s="231"/>
      <c r="L299" s="231"/>
      <c r="M299" s="231"/>
      <c r="N299" s="231"/>
      <c r="O299" s="231"/>
      <c r="P299" s="231"/>
      <c r="Q299" s="231"/>
      <c r="R299" s="231"/>
      <c r="S299" s="231"/>
      <c r="T299" s="231"/>
      <c r="U299" s="231"/>
      <c r="V299" s="231"/>
      <c r="W299" s="231"/>
      <c r="X299" s="231"/>
      <c r="Y299" s="231"/>
      <c r="Z299" s="231"/>
      <c r="AA299" s="231"/>
      <c r="AB299" s="231"/>
      <c r="AC299" s="231"/>
    </row>
    <row r="300" ht="24.75" hidden="1" customHeight="1" outlineLevel="1">
      <c r="A300" s="296">
        <v>44930.0</v>
      </c>
      <c r="B300" s="235" t="s">
        <v>680</v>
      </c>
      <c r="C300" s="235" t="s">
        <v>715</v>
      </c>
      <c r="D300" s="235" t="s">
        <v>146</v>
      </c>
      <c r="E300" s="305" t="s">
        <v>717</v>
      </c>
      <c r="F300" s="237"/>
      <c r="G300" s="237"/>
      <c r="H300" s="237"/>
      <c r="I300" s="231"/>
      <c r="J300" s="231"/>
      <c r="K300" s="231"/>
      <c r="L300" s="231"/>
      <c r="M300" s="231"/>
      <c r="N300" s="231"/>
      <c r="O300" s="231"/>
      <c r="P300" s="231"/>
      <c r="Q300" s="231"/>
      <c r="R300" s="231"/>
      <c r="S300" s="231"/>
      <c r="T300" s="231"/>
      <c r="U300" s="231"/>
      <c r="V300" s="231"/>
      <c r="W300" s="231"/>
      <c r="X300" s="231"/>
      <c r="Y300" s="231"/>
      <c r="Z300" s="231"/>
      <c r="AA300" s="231"/>
      <c r="AB300" s="231"/>
      <c r="AC300" s="231"/>
    </row>
    <row r="301" ht="24.75" hidden="1" customHeight="1" outlineLevel="1">
      <c r="A301" s="296">
        <v>44930.0</v>
      </c>
      <c r="B301" s="235" t="s">
        <v>708</v>
      </c>
      <c r="C301" s="240" t="s">
        <v>784</v>
      </c>
      <c r="D301" s="235" t="s">
        <v>146</v>
      </c>
      <c r="E301" s="305" t="s">
        <v>685</v>
      </c>
      <c r="F301" s="237"/>
      <c r="G301" s="237"/>
      <c r="H301" s="237"/>
      <c r="I301" s="231"/>
      <c r="J301" s="231"/>
      <c r="K301" s="231"/>
      <c r="L301" s="231"/>
      <c r="M301" s="231"/>
      <c r="N301" s="231"/>
      <c r="O301" s="231"/>
      <c r="P301" s="231"/>
      <c r="Q301" s="231"/>
      <c r="R301" s="231"/>
      <c r="S301" s="231"/>
      <c r="T301" s="231"/>
      <c r="U301" s="231"/>
      <c r="V301" s="231"/>
      <c r="W301" s="231"/>
      <c r="X301" s="231"/>
      <c r="Y301" s="231"/>
      <c r="Z301" s="231"/>
      <c r="AA301" s="231"/>
      <c r="AB301" s="231"/>
      <c r="AC301" s="231"/>
    </row>
    <row r="302" ht="24.75" hidden="1" customHeight="1" outlineLevel="1">
      <c r="A302" s="296">
        <v>44930.0</v>
      </c>
      <c r="B302" s="235" t="s">
        <v>740</v>
      </c>
      <c r="C302" s="240" t="s">
        <v>741</v>
      </c>
      <c r="D302" s="235" t="s">
        <v>146</v>
      </c>
      <c r="E302" s="305" t="s">
        <v>685</v>
      </c>
      <c r="F302" s="237"/>
      <c r="G302" s="237"/>
      <c r="H302" s="237"/>
      <c r="I302" s="231"/>
      <c r="J302" s="231"/>
      <c r="K302" s="231"/>
      <c r="L302" s="231"/>
      <c r="M302" s="231"/>
      <c r="N302" s="231"/>
      <c r="O302" s="231"/>
      <c r="P302" s="231"/>
      <c r="Q302" s="231"/>
      <c r="R302" s="231"/>
      <c r="S302" s="231"/>
      <c r="T302" s="231"/>
      <c r="U302" s="231"/>
      <c r="V302" s="231"/>
      <c r="W302" s="231"/>
      <c r="X302" s="231"/>
      <c r="Y302" s="231"/>
      <c r="Z302" s="231"/>
      <c r="AA302" s="231"/>
      <c r="AB302" s="231"/>
      <c r="AC302" s="231"/>
    </row>
    <row r="303" ht="24.75" hidden="1" customHeight="1" outlineLevel="1">
      <c r="A303" s="296">
        <v>44930.0</v>
      </c>
      <c r="B303" s="235" t="s">
        <v>686</v>
      </c>
      <c r="C303" s="240" t="s">
        <v>884</v>
      </c>
      <c r="D303" s="235" t="s">
        <v>899</v>
      </c>
      <c r="E303" s="305" t="s">
        <v>685</v>
      </c>
      <c r="F303" s="237"/>
      <c r="G303" s="237"/>
      <c r="H303" s="237" t="s">
        <v>722</v>
      </c>
      <c r="I303" s="231"/>
      <c r="J303" s="231"/>
      <c r="K303" s="231"/>
      <c r="L303" s="231"/>
      <c r="M303" s="231"/>
      <c r="N303" s="231"/>
      <c r="O303" s="231"/>
      <c r="P303" s="231"/>
      <c r="Q303" s="231"/>
      <c r="R303" s="231"/>
      <c r="S303" s="231"/>
      <c r="T303" s="231"/>
      <c r="U303" s="231"/>
      <c r="V303" s="231"/>
      <c r="W303" s="231"/>
      <c r="X303" s="231"/>
      <c r="Y303" s="231"/>
      <c r="Z303" s="231"/>
      <c r="AA303" s="231"/>
      <c r="AB303" s="231"/>
      <c r="AC303" s="231"/>
    </row>
    <row r="304" ht="24.75" hidden="1" customHeight="1" outlineLevel="1">
      <c r="A304" s="296">
        <v>44930.0</v>
      </c>
      <c r="B304" s="235" t="s">
        <v>743</v>
      </c>
      <c r="C304" s="240" t="s">
        <v>895</v>
      </c>
      <c r="D304" s="235" t="s">
        <v>802</v>
      </c>
      <c r="E304" s="305" t="s">
        <v>717</v>
      </c>
      <c r="F304" s="231"/>
      <c r="G304" s="231"/>
      <c r="H304" s="231"/>
      <c r="I304" s="231"/>
      <c r="J304" s="231"/>
      <c r="K304" s="231"/>
      <c r="L304" s="231"/>
      <c r="M304" s="231"/>
      <c r="N304" s="231"/>
      <c r="O304" s="231"/>
      <c r="P304" s="231"/>
      <c r="Q304" s="231"/>
      <c r="R304" s="231"/>
      <c r="S304" s="231"/>
      <c r="T304" s="231"/>
      <c r="U304" s="231"/>
      <c r="V304" s="231"/>
      <c r="W304" s="231"/>
      <c r="X304" s="231"/>
      <c r="Y304" s="231"/>
      <c r="Z304" s="231"/>
      <c r="AA304" s="231"/>
      <c r="AB304" s="231"/>
      <c r="AC304" s="231"/>
    </row>
    <row r="305" ht="24.75" customHeight="1">
      <c r="A305" s="231"/>
      <c r="B305" s="231"/>
      <c r="C305" s="231"/>
      <c r="D305" s="231"/>
      <c r="E305" s="225"/>
      <c r="F305" s="231"/>
      <c r="G305" s="231"/>
      <c r="H305" s="231"/>
      <c r="I305" s="231"/>
      <c r="J305" s="231"/>
      <c r="K305" s="231"/>
      <c r="L305" s="231"/>
      <c r="M305" s="231"/>
      <c r="N305" s="231"/>
      <c r="O305" s="231"/>
      <c r="P305" s="231"/>
      <c r="Q305" s="231"/>
      <c r="R305" s="231"/>
      <c r="S305" s="231"/>
      <c r="T305" s="231"/>
      <c r="U305" s="231"/>
      <c r="V305" s="231"/>
      <c r="W305" s="231"/>
      <c r="X305" s="231"/>
      <c r="Y305" s="231"/>
      <c r="Z305" s="231"/>
      <c r="AA305" s="231"/>
      <c r="AB305" s="231"/>
      <c r="AC305" s="231"/>
    </row>
    <row r="306" ht="24.75" customHeight="1" collapsed="1">
      <c r="A306" s="262" t="s">
        <v>900</v>
      </c>
      <c r="B306" s="249"/>
      <c r="C306" s="249"/>
      <c r="D306" s="249"/>
      <c r="E306" s="249"/>
      <c r="F306" s="231"/>
      <c r="G306" s="231"/>
      <c r="H306" s="231"/>
      <c r="I306" s="231"/>
      <c r="J306" s="231"/>
      <c r="K306" s="231"/>
      <c r="L306" s="231"/>
      <c r="M306" s="231"/>
      <c r="N306" s="231"/>
      <c r="O306" s="231"/>
      <c r="P306" s="231"/>
      <c r="Q306" s="231"/>
      <c r="R306" s="231"/>
      <c r="S306" s="231"/>
      <c r="T306" s="231"/>
      <c r="U306" s="231"/>
      <c r="V306" s="231"/>
      <c r="W306" s="231"/>
      <c r="X306" s="231"/>
      <c r="Y306" s="231"/>
      <c r="Z306" s="231"/>
      <c r="AA306" s="231"/>
      <c r="AB306" s="231"/>
      <c r="AC306" s="231"/>
    </row>
    <row r="307" ht="24.75" hidden="1" customHeight="1" outlineLevel="1">
      <c r="A307" s="263" t="s">
        <v>647</v>
      </c>
      <c r="B307" s="264" t="s">
        <v>648</v>
      </c>
      <c r="C307" s="264" t="s">
        <v>649</v>
      </c>
      <c r="D307" s="264" t="s">
        <v>650</v>
      </c>
      <c r="E307" s="264" t="s">
        <v>651</v>
      </c>
      <c r="F307" s="231"/>
      <c r="G307" s="231"/>
      <c r="H307" s="231"/>
      <c r="I307" s="231"/>
      <c r="J307" s="231"/>
      <c r="K307" s="231"/>
      <c r="L307" s="231"/>
      <c r="M307" s="231"/>
      <c r="N307" s="231"/>
      <c r="O307" s="231"/>
      <c r="P307" s="231"/>
      <c r="Q307" s="231"/>
      <c r="R307" s="231"/>
      <c r="S307" s="231"/>
      <c r="T307" s="231"/>
      <c r="U307" s="231"/>
      <c r="V307" s="231"/>
      <c r="W307" s="231"/>
      <c r="X307" s="231"/>
      <c r="Y307" s="231"/>
      <c r="Z307" s="231"/>
      <c r="AA307" s="231"/>
      <c r="AB307" s="231"/>
      <c r="AC307" s="231"/>
    </row>
    <row r="308" ht="24.75" hidden="1" customHeight="1" outlineLevel="1">
      <c r="A308" s="296">
        <v>44981.0</v>
      </c>
      <c r="B308" s="235" t="s">
        <v>714</v>
      </c>
      <c r="C308" s="240" t="s">
        <v>715</v>
      </c>
      <c r="D308" s="319" t="s">
        <v>662</v>
      </c>
      <c r="E308" s="321" t="s">
        <v>717</v>
      </c>
      <c r="F308" s="231"/>
      <c r="G308" s="231"/>
      <c r="H308" s="231"/>
      <c r="I308" s="231"/>
      <c r="J308" s="231"/>
      <c r="K308" s="231"/>
      <c r="L308" s="231"/>
      <c r="M308" s="231"/>
      <c r="N308" s="231"/>
      <c r="O308" s="231"/>
      <c r="P308" s="231"/>
      <c r="Q308" s="231"/>
      <c r="R308" s="231"/>
      <c r="S308" s="231"/>
      <c r="T308" s="231"/>
      <c r="U308" s="231"/>
      <c r="V308" s="231"/>
      <c r="W308" s="231"/>
      <c r="X308" s="231"/>
      <c r="Y308" s="231"/>
      <c r="Z308" s="231"/>
      <c r="AA308" s="231"/>
      <c r="AB308" s="231"/>
      <c r="AC308" s="231"/>
    </row>
    <row r="309" ht="24.75" hidden="1" customHeight="1" outlineLevel="1">
      <c r="A309" s="296">
        <v>44981.0</v>
      </c>
      <c r="B309" s="235" t="s">
        <v>35</v>
      </c>
      <c r="C309" s="235" t="s">
        <v>715</v>
      </c>
      <c r="D309" s="308" t="s">
        <v>662</v>
      </c>
      <c r="E309" s="323" t="s">
        <v>717</v>
      </c>
      <c r="F309" s="231"/>
      <c r="G309" s="231"/>
      <c r="H309" s="231"/>
      <c r="I309" s="231"/>
      <c r="J309" s="231"/>
      <c r="K309" s="231"/>
      <c r="L309" s="231"/>
      <c r="M309" s="231"/>
      <c r="N309" s="231"/>
      <c r="O309" s="231"/>
      <c r="P309" s="231"/>
      <c r="Q309" s="231"/>
      <c r="R309" s="231"/>
      <c r="S309" s="231"/>
      <c r="T309" s="231"/>
      <c r="U309" s="231"/>
      <c r="V309" s="231"/>
      <c r="W309" s="231"/>
      <c r="X309" s="231"/>
      <c r="Y309" s="231"/>
      <c r="Z309" s="231"/>
      <c r="AA309" s="231"/>
      <c r="AB309" s="231"/>
      <c r="AC309" s="231"/>
    </row>
    <row r="310" ht="24.75" hidden="1" customHeight="1" outlineLevel="1">
      <c r="A310" s="282">
        <v>44981.0</v>
      </c>
      <c r="B310" s="277" t="s">
        <v>663</v>
      </c>
      <c r="C310" s="278" t="s">
        <v>901</v>
      </c>
      <c r="D310" s="278" t="s">
        <v>902</v>
      </c>
      <c r="E310" s="305" t="s">
        <v>685</v>
      </c>
      <c r="F310" s="312"/>
      <c r="G310" s="312"/>
      <c r="H310" s="312" t="s">
        <v>877</v>
      </c>
      <c r="I310" s="231"/>
      <c r="J310" s="231"/>
      <c r="K310" s="231"/>
      <c r="L310" s="231"/>
      <c r="M310" s="231"/>
      <c r="N310" s="231"/>
      <c r="O310" s="231"/>
      <c r="P310" s="231"/>
      <c r="Q310" s="231"/>
      <c r="R310" s="231"/>
      <c r="S310" s="231"/>
      <c r="T310" s="231"/>
      <c r="U310" s="231"/>
      <c r="V310" s="231"/>
      <c r="W310" s="231"/>
      <c r="X310" s="231"/>
      <c r="Y310" s="231"/>
      <c r="Z310" s="231"/>
      <c r="AA310" s="231"/>
      <c r="AB310" s="231"/>
      <c r="AC310" s="231"/>
    </row>
    <row r="311" ht="24.75" customHeight="1">
      <c r="A311" s="231"/>
      <c r="B311" s="231"/>
      <c r="C311" s="231"/>
      <c r="D311" s="231"/>
      <c r="E311" s="225"/>
      <c r="F311" s="231"/>
      <c r="G311" s="231"/>
      <c r="H311" s="231"/>
      <c r="I311" s="231"/>
      <c r="J311" s="231"/>
      <c r="K311" s="231"/>
      <c r="L311" s="231"/>
      <c r="M311" s="231"/>
      <c r="N311" s="231"/>
      <c r="O311" s="231"/>
      <c r="P311" s="231"/>
      <c r="Q311" s="231"/>
      <c r="R311" s="231"/>
      <c r="S311" s="231"/>
      <c r="T311" s="231"/>
      <c r="U311" s="231"/>
      <c r="V311" s="231"/>
      <c r="W311" s="231"/>
      <c r="X311" s="231"/>
      <c r="Y311" s="231"/>
      <c r="Z311" s="231"/>
      <c r="AA311" s="231"/>
      <c r="AB311" s="231"/>
      <c r="AC311" s="231"/>
    </row>
    <row r="312" ht="24.75" customHeight="1">
      <c r="A312" s="262" t="s">
        <v>903</v>
      </c>
      <c r="B312" s="249"/>
      <c r="C312" s="249"/>
      <c r="D312" s="249"/>
      <c r="E312" s="249"/>
      <c r="F312" s="231"/>
      <c r="G312" s="231"/>
      <c r="H312" s="231"/>
      <c r="I312" s="231"/>
      <c r="J312" s="231"/>
      <c r="K312" s="231"/>
      <c r="L312" s="231"/>
      <c r="M312" s="231"/>
      <c r="N312" s="231"/>
      <c r="O312" s="231"/>
      <c r="P312" s="231"/>
      <c r="Q312" s="231"/>
      <c r="R312" s="231"/>
      <c r="S312" s="231"/>
      <c r="T312" s="231"/>
      <c r="U312" s="231"/>
      <c r="V312" s="231"/>
      <c r="W312" s="231"/>
      <c r="X312" s="231"/>
      <c r="Y312" s="231"/>
      <c r="Z312" s="231"/>
      <c r="AA312" s="231"/>
      <c r="AB312" s="231"/>
      <c r="AC312" s="231"/>
    </row>
    <row r="313" ht="24.75" customHeight="1" collapsed="1">
      <c r="A313" s="329" t="s">
        <v>647</v>
      </c>
      <c r="B313" s="330" t="s">
        <v>648</v>
      </c>
      <c r="C313" s="330" t="s">
        <v>649</v>
      </c>
      <c r="D313" s="330" t="s">
        <v>650</v>
      </c>
      <c r="E313" s="330" t="s">
        <v>651</v>
      </c>
      <c r="F313" s="231"/>
      <c r="G313" s="231"/>
      <c r="H313" s="231"/>
      <c r="I313" s="231"/>
      <c r="J313" s="231"/>
      <c r="K313" s="231"/>
      <c r="L313" s="231"/>
      <c r="M313" s="231"/>
      <c r="N313" s="231"/>
      <c r="O313" s="231"/>
      <c r="P313" s="231"/>
      <c r="Q313" s="231"/>
      <c r="R313" s="231"/>
      <c r="S313" s="231"/>
      <c r="T313" s="231"/>
      <c r="U313" s="231"/>
      <c r="V313" s="231"/>
      <c r="W313" s="231"/>
      <c r="X313" s="231"/>
      <c r="Y313" s="231"/>
      <c r="Z313" s="231"/>
      <c r="AA313" s="231"/>
      <c r="AB313" s="231"/>
      <c r="AC313" s="231"/>
    </row>
    <row r="314" ht="27.75" hidden="1" customHeight="1" outlineLevel="1">
      <c r="A314" s="296">
        <v>45006.0</v>
      </c>
      <c r="B314" s="235" t="s">
        <v>714</v>
      </c>
      <c r="C314" s="240" t="s">
        <v>715</v>
      </c>
      <c r="D314" s="311" t="s">
        <v>897</v>
      </c>
      <c r="E314" s="316" t="s">
        <v>717</v>
      </c>
      <c r="F314" s="231"/>
      <c r="G314" s="231"/>
      <c r="H314" s="231"/>
      <c r="I314" s="231"/>
      <c r="J314" s="231"/>
      <c r="K314" s="231"/>
      <c r="L314" s="231"/>
      <c r="M314" s="231"/>
      <c r="N314" s="231"/>
      <c r="O314" s="231"/>
      <c r="P314" s="231"/>
      <c r="Q314" s="231"/>
      <c r="R314" s="231"/>
      <c r="S314" s="231"/>
      <c r="T314" s="231"/>
      <c r="U314" s="231"/>
      <c r="V314" s="231"/>
      <c r="W314" s="231"/>
      <c r="X314" s="231"/>
      <c r="Y314" s="231"/>
      <c r="Z314" s="231"/>
      <c r="AA314" s="231"/>
      <c r="AB314" s="231"/>
      <c r="AC314" s="231"/>
    </row>
    <row r="315" ht="27.75" hidden="1" customHeight="1" outlineLevel="1">
      <c r="A315" s="296">
        <v>45006.0</v>
      </c>
      <c r="B315" s="235" t="s">
        <v>35</v>
      </c>
      <c r="C315" s="235" t="s">
        <v>715</v>
      </c>
      <c r="D315" s="308" t="s">
        <v>662</v>
      </c>
      <c r="E315" s="320" t="s">
        <v>717</v>
      </c>
      <c r="F315" s="231"/>
      <c r="G315" s="231"/>
      <c r="H315" s="231"/>
      <c r="I315" s="231"/>
      <c r="J315" s="231"/>
      <c r="K315" s="231"/>
      <c r="L315" s="231"/>
      <c r="M315" s="231"/>
      <c r="N315" s="231"/>
      <c r="O315" s="231"/>
      <c r="P315" s="231"/>
      <c r="Q315" s="231"/>
      <c r="R315" s="231"/>
      <c r="S315" s="231"/>
      <c r="T315" s="231"/>
      <c r="U315" s="231"/>
      <c r="V315" s="231"/>
      <c r="W315" s="231"/>
      <c r="X315" s="231"/>
      <c r="Y315" s="231"/>
      <c r="Z315" s="231"/>
      <c r="AA315" s="231"/>
      <c r="AB315" s="231"/>
      <c r="AC315" s="231"/>
    </row>
    <row r="316" ht="27.75" hidden="1" customHeight="1" outlineLevel="1">
      <c r="A316" s="296">
        <v>45006.0</v>
      </c>
      <c r="B316" s="235" t="s">
        <v>898</v>
      </c>
      <c r="C316" s="240" t="s">
        <v>715</v>
      </c>
      <c r="D316" s="308" t="s">
        <v>662</v>
      </c>
      <c r="E316" s="30" t="s">
        <v>717</v>
      </c>
      <c r="F316" s="231"/>
      <c r="G316" s="231"/>
      <c r="H316" s="231"/>
      <c r="I316" s="231"/>
      <c r="J316" s="231"/>
      <c r="K316" s="231"/>
      <c r="L316" s="231"/>
      <c r="M316" s="231"/>
      <c r="N316" s="231"/>
      <c r="O316" s="231"/>
      <c r="P316" s="231"/>
      <c r="Q316" s="231"/>
      <c r="R316" s="231"/>
      <c r="S316" s="231"/>
      <c r="T316" s="231"/>
      <c r="U316" s="231"/>
      <c r="V316" s="231"/>
      <c r="W316" s="231"/>
      <c r="X316" s="231"/>
      <c r="Y316" s="231"/>
      <c r="Z316" s="231"/>
      <c r="AA316" s="231"/>
      <c r="AB316" s="231"/>
      <c r="AC316" s="231"/>
    </row>
    <row r="317" ht="27.75" hidden="1" customHeight="1" outlineLevel="1">
      <c r="A317" s="296">
        <v>45006.0</v>
      </c>
      <c r="B317" s="235" t="s">
        <v>736</v>
      </c>
      <c r="C317" s="240" t="s">
        <v>895</v>
      </c>
      <c r="D317" s="308" t="s">
        <v>662</v>
      </c>
      <c r="E317" s="30" t="s">
        <v>717</v>
      </c>
      <c r="F317" s="231"/>
      <c r="G317" s="231"/>
      <c r="H317" s="231"/>
      <c r="I317" s="231"/>
      <c r="J317" s="231"/>
      <c r="K317" s="231"/>
      <c r="L317" s="231"/>
      <c r="M317" s="231"/>
      <c r="N317" s="231"/>
      <c r="O317" s="231"/>
      <c r="P317" s="231"/>
      <c r="Q317" s="231"/>
      <c r="R317" s="231"/>
      <c r="S317" s="231"/>
      <c r="T317" s="231"/>
      <c r="U317" s="231"/>
      <c r="V317" s="231"/>
      <c r="W317" s="231"/>
      <c r="X317" s="231"/>
      <c r="Y317" s="231"/>
      <c r="Z317" s="231"/>
      <c r="AA317" s="231"/>
      <c r="AB317" s="231"/>
      <c r="AC317" s="231"/>
    </row>
    <row r="318" ht="27.75" hidden="1" customHeight="1" outlineLevel="1">
      <c r="A318" s="296">
        <v>45007.0</v>
      </c>
      <c r="B318" s="235" t="s">
        <v>708</v>
      </c>
      <c r="C318" s="240" t="s">
        <v>784</v>
      </c>
      <c r="D318" s="278" t="s">
        <v>904</v>
      </c>
      <c r="E318" s="305" t="s">
        <v>685</v>
      </c>
      <c r="F318" s="237"/>
      <c r="G318" s="237"/>
      <c r="H318" s="237"/>
      <c r="I318" s="231"/>
      <c r="J318" s="231"/>
      <c r="K318" s="231"/>
      <c r="L318" s="231"/>
      <c r="M318" s="231"/>
      <c r="N318" s="231"/>
      <c r="O318" s="231"/>
      <c r="P318" s="231"/>
      <c r="Q318" s="231"/>
      <c r="R318" s="231"/>
      <c r="S318" s="231"/>
      <c r="T318" s="231"/>
      <c r="U318" s="231"/>
      <c r="V318" s="231"/>
      <c r="W318" s="231"/>
      <c r="X318" s="231"/>
      <c r="Y318" s="231"/>
      <c r="Z318" s="231"/>
      <c r="AA318" s="231"/>
      <c r="AB318" s="231"/>
      <c r="AC318" s="231"/>
    </row>
    <row r="319" ht="27.75" hidden="1" customHeight="1" outlineLevel="1">
      <c r="A319" s="296">
        <v>45007.0</v>
      </c>
      <c r="B319" s="235" t="s">
        <v>740</v>
      </c>
      <c r="C319" s="240" t="s">
        <v>741</v>
      </c>
      <c r="D319" s="235" t="s">
        <v>146</v>
      </c>
      <c r="E319" s="305" t="s">
        <v>685</v>
      </c>
      <c r="F319" s="237"/>
      <c r="G319" s="237"/>
      <c r="H319" s="237"/>
      <c r="I319" s="231"/>
      <c r="J319" s="231"/>
      <c r="K319" s="231"/>
      <c r="L319" s="231"/>
      <c r="M319" s="231"/>
      <c r="N319" s="231"/>
      <c r="O319" s="231"/>
      <c r="P319" s="231"/>
      <c r="Q319" s="231"/>
      <c r="R319" s="231"/>
      <c r="S319" s="231"/>
      <c r="T319" s="231"/>
      <c r="U319" s="231"/>
      <c r="V319" s="231"/>
      <c r="W319" s="231"/>
      <c r="X319" s="231"/>
      <c r="Y319" s="231"/>
      <c r="Z319" s="231"/>
      <c r="AA319" s="231"/>
      <c r="AB319" s="231"/>
      <c r="AC319" s="231"/>
    </row>
    <row r="320" ht="27.75" hidden="1" customHeight="1" outlineLevel="1">
      <c r="A320" s="296">
        <v>45007.0</v>
      </c>
      <c r="B320" s="235" t="s">
        <v>686</v>
      </c>
      <c r="C320" s="240" t="s">
        <v>884</v>
      </c>
      <c r="D320" s="278" t="s">
        <v>904</v>
      </c>
      <c r="E320" s="305" t="s">
        <v>685</v>
      </c>
      <c r="F320" s="237"/>
      <c r="G320" s="237"/>
      <c r="H320" s="237" t="s">
        <v>905</v>
      </c>
      <c r="I320" s="231"/>
      <c r="J320" s="231"/>
      <c r="K320" s="231"/>
      <c r="L320" s="231"/>
      <c r="M320" s="231"/>
      <c r="N320" s="231"/>
      <c r="O320" s="231"/>
      <c r="P320" s="231"/>
      <c r="Q320" s="231"/>
      <c r="R320" s="231"/>
      <c r="S320" s="231"/>
      <c r="T320" s="231"/>
      <c r="U320" s="231"/>
      <c r="V320" s="231"/>
      <c r="W320" s="231"/>
      <c r="X320" s="231"/>
      <c r="Y320" s="231"/>
      <c r="Z320" s="231"/>
      <c r="AA320" s="231"/>
      <c r="AB320" s="231"/>
      <c r="AC320" s="231"/>
    </row>
    <row r="321" ht="27.75" hidden="1" customHeight="1" outlineLevel="1">
      <c r="A321" s="296">
        <v>45007.0</v>
      </c>
      <c r="B321" s="235" t="s">
        <v>743</v>
      </c>
      <c r="C321" s="240" t="s">
        <v>895</v>
      </c>
      <c r="D321" s="308" t="s">
        <v>662</v>
      </c>
      <c r="E321" s="30" t="s">
        <v>717</v>
      </c>
      <c r="F321" s="231"/>
      <c r="G321" s="231"/>
      <c r="H321" s="231"/>
      <c r="I321" s="231"/>
      <c r="J321" s="231"/>
      <c r="K321" s="231"/>
      <c r="L321" s="231"/>
      <c r="M321" s="231"/>
      <c r="N321" s="231"/>
      <c r="O321" s="231"/>
      <c r="P321" s="231"/>
      <c r="Q321" s="231"/>
      <c r="R321" s="231"/>
      <c r="S321" s="231"/>
      <c r="T321" s="231"/>
      <c r="U321" s="231"/>
      <c r="V321" s="231"/>
      <c r="W321" s="231"/>
      <c r="X321" s="231"/>
      <c r="Y321" s="231"/>
      <c r="Z321" s="231"/>
      <c r="AA321" s="231"/>
      <c r="AB321" s="231"/>
      <c r="AC321" s="231"/>
    </row>
    <row r="322" ht="27.75" hidden="1" customHeight="1" outlineLevel="1">
      <c r="A322" s="296">
        <v>45008.0</v>
      </c>
      <c r="B322" s="235" t="s">
        <v>660</v>
      </c>
      <c r="C322" s="240" t="s">
        <v>166</v>
      </c>
      <c r="D322" s="308" t="s">
        <v>662</v>
      </c>
      <c r="E322" s="30" t="s">
        <v>717</v>
      </c>
      <c r="F322" s="231"/>
      <c r="G322" s="231"/>
      <c r="H322" s="231"/>
      <c r="J322" s="231"/>
      <c r="K322" s="231"/>
      <c r="L322" s="231"/>
      <c r="M322" s="231"/>
      <c r="N322" s="231"/>
      <c r="O322" s="231"/>
      <c r="P322" s="231"/>
      <c r="Q322" s="231"/>
      <c r="R322" s="231"/>
      <c r="S322" s="231"/>
      <c r="T322" s="231"/>
      <c r="U322" s="231"/>
      <c r="V322" s="231"/>
      <c r="W322" s="231"/>
      <c r="X322" s="231"/>
      <c r="Y322" s="231"/>
      <c r="Z322" s="231"/>
      <c r="AA322" s="231"/>
      <c r="AB322" s="231"/>
      <c r="AC322" s="231"/>
    </row>
    <row r="323" ht="24.75" hidden="1" customHeight="1" outlineLevel="1">
      <c r="A323" s="296">
        <v>45007.0</v>
      </c>
      <c r="B323" s="235" t="s">
        <v>680</v>
      </c>
      <c r="C323" s="240" t="s">
        <v>715</v>
      </c>
      <c r="D323" s="234" t="s">
        <v>739</v>
      </c>
      <c r="E323" s="30" t="s">
        <v>717</v>
      </c>
      <c r="I323" s="231"/>
      <c r="J323" s="231"/>
      <c r="K323" s="231"/>
      <c r="L323" s="231"/>
      <c r="M323" s="231"/>
      <c r="N323" s="231"/>
      <c r="O323" s="231"/>
      <c r="P323" s="231"/>
      <c r="Q323" s="231"/>
      <c r="R323" s="231"/>
      <c r="S323" s="231"/>
      <c r="T323" s="231"/>
      <c r="U323" s="231"/>
      <c r="V323" s="231"/>
      <c r="W323" s="231"/>
      <c r="X323" s="231"/>
      <c r="Y323" s="231"/>
      <c r="Z323" s="231"/>
      <c r="AA323" s="231"/>
      <c r="AB323" s="231"/>
      <c r="AC323" s="231"/>
    </row>
    <row r="324" ht="24.75" customHeight="1">
      <c r="A324" s="231"/>
      <c r="B324" s="231"/>
      <c r="C324" s="231"/>
      <c r="D324" s="231"/>
      <c r="E324" s="225"/>
      <c r="F324" s="231"/>
      <c r="G324" s="231"/>
      <c r="H324" s="231"/>
      <c r="I324" s="231"/>
      <c r="J324" s="231"/>
      <c r="K324" s="231"/>
      <c r="L324" s="231"/>
      <c r="M324" s="231"/>
      <c r="N324" s="231"/>
      <c r="O324" s="231"/>
      <c r="P324" s="231"/>
      <c r="Q324" s="231"/>
      <c r="R324" s="231"/>
      <c r="S324" s="231"/>
      <c r="T324" s="231"/>
      <c r="U324" s="231"/>
      <c r="V324" s="231"/>
      <c r="W324" s="231"/>
      <c r="X324" s="231"/>
      <c r="Y324" s="231"/>
      <c r="Z324" s="231"/>
      <c r="AA324" s="231"/>
      <c r="AB324" s="231"/>
      <c r="AC324" s="231"/>
    </row>
    <row r="325" ht="24.75" customHeight="1" collapsed="1">
      <c r="A325" s="262" t="s">
        <v>906</v>
      </c>
      <c r="B325" s="249"/>
      <c r="C325" s="331" t="s">
        <v>907</v>
      </c>
      <c r="D325" s="249"/>
      <c r="E325" s="249"/>
      <c r="F325" s="231"/>
      <c r="G325" s="231"/>
      <c r="H325" s="231"/>
      <c r="I325" s="231"/>
      <c r="J325" s="231"/>
      <c r="K325" s="231"/>
      <c r="L325" s="231"/>
      <c r="M325" s="231"/>
      <c r="N325" s="231"/>
      <c r="O325" s="231"/>
      <c r="P325" s="231"/>
      <c r="Q325" s="231"/>
      <c r="R325" s="231"/>
      <c r="S325" s="231"/>
      <c r="T325" s="231"/>
      <c r="U325" s="231"/>
      <c r="V325" s="231"/>
      <c r="W325" s="231"/>
      <c r="X325" s="231"/>
      <c r="Y325" s="231"/>
      <c r="Z325" s="231"/>
      <c r="AA325" s="231"/>
      <c r="AB325" s="231"/>
      <c r="AC325" s="231"/>
    </row>
    <row r="326" ht="24.75" hidden="1" customHeight="1" outlineLevel="1">
      <c r="A326" s="275" t="s">
        <v>647</v>
      </c>
      <c r="B326" s="275" t="s">
        <v>648</v>
      </c>
      <c r="C326" s="275" t="s">
        <v>649</v>
      </c>
      <c r="D326" s="275" t="s">
        <v>650</v>
      </c>
      <c r="E326" s="275" t="s">
        <v>651</v>
      </c>
      <c r="F326" s="231"/>
      <c r="G326" s="231"/>
      <c r="H326" s="231"/>
      <c r="I326" s="231"/>
      <c r="J326" s="231"/>
      <c r="K326" s="231"/>
      <c r="L326" s="231"/>
      <c r="M326" s="231"/>
      <c r="N326" s="231"/>
      <c r="O326" s="231"/>
      <c r="P326" s="231"/>
      <c r="Q326" s="231"/>
      <c r="R326" s="231"/>
      <c r="S326" s="231"/>
      <c r="T326" s="231"/>
      <c r="U326" s="231"/>
      <c r="V326" s="231"/>
      <c r="W326" s="231"/>
      <c r="X326" s="231"/>
      <c r="Y326" s="231"/>
      <c r="Z326" s="231"/>
      <c r="AA326" s="231"/>
      <c r="AB326" s="231"/>
      <c r="AC326" s="231"/>
    </row>
    <row r="327" ht="24.75" hidden="1" customHeight="1" outlineLevel="1">
      <c r="A327" s="332">
        <v>45048.0</v>
      </c>
      <c r="B327" s="235" t="s">
        <v>35</v>
      </c>
      <c r="C327" s="235" t="s">
        <v>715</v>
      </c>
      <c r="D327" s="333" t="s">
        <v>662</v>
      </c>
      <c r="E327" s="323" t="s">
        <v>717</v>
      </c>
      <c r="F327" s="237"/>
      <c r="G327" s="237"/>
      <c r="H327" s="237"/>
      <c r="I327" s="231"/>
      <c r="J327" s="231"/>
      <c r="K327" s="231"/>
      <c r="L327" s="231"/>
      <c r="M327" s="231"/>
      <c r="N327" s="231"/>
      <c r="O327" s="231"/>
      <c r="P327" s="231"/>
      <c r="Q327" s="231"/>
      <c r="R327" s="231"/>
      <c r="S327" s="231"/>
      <c r="T327" s="231"/>
      <c r="U327" s="231"/>
      <c r="V327" s="231"/>
      <c r="W327" s="231"/>
      <c r="X327" s="231"/>
      <c r="Y327" s="231"/>
      <c r="Z327" s="231"/>
      <c r="AA327" s="231"/>
      <c r="AB327" s="231"/>
      <c r="AC327" s="231"/>
    </row>
    <row r="328" ht="24.75" hidden="1" customHeight="1" outlineLevel="1">
      <c r="A328" s="332">
        <v>45048.0</v>
      </c>
      <c r="B328" s="235" t="s">
        <v>714</v>
      </c>
      <c r="C328" s="240" t="s">
        <v>715</v>
      </c>
      <c r="D328" s="261" t="s">
        <v>778</v>
      </c>
      <c r="E328" s="305" t="s">
        <v>717</v>
      </c>
      <c r="F328" s="237"/>
      <c r="G328" s="237"/>
      <c r="H328" s="237"/>
      <c r="I328" s="231"/>
      <c r="J328" s="231"/>
      <c r="K328" s="231"/>
      <c r="L328" s="231"/>
      <c r="M328" s="231"/>
      <c r="N328" s="231"/>
      <c r="O328" s="231"/>
      <c r="P328" s="231"/>
      <c r="Q328" s="231"/>
      <c r="R328" s="231"/>
      <c r="S328" s="231"/>
      <c r="T328" s="231"/>
      <c r="U328" s="231"/>
      <c r="V328" s="231"/>
      <c r="W328" s="231"/>
      <c r="X328" s="231"/>
      <c r="Y328" s="231"/>
      <c r="Z328" s="231"/>
      <c r="AA328" s="231"/>
      <c r="AB328" s="231"/>
      <c r="AC328" s="231"/>
    </row>
    <row r="329" ht="24.75" hidden="1" customHeight="1" outlineLevel="1">
      <c r="A329" s="332">
        <v>45048.0</v>
      </c>
      <c r="B329" s="235" t="s">
        <v>898</v>
      </c>
      <c r="C329" s="240" t="s">
        <v>715</v>
      </c>
      <c r="D329" s="333" t="s">
        <v>662</v>
      </c>
      <c r="E329" s="305" t="s">
        <v>717</v>
      </c>
      <c r="F329" s="237"/>
      <c r="G329" s="237"/>
      <c r="H329" s="237"/>
      <c r="I329" s="231"/>
      <c r="J329" s="231"/>
      <c r="K329" s="231"/>
      <c r="L329" s="231"/>
      <c r="M329" s="231"/>
      <c r="N329" s="231"/>
      <c r="O329" s="231"/>
      <c r="P329" s="231"/>
      <c r="Q329" s="231"/>
      <c r="R329" s="231"/>
      <c r="S329" s="231"/>
      <c r="T329" s="231"/>
      <c r="U329" s="231"/>
      <c r="V329" s="231"/>
      <c r="W329" s="231"/>
      <c r="X329" s="231"/>
      <c r="Y329" s="231"/>
      <c r="Z329" s="231"/>
      <c r="AA329" s="231"/>
      <c r="AB329" s="231"/>
      <c r="AC329" s="231"/>
    </row>
    <row r="330" ht="24.75" hidden="1" customHeight="1" outlineLevel="1">
      <c r="A330" s="332">
        <v>45048.0</v>
      </c>
      <c r="B330" s="235" t="s">
        <v>736</v>
      </c>
      <c r="C330" s="240" t="s">
        <v>895</v>
      </c>
      <c r="D330" s="333" t="s">
        <v>662</v>
      </c>
      <c r="E330" s="305" t="s">
        <v>717</v>
      </c>
      <c r="F330" s="237"/>
      <c r="G330" s="237"/>
      <c r="H330" s="237"/>
      <c r="I330" s="231"/>
      <c r="J330" s="231"/>
      <c r="K330" s="231"/>
      <c r="L330" s="231"/>
      <c r="M330" s="231"/>
      <c r="N330" s="231"/>
      <c r="O330" s="231"/>
      <c r="P330" s="231"/>
      <c r="Q330" s="231"/>
      <c r="R330" s="231"/>
      <c r="S330" s="231"/>
      <c r="T330" s="231"/>
      <c r="U330" s="231"/>
      <c r="V330" s="231"/>
      <c r="W330" s="231"/>
      <c r="X330" s="231"/>
      <c r="Y330" s="231"/>
      <c r="Z330" s="231"/>
      <c r="AA330" s="231"/>
      <c r="AB330" s="231"/>
      <c r="AC330" s="231"/>
    </row>
    <row r="331" ht="24.75" hidden="1" customHeight="1" outlineLevel="1">
      <c r="A331" s="292">
        <v>45049.0</v>
      </c>
      <c r="B331" s="235" t="s">
        <v>680</v>
      </c>
      <c r="C331" s="240" t="s">
        <v>715</v>
      </c>
      <c r="D331" s="333" t="s">
        <v>662</v>
      </c>
      <c r="E331" s="305" t="s">
        <v>717</v>
      </c>
      <c r="F331" s="231"/>
      <c r="G331" s="231"/>
      <c r="H331" s="231"/>
      <c r="I331" s="231"/>
      <c r="J331" s="231"/>
      <c r="K331" s="231"/>
      <c r="L331" s="231"/>
      <c r="M331" s="231"/>
      <c r="N331" s="231"/>
      <c r="O331" s="231"/>
      <c r="P331" s="231"/>
      <c r="Q331" s="231"/>
      <c r="R331" s="231"/>
      <c r="S331" s="231"/>
      <c r="T331" s="231"/>
      <c r="U331" s="231"/>
      <c r="V331" s="231"/>
      <c r="W331" s="231"/>
      <c r="X331" s="231"/>
      <c r="Y331" s="231"/>
      <c r="Z331" s="231"/>
      <c r="AA331" s="231"/>
      <c r="AB331" s="231"/>
      <c r="AC331" s="231"/>
    </row>
    <row r="332" ht="24.75" hidden="1" customHeight="1" outlineLevel="1">
      <c r="A332" s="292">
        <v>45049.0</v>
      </c>
      <c r="B332" s="235" t="s">
        <v>708</v>
      </c>
      <c r="C332" s="240" t="s">
        <v>784</v>
      </c>
      <c r="D332" s="333" t="s">
        <v>662</v>
      </c>
      <c r="E332" s="305" t="s">
        <v>685</v>
      </c>
      <c r="F332" s="237"/>
      <c r="G332" s="237"/>
      <c r="H332" s="237" t="s">
        <v>908</v>
      </c>
      <c r="I332" s="231"/>
      <c r="J332" s="231"/>
      <c r="K332" s="231"/>
      <c r="L332" s="231"/>
      <c r="M332" s="231"/>
      <c r="N332" s="231"/>
      <c r="O332" s="231"/>
      <c r="P332" s="231"/>
      <c r="Q332" s="231"/>
      <c r="R332" s="231"/>
      <c r="S332" s="231"/>
      <c r="T332" s="231"/>
      <c r="U332" s="231"/>
      <c r="V332" s="231"/>
      <c r="W332" s="231"/>
      <c r="X332" s="231"/>
      <c r="Y332" s="231"/>
      <c r="Z332" s="231"/>
      <c r="AA332" s="231"/>
      <c r="AB332" s="231"/>
      <c r="AC332" s="231"/>
    </row>
    <row r="333" ht="24.75" hidden="1" customHeight="1" outlineLevel="1">
      <c r="A333" s="292">
        <v>45049.0</v>
      </c>
      <c r="B333" s="235" t="s">
        <v>740</v>
      </c>
      <c r="C333" s="240" t="s">
        <v>741</v>
      </c>
      <c r="D333" s="333" t="s">
        <v>662</v>
      </c>
      <c r="E333" s="305" t="s">
        <v>685</v>
      </c>
      <c r="F333" s="311"/>
      <c r="G333" s="311"/>
      <c r="H333" s="311" t="s">
        <v>651</v>
      </c>
      <c r="I333" s="231"/>
      <c r="J333" s="231"/>
      <c r="K333" s="231"/>
      <c r="L333" s="231"/>
      <c r="M333" s="231"/>
      <c r="N333" s="231"/>
      <c r="O333" s="231"/>
      <c r="P333" s="231"/>
      <c r="Q333" s="231"/>
      <c r="R333" s="231"/>
      <c r="S333" s="231"/>
      <c r="T333" s="231"/>
      <c r="U333" s="231"/>
      <c r="V333" s="231"/>
      <c r="W333" s="231"/>
      <c r="X333" s="231"/>
      <c r="Y333" s="231"/>
      <c r="Z333" s="231"/>
      <c r="AA333" s="231"/>
      <c r="AB333" s="231"/>
      <c r="AC333" s="231"/>
    </row>
    <row r="334" ht="24.75" hidden="1" customHeight="1" outlineLevel="1">
      <c r="A334" s="292">
        <v>45049.0</v>
      </c>
      <c r="B334" s="235" t="s">
        <v>686</v>
      </c>
      <c r="C334" s="240" t="s">
        <v>884</v>
      </c>
      <c r="D334" s="333" t="s">
        <v>662</v>
      </c>
      <c r="E334" s="305" t="s">
        <v>717</v>
      </c>
      <c r="F334" s="237"/>
      <c r="G334" s="237"/>
      <c r="H334" s="237" t="s">
        <v>824</v>
      </c>
      <c r="I334" s="231"/>
      <c r="J334" s="231"/>
      <c r="K334" s="231"/>
      <c r="L334" s="231"/>
      <c r="M334" s="231"/>
      <c r="N334" s="231"/>
      <c r="O334" s="231"/>
      <c r="P334" s="231"/>
      <c r="Q334" s="231"/>
      <c r="R334" s="231"/>
      <c r="S334" s="231"/>
      <c r="T334" s="231"/>
      <c r="U334" s="231"/>
      <c r="V334" s="231"/>
      <c r="W334" s="231"/>
      <c r="X334" s="231"/>
      <c r="Y334" s="231"/>
      <c r="Z334" s="231"/>
      <c r="AA334" s="231"/>
      <c r="AB334" s="231"/>
      <c r="AC334" s="231"/>
    </row>
    <row r="335" ht="24.75" hidden="1" customHeight="1" outlineLevel="1">
      <c r="A335" s="292">
        <v>45049.0</v>
      </c>
      <c r="B335" s="235" t="s">
        <v>743</v>
      </c>
      <c r="C335" s="240" t="s">
        <v>895</v>
      </c>
      <c r="D335" s="333" t="s">
        <v>662</v>
      </c>
      <c r="E335" s="305" t="s">
        <v>717</v>
      </c>
      <c r="F335" s="289"/>
      <c r="G335" s="289"/>
      <c r="H335" s="289"/>
      <c r="I335" s="231"/>
      <c r="J335" s="231"/>
      <c r="K335" s="231"/>
      <c r="L335" s="231"/>
      <c r="M335" s="231"/>
      <c r="N335" s="231"/>
      <c r="O335" s="231"/>
      <c r="P335" s="231"/>
      <c r="Q335" s="231"/>
      <c r="R335" s="231"/>
      <c r="S335" s="231"/>
      <c r="T335" s="231"/>
      <c r="U335" s="231"/>
      <c r="V335" s="231"/>
      <c r="W335" s="231"/>
      <c r="X335" s="231"/>
      <c r="Y335" s="231"/>
      <c r="Z335" s="231"/>
      <c r="AA335" s="231"/>
      <c r="AB335" s="231"/>
      <c r="AC335" s="231"/>
    </row>
    <row r="336" hidden="1" outlineLevel="1">
      <c r="A336" s="334">
        <v>45050.0</v>
      </c>
      <c r="B336" s="235" t="s">
        <v>660</v>
      </c>
      <c r="C336" s="240" t="s">
        <v>166</v>
      </c>
      <c r="D336" s="333" t="s">
        <v>909</v>
      </c>
      <c r="E336" s="305" t="s">
        <v>717</v>
      </c>
      <c r="F336" s="237"/>
      <c r="G336" s="237"/>
      <c r="H336" s="237" t="s">
        <v>910</v>
      </c>
    </row>
    <row r="337" ht="24.75" hidden="1" customHeight="1" outlineLevel="1">
      <c r="A337" s="334">
        <v>45050.0</v>
      </c>
      <c r="B337" s="235" t="s">
        <v>745</v>
      </c>
      <c r="C337" s="240" t="s">
        <v>895</v>
      </c>
      <c r="D337" s="333" t="s">
        <v>662</v>
      </c>
      <c r="E337" s="305" t="s">
        <v>717</v>
      </c>
      <c r="F337" s="289"/>
      <c r="G337" s="289"/>
      <c r="H337" s="289"/>
      <c r="I337" s="231"/>
      <c r="J337" s="231"/>
      <c r="K337" s="231"/>
      <c r="L337" s="231"/>
      <c r="M337" s="231"/>
      <c r="N337" s="231"/>
      <c r="O337" s="231"/>
      <c r="P337" s="231"/>
      <c r="Q337" s="231"/>
      <c r="R337" s="231"/>
      <c r="S337" s="231"/>
      <c r="T337" s="231"/>
      <c r="U337" s="231"/>
      <c r="V337" s="231"/>
      <c r="W337" s="231"/>
      <c r="X337" s="231"/>
      <c r="Y337" s="231"/>
      <c r="Z337" s="231"/>
      <c r="AA337" s="231"/>
      <c r="AB337" s="231"/>
      <c r="AC337" s="231"/>
    </row>
    <row r="338" ht="24.75" hidden="1" customHeight="1" outlineLevel="1">
      <c r="A338" s="335">
        <v>45051.0</v>
      </c>
      <c r="B338" s="235" t="s">
        <v>714</v>
      </c>
      <c r="C338" s="240" t="s">
        <v>715</v>
      </c>
      <c r="D338" s="311" t="s">
        <v>897</v>
      </c>
      <c r="E338" s="305" t="s">
        <v>717</v>
      </c>
      <c r="F338" s="237"/>
      <c r="G338" s="237"/>
      <c r="H338" s="237"/>
      <c r="I338" s="231"/>
      <c r="J338" s="231"/>
      <c r="K338" s="231"/>
      <c r="L338" s="231"/>
      <c r="M338" s="231"/>
      <c r="N338" s="231"/>
      <c r="O338" s="231"/>
      <c r="P338" s="231"/>
      <c r="Q338" s="231"/>
      <c r="R338" s="231"/>
      <c r="S338" s="231"/>
      <c r="T338" s="231"/>
      <c r="U338" s="231"/>
      <c r="V338" s="231"/>
      <c r="W338" s="231"/>
      <c r="X338" s="231"/>
      <c r="Y338" s="231"/>
      <c r="Z338" s="231"/>
      <c r="AA338" s="231"/>
      <c r="AB338" s="231"/>
      <c r="AC338" s="231"/>
    </row>
    <row r="339" ht="24.75" hidden="1" customHeight="1" outlineLevel="1">
      <c r="A339" s="335">
        <v>45051.0</v>
      </c>
      <c r="B339" s="235" t="s">
        <v>35</v>
      </c>
      <c r="C339" s="235" t="s">
        <v>715</v>
      </c>
      <c r="D339" s="333" t="s">
        <v>662</v>
      </c>
      <c r="E339" s="305" t="s">
        <v>717</v>
      </c>
      <c r="F339" s="237"/>
      <c r="G339" s="237"/>
      <c r="H339" s="237"/>
      <c r="I339" s="231"/>
      <c r="J339" s="231"/>
      <c r="K339" s="231"/>
      <c r="L339" s="231"/>
      <c r="M339" s="231"/>
      <c r="N339" s="231"/>
      <c r="O339" s="231"/>
      <c r="P339" s="231"/>
      <c r="Q339" s="231"/>
      <c r="R339" s="231"/>
      <c r="S339" s="231"/>
      <c r="T339" s="231"/>
      <c r="U339" s="231"/>
      <c r="V339" s="231"/>
      <c r="W339" s="231"/>
      <c r="X339" s="231"/>
      <c r="Y339" s="231"/>
      <c r="Z339" s="231"/>
      <c r="AA339" s="231"/>
      <c r="AB339" s="231"/>
      <c r="AC339" s="231"/>
    </row>
    <row r="340" ht="24.75" hidden="1" customHeight="1" outlineLevel="1">
      <c r="A340" s="335">
        <v>45051.0</v>
      </c>
      <c r="B340" s="277" t="s">
        <v>663</v>
      </c>
      <c r="C340" s="278" t="s">
        <v>911</v>
      </c>
      <c r="D340" s="278" t="s">
        <v>912</v>
      </c>
      <c r="E340" s="305" t="s">
        <v>685</v>
      </c>
      <c r="F340" s="312"/>
      <c r="G340" s="312"/>
      <c r="H340" s="312" t="s">
        <v>877</v>
      </c>
      <c r="I340" s="231"/>
      <c r="J340" s="231"/>
      <c r="K340" s="231"/>
      <c r="L340" s="231"/>
      <c r="M340" s="231"/>
      <c r="N340" s="231"/>
      <c r="O340" s="231"/>
      <c r="P340" s="231"/>
      <c r="Q340" s="231"/>
      <c r="R340" s="231"/>
      <c r="S340" s="231"/>
      <c r="T340" s="231"/>
      <c r="U340" s="231"/>
      <c r="V340" s="231"/>
      <c r="W340" s="231"/>
      <c r="X340" s="231"/>
      <c r="Y340" s="231"/>
      <c r="Z340" s="231"/>
      <c r="AA340" s="231"/>
      <c r="AB340" s="231"/>
      <c r="AC340" s="231"/>
    </row>
    <row r="341" ht="24.75" hidden="1" customHeight="1" outlineLevel="1">
      <c r="A341" s="336">
        <v>45052.0</v>
      </c>
      <c r="B341" s="235" t="s">
        <v>691</v>
      </c>
      <c r="C341" s="235" t="s">
        <v>715</v>
      </c>
      <c r="D341" s="337" t="s">
        <v>146</v>
      </c>
      <c r="E341" s="305" t="s">
        <v>717</v>
      </c>
      <c r="F341" s="237"/>
      <c r="G341" s="237"/>
      <c r="H341" s="237"/>
      <c r="I341" s="231"/>
      <c r="J341" s="231"/>
      <c r="K341" s="231"/>
      <c r="L341" s="231"/>
      <c r="M341" s="231"/>
      <c r="N341" s="231"/>
      <c r="O341" s="231"/>
      <c r="P341" s="231"/>
      <c r="Q341" s="231"/>
      <c r="R341" s="231"/>
      <c r="S341" s="231"/>
      <c r="T341" s="231"/>
      <c r="U341" s="231"/>
      <c r="V341" s="231"/>
      <c r="W341" s="231"/>
      <c r="X341" s="231"/>
      <c r="Y341" s="231"/>
      <c r="Z341" s="231"/>
      <c r="AA341" s="231"/>
      <c r="AB341" s="231"/>
      <c r="AC341" s="231"/>
    </row>
    <row r="342" ht="24.75" hidden="1" customHeight="1" outlineLevel="1">
      <c r="A342" s="336">
        <v>45052.0</v>
      </c>
      <c r="B342" s="235" t="s">
        <v>720</v>
      </c>
      <c r="C342" s="240" t="s">
        <v>741</v>
      </c>
      <c r="D342" s="337" t="s">
        <v>146</v>
      </c>
      <c r="E342" s="305" t="s">
        <v>685</v>
      </c>
      <c r="F342" s="237"/>
      <c r="G342" s="237"/>
      <c r="H342" s="237" t="s">
        <v>908</v>
      </c>
      <c r="I342" s="231"/>
      <c r="J342" s="231"/>
      <c r="K342" s="231"/>
      <c r="L342" s="231"/>
      <c r="M342" s="231"/>
      <c r="N342" s="231"/>
      <c r="O342" s="231"/>
      <c r="P342" s="231"/>
      <c r="Q342" s="231"/>
      <c r="R342" s="231"/>
      <c r="S342" s="231"/>
      <c r="T342" s="231"/>
      <c r="U342" s="231"/>
      <c r="V342" s="231"/>
      <c r="W342" s="231"/>
      <c r="X342" s="231"/>
      <c r="Y342" s="231"/>
      <c r="Z342" s="231"/>
      <c r="AA342" s="231"/>
      <c r="AB342" s="231"/>
      <c r="AC342" s="231"/>
    </row>
    <row r="343" ht="24.75" hidden="1" customHeight="1" outlineLevel="1">
      <c r="A343" s="336">
        <v>45052.0</v>
      </c>
      <c r="B343" s="338" t="s">
        <v>692</v>
      </c>
      <c r="C343" s="306" t="s">
        <v>913</v>
      </c>
      <c r="D343" s="337" t="s">
        <v>146</v>
      </c>
      <c r="E343" s="305" t="s">
        <v>685</v>
      </c>
      <c r="F343" s="237"/>
      <c r="G343" s="237"/>
      <c r="H343" s="237" t="s">
        <v>651</v>
      </c>
      <c r="I343" s="231"/>
      <c r="J343" s="231"/>
      <c r="K343" s="231"/>
      <c r="L343" s="231"/>
      <c r="M343" s="231"/>
      <c r="N343" s="231"/>
      <c r="O343" s="231"/>
      <c r="P343" s="231"/>
      <c r="Q343" s="231"/>
      <c r="R343" s="231"/>
      <c r="S343" s="231"/>
      <c r="T343" s="231"/>
      <c r="U343" s="231"/>
      <c r="V343" s="231"/>
      <c r="W343" s="231"/>
      <c r="X343" s="231"/>
      <c r="Y343" s="231"/>
      <c r="Z343" s="231"/>
      <c r="AA343" s="231"/>
      <c r="AB343" s="231"/>
      <c r="AC343" s="231"/>
    </row>
    <row r="344" ht="24.75" hidden="1" customHeight="1" outlineLevel="1">
      <c r="A344" s="336">
        <v>45052.0</v>
      </c>
      <c r="B344" s="257" t="s">
        <v>695</v>
      </c>
      <c r="C344" s="240" t="s">
        <v>784</v>
      </c>
      <c r="D344" s="337" t="s">
        <v>146</v>
      </c>
      <c r="E344" s="305" t="s">
        <v>685</v>
      </c>
      <c r="F344" s="237"/>
      <c r="G344" s="237"/>
      <c r="H344" s="237" t="s">
        <v>908</v>
      </c>
      <c r="I344" s="231"/>
      <c r="J344" s="231"/>
      <c r="K344" s="231"/>
      <c r="L344" s="231"/>
      <c r="M344" s="231"/>
      <c r="N344" s="231"/>
      <c r="O344" s="231"/>
      <c r="P344" s="231"/>
      <c r="Q344" s="231"/>
      <c r="R344" s="231"/>
      <c r="S344" s="231"/>
      <c r="T344" s="231"/>
      <c r="U344" s="231"/>
      <c r="V344" s="231"/>
      <c r="W344" s="231"/>
      <c r="X344" s="231"/>
      <c r="Y344" s="231"/>
      <c r="Z344" s="231"/>
      <c r="AA344" s="231"/>
      <c r="AB344" s="231"/>
      <c r="AC344" s="231"/>
    </row>
    <row r="345" ht="24.75" hidden="1" customHeight="1" outlineLevel="1">
      <c r="A345" s="339">
        <v>45053.0</v>
      </c>
      <c r="B345" s="235" t="s">
        <v>669</v>
      </c>
      <c r="C345" s="240" t="s">
        <v>895</v>
      </c>
      <c r="D345" s="333" t="s">
        <v>662</v>
      </c>
      <c r="E345" s="305" t="s">
        <v>717</v>
      </c>
      <c r="F345" s="237"/>
      <c r="G345" s="237"/>
      <c r="H345" s="237"/>
      <c r="I345" s="231"/>
      <c r="J345" s="231"/>
      <c r="K345" s="231"/>
      <c r="L345" s="231"/>
      <c r="M345" s="231"/>
      <c r="N345" s="231"/>
      <c r="O345" s="231"/>
      <c r="P345" s="231"/>
      <c r="Q345" s="231"/>
      <c r="R345" s="231"/>
      <c r="S345" s="231"/>
      <c r="T345" s="231"/>
      <c r="U345" s="231"/>
      <c r="V345" s="231"/>
      <c r="W345" s="231"/>
      <c r="X345" s="231"/>
      <c r="Y345" s="231"/>
      <c r="Z345" s="231"/>
      <c r="AA345" s="231"/>
      <c r="AB345" s="231"/>
      <c r="AC345" s="231"/>
    </row>
    <row r="346" ht="24.75" hidden="1" customHeight="1" outlineLevel="1">
      <c r="A346" s="339">
        <v>45053.0</v>
      </c>
      <c r="B346" s="235" t="s">
        <v>671</v>
      </c>
      <c r="C346" s="240" t="s">
        <v>741</v>
      </c>
      <c r="D346" s="337" t="s">
        <v>146</v>
      </c>
      <c r="E346" s="305" t="s">
        <v>685</v>
      </c>
      <c r="F346" s="237"/>
      <c r="G346" s="237"/>
      <c r="H346" s="237" t="s">
        <v>908</v>
      </c>
      <c r="I346" s="231"/>
      <c r="J346" s="231"/>
      <c r="K346" s="231"/>
      <c r="L346" s="231"/>
      <c r="M346" s="231"/>
      <c r="N346" s="231"/>
      <c r="O346" s="231"/>
      <c r="P346" s="231"/>
      <c r="Q346" s="231"/>
      <c r="R346" s="231"/>
      <c r="S346" s="231"/>
      <c r="T346" s="231"/>
      <c r="U346" s="231"/>
      <c r="V346" s="231"/>
      <c r="W346" s="231"/>
      <c r="X346" s="231"/>
      <c r="Y346" s="231"/>
      <c r="Z346" s="231"/>
      <c r="AA346" s="231"/>
      <c r="AB346" s="231"/>
      <c r="AC346" s="231"/>
    </row>
    <row r="347" ht="24.75" hidden="1" customHeight="1" outlineLevel="1">
      <c r="A347" s="340">
        <v>45054.0</v>
      </c>
      <c r="B347" s="235" t="s">
        <v>731</v>
      </c>
      <c r="C347" s="240" t="s">
        <v>784</v>
      </c>
      <c r="D347" s="337" t="s">
        <v>146</v>
      </c>
      <c r="E347" s="305" t="s">
        <v>685</v>
      </c>
      <c r="F347" s="237"/>
      <c r="G347" s="237"/>
      <c r="H347" s="237" t="s">
        <v>908</v>
      </c>
      <c r="I347" s="231"/>
      <c r="J347" s="231"/>
      <c r="K347" s="231"/>
      <c r="L347" s="231"/>
      <c r="M347" s="231"/>
      <c r="N347" s="231"/>
      <c r="O347" s="231"/>
      <c r="P347" s="231"/>
      <c r="Q347" s="231"/>
      <c r="R347" s="231"/>
      <c r="S347" s="231"/>
      <c r="T347" s="231"/>
      <c r="U347" s="231"/>
      <c r="V347" s="231"/>
      <c r="W347" s="231"/>
      <c r="X347" s="231"/>
      <c r="Y347" s="231"/>
      <c r="Z347" s="231"/>
      <c r="AA347" s="231"/>
      <c r="AB347" s="231"/>
      <c r="AC347" s="231"/>
    </row>
    <row r="348" ht="24.75" hidden="1" customHeight="1" outlineLevel="1">
      <c r="A348" s="340">
        <v>45054.0</v>
      </c>
      <c r="B348" s="235" t="s">
        <v>801</v>
      </c>
      <c r="C348" s="235" t="s">
        <v>715</v>
      </c>
      <c r="D348" s="333" t="s">
        <v>909</v>
      </c>
      <c r="E348" s="305" t="s">
        <v>685</v>
      </c>
      <c r="F348" s="237"/>
      <c r="G348" s="237"/>
      <c r="H348" s="237" t="s">
        <v>914</v>
      </c>
      <c r="I348" s="231"/>
      <c r="J348" s="231"/>
      <c r="K348" s="231"/>
      <c r="L348" s="231"/>
      <c r="M348" s="231"/>
      <c r="N348" s="231"/>
      <c r="O348" s="231"/>
      <c r="P348" s="231"/>
      <c r="Q348" s="231"/>
      <c r="R348" s="231"/>
      <c r="S348" s="231"/>
      <c r="T348" s="231"/>
      <c r="U348" s="231"/>
      <c r="V348" s="231"/>
      <c r="W348" s="231"/>
      <c r="X348" s="231"/>
      <c r="Y348" s="231"/>
      <c r="Z348" s="231"/>
      <c r="AA348" s="231"/>
      <c r="AB348" s="231"/>
      <c r="AC348" s="231"/>
    </row>
    <row r="349" ht="24.75" hidden="1" customHeight="1" outlineLevel="1">
      <c r="A349" s="340">
        <v>45054.0</v>
      </c>
      <c r="B349" s="235" t="s">
        <v>753</v>
      </c>
      <c r="C349" s="261" t="s">
        <v>850</v>
      </c>
      <c r="D349" s="337" t="s">
        <v>146</v>
      </c>
      <c r="E349" s="305" t="s">
        <v>685</v>
      </c>
      <c r="F349" s="237"/>
      <c r="G349" s="237"/>
      <c r="H349" s="237" t="s">
        <v>915</v>
      </c>
      <c r="I349" s="231"/>
      <c r="J349" s="231"/>
      <c r="K349" s="231"/>
      <c r="L349" s="231"/>
      <c r="M349" s="231"/>
      <c r="N349" s="231"/>
      <c r="O349" s="231"/>
      <c r="P349" s="231"/>
      <c r="Q349" s="231"/>
      <c r="R349" s="231"/>
      <c r="S349" s="231"/>
      <c r="T349" s="231"/>
      <c r="U349" s="231"/>
      <c r="V349" s="231"/>
      <c r="W349" s="231"/>
      <c r="X349" s="231"/>
      <c r="Y349" s="231"/>
      <c r="Z349" s="231"/>
      <c r="AA349" s="231"/>
      <c r="AB349" s="231"/>
      <c r="AC349" s="231"/>
    </row>
    <row r="350" ht="24.75" hidden="1" customHeight="1" outlineLevel="1">
      <c r="A350" s="340">
        <v>45054.0</v>
      </c>
      <c r="B350" s="235" t="s">
        <v>756</v>
      </c>
      <c r="C350" s="261" t="s">
        <v>850</v>
      </c>
      <c r="D350" s="337" t="s">
        <v>146</v>
      </c>
      <c r="E350" s="305" t="s">
        <v>685</v>
      </c>
      <c r="F350" s="237"/>
      <c r="G350" s="237"/>
      <c r="H350" s="237" t="s">
        <v>915</v>
      </c>
      <c r="I350" s="231"/>
      <c r="J350" s="231"/>
      <c r="K350" s="231"/>
      <c r="L350" s="231"/>
      <c r="M350" s="231"/>
      <c r="N350" s="231"/>
      <c r="O350" s="231"/>
      <c r="P350" s="231"/>
      <c r="Q350" s="231"/>
      <c r="R350" s="231"/>
      <c r="S350" s="231"/>
      <c r="T350" s="231"/>
      <c r="U350" s="231"/>
      <c r="V350" s="231"/>
      <c r="W350" s="231"/>
      <c r="X350" s="231"/>
      <c r="Y350" s="231"/>
      <c r="Z350" s="231"/>
      <c r="AA350" s="231"/>
      <c r="AB350" s="231"/>
      <c r="AC350" s="231"/>
    </row>
    <row r="351" ht="24.75" customHeight="1">
      <c r="A351" s="231"/>
      <c r="B351" s="231"/>
      <c r="C351" s="231"/>
      <c r="D351" s="231"/>
      <c r="E351" s="225"/>
      <c r="F351" s="237"/>
      <c r="G351" s="237"/>
      <c r="H351" s="237" t="s">
        <v>916</v>
      </c>
      <c r="I351" s="231"/>
      <c r="J351" s="231"/>
      <c r="K351" s="231"/>
      <c r="L351" s="231"/>
      <c r="M351" s="231"/>
      <c r="N351" s="231"/>
      <c r="O351" s="231"/>
      <c r="P351" s="231"/>
      <c r="Q351" s="231"/>
      <c r="R351" s="231"/>
      <c r="S351" s="231"/>
      <c r="T351" s="231"/>
      <c r="U351" s="231"/>
      <c r="V351" s="231"/>
      <c r="W351" s="231"/>
      <c r="X351" s="231"/>
      <c r="Y351" s="231"/>
      <c r="Z351" s="231"/>
      <c r="AA351" s="231"/>
      <c r="AB351" s="231"/>
      <c r="AC351" s="231"/>
    </row>
    <row r="352" ht="24.75" customHeight="1" collapsed="1">
      <c r="A352" s="262" t="s">
        <v>917</v>
      </c>
      <c r="B352" s="231"/>
      <c r="C352" s="231"/>
      <c r="D352" s="231"/>
      <c r="E352" s="225"/>
      <c r="F352" s="231"/>
      <c r="G352" s="231"/>
      <c r="H352" s="231"/>
      <c r="I352" s="231"/>
      <c r="J352" s="231"/>
      <c r="K352" s="231"/>
      <c r="L352" s="231"/>
      <c r="M352" s="231"/>
      <c r="N352" s="231"/>
      <c r="O352" s="231"/>
      <c r="P352" s="231"/>
      <c r="Q352" s="231"/>
      <c r="R352" s="231"/>
      <c r="S352" s="231"/>
      <c r="T352" s="231"/>
      <c r="U352" s="231"/>
      <c r="V352" s="231"/>
      <c r="W352" s="231"/>
      <c r="X352" s="231"/>
      <c r="Y352" s="231"/>
      <c r="Z352" s="231"/>
      <c r="AA352" s="231"/>
      <c r="AB352" s="231"/>
      <c r="AC352" s="231"/>
    </row>
    <row r="353" ht="24.75" hidden="1" customHeight="1" outlineLevel="1">
      <c r="A353" s="339">
        <v>45081.0</v>
      </c>
      <c r="B353" s="235" t="s">
        <v>669</v>
      </c>
      <c r="C353" s="240" t="s">
        <v>895</v>
      </c>
      <c r="D353" s="333" t="s">
        <v>918</v>
      </c>
      <c r="E353" s="305" t="s">
        <v>685</v>
      </c>
      <c r="F353" s="237"/>
      <c r="G353" s="237"/>
      <c r="H353" s="237"/>
      <c r="I353" s="231"/>
      <c r="J353" s="231"/>
      <c r="K353" s="231"/>
      <c r="L353" s="231"/>
      <c r="M353" s="231"/>
      <c r="N353" s="231"/>
      <c r="O353" s="231"/>
      <c r="P353" s="231"/>
      <c r="Q353" s="231"/>
      <c r="R353" s="231"/>
      <c r="S353" s="231"/>
      <c r="T353" s="231"/>
      <c r="U353" s="231"/>
      <c r="V353" s="231"/>
      <c r="W353" s="231"/>
      <c r="X353" s="231"/>
      <c r="Y353" s="231"/>
      <c r="Z353" s="231"/>
      <c r="AA353" s="231"/>
      <c r="AB353" s="231"/>
      <c r="AC353" s="231"/>
    </row>
    <row r="354" ht="24.75" hidden="1" customHeight="1" outlineLevel="1">
      <c r="A354" s="339">
        <v>45081.0</v>
      </c>
      <c r="B354" s="235" t="s">
        <v>671</v>
      </c>
      <c r="C354" s="240" t="s">
        <v>741</v>
      </c>
      <c r="D354" s="333" t="s">
        <v>919</v>
      </c>
      <c r="E354" s="305" t="s">
        <v>685</v>
      </c>
      <c r="F354" s="237"/>
      <c r="G354" s="237"/>
      <c r="H354" s="237"/>
      <c r="I354" s="231"/>
      <c r="J354" s="231"/>
      <c r="K354" s="231"/>
      <c r="L354" s="231"/>
      <c r="M354" s="231"/>
      <c r="N354" s="231"/>
      <c r="O354" s="231"/>
      <c r="P354" s="231"/>
      <c r="Q354" s="231"/>
      <c r="R354" s="231"/>
      <c r="S354" s="231"/>
      <c r="T354" s="231"/>
      <c r="U354" s="231"/>
      <c r="V354" s="231"/>
      <c r="W354" s="231"/>
      <c r="X354" s="231"/>
      <c r="Y354" s="231"/>
      <c r="Z354" s="231"/>
      <c r="AA354" s="231"/>
      <c r="AB354" s="231"/>
      <c r="AC354" s="231"/>
    </row>
    <row r="355" ht="24.75" customHeight="1">
      <c r="A355" s="231"/>
      <c r="B355" s="231"/>
      <c r="C355" s="231"/>
      <c r="D355" s="231"/>
      <c r="E355" s="225"/>
      <c r="F355" s="231"/>
      <c r="G355" s="231"/>
      <c r="H355" s="231"/>
      <c r="I355" s="231"/>
      <c r="J355" s="231"/>
      <c r="K355" s="231"/>
      <c r="L355" s="231"/>
      <c r="M355" s="231"/>
      <c r="N355" s="231"/>
      <c r="O355" s="231"/>
      <c r="P355" s="231"/>
      <c r="Q355" s="231"/>
      <c r="R355" s="231"/>
      <c r="S355" s="231"/>
      <c r="T355" s="231"/>
      <c r="U355" s="231"/>
      <c r="V355" s="231"/>
      <c r="W355" s="231"/>
      <c r="X355" s="231"/>
      <c r="Y355" s="231"/>
      <c r="Z355" s="231"/>
      <c r="AA355" s="231"/>
      <c r="AB355" s="231"/>
      <c r="AC355" s="231"/>
    </row>
    <row r="356" ht="24.75" customHeight="1" collapsed="1">
      <c r="A356" s="262" t="s">
        <v>920</v>
      </c>
      <c r="B356" s="231"/>
      <c r="C356" s="231"/>
      <c r="D356" s="231"/>
      <c r="E356" s="225"/>
      <c r="F356" s="231"/>
      <c r="G356" s="231"/>
      <c r="H356" s="231"/>
      <c r="I356" s="231"/>
      <c r="J356" s="231"/>
      <c r="K356" s="231"/>
      <c r="L356" s="231"/>
      <c r="M356" s="231"/>
      <c r="N356" s="231"/>
      <c r="O356" s="231"/>
      <c r="P356" s="231"/>
      <c r="Q356" s="231"/>
      <c r="R356" s="231"/>
      <c r="S356" s="231"/>
      <c r="T356" s="231"/>
      <c r="U356" s="231"/>
      <c r="V356" s="231"/>
      <c r="W356" s="231"/>
      <c r="X356" s="231"/>
      <c r="Y356" s="231"/>
      <c r="Z356" s="231"/>
      <c r="AA356" s="231"/>
      <c r="AB356" s="231"/>
      <c r="AC356" s="231"/>
    </row>
    <row r="357" ht="24.75" hidden="1" customHeight="1" outlineLevel="1">
      <c r="A357" s="263" t="s">
        <v>647</v>
      </c>
      <c r="B357" s="264" t="s">
        <v>648</v>
      </c>
      <c r="C357" s="264" t="s">
        <v>649</v>
      </c>
      <c r="D357" s="264" t="s">
        <v>650</v>
      </c>
      <c r="E357" s="264" t="s">
        <v>651</v>
      </c>
      <c r="F357" s="231"/>
      <c r="G357" s="231"/>
      <c r="H357" s="231"/>
      <c r="I357" s="231"/>
      <c r="J357" s="231"/>
      <c r="K357" s="231"/>
      <c r="L357" s="231"/>
      <c r="M357" s="231"/>
      <c r="N357" s="231"/>
      <c r="O357" s="231"/>
      <c r="P357" s="231"/>
      <c r="Q357" s="231"/>
      <c r="R357" s="231"/>
      <c r="S357" s="231"/>
      <c r="T357" s="231"/>
      <c r="U357" s="231"/>
      <c r="V357" s="231"/>
      <c r="W357" s="231"/>
      <c r="X357" s="231"/>
      <c r="Y357" s="231"/>
      <c r="Z357" s="231"/>
      <c r="AA357" s="231"/>
      <c r="AB357" s="231"/>
      <c r="AC357" s="231"/>
    </row>
    <row r="358" ht="24.75" hidden="1" customHeight="1" outlineLevel="1">
      <c r="A358" s="339">
        <v>45125.0</v>
      </c>
      <c r="B358" s="235" t="s">
        <v>35</v>
      </c>
      <c r="C358" s="235" t="s">
        <v>715</v>
      </c>
      <c r="D358" s="333" t="s">
        <v>662</v>
      </c>
      <c r="E358" s="305" t="s">
        <v>717</v>
      </c>
      <c r="F358" s="237"/>
      <c r="G358" s="237"/>
      <c r="H358" s="237"/>
      <c r="I358" s="231"/>
      <c r="J358" s="231"/>
      <c r="K358" s="231"/>
      <c r="L358" s="231"/>
      <c r="M358" s="231"/>
      <c r="N358" s="231"/>
      <c r="O358" s="231"/>
      <c r="P358" s="231"/>
      <c r="Q358" s="231"/>
      <c r="R358" s="231"/>
      <c r="S358" s="231"/>
      <c r="T358" s="231"/>
      <c r="U358" s="231"/>
      <c r="V358" s="231"/>
      <c r="W358" s="231"/>
      <c r="X358" s="231"/>
      <c r="Y358" s="231"/>
      <c r="Z358" s="231"/>
      <c r="AA358" s="231"/>
      <c r="AB358" s="231"/>
      <c r="AC358" s="231"/>
    </row>
    <row r="359" ht="24.75" hidden="1" customHeight="1" outlineLevel="1">
      <c r="A359" s="339">
        <v>45125.0</v>
      </c>
      <c r="B359" s="235" t="s">
        <v>714</v>
      </c>
      <c r="C359" s="240" t="s">
        <v>715</v>
      </c>
      <c r="D359" s="333" t="s">
        <v>662</v>
      </c>
      <c r="E359" s="305" t="s">
        <v>717</v>
      </c>
      <c r="F359" s="231"/>
      <c r="G359" s="231"/>
      <c r="H359" s="231"/>
      <c r="I359" s="231"/>
      <c r="J359" s="231"/>
      <c r="K359" s="231"/>
      <c r="L359" s="231"/>
      <c r="M359" s="231"/>
      <c r="N359" s="231"/>
      <c r="O359" s="231"/>
      <c r="P359" s="231"/>
      <c r="Q359" s="231"/>
      <c r="R359" s="231"/>
      <c r="S359" s="231"/>
      <c r="T359" s="231"/>
      <c r="U359" s="231"/>
      <c r="V359" s="231"/>
      <c r="W359" s="231"/>
      <c r="X359" s="231"/>
      <c r="Y359" s="231"/>
      <c r="Z359" s="231"/>
      <c r="AA359" s="231"/>
      <c r="AB359" s="231"/>
      <c r="AC359" s="231"/>
    </row>
    <row r="360" ht="24.75" hidden="1" customHeight="1" outlineLevel="1">
      <c r="A360" s="339">
        <v>45125.0</v>
      </c>
      <c r="B360" s="235" t="s">
        <v>736</v>
      </c>
      <c r="C360" s="240" t="s">
        <v>895</v>
      </c>
      <c r="D360" s="333" t="s">
        <v>662</v>
      </c>
      <c r="E360" s="305" t="s">
        <v>717</v>
      </c>
      <c r="F360" s="231"/>
      <c r="G360" s="231"/>
      <c r="H360" s="231"/>
      <c r="I360" s="231"/>
      <c r="J360" s="231"/>
      <c r="K360" s="231"/>
      <c r="L360" s="231"/>
      <c r="M360" s="231"/>
      <c r="N360" s="231"/>
      <c r="O360" s="231"/>
      <c r="P360" s="231"/>
      <c r="Q360" s="231"/>
      <c r="R360" s="231"/>
      <c r="S360" s="231"/>
      <c r="T360" s="231"/>
      <c r="U360" s="231"/>
      <c r="V360" s="231"/>
      <c r="W360" s="231"/>
      <c r="X360" s="231"/>
      <c r="Y360" s="231"/>
      <c r="Z360" s="231"/>
      <c r="AA360" s="231"/>
      <c r="AB360" s="231"/>
      <c r="AC360" s="231"/>
    </row>
    <row r="361" ht="24.75" hidden="1" customHeight="1" outlineLevel="1">
      <c r="A361" s="339">
        <v>45125.0</v>
      </c>
      <c r="B361" s="235" t="s">
        <v>808</v>
      </c>
      <c r="C361" s="261" t="s">
        <v>715</v>
      </c>
      <c r="D361" s="235" t="s">
        <v>802</v>
      </c>
      <c r="E361" s="321" t="s">
        <v>717</v>
      </c>
      <c r="F361" s="231"/>
      <c r="G361" s="231"/>
      <c r="H361" s="231"/>
      <c r="I361" s="231"/>
      <c r="J361" s="231"/>
      <c r="K361" s="231"/>
      <c r="L361" s="231"/>
      <c r="M361" s="231"/>
      <c r="N361" s="231"/>
      <c r="O361" s="231"/>
      <c r="P361" s="231"/>
      <c r="Q361" s="231"/>
      <c r="R361" s="231"/>
      <c r="S361" s="231"/>
      <c r="T361" s="231"/>
      <c r="U361" s="231"/>
      <c r="V361" s="231"/>
      <c r="W361" s="231"/>
      <c r="X361" s="231"/>
      <c r="Y361" s="231"/>
      <c r="Z361" s="231"/>
      <c r="AA361" s="231"/>
      <c r="AB361" s="231"/>
      <c r="AC361" s="231"/>
    </row>
    <row r="362" ht="24.75" customHeight="1">
      <c r="A362" s="231"/>
      <c r="B362" s="231"/>
      <c r="C362" s="231"/>
      <c r="D362" s="231"/>
      <c r="E362" s="225"/>
      <c r="F362" s="231"/>
      <c r="G362" s="231"/>
      <c r="H362" s="231"/>
      <c r="I362" s="231"/>
      <c r="J362" s="231"/>
      <c r="K362" s="231"/>
      <c r="L362" s="231"/>
      <c r="M362" s="231"/>
      <c r="N362" s="231"/>
      <c r="O362" s="231"/>
      <c r="P362" s="231"/>
      <c r="Q362" s="231"/>
      <c r="R362" s="231"/>
      <c r="S362" s="231"/>
      <c r="T362" s="231"/>
      <c r="U362" s="231"/>
      <c r="V362" s="231"/>
      <c r="W362" s="231"/>
      <c r="X362" s="231"/>
      <c r="Y362" s="231"/>
      <c r="Z362" s="231"/>
      <c r="AA362" s="231"/>
      <c r="AB362" s="231"/>
      <c r="AC362" s="231"/>
    </row>
    <row r="363" ht="24.75" customHeight="1" collapsed="1">
      <c r="A363" s="223" t="s">
        <v>921</v>
      </c>
      <c r="B363" s="224"/>
      <c r="C363" s="224"/>
      <c r="D363" s="224"/>
      <c r="E363" s="224"/>
      <c r="F363" s="231"/>
      <c r="G363" s="231"/>
      <c r="H363" s="231"/>
      <c r="I363" s="231"/>
      <c r="J363" s="231"/>
      <c r="K363" s="231"/>
      <c r="L363" s="231"/>
      <c r="M363" s="231"/>
      <c r="N363" s="231"/>
      <c r="O363" s="231"/>
      <c r="P363" s="231"/>
      <c r="Q363" s="231"/>
      <c r="R363" s="231"/>
      <c r="S363" s="231"/>
      <c r="T363" s="231"/>
      <c r="U363" s="231"/>
      <c r="V363" s="231"/>
      <c r="W363" s="231"/>
      <c r="X363" s="231"/>
      <c r="Y363" s="231"/>
      <c r="Z363" s="231"/>
      <c r="AA363" s="231"/>
      <c r="AB363" s="231"/>
      <c r="AC363" s="231"/>
    </row>
    <row r="364" ht="24.75" hidden="1" customHeight="1" outlineLevel="1">
      <c r="A364" s="226" t="s">
        <v>647</v>
      </c>
      <c r="B364" s="226" t="s">
        <v>648</v>
      </c>
      <c r="C364" s="226" t="s">
        <v>649</v>
      </c>
      <c r="D364" s="226" t="s">
        <v>650</v>
      </c>
      <c r="E364" s="226" t="s">
        <v>651</v>
      </c>
      <c r="F364" s="231"/>
      <c r="G364" s="231"/>
      <c r="H364" s="231"/>
      <c r="I364" s="237"/>
      <c r="J364" s="231"/>
      <c r="K364" s="231"/>
      <c r="L364" s="231"/>
      <c r="M364" s="231"/>
      <c r="N364" s="231"/>
      <c r="O364" s="231"/>
      <c r="P364" s="231"/>
      <c r="Q364" s="231"/>
      <c r="R364" s="231"/>
      <c r="S364" s="231"/>
      <c r="T364" s="231"/>
      <c r="U364" s="231"/>
      <c r="V364" s="231"/>
      <c r="W364" s="231"/>
      <c r="X364" s="231"/>
      <c r="Y364" s="231"/>
      <c r="Z364" s="231"/>
      <c r="AA364" s="231"/>
      <c r="AB364" s="231"/>
      <c r="AC364" s="231"/>
    </row>
    <row r="365" ht="39.0" hidden="1" customHeight="1" outlineLevel="1">
      <c r="A365" s="292">
        <v>45149.0</v>
      </c>
      <c r="B365" s="341" t="s">
        <v>714</v>
      </c>
      <c r="C365" s="342" t="s">
        <v>715</v>
      </c>
      <c r="D365" s="343" t="s">
        <v>778</v>
      </c>
      <c r="E365" s="305" t="s">
        <v>717</v>
      </c>
      <c r="F365" s="231"/>
      <c r="G365" s="231"/>
      <c r="H365" s="231"/>
      <c r="I365" s="237" t="s">
        <v>922</v>
      </c>
      <c r="J365" s="231"/>
      <c r="K365" s="231"/>
      <c r="L365" s="231"/>
      <c r="M365" s="231"/>
      <c r="N365" s="231"/>
      <c r="O365" s="231"/>
      <c r="P365" s="231"/>
      <c r="Q365" s="231"/>
      <c r="R365" s="231"/>
      <c r="S365" s="231"/>
      <c r="T365" s="231"/>
      <c r="U365" s="231"/>
      <c r="V365" s="231"/>
      <c r="W365" s="231"/>
      <c r="X365" s="231"/>
      <c r="Y365" s="231"/>
      <c r="Z365" s="231"/>
      <c r="AA365" s="231"/>
      <c r="AB365" s="231"/>
      <c r="AC365" s="231"/>
    </row>
    <row r="366" ht="24.75" hidden="1" customHeight="1" outlineLevel="1">
      <c r="A366" s="292">
        <v>45149.0</v>
      </c>
      <c r="B366" s="341" t="s">
        <v>663</v>
      </c>
      <c r="C366" s="342" t="s">
        <v>901</v>
      </c>
      <c r="D366" s="342" t="s">
        <v>662</v>
      </c>
      <c r="E366" s="305" t="s">
        <v>717</v>
      </c>
      <c r="F366" s="237"/>
      <c r="G366" s="237"/>
      <c r="H366" s="237"/>
      <c r="I366" s="237"/>
      <c r="J366" s="231"/>
      <c r="K366" s="231"/>
      <c r="L366" s="231"/>
      <c r="M366" s="231"/>
      <c r="N366" s="231"/>
      <c r="O366" s="231"/>
      <c r="P366" s="231"/>
      <c r="Q366" s="231"/>
      <c r="R366" s="231"/>
      <c r="S366" s="231"/>
      <c r="T366" s="231"/>
      <c r="U366" s="231"/>
      <c r="V366" s="231"/>
      <c r="W366" s="231"/>
      <c r="X366" s="231"/>
      <c r="Y366" s="231"/>
      <c r="Z366" s="231"/>
      <c r="AA366" s="231"/>
      <c r="AB366" s="231"/>
      <c r="AC366" s="231"/>
    </row>
    <row r="367" ht="24.75" hidden="1" customHeight="1" outlineLevel="1">
      <c r="A367" s="292">
        <v>45149.0</v>
      </c>
      <c r="B367" s="341" t="s">
        <v>35</v>
      </c>
      <c r="C367" s="344" t="s">
        <v>715</v>
      </c>
      <c r="D367" s="342" t="s">
        <v>662</v>
      </c>
      <c r="E367" s="305" t="s">
        <v>717</v>
      </c>
      <c r="F367" s="237"/>
      <c r="G367" s="237"/>
      <c r="H367" s="237"/>
      <c r="I367" s="231"/>
      <c r="J367" s="231"/>
      <c r="K367" s="231"/>
      <c r="L367" s="231"/>
      <c r="M367" s="231"/>
      <c r="N367" s="231"/>
      <c r="O367" s="231"/>
      <c r="P367" s="231"/>
      <c r="Q367" s="231"/>
      <c r="R367" s="231"/>
      <c r="S367" s="231"/>
      <c r="T367" s="231"/>
      <c r="U367" s="231"/>
      <c r="V367" s="231"/>
      <c r="W367" s="231"/>
      <c r="X367" s="231"/>
      <c r="Y367" s="231"/>
      <c r="Z367" s="231"/>
      <c r="AA367" s="231"/>
      <c r="AB367" s="231"/>
      <c r="AC367" s="231"/>
    </row>
    <row r="368" ht="24.75" hidden="1" customHeight="1" outlineLevel="1">
      <c r="A368" s="292">
        <v>45150.0</v>
      </c>
      <c r="B368" s="344" t="s">
        <v>720</v>
      </c>
      <c r="C368" s="342" t="s">
        <v>741</v>
      </c>
      <c r="D368" s="342" t="s">
        <v>657</v>
      </c>
      <c r="E368" s="305" t="s">
        <v>685</v>
      </c>
      <c r="F368" s="231"/>
      <c r="G368" s="231"/>
      <c r="H368" s="231"/>
      <c r="I368" s="231"/>
      <c r="J368" s="231"/>
      <c r="K368" s="231"/>
      <c r="L368" s="231"/>
      <c r="M368" s="231"/>
      <c r="N368" s="231"/>
      <c r="O368" s="231"/>
      <c r="P368" s="231"/>
      <c r="Q368" s="231"/>
      <c r="R368" s="231"/>
      <c r="S368" s="231"/>
      <c r="T368" s="231"/>
      <c r="U368" s="231"/>
      <c r="V368" s="231"/>
      <c r="W368" s="231"/>
      <c r="X368" s="231"/>
      <c r="Y368" s="231"/>
      <c r="Z368" s="231"/>
      <c r="AA368" s="231"/>
      <c r="AB368" s="231"/>
      <c r="AC368" s="231"/>
    </row>
    <row r="369" ht="24.75" hidden="1" customHeight="1" outlineLevel="1">
      <c r="A369" s="292">
        <v>45150.0</v>
      </c>
      <c r="B369" s="345" t="s">
        <v>692</v>
      </c>
      <c r="C369" s="342" t="s">
        <v>923</v>
      </c>
      <c r="D369" s="342" t="s">
        <v>924</v>
      </c>
      <c r="E369" s="305" t="s">
        <v>685</v>
      </c>
      <c r="F369" s="237"/>
      <c r="G369" s="237"/>
      <c r="H369" s="237" t="s">
        <v>925</v>
      </c>
      <c r="I369" s="237"/>
      <c r="J369" s="231"/>
      <c r="K369" s="231"/>
      <c r="L369" s="231"/>
      <c r="M369" s="231"/>
      <c r="N369" s="231"/>
      <c r="O369" s="231"/>
      <c r="P369" s="231"/>
      <c r="Q369" s="231"/>
      <c r="R369" s="231"/>
      <c r="S369" s="231"/>
      <c r="T369" s="231"/>
      <c r="U369" s="231"/>
      <c r="V369" s="231"/>
      <c r="W369" s="231"/>
      <c r="X369" s="231"/>
      <c r="Y369" s="231"/>
      <c r="Z369" s="231"/>
      <c r="AA369" s="231"/>
      <c r="AB369" s="231"/>
      <c r="AC369" s="231"/>
    </row>
    <row r="370" ht="24.75" hidden="1" customHeight="1" outlineLevel="1">
      <c r="A370" s="292">
        <v>45150.0</v>
      </c>
      <c r="B370" s="345" t="s">
        <v>695</v>
      </c>
      <c r="C370" s="342" t="s">
        <v>784</v>
      </c>
      <c r="D370" s="240" t="s">
        <v>926</v>
      </c>
      <c r="E370" s="305" t="s">
        <v>685</v>
      </c>
      <c r="F370" s="231"/>
      <c r="G370" s="231"/>
      <c r="H370" s="231"/>
      <c r="I370" s="231"/>
      <c r="J370" s="231"/>
      <c r="K370" s="231"/>
      <c r="L370" s="231"/>
      <c r="M370" s="231"/>
      <c r="N370" s="231"/>
      <c r="O370" s="231"/>
      <c r="P370" s="231"/>
      <c r="Q370" s="231"/>
      <c r="R370" s="231"/>
      <c r="S370" s="231"/>
      <c r="T370" s="231"/>
      <c r="U370" s="231"/>
      <c r="V370" s="231"/>
      <c r="W370" s="231"/>
      <c r="X370" s="231"/>
      <c r="Y370" s="231"/>
      <c r="Z370" s="231"/>
      <c r="AA370" s="231"/>
      <c r="AB370" s="231"/>
      <c r="AC370" s="231"/>
    </row>
    <row r="371" ht="24.75" hidden="1" customHeight="1" outlineLevel="1">
      <c r="A371" s="292">
        <v>45150.0</v>
      </c>
      <c r="B371" s="344" t="s">
        <v>691</v>
      </c>
      <c r="C371" s="342" t="s">
        <v>715</v>
      </c>
      <c r="D371" s="342" t="s">
        <v>724</v>
      </c>
      <c r="E371" s="305" t="s">
        <v>717</v>
      </c>
      <c r="I371" s="231"/>
      <c r="J371" s="231"/>
      <c r="K371" s="231"/>
      <c r="L371" s="231"/>
      <c r="M371" s="231"/>
      <c r="N371" s="231"/>
      <c r="O371" s="231"/>
      <c r="P371" s="231"/>
      <c r="Q371" s="231"/>
      <c r="R371" s="231"/>
      <c r="S371" s="231"/>
      <c r="T371" s="231"/>
      <c r="U371" s="231"/>
      <c r="V371" s="231"/>
      <c r="W371" s="231"/>
      <c r="X371" s="231"/>
      <c r="Y371" s="231"/>
      <c r="Z371" s="231"/>
      <c r="AA371" s="231"/>
      <c r="AB371" s="231"/>
      <c r="AC371" s="231"/>
    </row>
    <row r="372" ht="24.75" hidden="1" customHeight="1" outlineLevel="1">
      <c r="A372" s="292">
        <v>45151.0</v>
      </c>
      <c r="B372" s="344" t="s">
        <v>669</v>
      </c>
      <c r="C372" s="240" t="s">
        <v>927</v>
      </c>
      <c r="D372" s="240" t="s">
        <v>928</v>
      </c>
      <c r="E372" s="305" t="s">
        <v>685</v>
      </c>
      <c r="I372" s="237" t="s">
        <v>738</v>
      </c>
      <c r="J372" s="231"/>
      <c r="K372" s="231"/>
      <c r="L372" s="231"/>
      <c r="M372" s="231"/>
      <c r="N372" s="231"/>
      <c r="O372" s="231"/>
      <c r="P372" s="231"/>
      <c r="Q372" s="231"/>
      <c r="R372" s="231"/>
      <c r="S372" s="231"/>
      <c r="T372" s="231"/>
      <c r="U372" s="231"/>
      <c r="V372" s="231"/>
      <c r="W372" s="231"/>
      <c r="X372" s="231"/>
      <c r="Y372" s="231"/>
      <c r="Z372" s="231"/>
      <c r="AA372" s="231"/>
      <c r="AB372" s="231"/>
      <c r="AC372" s="231"/>
    </row>
    <row r="373" ht="24.75" hidden="1" customHeight="1" outlineLevel="1">
      <c r="A373" s="292">
        <v>45151.0</v>
      </c>
      <c r="B373" s="344" t="s">
        <v>671</v>
      </c>
      <c r="C373" s="342" t="s">
        <v>741</v>
      </c>
      <c r="D373" s="240" t="s">
        <v>929</v>
      </c>
      <c r="E373" s="305" t="s">
        <v>685</v>
      </c>
      <c r="I373" s="237" t="s">
        <v>752</v>
      </c>
      <c r="J373" s="231"/>
      <c r="K373" s="231"/>
      <c r="L373" s="231"/>
      <c r="M373" s="231"/>
      <c r="N373" s="231"/>
      <c r="O373" s="231"/>
      <c r="P373" s="231"/>
      <c r="Q373" s="231"/>
      <c r="R373" s="231"/>
      <c r="S373" s="231"/>
      <c r="T373" s="231"/>
      <c r="U373" s="231"/>
      <c r="V373" s="231"/>
      <c r="W373" s="231"/>
      <c r="X373" s="231"/>
      <c r="Y373" s="231"/>
      <c r="Z373" s="231"/>
      <c r="AA373" s="231"/>
      <c r="AB373" s="231"/>
      <c r="AC373" s="231"/>
    </row>
    <row r="374" ht="24.75" hidden="1" customHeight="1" outlineLevel="1">
      <c r="A374" s="292">
        <v>45151.0</v>
      </c>
      <c r="B374" s="344" t="s">
        <v>728</v>
      </c>
      <c r="C374" s="342" t="s">
        <v>930</v>
      </c>
      <c r="D374" s="342" t="s">
        <v>931</v>
      </c>
      <c r="E374" s="305" t="s">
        <v>685</v>
      </c>
      <c r="F374" s="237"/>
      <c r="G374" s="237"/>
      <c r="H374" s="237" t="s">
        <v>932</v>
      </c>
      <c r="I374" s="231"/>
      <c r="J374" s="231"/>
      <c r="K374" s="231"/>
      <c r="L374" s="231"/>
      <c r="M374" s="231"/>
      <c r="N374" s="231"/>
      <c r="O374" s="231"/>
      <c r="P374" s="231"/>
      <c r="Q374" s="231"/>
      <c r="R374" s="231"/>
      <c r="S374" s="231"/>
      <c r="T374" s="231"/>
      <c r="U374" s="231"/>
      <c r="V374" s="231"/>
      <c r="W374" s="231"/>
      <c r="X374" s="231"/>
      <c r="Y374" s="231"/>
      <c r="Z374" s="231"/>
      <c r="AA374" s="231"/>
      <c r="AB374" s="231"/>
      <c r="AC374" s="231"/>
    </row>
    <row r="375" ht="24.75" hidden="1" customHeight="1" outlineLevel="1">
      <c r="A375" s="292">
        <v>45152.0</v>
      </c>
      <c r="B375" s="344" t="s">
        <v>731</v>
      </c>
      <c r="C375" s="342" t="s">
        <v>784</v>
      </c>
      <c r="D375" s="240" t="s">
        <v>933</v>
      </c>
      <c r="E375" s="305" t="s">
        <v>685</v>
      </c>
      <c r="F375" s="237"/>
      <c r="G375" s="237"/>
      <c r="H375" s="237"/>
      <c r="I375" s="231"/>
      <c r="J375" s="231"/>
      <c r="K375" s="231"/>
      <c r="L375" s="231"/>
      <c r="M375" s="231"/>
      <c r="N375" s="231"/>
      <c r="O375" s="231"/>
      <c r="P375" s="231"/>
      <c r="Q375" s="231"/>
      <c r="R375" s="231"/>
      <c r="S375" s="231"/>
      <c r="T375" s="231"/>
      <c r="U375" s="231"/>
      <c r="V375" s="231"/>
      <c r="W375" s="231"/>
      <c r="X375" s="231"/>
      <c r="Y375" s="231"/>
      <c r="Z375" s="231"/>
      <c r="AA375" s="231"/>
      <c r="AB375" s="231"/>
      <c r="AC375" s="231"/>
    </row>
    <row r="376" ht="24.75" hidden="1" customHeight="1" outlineLevel="1">
      <c r="A376" s="292">
        <v>45152.0</v>
      </c>
      <c r="B376" s="344" t="s">
        <v>753</v>
      </c>
      <c r="C376" s="346" t="s">
        <v>934</v>
      </c>
      <c r="D376" s="342" t="s">
        <v>924</v>
      </c>
      <c r="E376" s="305" t="s">
        <v>685</v>
      </c>
      <c r="F376" s="237"/>
      <c r="G376" s="237"/>
      <c r="H376" s="237" t="s">
        <v>925</v>
      </c>
      <c r="I376" s="237"/>
      <c r="J376" s="231"/>
      <c r="K376" s="231"/>
      <c r="L376" s="231"/>
      <c r="M376" s="231"/>
      <c r="N376" s="231"/>
      <c r="O376" s="231"/>
      <c r="P376" s="231"/>
      <c r="Q376" s="231"/>
      <c r="R376" s="231"/>
      <c r="S376" s="231"/>
      <c r="T376" s="231"/>
      <c r="U376" s="231"/>
      <c r="V376" s="231"/>
      <c r="W376" s="231"/>
      <c r="X376" s="231"/>
      <c r="Y376" s="231"/>
      <c r="Z376" s="231"/>
      <c r="AA376" s="231"/>
      <c r="AB376" s="231"/>
      <c r="AC376" s="231"/>
    </row>
    <row r="377" ht="24.75" hidden="1" customHeight="1" outlineLevel="1">
      <c r="A377" s="292">
        <v>45152.0</v>
      </c>
      <c r="B377" s="344" t="s">
        <v>756</v>
      </c>
      <c r="C377" s="346" t="s">
        <v>934</v>
      </c>
      <c r="D377" s="342" t="s">
        <v>924</v>
      </c>
      <c r="E377" s="305" t="s">
        <v>685</v>
      </c>
      <c r="F377" s="237"/>
      <c r="G377" s="237"/>
      <c r="H377" s="237" t="s">
        <v>925</v>
      </c>
      <c r="I377" s="237"/>
      <c r="J377" s="231"/>
      <c r="K377" s="231"/>
      <c r="L377" s="231"/>
      <c r="M377" s="231"/>
      <c r="N377" s="231"/>
      <c r="O377" s="231"/>
      <c r="P377" s="231"/>
      <c r="Q377" s="231"/>
      <c r="R377" s="231"/>
      <c r="S377" s="231"/>
      <c r="T377" s="231"/>
      <c r="U377" s="231"/>
      <c r="V377" s="231"/>
      <c r="W377" s="231"/>
      <c r="X377" s="231"/>
      <c r="Y377" s="231"/>
      <c r="Z377" s="231"/>
      <c r="AA377" s="231"/>
      <c r="AB377" s="231"/>
      <c r="AC377" s="231"/>
    </row>
    <row r="378" ht="24.75" hidden="1" customHeight="1" outlineLevel="1">
      <c r="A378" s="292">
        <v>45152.0</v>
      </c>
      <c r="B378" s="344" t="s">
        <v>801</v>
      </c>
      <c r="C378" s="344" t="s">
        <v>715</v>
      </c>
      <c r="D378" s="344" t="s">
        <v>802</v>
      </c>
      <c r="E378" s="305" t="s">
        <v>717</v>
      </c>
      <c r="F378" s="237"/>
      <c r="G378" s="237"/>
      <c r="H378" s="237" t="s">
        <v>935</v>
      </c>
      <c r="I378" s="231"/>
      <c r="J378" s="231"/>
      <c r="K378" s="231"/>
      <c r="L378" s="231"/>
      <c r="M378" s="231"/>
      <c r="N378" s="231"/>
      <c r="O378" s="231"/>
      <c r="P378" s="231"/>
      <c r="Q378" s="231"/>
      <c r="R378" s="231"/>
      <c r="S378" s="231"/>
      <c r="T378" s="231"/>
      <c r="U378" s="231"/>
      <c r="V378" s="231"/>
      <c r="W378" s="231"/>
      <c r="X378" s="231"/>
      <c r="Y378" s="231"/>
      <c r="Z378" s="231"/>
      <c r="AA378" s="231"/>
      <c r="AB378" s="231"/>
      <c r="AC378" s="231"/>
    </row>
    <row r="379" ht="24.75" hidden="1" customHeight="1" outlineLevel="1">
      <c r="A379" s="347">
        <v>45153.0</v>
      </c>
      <c r="B379" s="344" t="s">
        <v>35</v>
      </c>
      <c r="C379" s="344" t="s">
        <v>715</v>
      </c>
      <c r="D379" s="342" t="s">
        <v>662</v>
      </c>
      <c r="E379" s="305" t="s">
        <v>717</v>
      </c>
      <c r="F379" s="237"/>
      <c r="G379" s="237"/>
      <c r="H379" s="237"/>
      <c r="I379" s="231"/>
      <c r="J379" s="231"/>
      <c r="K379" s="231"/>
      <c r="L379" s="231"/>
      <c r="M379" s="231"/>
      <c r="N379" s="231"/>
      <c r="O379" s="231"/>
      <c r="P379" s="231"/>
      <c r="Q379" s="231"/>
      <c r="R379" s="231"/>
      <c r="S379" s="231"/>
      <c r="T379" s="231"/>
      <c r="U379" s="231"/>
      <c r="V379" s="231"/>
      <c r="W379" s="231"/>
      <c r="X379" s="231"/>
      <c r="Y379" s="231"/>
      <c r="Z379" s="231"/>
      <c r="AA379" s="231"/>
      <c r="AB379" s="231"/>
      <c r="AC379" s="231"/>
    </row>
    <row r="380" ht="39.0" hidden="1" customHeight="1" outlineLevel="1">
      <c r="A380" s="347">
        <v>45153.0</v>
      </c>
      <c r="B380" s="344" t="s">
        <v>714</v>
      </c>
      <c r="C380" s="342" t="s">
        <v>715</v>
      </c>
      <c r="D380" s="343" t="s">
        <v>778</v>
      </c>
      <c r="E380" s="305" t="s">
        <v>717</v>
      </c>
      <c r="F380" s="231"/>
      <c r="G380" s="231"/>
      <c r="H380" s="231"/>
      <c r="I380" s="237" t="s">
        <v>922</v>
      </c>
      <c r="J380" s="231"/>
      <c r="K380" s="231"/>
      <c r="L380" s="231"/>
      <c r="M380" s="231"/>
      <c r="N380" s="231"/>
      <c r="O380" s="231"/>
      <c r="P380" s="231"/>
      <c r="Q380" s="231"/>
      <c r="R380" s="231"/>
      <c r="S380" s="231"/>
      <c r="T380" s="231"/>
      <c r="U380" s="231"/>
      <c r="V380" s="231"/>
      <c r="W380" s="231"/>
      <c r="X380" s="231"/>
      <c r="Y380" s="231"/>
      <c r="Z380" s="231"/>
      <c r="AA380" s="231"/>
      <c r="AB380" s="231"/>
      <c r="AC380" s="231"/>
    </row>
    <row r="381" ht="24.75" hidden="1" customHeight="1" outlineLevel="1">
      <c r="A381" s="347">
        <v>45153.0</v>
      </c>
      <c r="B381" s="344" t="s">
        <v>736</v>
      </c>
      <c r="C381" s="342" t="s">
        <v>927</v>
      </c>
      <c r="D381" s="240" t="s">
        <v>936</v>
      </c>
      <c r="E381" s="305" t="s">
        <v>685</v>
      </c>
      <c r="F381" s="231"/>
      <c r="G381" s="231"/>
      <c r="H381" s="231"/>
      <c r="I381" s="231"/>
      <c r="J381" s="231"/>
      <c r="K381" s="231"/>
      <c r="L381" s="231"/>
      <c r="M381" s="231"/>
      <c r="N381" s="231"/>
      <c r="O381" s="231"/>
      <c r="P381" s="231"/>
      <c r="Q381" s="231"/>
      <c r="R381" s="231"/>
      <c r="S381" s="231"/>
      <c r="T381" s="231"/>
      <c r="U381" s="231"/>
      <c r="V381" s="231"/>
      <c r="W381" s="231"/>
      <c r="X381" s="231"/>
      <c r="Y381" s="231"/>
      <c r="Z381" s="231"/>
      <c r="AA381" s="231"/>
      <c r="AB381" s="231"/>
      <c r="AC381" s="231"/>
    </row>
    <row r="382" ht="24.75" hidden="1" customHeight="1" outlineLevel="1">
      <c r="A382" s="347">
        <v>45153.0</v>
      </c>
      <c r="B382" s="344" t="s">
        <v>808</v>
      </c>
      <c r="C382" s="346" t="s">
        <v>715</v>
      </c>
      <c r="D382" s="344" t="s">
        <v>802</v>
      </c>
      <c r="E382" s="305" t="s">
        <v>717</v>
      </c>
      <c r="F382" s="237"/>
      <c r="G382" s="237"/>
      <c r="H382" s="237" t="s">
        <v>809</v>
      </c>
      <c r="I382" s="231"/>
      <c r="J382" s="231"/>
      <c r="K382" s="231"/>
      <c r="L382" s="231"/>
      <c r="M382" s="231"/>
      <c r="N382" s="231"/>
      <c r="O382" s="231"/>
      <c r="P382" s="231"/>
      <c r="Q382" s="231"/>
      <c r="R382" s="231"/>
      <c r="S382" s="231"/>
      <c r="T382" s="231"/>
      <c r="U382" s="231"/>
      <c r="V382" s="231"/>
      <c r="W382" s="231"/>
      <c r="X382" s="231"/>
      <c r="Y382" s="231"/>
      <c r="Z382" s="231"/>
      <c r="AA382" s="231"/>
      <c r="AB382" s="231"/>
      <c r="AC382" s="231"/>
    </row>
    <row r="383" ht="24.75" hidden="1" customHeight="1" outlineLevel="1">
      <c r="A383" s="347">
        <v>45154.0</v>
      </c>
      <c r="B383" s="344" t="s">
        <v>680</v>
      </c>
      <c r="C383" s="342" t="s">
        <v>715</v>
      </c>
      <c r="D383" s="240" t="s">
        <v>937</v>
      </c>
      <c r="E383" s="305" t="s">
        <v>717</v>
      </c>
      <c r="F383" s="231"/>
      <c r="G383" s="231"/>
      <c r="H383" s="231"/>
      <c r="I383" s="231"/>
      <c r="J383" s="231"/>
      <c r="K383" s="231"/>
      <c r="L383" s="231"/>
      <c r="M383" s="231"/>
      <c r="N383" s="231"/>
      <c r="O383" s="231"/>
      <c r="P383" s="231"/>
      <c r="Q383" s="231"/>
      <c r="R383" s="231"/>
      <c r="S383" s="231"/>
      <c r="T383" s="231"/>
      <c r="U383" s="231"/>
      <c r="V383" s="231"/>
      <c r="W383" s="231"/>
      <c r="X383" s="231"/>
      <c r="Y383" s="231"/>
      <c r="Z383" s="231"/>
      <c r="AA383" s="231"/>
      <c r="AB383" s="231"/>
      <c r="AC383" s="231"/>
    </row>
    <row r="384" ht="24.75" hidden="1" customHeight="1" outlineLevel="1">
      <c r="A384" s="347">
        <v>45154.0</v>
      </c>
      <c r="B384" s="344" t="s">
        <v>708</v>
      </c>
      <c r="C384" s="342" t="s">
        <v>784</v>
      </c>
      <c r="D384" s="337" t="s">
        <v>146</v>
      </c>
      <c r="E384" s="305" t="s">
        <v>685</v>
      </c>
      <c r="F384" s="231"/>
      <c r="G384" s="231"/>
      <c r="H384" s="231"/>
      <c r="I384" s="231"/>
      <c r="J384" s="231"/>
      <c r="K384" s="231"/>
      <c r="L384" s="231"/>
      <c r="M384" s="231"/>
      <c r="N384" s="231"/>
      <c r="O384" s="231"/>
      <c r="P384" s="231"/>
      <c r="Q384" s="231"/>
      <c r="R384" s="231"/>
      <c r="S384" s="231"/>
      <c r="T384" s="231"/>
      <c r="U384" s="231"/>
      <c r="V384" s="231"/>
      <c r="W384" s="231"/>
      <c r="X384" s="231"/>
      <c r="Y384" s="231"/>
      <c r="Z384" s="231"/>
      <c r="AA384" s="231"/>
      <c r="AB384" s="231"/>
      <c r="AC384" s="231"/>
    </row>
    <row r="385" ht="24.75" hidden="1" customHeight="1" outlineLevel="1">
      <c r="A385" s="347">
        <v>45154.0</v>
      </c>
      <c r="B385" s="344" t="s">
        <v>740</v>
      </c>
      <c r="C385" s="342" t="s">
        <v>741</v>
      </c>
      <c r="D385" s="337" t="s">
        <v>146</v>
      </c>
      <c r="E385" s="305" t="s">
        <v>685</v>
      </c>
      <c r="F385" s="231"/>
      <c r="G385" s="231"/>
      <c r="H385" s="231"/>
      <c r="I385" s="231"/>
      <c r="J385" s="231"/>
      <c r="K385" s="231"/>
      <c r="L385" s="231"/>
      <c r="M385" s="231"/>
      <c r="N385" s="231"/>
      <c r="O385" s="231"/>
      <c r="P385" s="231"/>
      <c r="Q385" s="231"/>
      <c r="R385" s="231"/>
      <c r="S385" s="231"/>
      <c r="T385" s="231"/>
      <c r="U385" s="231"/>
      <c r="V385" s="231"/>
      <c r="W385" s="231"/>
      <c r="X385" s="231"/>
      <c r="Y385" s="231"/>
      <c r="Z385" s="231"/>
      <c r="AA385" s="231"/>
      <c r="AB385" s="231"/>
      <c r="AC385" s="231"/>
    </row>
    <row r="386" ht="24.75" hidden="1" customHeight="1" outlineLevel="1">
      <c r="A386" s="347">
        <v>45154.0</v>
      </c>
      <c r="B386" s="344" t="s">
        <v>743</v>
      </c>
      <c r="C386" s="342" t="s">
        <v>927</v>
      </c>
      <c r="D386" s="240" t="s">
        <v>938</v>
      </c>
      <c r="E386" s="305" t="s">
        <v>685</v>
      </c>
      <c r="F386" s="348"/>
      <c r="G386" s="348"/>
      <c r="H386" s="348"/>
      <c r="I386" s="231"/>
      <c r="J386" s="231"/>
      <c r="K386" s="231"/>
      <c r="L386" s="231"/>
      <c r="M386" s="231"/>
      <c r="N386" s="231"/>
      <c r="O386" s="231"/>
      <c r="P386" s="231"/>
      <c r="Q386" s="231"/>
      <c r="R386" s="231"/>
      <c r="S386" s="231"/>
      <c r="T386" s="231"/>
      <c r="U386" s="231"/>
      <c r="V386" s="231"/>
      <c r="W386" s="231"/>
      <c r="X386" s="231"/>
      <c r="Y386" s="231"/>
      <c r="Z386" s="231"/>
      <c r="AA386" s="231"/>
      <c r="AB386" s="231"/>
      <c r="AC386" s="231"/>
    </row>
    <row r="387" ht="24.75" hidden="1" customHeight="1" outlineLevel="1">
      <c r="A387" s="347">
        <v>45154.0</v>
      </c>
      <c r="B387" s="344" t="s">
        <v>686</v>
      </c>
      <c r="C387" s="344" t="s">
        <v>939</v>
      </c>
      <c r="D387" s="342" t="s">
        <v>940</v>
      </c>
      <c r="E387" s="305" t="s">
        <v>685</v>
      </c>
      <c r="F387" s="237"/>
      <c r="G387" s="237"/>
      <c r="H387" s="237" t="s">
        <v>941</v>
      </c>
      <c r="I387" s="231"/>
      <c r="J387" s="231"/>
      <c r="K387" s="231"/>
      <c r="L387" s="231"/>
      <c r="M387" s="231"/>
      <c r="N387" s="231"/>
      <c r="O387" s="231"/>
      <c r="P387" s="231"/>
      <c r="Q387" s="231"/>
      <c r="R387" s="231"/>
      <c r="S387" s="231"/>
      <c r="T387" s="231"/>
      <c r="U387" s="231"/>
      <c r="V387" s="231"/>
      <c r="W387" s="231"/>
      <c r="X387" s="231"/>
      <c r="Y387" s="231"/>
      <c r="Z387" s="231"/>
      <c r="AA387" s="231"/>
      <c r="AB387" s="231"/>
      <c r="AC387" s="231"/>
    </row>
    <row r="388" ht="24.75" hidden="1" customHeight="1" outlineLevel="1">
      <c r="A388" s="347">
        <v>45155.0</v>
      </c>
      <c r="B388" s="344" t="s">
        <v>745</v>
      </c>
      <c r="C388" s="342" t="s">
        <v>927</v>
      </c>
      <c r="D388" s="240" t="s">
        <v>942</v>
      </c>
      <c r="E388" s="305" t="s">
        <v>685</v>
      </c>
      <c r="F388" s="231"/>
      <c r="G388" s="231"/>
      <c r="H388" s="231"/>
      <c r="I388" s="231"/>
      <c r="J388" s="231"/>
      <c r="K388" s="231"/>
      <c r="L388" s="231"/>
      <c r="M388" s="231"/>
      <c r="N388" s="231"/>
      <c r="O388" s="231"/>
      <c r="P388" s="231"/>
      <c r="Q388" s="231"/>
      <c r="R388" s="231"/>
      <c r="S388" s="231"/>
      <c r="T388" s="231"/>
      <c r="U388" s="231"/>
      <c r="V388" s="231"/>
      <c r="W388" s="231"/>
      <c r="X388" s="231"/>
      <c r="Y388" s="231"/>
      <c r="Z388" s="231"/>
      <c r="AA388" s="231"/>
      <c r="AB388" s="231"/>
      <c r="AC388" s="231"/>
    </row>
    <row r="389" ht="24.75" hidden="1" customHeight="1" outlineLevel="1">
      <c r="A389" s="347">
        <v>45155.0</v>
      </c>
      <c r="B389" s="344" t="s">
        <v>660</v>
      </c>
      <c r="C389" s="342" t="s">
        <v>166</v>
      </c>
      <c r="D389" s="337" t="s">
        <v>146</v>
      </c>
      <c r="E389" s="305" t="s">
        <v>685</v>
      </c>
      <c r="F389" s="231"/>
      <c r="G389" s="231"/>
      <c r="H389" s="231"/>
      <c r="I389" s="231"/>
      <c r="J389" s="231"/>
      <c r="K389" s="231"/>
      <c r="L389" s="231"/>
      <c r="M389" s="231"/>
      <c r="N389" s="231"/>
      <c r="O389" s="231"/>
      <c r="P389" s="231"/>
      <c r="Q389" s="231"/>
      <c r="R389" s="231"/>
      <c r="S389" s="231"/>
      <c r="T389" s="231"/>
      <c r="U389" s="231"/>
      <c r="V389" s="231"/>
      <c r="W389" s="231"/>
      <c r="X389" s="231"/>
      <c r="Y389" s="231"/>
      <c r="Z389" s="231"/>
      <c r="AA389" s="231"/>
      <c r="AB389" s="231"/>
      <c r="AC389" s="231"/>
    </row>
    <row r="390" ht="39.0" hidden="1" customHeight="1" outlineLevel="1">
      <c r="A390" s="347">
        <v>45156.0</v>
      </c>
      <c r="B390" s="344" t="s">
        <v>714</v>
      </c>
      <c r="C390" s="342" t="s">
        <v>715</v>
      </c>
      <c r="D390" s="297" t="s">
        <v>778</v>
      </c>
      <c r="E390" s="305" t="s">
        <v>717</v>
      </c>
      <c r="F390" s="231"/>
      <c r="G390" s="231"/>
      <c r="H390" s="231"/>
      <c r="I390" s="237" t="s">
        <v>922</v>
      </c>
      <c r="J390" s="231"/>
      <c r="K390" s="231"/>
      <c r="L390" s="231"/>
      <c r="M390" s="231"/>
      <c r="N390" s="231"/>
      <c r="O390" s="231"/>
      <c r="P390" s="231"/>
      <c r="Q390" s="231"/>
      <c r="R390" s="231"/>
      <c r="S390" s="231"/>
      <c r="T390" s="231"/>
      <c r="U390" s="231"/>
      <c r="V390" s="231"/>
      <c r="W390" s="231"/>
      <c r="X390" s="231"/>
      <c r="Y390" s="231"/>
      <c r="Z390" s="231"/>
      <c r="AA390" s="231"/>
      <c r="AB390" s="231"/>
      <c r="AC390" s="231"/>
    </row>
    <row r="391" ht="24.75" hidden="1" customHeight="1" outlineLevel="1">
      <c r="A391" s="347">
        <v>45156.0</v>
      </c>
      <c r="B391" s="349" t="s">
        <v>663</v>
      </c>
      <c r="C391" s="350" t="s">
        <v>901</v>
      </c>
      <c r="D391" s="337" t="s">
        <v>146</v>
      </c>
      <c r="E391" s="305" t="s">
        <v>685</v>
      </c>
      <c r="F391" s="312"/>
      <c r="G391" s="312"/>
      <c r="H391" s="312" t="s">
        <v>877</v>
      </c>
      <c r="I391" s="237" t="s">
        <v>843</v>
      </c>
      <c r="J391" s="231"/>
      <c r="K391" s="231"/>
      <c r="L391" s="231"/>
      <c r="M391" s="231"/>
      <c r="N391" s="231"/>
      <c r="O391" s="231"/>
      <c r="P391" s="231"/>
      <c r="Q391" s="231"/>
      <c r="R391" s="231"/>
      <c r="S391" s="231"/>
      <c r="T391" s="231"/>
      <c r="U391" s="231"/>
      <c r="V391" s="231"/>
      <c r="W391" s="231"/>
      <c r="X391" s="231"/>
      <c r="Y391" s="231"/>
      <c r="Z391" s="231"/>
      <c r="AA391" s="231"/>
      <c r="AB391" s="231"/>
      <c r="AC391" s="231"/>
    </row>
    <row r="392" ht="24.75" hidden="1" customHeight="1" outlineLevel="1">
      <c r="A392" s="347">
        <v>45156.0</v>
      </c>
      <c r="B392" s="344" t="s">
        <v>35</v>
      </c>
      <c r="C392" s="344" t="s">
        <v>715</v>
      </c>
      <c r="D392" s="342" t="s">
        <v>662</v>
      </c>
      <c r="E392" s="305" t="s">
        <v>717</v>
      </c>
      <c r="F392" s="237"/>
      <c r="G392" s="237"/>
      <c r="H392" s="237"/>
      <c r="I392" s="231"/>
      <c r="J392" s="231"/>
      <c r="K392" s="231"/>
      <c r="L392" s="231"/>
      <c r="M392" s="231"/>
      <c r="N392" s="231"/>
      <c r="O392" s="231"/>
      <c r="P392" s="231"/>
      <c r="Q392" s="231"/>
      <c r="R392" s="231"/>
      <c r="S392" s="231"/>
      <c r="T392" s="231"/>
      <c r="U392" s="231"/>
      <c r="V392" s="231"/>
      <c r="W392" s="231"/>
      <c r="X392" s="231"/>
      <c r="Y392" s="231"/>
      <c r="Z392" s="231"/>
      <c r="AA392" s="231"/>
      <c r="AB392" s="231"/>
      <c r="AC392" s="231"/>
    </row>
    <row r="393" ht="24.75" hidden="1" customHeight="1" outlineLevel="1">
      <c r="A393" s="347">
        <v>45157.0</v>
      </c>
      <c r="B393" s="344" t="s">
        <v>691</v>
      </c>
      <c r="C393" s="342" t="s">
        <v>715</v>
      </c>
      <c r="D393" s="342" t="s">
        <v>724</v>
      </c>
      <c r="E393" s="305" t="s">
        <v>717</v>
      </c>
      <c r="F393" s="237"/>
      <c r="G393" s="237"/>
      <c r="H393" s="237"/>
      <c r="I393" s="231"/>
      <c r="J393" s="231"/>
      <c r="K393" s="231"/>
      <c r="L393" s="231"/>
      <c r="M393" s="231"/>
      <c r="N393" s="231"/>
      <c r="O393" s="231"/>
      <c r="P393" s="231"/>
      <c r="Q393" s="231"/>
      <c r="R393" s="231"/>
      <c r="S393" s="231"/>
      <c r="T393" s="231"/>
      <c r="U393" s="231"/>
      <c r="V393" s="231"/>
      <c r="W393" s="231"/>
      <c r="X393" s="231"/>
      <c r="Y393" s="231"/>
      <c r="Z393" s="231"/>
      <c r="AA393" s="231"/>
      <c r="AB393" s="231"/>
      <c r="AC393" s="231"/>
    </row>
    <row r="394" ht="24.75" hidden="1" customHeight="1" outlineLevel="1">
      <c r="A394" s="347">
        <v>45157.0</v>
      </c>
      <c r="B394" s="344" t="s">
        <v>720</v>
      </c>
      <c r="C394" s="342" t="s">
        <v>741</v>
      </c>
      <c r="D394" s="337" t="s">
        <v>146</v>
      </c>
      <c r="E394" s="305" t="s">
        <v>685</v>
      </c>
      <c r="F394" s="237"/>
      <c r="G394" s="237"/>
      <c r="H394" s="237"/>
      <c r="I394" s="231"/>
      <c r="J394" s="231"/>
      <c r="K394" s="231"/>
      <c r="L394" s="231"/>
      <c r="M394" s="231"/>
      <c r="N394" s="231"/>
      <c r="O394" s="231"/>
      <c r="P394" s="231"/>
      <c r="Q394" s="231"/>
      <c r="R394" s="231"/>
      <c r="S394" s="231"/>
      <c r="T394" s="231"/>
      <c r="U394" s="231"/>
      <c r="V394" s="231"/>
      <c r="W394" s="231"/>
      <c r="X394" s="231"/>
      <c r="Y394" s="231"/>
      <c r="Z394" s="231"/>
      <c r="AA394" s="231"/>
      <c r="AB394" s="231"/>
      <c r="AC394" s="231"/>
    </row>
    <row r="395" ht="24.75" hidden="1" customHeight="1" outlineLevel="1">
      <c r="A395" s="347">
        <v>45157.0</v>
      </c>
      <c r="B395" s="345" t="s">
        <v>692</v>
      </c>
      <c r="C395" s="342" t="s">
        <v>943</v>
      </c>
      <c r="D395" s="337" t="s">
        <v>146</v>
      </c>
      <c r="E395" s="305" t="s">
        <v>685</v>
      </c>
      <c r="F395" s="237"/>
      <c r="G395" s="237"/>
      <c r="H395" s="237" t="s">
        <v>925</v>
      </c>
      <c r="I395" s="237"/>
      <c r="J395" s="231"/>
      <c r="K395" s="231"/>
      <c r="L395" s="231"/>
      <c r="M395" s="231"/>
      <c r="N395" s="231"/>
      <c r="O395" s="231"/>
      <c r="P395" s="231"/>
      <c r="Q395" s="231"/>
      <c r="R395" s="231"/>
      <c r="S395" s="231"/>
      <c r="T395" s="231"/>
      <c r="U395" s="231"/>
      <c r="V395" s="231"/>
      <c r="W395" s="231"/>
      <c r="X395" s="231"/>
      <c r="Y395" s="231"/>
      <c r="Z395" s="231"/>
      <c r="AA395" s="231"/>
      <c r="AB395" s="231"/>
      <c r="AC395" s="231"/>
    </row>
    <row r="396" ht="24.75" hidden="1" customHeight="1" outlineLevel="1">
      <c r="A396" s="347">
        <v>45157.0</v>
      </c>
      <c r="B396" s="345" t="s">
        <v>695</v>
      </c>
      <c r="C396" s="342" t="s">
        <v>784</v>
      </c>
      <c r="D396" s="337" t="s">
        <v>146</v>
      </c>
      <c r="E396" s="305" t="s">
        <v>685</v>
      </c>
      <c r="F396" s="231"/>
      <c r="G396" s="231"/>
      <c r="H396" s="231"/>
      <c r="I396" s="231"/>
      <c r="J396" s="231"/>
      <c r="K396" s="231"/>
      <c r="L396" s="231"/>
      <c r="M396" s="231"/>
      <c r="N396" s="231"/>
      <c r="O396" s="231"/>
      <c r="P396" s="231"/>
      <c r="Q396" s="231"/>
      <c r="R396" s="231"/>
      <c r="S396" s="231"/>
      <c r="T396" s="231"/>
      <c r="U396" s="231"/>
      <c r="V396" s="231"/>
      <c r="W396" s="231"/>
      <c r="X396" s="231"/>
      <c r="Y396" s="231"/>
      <c r="Z396" s="231"/>
      <c r="AA396" s="231"/>
      <c r="AB396" s="231"/>
      <c r="AC396" s="231"/>
    </row>
    <row r="397" ht="24.75" hidden="1" customHeight="1" outlineLevel="1">
      <c r="A397" s="347">
        <v>45158.0</v>
      </c>
      <c r="B397" s="344" t="s">
        <v>669</v>
      </c>
      <c r="C397" s="342" t="s">
        <v>927</v>
      </c>
      <c r="D397" s="337" t="s">
        <v>146</v>
      </c>
      <c r="E397" s="305" t="s">
        <v>685</v>
      </c>
      <c r="F397" s="231"/>
      <c r="G397" s="231"/>
      <c r="H397" s="231"/>
      <c r="I397" s="231"/>
      <c r="J397" s="231"/>
      <c r="K397" s="231"/>
      <c r="L397" s="231"/>
      <c r="M397" s="231"/>
      <c r="N397" s="231"/>
      <c r="O397" s="231"/>
      <c r="P397" s="231"/>
      <c r="Q397" s="231"/>
      <c r="R397" s="231"/>
      <c r="S397" s="231"/>
      <c r="T397" s="231"/>
      <c r="U397" s="231"/>
      <c r="V397" s="231"/>
      <c r="W397" s="231"/>
      <c r="X397" s="231"/>
      <c r="Y397" s="231"/>
      <c r="Z397" s="231"/>
      <c r="AA397" s="231"/>
      <c r="AB397" s="231"/>
      <c r="AC397" s="231"/>
    </row>
    <row r="398" ht="24.75" hidden="1" customHeight="1" outlineLevel="1">
      <c r="A398" s="347">
        <v>45158.0</v>
      </c>
      <c r="B398" s="344" t="s">
        <v>671</v>
      </c>
      <c r="C398" s="342" t="s">
        <v>741</v>
      </c>
      <c r="D398" s="337" t="s">
        <v>146</v>
      </c>
      <c r="E398" s="305" t="s">
        <v>685</v>
      </c>
      <c r="F398" s="237"/>
      <c r="G398" s="237"/>
      <c r="H398" s="237"/>
      <c r="I398" s="237" t="s">
        <v>752</v>
      </c>
      <c r="J398" s="231"/>
      <c r="K398" s="231"/>
      <c r="L398" s="231"/>
      <c r="M398" s="231"/>
      <c r="N398" s="231"/>
      <c r="O398" s="231"/>
      <c r="P398" s="231"/>
      <c r="Q398" s="231"/>
      <c r="R398" s="231"/>
      <c r="S398" s="231"/>
      <c r="T398" s="231"/>
      <c r="U398" s="231"/>
      <c r="V398" s="231"/>
      <c r="W398" s="231"/>
      <c r="X398" s="231"/>
      <c r="Y398" s="231"/>
      <c r="Z398" s="231"/>
      <c r="AA398" s="231"/>
      <c r="AB398" s="231"/>
      <c r="AC398" s="231"/>
    </row>
    <row r="399" ht="24.75" hidden="1" customHeight="1" outlineLevel="1">
      <c r="A399" s="347">
        <v>45159.0</v>
      </c>
      <c r="B399" s="351" t="s">
        <v>731</v>
      </c>
      <c r="C399" s="352" t="s">
        <v>784</v>
      </c>
      <c r="D399" s="337" t="s">
        <v>146</v>
      </c>
      <c r="E399" s="305" t="s">
        <v>685</v>
      </c>
      <c r="F399" s="237"/>
      <c r="G399" s="237"/>
      <c r="H399" s="237"/>
      <c r="I399" s="231"/>
      <c r="J399" s="231"/>
      <c r="K399" s="231"/>
      <c r="L399" s="231"/>
      <c r="M399" s="231"/>
      <c r="N399" s="231"/>
      <c r="O399" s="231"/>
      <c r="P399" s="231"/>
      <c r="Q399" s="231"/>
      <c r="R399" s="231"/>
      <c r="S399" s="231"/>
      <c r="T399" s="231"/>
      <c r="U399" s="231"/>
      <c r="V399" s="231"/>
      <c r="W399" s="231"/>
      <c r="X399" s="231"/>
      <c r="Y399" s="231"/>
      <c r="Z399" s="231"/>
      <c r="AA399" s="231"/>
      <c r="AB399" s="231"/>
      <c r="AC399" s="231"/>
    </row>
    <row r="400" ht="24.75" hidden="1" customHeight="1" outlineLevel="1">
      <c r="A400" s="347">
        <v>45159.0</v>
      </c>
      <c r="B400" s="344" t="s">
        <v>801</v>
      </c>
      <c r="C400" s="344" t="s">
        <v>715</v>
      </c>
      <c r="D400" s="344" t="s">
        <v>802</v>
      </c>
      <c r="E400" s="305" t="s">
        <v>717</v>
      </c>
      <c r="F400" s="237"/>
      <c r="G400" s="237"/>
      <c r="H400" s="237" t="s">
        <v>944</v>
      </c>
      <c r="I400" s="231"/>
      <c r="J400" s="231"/>
      <c r="K400" s="231"/>
      <c r="L400" s="231"/>
      <c r="M400" s="231"/>
      <c r="N400" s="231"/>
      <c r="O400" s="231"/>
      <c r="P400" s="231"/>
      <c r="Q400" s="231"/>
      <c r="R400" s="231"/>
      <c r="S400" s="231"/>
      <c r="T400" s="231"/>
      <c r="U400" s="231"/>
      <c r="V400" s="231"/>
      <c r="W400" s="231"/>
      <c r="X400" s="231"/>
      <c r="Y400" s="231"/>
      <c r="Z400" s="231"/>
      <c r="AA400" s="231"/>
      <c r="AB400" s="231"/>
      <c r="AC400" s="231"/>
    </row>
    <row r="401" ht="24.75" hidden="1" customHeight="1" outlineLevel="1">
      <c r="A401" s="347">
        <v>45159.0</v>
      </c>
      <c r="B401" s="344" t="s">
        <v>753</v>
      </c>
      <c r="C401" s="346" t="s">
        <v>934</v>
      </c>
      <c r="D401" s="337" t="s">
        <v>146</v>
      </c>
      <c r="E401" s="305" t="s">
        <v>685</v>
      </c>
      <c r="F401" s="237"/>
      <c r="G401" s="237"/>
      <c r="H401" s="237" t="s">
        <v>925</v>
      </c>
      <c r="I401" s="237" t="s">
        <v>755</v>
      </c>
      <c r="J401" s="231"/>
      <c r="K401" s="231"/>
      <c r="L401" s="231"/>
      <c r="M401" s="231"/>
      <c r="N401" s="231"/>
      <c r="O401" s="231"/>
      <c r="P401" s="231"/>
      <c r="Q401" s="231"/>
      <c r="R401" s="231"/>
      <c r="S401" s="231"/>
      <c r="T401" s="231"/>
      <c r="U401" s="231"/>
      <c r="V401" s="231"/>
      <c r="W401" s="231"/>
      <c r="X401" s="231"/>
      <c r="Y401" s="231"/>
      <c r="Z401" s="231"/>
      <c r="AA401" s="231"/>
      <c r="AB401" s="231"/>
      <c r="AC401" s="231"/>
    </row>
    <row r="402" ht="24.75" hidden="1" customHeight="1" outlineLevel="1">
      <c r="A402" s="347">
        <v>45159.0</v>
      </c>
      <c r="B402" s="344" t="s">
        <v>756</v>
      </c>
      <c r="C402" s="346" t="s">
        <v>934</v>
      </c>
      <c r="D402" s="337" t="s">
        <v>146</v>
      </c>
      <c r="E402" s="305" t="s">
        <v>685</v>
      </c>
      <c r="F402" s="237"/>
      <c r="G402" s="237"/>
      <c r="H402" s="237" t="s">
        <v>925</v>
      </c>
      <c r="I402" s="237" t="s">
        <v>755</v>
      </c>
      <c r="J402" s="231"/>
      <c r="K402" s="231"/>
      <c r="L402" s="231"/>
      <c r="M402" s="231"/>
      <c r="N402" s="231"/>
      <c r="O402" s="231"/>
      <c r="P402" s="231"/>
      <c r="Q402" s="231"/>
      <c r="R402" s="231"/>
      <c r="S402" s="231"/>
      <c r="T402" s="231"/>
      <c r="U402" s="231"/>
      <c r="V402" s="231"/>
      <c r="W402" s="231"/>
      <c r="X402" s="231"/>
      <c r="Y402" s="231"/>
      <c r="Z402" s="231"/>
      <c r="AA402" s="231"/>
      <c r="AB402" s="231"/>
      <c r="AC402" s="231"/>
    </row>
    <row r="403" ht="24.75" hidden="1" customHeight="1" outlineLevel="1">
      <c r="A403" s="353">
        <v>45160.0</v>
      </c>
      <c r="B403" s="354" t="s">
        <v>736</v>
      </c>
      <c r="C403" s="342" t="s">
        <v>927</v>
      </c>
      <c r="D403" s="308" t="s">
        <v>734</v>
      </c>
      <c r="E403" s="355" t="s">
        <v>685</v>
      </c>
      <c r="F403" s="249"/>
      <c r="G403" s="249"/>
      <c r="H403" s="249"/>
      <c r="I403" s="249"/>
      <c r="J403" s="249"/>
      <c r="K403" s="249"/>
      <c r="L403" s="249"/>
      <c r="M403" s="249"/>
      <c r="N403" s="249"/>
      <c r="O403" s="249"/>
      <c r="P403" s="249"/>
      <c r="Q403" s="249"/>
      <c r="R403" s="249"/>
      <c r="S403" s="249"/>
      <c r="T403" s="249"/>
      <c r="U403" s="249"/>
      <c r="V403" s="249"/>
      <c r="W403" s="249"/>
      <c r="X403" s="249"/>
      <c r="Y403" s="249"/>
      <c r="Z403" s="249"/>
      <c r="AA403" s="249"/>
      <c r="AB403" s="249"/>
      <c r="AC403" s="249"/>
    </row>
    <row r="404" ht="24.75" hidden="1" customHeight="1" outlineLevel="1">
      <c r="A404" s="353">
        <v>45161.0</v>
      </c>
      <c r="B404" s="356" t="s">
        <v>743</v>
      </c>
      <c r="C404" s="342" t="s">
        <v>927</v>
      </c>
      <c r="D404" s="308" t="s">
        <v>734</v>
      </c>
      <c r="E404" s="357" t="s">
        <v>685</v>
      </c>
      <c r="F404" s="249"/>
      <c r="G404" s="249"/>
      <c r="H404" s="249"/>
      <c r="I404" s="249"/>
      <c r="J404" s="249"/>
      <c r="K404" s="249"/>
      <c r="L404" s="249"/>
      <c r="M404" s="249"/>
      <c r="N404" s="249"/>
      <c r="O404" s="249"/>
      <c r="P404" s="249"/>
      <c r="Q404" s="249"/>
      <c r="R404" s="249"/>
      <c r="S404" s="249"/>
      <c r="T404" s="249"/>
      <c r="U404" s="249"/>
      <c r="V404" s="249"/>
      <c r="W404" s="249"/>
      <c r="X404" s="249"/>
      <c r="Y404" s="249"/>
      <c r="Z404" s="249"/>
      <c r="AA404" s="249"/>
      <c r="AB404" s="249"/>
      <c r="AC404" s="249"/>
    </row>
    <row r="405" ht="24.75" hidden="1" customHeight="1" outlineLevel="1">
      <c r="A405" s="353">
        <v>45162.0</v>
      </c>
      <c r="B405" s="356" t="s">
        <v>745</v>
      </c>
      <c r="C405" s="342" t="s">
        <v>927</v>
      </c>
      <c r="D405" s="308" t="s">
        <v>734</v>
      </c>
      <c r="E405" s="357" t="s">
        <v>685</v>
      </c>
      <c r="F405" s="249"/>
      <c r="G405" s="249"/>
      <c r="H405" s="249"/>
      <c r="I405" s="249"/>
      <c r="J405" s="249"/>
      <c r="K405" s="249"/>
      <c r="L405" s="249"/>
      <c r="M405" s="249"/>
      <c r="N405" s="249"/>
      <c r="O405" s="249"/>
      <c r="P405" s="249"/>
      <c r="Q405" s="249"/>
      <c r="R405" s="249"/>
      <c r="S405" s="249"/>
      <c r="T405" s="249"/>
      <c r="U405" s="249"/>
      <c r="V405" s="249"/>
      <c r="W405" s="249"/>
      <c r="X405" s="249"/>
      <c r="Y405" s="249"/>
      <c r="Z405" s="249"/>
      <c r="AA405" s="249"/>
      <c r="AB405" s="249"/>
      <c r="AC405" s="249"/>
    </row>
    <row r="406" ht="24.75" customHeight="1">
      <c r="A406" s="231"/>
      <c r="B406" s="231"/>
      <c r="C406" s="231"/>
      <c r="D406" s="231"/>
      <c r="E406" s="225"/>
      <c r="F406" s="231"/>
      <c r="G406" s="231"/>
      <c r="H406" s="231"/>
      <c r="I406" s="231"/>
      <c r="J406" s="231"/>
      <c r="K406" s="231"/>
      <c r="L406" s="231"/>
      <c r="M406" s="231"/>
      <c r="N406" s="231"/>
      <c r="O406" s="231"/>
      <c r="P406" s="231"/>
      <c r="Q406" s="231"/>
      <c r="R406" s="231"/>
      <c r="S406" s="231"/>
      <c r="T406" s="231"/>
      <c r="U406" s="231"/>
      <c r="V406" s="231"/>
      <c r="W406" s="231"/>
      <c r="X406" s="231"/>
      <c r="Y406" s="231"/>
      <c r="Z406" s="231"/>
      <c r="AA406" s="231"/>
      <c r="AB406" s="231"/>
      <c r="AC406" s="231"/>
    </row>
    <row r="407" ht="24.75" customHeight="1" collapsed="1">
      <c r="A407" s="237" t="s">
        <v>945</v>
      </c>
      <c r="B407" s="231"/>
      <c r="C407" s="231"/>
      <c r="D407" s="231"/>
      <c r="E407" s="225"/>
      <c r="F407" s="231"/>
      <c r="G407" s="231"/>
      <c r="H407" s="231"/>
      <c r="I407" s="231"/>
      <c r="J407" s="231"/>
      <c r="K407" s="231"/>
      <c r="L407" s="231"/>
      <c r="M407" s="231"/>
      <c r="N407" s="231"/>
      <c r="O407" s="231"/>
      <c r="P407" s="231"/>
      <c r="Q407" s="231"/>
      <c r="R407" s="231"/>
      <c r="S407" s="231"/>
      <c r="T407" s="231"/>
      <c r="U407" s="231"/>
      <c r="V407" s="231"/>
      <c r="W407" s="231"/>
      <c r="X407" s="231"/>
      <c r="Y407" s="231"/>
      <c r="Z407" s="231"/>
      <c r="AA407" s="231"/>
      <c r="AB407" s="231"/>
      <c r="AC407" s="231"/>
    </row>
    <row r="408" ht="24.75" hidden="1" customHeight="1" outlineLevel="1">
      <c r="A408" s="263" t="s">
        <v>647</v>
      </c>
      <c r="B408" s="264" t="s">
        <v>648</v>
      </c>
      <c r="C408" s="264" t="s">
        <v>649</v>
      </c>
      <c r="D408" s="264" t="s">
        <v>650</v>
      </c>
      <c r="E408" s="264" t="s">
        <v>651</v>
      </c>
      <c r="F408" s="231"/>
      <c r="G408" s="231"/>
      <c r="H408" s="231"/>
      <c r="I408" s="231"/>
      <c r="J408" s="231"/>
      <c r="K408" s="231"/>
      <c r="L408" s="231"/>
      <c r="M408" s="231"/>
      <c r="N408" s="231"/>
      <c r="O408" s="231"/>
      <c r="P408" s="231"/>
      <c r="Q408" s="231"/>
      <c r="R408" s="231"/>
      <c r="S408" s="231"/>
      <c r="T408" s="231"/>
      <c r="U408" s="231"/>
      <c r="V408" s="231"/>
      <c r="W408" s="231"/>
      <c r="X408" s="231"/>
      <c r="Y408" s="231"/>
      <c r="Z408" s="231"/>
      <c r="AA408" s="231"/>
      <c r="AB408" s="231"/>
      <c r="AC408" s="231"/>
    </row>
    <row r="409" ht="24.75" hidden="1" customHeight="1" outlineLevel="1">
      <c r="A409" s="339">
        <v>45187.0</v>
      </c>
      <c r="B409" s="235" t="s">
        <v>731</v>
      </c>
      <c r="C409" s="256" t="s">
        <v>793</v>
      </c>
      <c r="D409" s="234" t="s">
        <v>837</v>
      </c>
      <c r="E409" s="305" t="s">
        <v>717</v>
      </c>
      <c r="F409" s="237"/>
      <c r="G409" s="237"/>
      <c r="H409" s="237" t="s">
        <v>838</v>
      </c>
      <c r="I409" s="231"/>
      <c r="J409" s="231"/>
      <c r="K409" s="231"/>
      <c r="L409" s="231"/>
      <c r="M409" s="231"/>
      <c r="N409" s="231"/>
      <c r="O409" s="231"/>
      <c r="P409" s="231"/>
      <c r="Q409" s="231"/>
      <c r="R409" s="231"/>
      <c r="S409" s="231"/>
      <c r="T409" s="231"/>
      <c r="U409" s="231"/>
      <c r="V409" s="231"/>
      <c r="W409" s="231"/>
      <c r="X409" s="231"/>
      <c r="Y409" s="231"/>
      <c r="Z409" s="231"/>
      <c r="AA409" s="231"/>
      <c r="AB409" s="231"/>
      <c r="AC409" s="231"/>
    </row>
    <row r="410" ht="24.75" hidden="1" customHeight="1" outlineLevel="1">
      <c r="A410" s="339">
        <v>45187.0</v>
      </c>
      <c r="B410" s="235" t="s">
        <v>801</v>
      </c>
      <c r="C410" s="235" t="s">
        <v>715</v>
      </c>
      <c r="D410" s="235" t="s">
        <v>802</v>
      </c>
      <c r="E410" s="305" t="s">
        <v>717</v>
      </c>
      <c r="F410" s="237"/>
      <c r="G410" s="237"/>
      <c r="H410" s="237" t="s">
        <v>803</v>
      </c>
      <c r="I410" s="231"/>
      <c r="J410" s="231"/>
      <c r="K410" s="231"/>
      <c r="L410" s="231"/>
      <c r="M410" s="231"/>
      <c r="N410" s="231"/>
      <c r="O410" s="231"/>
      <c r="P410" s="231"/>
      <c r="Q410" s="231"/>
      <c r="R410" s="231"/>
      <c r="S410" s="231"/>
      <c r="T410" s="231"/>
      <c r="U410" s="231"/>
      <c r="V410" s="231"/>
      <c r="W410" s="231"/>
      <c r="X410" s="231"/>
      <c r="Y410" s="231"/>
      <c r="Z410" s="231"/>
      <c r="AA410" s="231"/>
      <c r="AB410" s="231"/>
      <c r="AC410" s="231"/>
    </row>
    <row r="411" ht="24.75" hidden="1" customHeight="1" outlineLevel="1">
      <c r="A411" s="339">
        <v>45187.0</v>
      </c>
      <c r="B411" s="253" t="s">
        <v>699</v>
      </c>
      <c r="C411" s="261" t="s">
        <v>934</v>
      </c>
      <c r="D411" s="234" t="s">
        <v>837</v>
      </c>
      <c r="E411" s="305" t="s">
        <v>717</v>
      </c>
      <c r="F411" s="237"/>
      <c r="G411" s="237"/>
      <c r="H411" s="237" t="s">
        <v>722</v>
      </c>
      <c r="I411" s="231"/>
      <c r="J411" s="231"/>
      <c r="K411" s="231"/>
      <c r="L411" s="231"/>
      <c r="M411" s="231"/>
      <c r="N411" s="231"/>
      <c r="O411" s="231"/>
      <c r="P411" s="231"/>
      <c r="Q411" s="231"/>
      <c r="R411" s="231"/>
      <c r="S411" s="231"/>
      <c r="T411" s="231"/>
      <c r="U411" s="231"/>
      <c r="V411" s="231"/>
      <c r="W411" s="231"/>
      <c r="X411" s="231"/>
      <c r="Y411" s="231"/>
      <c r="Z411" s="231"/>
      <c r="AA411" s="231"/>
      <c r="AB411" s="231"/>
      <c r="AC411" s="231"/>
    </row>
    <row r="412" ht="24.75" hidden="1" customHeight="1" outlineLevel="1">
      <c r="A412" s="353">
        <v>45188.0</v>
      </c>
      <c r="B412" s="235" t="s">
        <v>35</v>
      </c>
      <c r="C412" s="235" t="s">
        <v>715</v>
      </c>
      <c r="D412" s="333" t="s">
        <v>662</v>
      </c>
      <c r="E412" s="305" t="s">
        <v>717</v>
      </c>
      <c r="F412" s="237"/>
      <c r="G412" s="237"/>
      <c r="H412" s="237"/>
      <c r="I412" s="231"/>
      <c r="J412" s="231"/>
      <c r="K412" s="231"/>
      <c r="L412" s="231"/>
      <c r="M412" s="231"/>
      <c r="N412" s="231"/>
      <c r="O412" s="231"/>
      <c r="P412" s="231"/>
      <c r="Q412" s="231"/>
      <c r="R412" s="231"/>
      <c r="S412" s="231"/>
      <c r="T412" s="231"/>
      <c r="U412" s="231"/>
      <c r="V412" s="231"/>
      <c r="W412" s="231"/>
      <c r="X412" s="231"/>
      <c r="Y412" s="231"/>
      <c r="Z412" s="231"/>
      <c r="AA412" s="231"/>
      <c r="AB412" s="231"/>
      <c r="AC412" s="231"/>
    </row>
    <row r="413" ht="24.75" hidden="1" customHeight="1" outlineLevel="1">
      <c r="A413" s="353">
        <v>45188.0</v>
      </c>
      <c r="B413" s="235" t="s">
        <v>714</v>
      </c>
      <c r="C413" s="240" t="s">
        <v>715</v>
      </c>
      <c r="D413" s="333" t="s">
        <v>662</v>
      </c>
      <c r="E413" s="305" t="s">
        <v>717</v>
      </c>
      <c r="F413" s="231"/>
      <c r="G413" s="231"/>
      <c r="H413" s="231"/>
      <c r="I413" s="231"/>
      <c r="J413" s="231"/>
      <c r="K413" s="231"/>
      <c r="L413" s="231"/>
      <c r="M413" s="231"/>
      <c r="N413" s="231"/>
      <c r="O413" s="231"/>
      <c r="P413" s="231"/>
      <c r="Q413" s="231"/>
      <c r="R413" s="231"/>
      <c r="S413" s="231"/>
      <c r="T413" s="231"/>
      <c r="U413" s="231"/>
      <c r="V413" s="231"/>
      <c r="W413" s="231"/>
      <c r="X413" s="231"/>
      <c r="Y413" s="231"/>
      <c r="Z413" s="231"/>
      <c r="AA413" s="231"/>
      <c r="AB413" s="231"/>
      <c r="AC413" s="231"/>
    </row>
    <row r="414" ht="24.75" hidden="1" customHeight="1" outlineLevel="1">
      <c r="A414" s="353">
        <v>45188.0</v>
      </c>
      <c r="B414" s="235" t="s">
        <v>736</v>
      </c>
      <c r="C414" s="240" t="s">
        <v>895</v>
      </c>
      <c r="D414" s="333" t="s">
        <v>662</v>
      </c>
      <c r="E414" s="305" t="s">
        <v>717</v>
      </c>
      <c r="F414" s="231"/>
      <c r="G414" s="231"/>
      <c r="H414" s="231"/>
      <c r="I414" s="231"/>
      <c r="J414" s="231"/>
      <c r="K414" s="231"/>
      <c r="L414" s="231"/>
      <c r="M414" s="231"/>
      <c r="N414" s="231"/>
      <c r="O414" s="231"/>
      <c r="P414" s="231"/>
      <c r="Q414" s="231"/>
      <c r="R414" s="231"/>
      <c r="S414" s="231"/>
      <c r="T414" s="231"/>
      <c r="U414" s="231"/>
      <c r="V414" s="231"/>
      <c r="W414" s="231"/>
      <c r="X414" s="231"/>
      <c r="Y414" s="231"/>
      <c r="Z414" s="231"/>
      <c r="AA414" s="231"/>
      <c r="AB414" s="231"/>
      <c r="AC414" s="231"/>
    </row>
    <row r="415" ht="24.75" hidden="1" customHeight="1" outlineLevel="1">
      <c r="A415" s="353">
        <v>45188.0</v>
      </c>
      <c r="B415" s="235" t="s">
        <v>808</v>
      </c>
      <c r="C415" s="261" t="s">
        <v>715</v>
      </c>
      <c r="D415" s="235" t="s">
        <v>802</v>
      </c>
      <c r="E415" s="323" t="s">
        <v>717</v>
      </c>
      <c r="F415" s="231"/>
      <c r="G415" s="231"/>
      <c r="H415" s="231"/>
      <c r="I415" s="231"/>
      <c r="J415" s="231"/>
      <c r="K415" s="231"/>
      <c r="L415" s="231"/>
      <c r="M415" s="231"/>
      <c r="N415" s="231"/>
      <c r="O415" s="231"/>
      <c r="P415" s="231"/>
      <c r="Q415" s="231"/>
      <c r="R415" s="231"/>
      <c r="S415" s="231"/>
      <c r="T415" s="231"/>
      <c r="U415" s="231"/>
      <c r="V415" s="231"/>
      <c r="W415" s="231"/>
      <c r="X415" s="231"/>
      <c r="Y415" s="231"/>
      <c r="Z415" s="231"/>
      <c r="AA415" s="231"/>
      <c r="AB415" s="231"/>
      <c r="AC415" s="231"/>
    </row>
    <row r="416" ht="24.75" customHeight="1">
      <c r="A416" s="231"/>
      <c r="B416" s="231"/>
      <c r="C416" s="231"/>
      <c r="D416" s="231"/>
      <c r="E416" s="225"/>
      <c r="F416" s="231"/>
      <c r="G416" s="231"/>
      <c r="H416" s="231"/>
      <c r="I416" s="231"/>
      <c r="J416" s="231"/>
      <c r="K416" s="231"/>
      <c r="L416" s="231"/>
      <c r="M416" s="231"/>
      <c r="N416" s="231"/>
      <c r="O416" s="231"/>
      <c r="P416" s="231"/>
      <c r="Q416" s="231"/>
      <c r="R416" s="231"/>
      <c r="S416" s="231"/>
      <c r="T416" s="231"/>
      <c r="U416" s="231"/>
      <c r="V416" s="231"/>
      <c r="W416" s="231"/>
      <c r="X416" s="231"/>
      <c r="Y416" s="231"/>
      <c r="Z416" s="231"/>
      <c r="AA416" s="231"/>
      <c r="AB416" s="231"/>
      <c r="AC416" s="231"/>
    </row>
    <row r="417" ht="24.75" customHeight="1" collapsed="1">
      <c r="A417" s="237" t="s">
        <v>946</v>
      </c>
      <c r="B417" s="231"/>
      <c r="C417" s="231"/>
      <c r="D417" s="231"/>
      <c r="E417" s="225"/>
      <c r="F417" s="231"/>
      <c r="G417" s="231"/>
      <c r="H417" s="231"/>
      <c r="I417" s="231"/>
      <c r="J417" s="231"/>
      <c r="K417" s="231"/>
      <c r="L417" s="231"/>
      <c r="M417" s="231"/>
      <c r="N417" s="231"/>
      <c r="O417" s="231"/>
      <c r="P417" s="231"/>
      <c r="Q417" s="231"/>
      <c r="R417" s="231"/>
      <c r="S417" s="231"/>
      <c r="T417" s="231"/>
      <c r="U417" s="231"/>
      <c r="V417" s="231"/>
      <c r="W417" s="231"/>
      <c r="X417" s="231"/>
      <c r="Y417" s="231"/>
      <c r="Z417" s="231"/>
      <c r="AA417" s="231"/>
      <c r="AB417" s="231"/>
      <c r="AC417" s="231"/>
    </row>
    <row r="418" ht="24.75" hidden="1" customHeight="1" outlineLevel="1">
      <c r="A418" s="329" t="s">
        <v>647</v>
      </c>
      <c r="B418" s="330" t="s">
        <v>648</v>
      </c>
      <c r="C418" s="330" t="s">
        <v>649</v>
      </c>
      <c r="D418" s="330" t="s">
        <v>650</v>
      </c>
      <c r="E418" s="330" t="s">
        <v>651</v>
      </c>
      <c r="F418" s="231"/>
      <c r="G418" s="231"/>
      <c r="H418" s="231"/>
      <c r="I418" s="231"/>
      <c r="J418" s="231"/>
      <c r="K418" s="231"/>
      <c r="L418" s="231"/>
      <c r="M418" s="231"/>
      <c r="N418" s="231"/>
      <c r="O418" s="231"/>
      <c r="P418" s="231"/>
      <c r="Q418" s="231"/>
      <c r="R418" s="231"/>
      <c r="S418" s="231"/>
      <c r="T418" s="231"/>
      <c r="U418" s="231"/>
      <c r="V418" s="231"/>
      <c r="W418" s="231"/>
      <c r="X418" s="231"/>
      <c r="Y418" s="231"/>
      <c r="Z418" s="231"/>
      <c r="AA418" s="231"/>
      <c r="AB418" s="231"/>
      <c r="AC418" s="231"/>
    </row>
    <row r="419" ht="24.75" hidden="1" customHeight="1" outlineLevel="1">
      <c r="A419" s="339">
        <v>45208.0</v>
      </c>
      <c r="B419" s="235" t="s">
        <v>731</v>
      </c>
      <c r="C419" s="256" t="s">
        <v>793</v>
      </c>
      <c r="D419" s="234" t="s">
        <v>947</v>
      </c>
      <c r="E419" s="305" t="s">
        <v>717</v>
      </c>
      <c r="F419" s="237"/>
      <c r="G419" s="237"/>
      <c r="H419" s="237" t="s">
        <v>838</v>
      </c>
      <c r="I419" s="231"/>
      <c r="J419" s="231"/>
      <c r="K419" s="231"/>
      <c r="L419" s="231"/>
      <c r="M419" s="231"/>
      <c r="N419" s="231"/>
      <c r="O419" s="231"/>
      <c r="P419" s="231"/>
      <c r="Q419" s="231"/>
      <c r="R419" s="231"/>
      <c r="S419" s="231"/>
      <c r="T419" s="231"/>
      <c r="U419" s="231"/>
      <c r="V419" s="231"/>
      <c r="W419" s="231"/>
      <c r="X419" s="231"/>
      <c r="Y419" s="231"/>
      <c r="Z419" s="231"/>
      <c r="AA419" s="231"/>
      <c r="AB419" s="231"/>
      <c r="AC419" s="231"/>
    </row>
    <row r="420" ht="24.75" hidden="1" customHeight="1" outlineLevel="1">
      <c r="A420" s="339">
        <v>45208.0</v>
      </c>
      <c r="B420" s="235" t="s">
        <v>801</v>
      </c>
      <c r="C420" s="235" t="s">
        <v>715</v>
      </c>
      <c r="D420" s="333" t="s">
        <v>662</v>
      </c>
      <c r="E420" s="305" t="s">
        <v>717</v>
      </c>
      <c r="F420" s="237"/>
      <c r="G420" s="237"/>
      <c r="H420" s="237" t="s">
        <v>803</v>
      </c>
      <c r="I420" s="231"/>
      <c r="J420" s="231"/>
      <c r="K420" s="231"/>
      <c r="L420" s="231"/>
      <c r="M420" s="231"/>
      <c r="N420" s="231"/>
      <c r="O420" s="231"/>
      <c r="P420" s="231"/>
      <c r="Q420" s="231"/>
      <c r="R420" s="231"/>
      <c r="S420" s="231"/>
      <c r="T420" s="231"/>
      <c r="U420" s="231"/>
      <c r="V420" s="231"/>
      <c r="W420" s="231"/>
      <c r="X420" s="231"/>
      <c r="Y420" s="231"/>
      <c r="Z420" s="231"/>
      <c r="AA420" s="231"/>
      <c r="AB420" s="231"/>
      <c r="AC420" s="231"/>
    </row>
    <row r="421" ht="24.75" hidden="1" customHeight="1" outlineLevel="1">
      <c r="A421" s="339">
        <v>45208.0</v>
      </c>
      <c r="B421" s="253" t="s">
        <v>699</v>
      </c>
      <c r="C421" s="261" t="s">
        <v>934</v>
      </c>
      <c r="D421" s="234" t="s">
        <v>948</v>
      </c>
      <c r="E421" s="305" t="s">
        <v>717</v>
      </c>
      <c r="F421" s="237"/>
      <c r="G421" s="237"/>
      <c r="H421" s="237" t="s">
        <v>722</v>
      </c>
      <c r="I421" s="231"/>
      <c r="J421" s="231"/>
      <c r="K421" s="231"/>
      <c r="L421" s="231"/>
      <c r="M421" s="231"/>
      <c r="N421" s="231"/>
      <c r="O421" s="231"/>
      <c r="P421" s="231"/>
      <c r="Q421" s="231"/>
      <c r="R421" s="231"/>
      <c r="S421" s="231"/>
      <c r="T421" s="231"/>
      <c r="U421" s="231"/>
      <c r="V421" s="231"/>
      <c r="W421" s="231"/>
      <c r="X421" s="231"/>
      <c r="Y421" s="231"/>
      <c r="Z421" s="231"/>
      <c r="AA421" s="231"/>
      <c r="AB421" s="231"/>
      <c r="AC421" s="231"/>
    </row>
    <row r="422" ht="24.75" hidden="1" customHeight="1" outlineLevel="1">
      <c r="A422" s="353">
        <v>45209.0</v>
      </c>
      <c r="B422" s="235" t="s">
        <v>35</v>
      </c>
      <c r="C422" s="235" t="s">
        <v>715</v>
      </c>
      <c r="D422" s="333" t="s">
        <v>662</v>
      </c>
      <c r="E422" s="305" t="s">
        <v>717</v>
      </c>
      <c r="F422" s="237"/>
      <c r="G422" s="237"/>
      <c r="H422" s="237"/>
      <c r="I422" s="231"/>
      <c r="J422" s="231"/>
      <c r="K422" s="231"/>
      <c r="L422" s="231"/>
      <c r="M422" s="231"/>
      <c r="N422" s="231"/>
      <c r="O422" s="231"/>
      <c r="P422" s="231"/>
      <c r="Q422" s="231"/>
      <c r="R422" s="231"/>
      <c r="S422" s="231"/>
      <c r="T422" s="231"/>
      <c r="U422" s="231"/>
      <c r="V422" s="231"/>
      <c r="W422" s="231"/>
      <c r="X422" s="231"/>
      <c r="Y422" s="231"/>
      <c r="Z422" s="231"/>
      <c r="AA422" s="231"/>
      <c r="AB422" s="231"/>
      <c r="AC422" s="231"/>
    </row>
    <row r="423" ht="24.75" hidden="1" customHeight="1" outlineLevel="1">
      <c r="A423" s="353">
        <v>45209.0</v>
      </c>
      <c r="B423" s="235" t="s">
        <v>714</v>
      </c>
      <c r="C423" s="240" t="s">
        <v>715</v>
      </c>
      <c r="D423" s="333" t="s">
        <v>662</v>
      </c>
      <c r="E423" s="305" t="s">
        <v>717</v>
      </c>
      <c r="F423" s="231"/>
      <c r="G423" s="231"/>
      <c r="H423" s="231"/>
      <c r="I423" s="237" t="s">
        <v>922</v>
      </c>
      <c r="J423" s="231"/>
      <c r="K423" s="231"/>
      <c r="L423" s="231"/>
      <c r="M423" s="231"/>
      <c r="N423" s="231"/>
      <c r="O423" s="231"/>
      <c r="P423" s="231"/>
      <c r="Q423" s="231"/>
      <c r="R423" s="231"/>
      <c r="S423" s="231"/>
      <c r="T423" s="231"/>
      <c r="U423" s="231"/>
      <c r="V423" s="231"/>
      <c r="W423" s="231"/>
      <c r="X423" s="231"/>
      <c r="Y423" s="231"/>
      <c r="Z423" s="231"/>
      <c r="AA423" s="231"/>
      <c r="AB423" s="231"/>
      <c r="AC423" s="231"/>
    </row>
    <row r="424" ht="24.75" hidden="1" customHeight="1" outlineLevel="1">
      <c r="A424" s="353">
        <v>45209.0</v>
      </c>
      <c r="B424" s="235" t="s">
        <v>736</v>
      </c>
      <c r="C424" s="240" t="s">
        <v>895</v>
      </c>
      <c r="D424" s="333" t="s">
        <v>662</v>
      </c>
      <c r="E424" s="305" t="s">
        <v>717</v>
      </c>
      <c r="F424" s="231"/>
      <c r="G424" s="231"/>
      <c r="H424" s="231"/>
      <c r="I424" s="231"/>
      <c r="J424" s="231"/>
      <c r="K424" s="231"/>
      <c r="L424" s="231"/>
      <c r="M424" s="231"/>
      <c r="N424" s="231"/>
      <c r="O424" s="231"/>
      <c r="P424" s="231"/>
      <c r="Q424" s="231"/>
      <c r="R424" s="231"/>
      <c r="S424" s="231"/>
      <c r="T424" s="231"/>
      <c r="U424" s="231"/>
      <c r="V424" s="231"/>
      <c r="W424" s="231"/>
      <c r="X424" s="231"/>
      <c r="Y424" s="231"/>
      <c r="Z424" s="231"/>
      <c r="AA424" s="231"/>
      <c r="AB424" s="231"/>
      <c r="AC424" s="231"/>
    </row>
    <row r="425" ht="24.75" hidden="1" customHeight="1" outlineLevel="1">
      <c r="A425" s="353">
        <v>45209.0</v>
      </c>
      <c r="B425" s="235" t="s">
        <v>808</v>
      </c>
      <c r="C425" s="261" t="s">
        <v>715</v>
      </c>
      <c r="D425" s="333" t="s">
        <v>662</v>
      </c>
      <c r="E425" s="323" t="s">
        <v>717</v>
      </c>
      <c r="F425" s="231"/>
      <c r="G425" s="231"/>
      <c r="H425" s="231"/>
      <c r="I425" s="231"/>
      <c r="J425" s="231"/>
      <c r="K425" s="231"/>
      <c r="L425" s="231"/>
      <c r="M425" s="231"/>
      <c r="N425" s="231"/>
      <c r="O425" s="231"/>
      <c r="P425" s="231"/>
      <c r="Q425" s="231"/>
      <c r="R425" s="231"/>
      <c r="S425" s="231"/>
      <c r="T425" s="231"/>
      <c r="U425" s="231"/>
      <c r="V425" s="231"/>
      <c r="W425" s="231"/>
      <c r="X425" s="231"/>
      <c r="Y425" s="231"/>
      <c r="Z425" s="231"/>
      <c r="AA425" s="231"/>
      <c r="AB425" s="231"/>
      <c r="AC425" s="231"/>
    </row>
    <row r="426" ht="24.75" customHeight="1">
      <c r="A426" s="231"/>
      <c r="B426" s="231"/>
      <c r="C426" s="231"/>
      <c r="D426" s="231"/>
      <c r="E426" s="225"/>
      <c r="F426" s="231"/>
      <c r="G426" s="231"/>
      <c r="H426" s="231"/>
      <c r="I426" s="231"/>
      <c r="J426" s="231"/>
      <c r="K426" s="231"/>
      <c r="L426" s="231"/>
      <c r="M426" s="231"/>
      <c r="N426" s="231"/>
      <c r="O426" s="231"/>
      <c r="P426" s="231"/>
      <c r="Q426" s="231"/>
      <c r="R426" s="231"/>
      <c r="S426" s="231"/>
      <c r="T426" s="231"/>
      <c r="U426" s="231"/>
      <c r="V426" s="231"/>
      <c r="W426" s="231"/>
      <c r="X426" s="231"/>
      <c r="Y426" s="231"/>
      <c r="Z426" s="231"/>
      <c r="AA426" s="231"/>
      <c r="AB426" s="231"/>
      <c r="AC426" s="231"/>
    </row>
    <row r="427" ht="24.75" customHeight="1" collapsed="1">
      <c r="A427" s="237" t="s">
        <v>949</v>
      </c>
      <c r="B427" s="231"/>
      <c r="C427" s="231"/>
      <c r="D427" s="231"/>
      <c r="E427" s="225"/>
      <c r="F427" s="231"/>
      <c r="G427" s="231"/>
      <c r="H427" s="231"/>
      <c r="I427" s="231"/>
      <c r="J427" s="231"/>
      <c r="K427" s="231"/>
      <c r="L427" s="231"/>
      <c r="M427" s="231"/>
      <c r="N427" s="231"/>
      <c r="O427" s="231"/>
      <c r="P427" s="231"/>
      <c r="Q427" s="231"/>
      <c r="R427" s="231"/>
      <c r="S427" s="231"/>
      <c r="T427" s="231"/>
      <c r="U427" s="231"/>
      <c r="V427" s="231"/>
      <c r="W427" s="231"/>
      <c r="X427" s="231"/>
      <c r="Y427" s="231"/>
      <c r="Z427" s="231"/>
      <c r="AA427" s="231"/>
      <c r="AB427" s="231"/>
      <c r="AC427" s="231"/>
    </row>
    <row r="428" ht="24.75" hidden="1" customHeight="1" outlineLevel="1">
      <c r="A428" s="329" t="s">
        <v>647</v>
      </c>
      <c r="B428" s="330" t="s">
        <v>648</v>
      </c>
      <c r="C428" s="330" t="s">
        <v>649</v>
      </c>
      <c r="D428" s="330" t="s">
        <v>650</v>
      </c>
      <c r="E428" s="330" t="s">
        <v>651</v>
      </c>
      <c r="F428" s="231"/>
      <c r="G428" s="231"/>
      <c r="H428" s="231"/>
      <c r="I428" s="231"/>
      <c r="J428" s="231"/>
      <c r="K428" s="231"/>
      <c r="L428" s="231"/>
      <c r="M428" s="231"/>
      <c r="N428" s="231"/>
      <c r="O428" s="231"/>
      <c r="P428" s="231"/>
      <c r="Q428" s="231"/>
      <c r="R428" s="231"/>
      <c r="S428" s="231"/>
      <c r="T428" s="231"/>
      <c r="U428" s="231"/>
      <c r="V428" s="231"/>
      <c r="W428" s="231"/>
      <c r="X428" s="231"/>
      <c r="Y428" s="231"/>
      <c r="Z428" s="231"/>
      <c r="AA428" s="231"/>
      <c r="AB428" s="231"/>
      <c r="AC428" s="231"/>
    </row>
    <row r="429" ht="39.0" hidden="1" customHeight="1" outlineLevel="1">
      <c r="A429" s="292">
        <v>45233.0</v>
      </c>
      <c r="B429" s="235" t="s">
        <v>714</v>
      </c>
      <c r="C429" s="358" t="s">
        <v>715</v>
      </c>
      <c r="D429" s="297" t="s">
        <v>778</v>
      </c>
      <c r="E429" s="30" t="s">
        <v>717</v>
      </c>
      <c r="F429" s="231"/>
      <c r="G429" s="231"/>
      <c r="H429" s="231"/>
      <c r="I429" s="237" t="s">
        <v>922</v>
      </c>
      <c r="J429" s="231"/>
      <c r="K429" s="231"/>
      <c r="L429" s="231"/>
      <c r="M429" s="231"/>
      <c r="N429" s="231"/>
      <c r="O429" s="231"/>
      <c r="P429" s="231"/>
      <c r="Q429" s="231"/>
      <c r="R429" s="231"/>
      <c r="S429" s="231"/>
      <c r="T429" s="231"/>
      <c r="U429" s="231"/>
      <c r="V429" s="231"/>
      <c r="W429" s="231"/>
      <c r="X429" s="231"/>
      <c r="Y429" s="231"/>
      <c r="Z429" s="231"/>
      <c r="AA429" s="231"/>
      <c r="AB429" s="231"/>
      <c r="AC429" s="231"/>
    </row>
    <row r="430" ht="24.75" hidden="1" customHeight="1" outlineLevel="1">
      <c r="A430" s="292">
        <v>45233.0</v>
      </c>
      <c r="B430" s="235" t="s">
        <v>663</v>
      </c>
      <c r="C430" s="358" t="s">
        <v>901</v>
      </c>
      <c r="D430" s="358" t="s">
        <v>662</v>
      </c>
      <c r="E430" s="30" t="s">
        <v>717</v>
      </c>
      <c r="F430" s="237"/>
      <c r="G430" s="237"/>
      <c r="H430" s="237"/>
      <c r="I430" s="237"/>
      <c r="J430" s="231"/>
      <c r="K430" s="231"/>
      <c r="L430" s="231"/>
      <c r="M430" s="231"/>
      <c r="N430" s="231"/>
      <c r="O430" s="231"/>
      <c r="P430" s="231"/>
      <c r="Q430" s="231"/>
      <c r="R430" s="231"/>
      <c r="S430" s="231"/>
      <c r="T430" s="231"/>
      <c r="U430" s="231"/>
      <c r="V430" s="231"/>
      <c r="W430" s="231"/>
      <c r="X430" s="231"/>
      <c r="Y430" s="231"/>
      <c r="Z430" s="231"/>
      <c r="AA430" s="231"/>
      <c r="AB430" s="231"/>
      <c r="AC430" s="231"/>
    </row>
    <row r="431" ht="24.75" hidden="1" customHeight="1" outlineLevel="1">
      <c r="A431" s="292">
        <v>45233.0</v>
      </c>
      <c r="B431" s="235" t="s">
        <v>35</v>
      </c>
      <c r="C431" s="235" t="s">
        <v>715</v>
      </c>
      <c r="D431" s="358" t="s">
        <v>662</v>
      </c>
      <c r="E431" s="30" t="s">
        <v>717</v>
      </c>
      <c r="F431" s="237"/>
      <c r="G431" s="237"/>
      <c r="H431" s="237"/>
      <c r="I431" s="231"/>
      <c r="J431" s="231"/>
      <c r="K431" s="231"/>
      <c r="L431" s="231"/>
      <c r="M431" s="231"/>
      <c r="N431" s="231"/>
      <c r="O431" s="231"/>
      <c r="P431" s="231"/>
      <c r="Q431" s="231"/>
      <c r="R431" s="231"/>
      <c r="S431" s="231"/>
      <c r="T431" s="231"/>
      <c r="U431" s="231"/>
      <c r="V431" s="231"/>
      <c r="W431" s="231"/>
      <c r="X431" s="231"/>
      <c r="Y431" s="231"/>
      <c r="Z431" s="231"/>
      <c r="AA431" s="231"/>
      <c r="AB431" s="231"/>
      <c r="AC431" s="231"/>
    </row>
    <row r="432" ht="24.75" hidden="1" customHeight="1" outlineLevel="1">
      <c r="A432" s="292">
        <v>45234.0</v>
      </c>
      <c r="B432" s="235" t="s">
        <v>720</v>
      </c>
      <c r="C432" s="358" t="s">
        <v>741</v>
      </c>
      <c r="D432" s="358" t="s">
        <v>657</v>
      </c>
      <c r="E432" s="305" t="s">
        <v>685</v>
      </c>
      <c r="F432" s="231"/>
      <c r="G432" s="231"/>
      <c r="H432" s="231"/>
      <c r="I432" s="231"/>
      <c r="J432" s="231"/>
      <c r="K432" s="231"/>
      <c r="L432" s="231"/>
      <c r="M432" s="231"/>
      <c r="N432" s="231"/>
      <c r="O432" s="231"/>
      <c r="P432" s="231"/>
      <c r="Q432" s="231"/>
      <c r="R432" s="231"/>
      <c r="S432" s="231"/>
      <c r="T432" s="231"/>
      <c r="U432" s="231"/>
      <c r="V432" s="231"/>
      <c r="W432" s="231"/>
      <c r="X432" s="231"/>
      <c r="Y432" s="231"/>
      <c r="Z432" s="231"/>
      <c r="AA432" s="231"/>
      <c r="AB432" s="231"/>
      <c r="AC432" s="231"/>
    </row>
    <row r="433" ht="24.75" hidden="1" customHeight="1" outlineLevel="1">
      <c r="A433" s="292">
        <v>45234.0</v>
      </c>
      <c r="B433" s="338" t="s">
        <v>692</v>
      </c>
      <c r="C433" s="358" t="s">
        <v>950</v>
      </c>
      <c r="D433" s="358" t="s">
        <v>951</v>
      </c>
      <c r="E433" s="305" t="s">
        <v>685</v>
      </c>
      <c r="F433" s="237"/>
      <c r="G433" s="237"/>
      <c r="H433" s="237" t="s">
        <v>952</v>
      </c>
      <c r="I433" s="237"/>
      <c r="J433" s="231"/>
      <c r="K433" s="231"/>
      <c r="L433" s="231"/>
      <c r="M433" s="231"/>
      <c r="N433" s="231"/>
      <c r="O433" s="231"/>
      <c r="P433" s="231"/>
      <c r="Q433" s="231"/>
      <c r="R433" s="231"/>
      <c r="S433" s="231"/>
      <c r="T433" s="231"/>
      <c r="U433" s="231"/>
      <c r="V433" s="231"/>
      <c r="W433" s="231"/>
      <c r="X433" s="231"/>
      <c r="Y433" s="231"/>
      <c r="Z433" s="231"/>
      <c r="AA433" s="231"/>
      <c r="AB433" s="231"/>
      <c r="AC433" s="231"/>
    </row>
    <row r="434" ht="24.75" hidden="1" customHeight="1" outlineLevel="1">
      <c r="A434" s="292">
        <v>45234.0</v>
      </c>
      <c r="B434" s="338" t="s">
        <v>695</v>
      </c>
      <c r="C434" s="358" t="s">
        <v>784</v>
      </c>
      <c r="D434" s="240" t="s">
        <v>953</v>
      </c>
      <c r="E434" s="305" t="s">
        <v>685</v>
      </c>
      <c r="F434" s="231"/>
      <c r="G434" s="231"/>
      <c r="H434" s="231"/>
      <c r="I434" s="231"/>
      <c r="J434" s="231"/>
      <c r="K434" s="231"/>
      <c r="L434" s="231"/>
      <c r="M434" s="231"/>
      <c r="N434" s="231"/>
      <c r="O434" s="231"/>
      <c r="P434" s="231"/>
      <c r="Q434" s="231"/>
      <c r="R434" s="231"/>
      <c r="S434" s="231"/>
      <c r="T434" s="231"/>
      <c r="U434" s="231"/>
      <c r="V434" s="231"/>
      <c r="W434" s="231"/>
      <c r="X434" s="231"/>
      <c r="Y434" s="231"/>
      <c r="Z434" s="231"/>
      <c r="AA434" s="231"/>
      <c r="AB434" s="231"/>
      <c r="AC434" s="231"/>
    </row>
    <row r="435" ht="24.75" hidden="1" customHeight="1" outlineLevel="1">
      <c r="A435" s="292">
        <v>45234.0</v>
      </c>
      <c r="B435" s="235" t="s">
        <v>691</v>
      </c>
      <c r="C435" s="358" t="s">
        <v>715</v>
      </c>
      <c r="D435" s="358" t="s">
        <v>724</v>
      </c>
      <c r="E435" s="30" t="s">
        <v>717</v>
      </c>
      <c r="I435" s="231"/>
      <c r="J435" s="231"/>
      <c r="K435" s="231"/>
      <c r="L435" s="231"/>
      <c r="M435" s="231"/>
      <c r="N435" s="231"/>
      <c r="O435" s="231"/>
      <c r="P435" s="231"/>
      <c r="Q435" s="231"/>
      <c r="R435" s="231"/>
      <c r="S435" s="231"/>
      <c r="T435" s="231"/>
      <c r="U435" s="231"/>
      <c r="V435" s="231"/>
      <c r="W435" s="231"/>
      <c r="X435" s="231"/>
      <c r="Y435" s="231"/>
      <c r="Z435" s="231"/>
      <c r="AA435" s="231"/>
      <c r="AB435" s="231"/>
      <c r="AC435" s="231"/>
    </row>
    <row r="436" ht="24.75" hidden="1" customHeight="1" outlineLevel="1">
      <c r="A436" s="292">
        <v>45235.0</v>
      </c>
      <c r="B436" s="235" t="s">
        <v>669</v>
      </c>
      <c r="C436" s="358" t="s">
        <v>927</v>
      </c>
      <c r="D436" s="240" t="s">
        <v>954</v>
      </c>
      <c r="E436" s="305" t="s">
        <v>685</v>
      </c>
      <c r="F436" s="231"/>
      <c r="G436" s="231"/>
      <c r="H436" s="231"/>
      <c r="I436" s="231"/>
      <c r="J436" s="231"/>
      <c r="K436" s="231"/>
      <c r="L436" s="231"/>
      <c r="M436" s="231"/>
      <c r="N436" s="231"/>
      <c r="O436" s="231"/>
      <c r="P436" s="231"/>
      <c r="Q436" s="231"/>
      <c r="R436" s="231"/>
      <c r="S436" s="231"/>
      <c r="T436" s="231"/>
      <c r="U436" s="231"/>
      <c r="V436" s="231"/>
      <c r="W436" s="231"/>
      <c r="X436" s="231"/>
      <c r="Y436" s="231"/>
      <c r="Z436" s="231"/>
      <c r="AA436" s="231"/>
      <c r="AB436" s="231"/>
      <c r="AC436" s="231"/>
    </row>
    <row r="437" ht="24.75" hidden="1" customHeight="1" outlineLevel="1">
      <c r="A437" s="292">
        <v>45235.0</v>
      </c>
      <c r="B437" s="235" t="s">
        <v>671</v>
      </c>
      <c r="C437" s="358" t="s">
        <v>741</v>
      </c>
      <c r="D437" s="240" t="s">
        <v>955</v>
      </c>
      <c r="E437" s="305" t="s">
        <v>685</v>
      </c>
      <c r="I437" s="237"/>
      <c r="J437" s="231"/>
      <c r="K437" s="231"/>
      <c r="L437" s="231"/>
      <c r="M437" s="231"/>
      <c r="N437" s="231"/>
      <c r="O437" s="231"/>
      <c r="P437" s="231"/>
      <c r="Q437" s="231"/>
      <c r="R437" s="231"/>
      <c r="S437" s="231"/>
      <c r="T437" s="231"/>
      <c r="U437" s="231"/>
      <c r="V437" s="231"/>
      <c r="W437" s="231"/>
      <c r="X437" s="231"/>
      <c r="Y437" s="231"/>
      <c r="Z437" s="231"/>
      <c r="AA437" s="231"/>
      <c r="AB437" s="231"/>
      <c r="AC437" s="231"/>
    </row>
    <row r="438" ht="24.75" hidden="1" customHeight="1" outlineLevel="1">
      <c r="A438" s="292">
        <v>45236.0</v>
      </c>
      <c r="B438" s="235" t="s">
        <v>731</v>
      </c>
      <c r="C438" s="358" t="s">
        <v>784</v>
      </c>
      <c r="D438" s="240" t="s">
        <v>956</v>
      </c>
      <c r="E438" s="305" t="s">
        <v>685</v>
      </c>
      <c r="F438" s="237"/>
      <c r="G438" s="237"/>
      <c r="H438" s="237"/>
      <c r="I438" s="231"/>
      <c r="J438" s="231"/>
      <c r="K438" s="231"/>
      <c r="L438" s="231"/>
      <c r="M438" s="231"/>
      <c r="N438" s="231"/>
      <c r="O438" s="231"/>
      <c r="P438" s="231"/>
      <c r="Q438" s="231"/>
      <c r="R438" s="231"/>
      <c r="S438" s="231"/>
      <c r="T438" s="231"/>
      <c r="U438" s="231"/>
      <c r="V438" s="231"/>
      <c r="W438" s="231"/>
      <c r="X438" s="231"/>
      <c r="Y438" s="231"/>
      <c r="Z438" s="231"/>
      <c r="AA438" s="231"/>
      <c r="AB438" s="231"/>
      <c r="AC438" s="231"/>
    </row>
    <row r="439" ht="24.75" hidden="1" customHeight="1" outlineLevel="1">
      <c r="A439" s="292">
        <v>45236.0</v>
      </c>
      <c r="B439" s="235" t="s">
        <v>753</v>
      </c>
      <c r="C439" s="261" t="s">
        <v>934</v>
      </c>
      <c r="D439" s="337" t="s">
        <v>146</v>
      </c>
      <c r="E439" s="305" t="s">
        <v>685</v>
      </c>
      <c r="F439" s="237"/>
      <c r="G439" s="237"/>
      <c r="H439" s="237" t="s">
        <v>952</v>
      </c>
      <c r="I439" s="237" t="s">
        <v>957</v>
      </c>
      <c r="J439" s="231"/>
      <c r="K439" s="231"/>
      <c r="L439" s="231"/>
      <c r="M439" s="231"/>
      <c r="N439" s="231"/>
      <c r="O439" s="231"/>
      <c r="P439" s="231"/>
      <c r="Q439" s="231"/>
      <c r="R439" s="231"/>
      <c r="S439" s="231"/>
      <c r="T439" s="231"/>
      <c r="U439" s="231"/>
      <c r="V439" s="231"/>
      <c r="W439" s="231"/>
      <c r="X439" s="231"/>
      <c r="Y439" s="231"/>
      <c r="Z439" s="231"/>
      <c r="AA439" s="231"/>
      <c r="AB439" s="231"/>
      <c r="AC439" s="231"/>
    </row>
    <row r="440" ht="24.75" hidden="1" customHeight="1" outlineLevel="1">
      <c r="A440" s="292">
        <v>45236.0</v>
      </c>
      <c r="B440" s="235" t="s">
        <v>756</v>
      </c>
      <c r="C440" s="261" t="s">
        <v>934</v>
      </c>
      <c r="D440" s="337" t="s">
        <v>146</v>
      </c>
      <c r="E440" s="305" t="s">
        <v>685</v>
      </c>
      <c r="F440" s="237"/>
      <c r="G440" s="237"/>
      <c r="H440" s="237" t="s">
        <v>952</v>
      </c>
      <c r="I440" s="237" t="s">
        <v>958</v>
      </c>
      <c r="J440" s="231"/>
      <c r="K440" s="231"/>
      <c r="L440" s="231"/>
      <c r="M440" s="231"/>
      <c r="N440" s="231"/>
      <c r="O440" s="231"/>
      <c r="P440" s="231"/>
      <c r="Q440" s="231"/>
      <c r="R440" s="231"/>
      <c r="S440" s="231"/>
      <c r="T440" s="231"/>
      <c r="U440" s="231"/>
      <c r="V440" s="231"/>
      <c r="W440" s="231"/>
      <c r="X440" s="231"/>
      <c r="Y440" s="231"/>
      <c r="Z440" s="231"/>
      <c r="AA440" s="231"/>
      <c r="AB440" s="231"/>
      <c r="AC440" s="231"/>
    </row>
    <row r="441" ht="24.75" hidden="1" customHeight="1" outlineLevel="1">
      <c r="A441" s="292">
        <v>45236.0</v>
      </c>
      <c r="B441" s="235" t="s">
        <v>801</v>
      </c>
      <c r="C441" s="235" t="s">
        <v>715</v>
      </c>
      <c r="D441" s="235" t="s">
        <v>802</v>
      </c>
      <c r="E441" s="305" t="s">
        <v>717</v>
      </c>
      <c r="F441" s="237"/>
      <c r="G441" s="237"/>
      <c r="H441" s="237" t="s">
        <v>935</v>
      </c>
      <c r="I441" s="231"/>
      <c r="J441" s="231"/>
      <c r="K441" s="231"/>
      <c r="L441" s="231"/>
      <c r="M441" s="231"/>
      <c r="N441" s="231"/>
      <c r="O441" s="231"/>
      <c r="P441" s="231"/>
      <c r="Q441" s="231"/>
      <c r="R441" s="231"/>
      <c r="S441" s="231"/>
      <c r="T441" s="231"/>
      <c r="U441" s="231"/>
      <c r="V441" s="231"/>
      <c r="W441" s="231"/>
      <c r="X441" s="231"/>
      <c r="Y441" s="231"/>
      <c r="Z441" s="231"/>
      <c r="AA441" s="231"/>
      <c r="AB441" s="231"/>
      <c r="AC441" s="231"/>
    </row>
    <row r="442" ht="24.75" customHeight="1">
      <c r="A442" s="231"/>
      <c r="B442" s="231"/>
      <c r="C442" s="231"/>
      <c r="D442" s="231"/>
      <c r="E442" s="225"/>
      <c r="F442" s="231"/>
      <c r="G442" s="231"/>
      <c r="H442" s="231"/>
      <c r="I442" s="231"/>
      <c r="J442" s="231"/>
      <c r="K442" s="231"/>
      <c r="L442" s="231"/>
      <c r="M442" s="231"/>
      <c r="N442" s="231"/>
      <c r="O442" s="231"/>
      <c r="P442" s="231"/>
      <c r="Q442" s="231"/>
      <c r="R442" s="231"/>
      <c r="S442" s="231"/>
      <c r="T442" s="231"/>
      <c r="U442" s="231"/>
      <c r="V442" s="231"/>
      <c r="W442" s="231"/>
      <c r="X442" s="231"/>
      <c r="Y442" s="231"/>
      <c r="Z442" s="231"/>
      <c r="AA442" s="231"/>
      <c r="AB442" s="231"/>
      <c r="AC442" s="231"/>
    </row>
    <row r="443" ht="24.75" customHeight="1" collapsed="1">
      <c r="A443" s="237" t="s">
        <v>959</v>
      </c>
      <c r="B443" s="231"/>
      <c r="C443" s="231"/>
      <c r="D443" s="231"/>
      <c r="E443" s="225"/>
      <c r="F443" s="231"/>
      <c r="G443" s="231"/>
      <c r="H443" s="231"/>
      <c r="I443" s="231"/>
      <c r="J443" s="231"/>
      <c r="K443" s="231"/>
      <c r="L443" s="231"/>
      <c r="M443" s="231"/>
      <c r="N443" s="231"/>
      <c r="O443" s="231"/>
      <c r="P443" s="231"/>
      <c r="Q443" s="231"/>
      <c r="R443" s="231"/>
      <c r="S443" s="231"/>
      <c r="T443" s="231"/>
      <c r="U443" s="231"/>
      <c r="V443" s="231"/>
      <c r="W443" s="231"/>
      <c r="X443" s="231"/>
      <c r="Y443" s="231"/>
      <c r="Z443" s="231"/>
      <c r="AA443" s="231"/>
      <c r="AB443" s="231"/>
      <c r="AC443" s="231"/>
    </row>
    <row r="444" ht="24.75" hidden="1" customHeight="1" outlineLevel="1">
      <c r="A444" s="329" t="s">
        <v>647</v>
      </c>
      <c r="B444" s="330" t="s">
        <v>648</v>
      </c>
      <c r="C444" s="330" t="s">
        <v>649</v>
      </c>
      <c r="D444" s="330" t="s">
        <v>650</v>
      </c>
      <c r="E444" s="330" t="s">
        <v>651</v>
      </c>
      <c r="F444" s="237"/>
      <c r="G444" s="237"/>
      <c r="H444" s="237"/>
      <c r="I444" s="231"/>
      <c r="J444" s="231"/>
      <c r="K444" s="231"/>
      <c r="L444" s="231"/>
      <c r="M444" s="231"/>
      <c r="N444" s="231"/>
      <c r="O444" s="231"/>
      <c r="P444" s="231"/>
      <c r="Q444" s="231"/>
      <c r="R444" s="231"/>
      <c r="S444" s="231"/>
      <c r="T444" s="231"/>
      <c r="U444" s="231"/>
      <c r="V444" s="231"/>
      <c r="W444" s="231"/>
      <c r="X444" s="231"/>
      <c r="Y444" s="231"/>
      <c r="Z444" s="231"/>
      <c r="AA444" s="231"/>
      <c r="AB444" s="231"/>
      <c r="AC444" s="231"/>
    </row>
    <row r="445" ht="24.75" hidden="1" customHeight="1" outlineLevel="1">
      <c r="A445" s="347">
        <v>45253.0</v>
      </c>
      <c r="B445" s="235" t="s">
        <v>745</v>
      </c>
      <c r="C445" s="358" t="s">
        <v>927</v>
      </c>
      <c r="D445" s="240" t="s">
        <v>960</v>
      </c>
      <c r="E445" s="305" t="s">
        <v>685</v>
      </c>
      <c r="F445" s="231"/>
      <c r="G445" s="231"/>
      <c r="H445" s="231"/>
      <c r="I445" s="231"/>
      <c r="J445" s="231"/>
      <c r="K445" s="231"/>
      <c r="L445" s="231"/>
      <c r="M445" s="231"/>
      <c r="N445" s="231"/>
      <c r="O445" s="231"/>
      <c r="P445" s="231"/>
      <c r="Q445" s="231"/>
      <c r="R445" s="231"/>
      <c r="S445" s="231"/>
      <c r="T445" s="231"/>
      <c r="U445" s="231"/>
      <c r="V445" s="231"/>
      <c r="W445" s="231"/>
      <c r="X445" s="231"/>
      <c r="Y445" s="231"/>
      <c r="Z445" s="231"/>
      <c r="AA445" s="231"/>
      <c r="AB445" s="231"/>
      <c r="AC445" s="231"/>
    </row>
    <row r="446" ht="24.75" hidden="1" customHeight="1" outlineLevel="1">
      <c r="A446" s="347">
        <v>45253.0</v>
      </c>
      <c r="B446" s="235" t="s">
        <v>660</v>
      </c>
      <c r="C446" s="240" t="s">
        <v>166</v>
      </c>
      <c r="D446" s="235" t="s">
        <v>802</v>
      </c>
      <c r="E446" s="305" t="s">
        <v>717</v>
      </c>
      <c r="F446" s="231"/>
      <c r="G446" s="231"/>
      <c r="H446" s="231"/>
      <c r="I446" s="231"/>
      <c r="J446" s="231"/>
      <c r="K446" s="231"/>
      <c r="L446" s="231"/>
      <c r="M446" s="231"/>
      <c r="N446" s="231"/>
      <c r="O446" s="231"/>
      <c r="P446" s="231"/>
      <c r="Q446" s="231"/>
      <c r="R446" s="231"/>
      <c r="S446" s="231"/>
      <c r="T446" s="231"/>
      <c r="U446" s="231"/>
      <c r="V446" s="231"/>
      <c r="W446" s="231"/>
      <c r="X446" s="231"/>
      <c r="Y446" s="231"/>
      <c r="Z446" s="231"/>
      <c r="AA446" s="231"/>
      <c r="AB446" s="231"/>
      <c r="AC446" s="231"/>
    </row>
    <row r="447" ht="24.75" hidden="1" customHeight="1" outlineLevel="1">
      <c r="A447" s="347">
        <v>45255.0</v>
      </c>
      <c r="B447" s="338" t="s">
        <v>695</v>
      </c>
      <c r="C447" s="358" t="s">
        <v>784</v>
      </c>
      <c r="D447" s="240" t="s">
        <v>961</v>
      </c>
      <c r="E447" s="305" t="s">
        <v>685</v>
      </c>
      <c r="F447" s="231"/>
      <c r="G447" s="231"/>
      <c r="H447" s="231"/>
      <c r="I447" s="231"/>
      <c r="J447" s="231"/>
      <c r="K447" s="231"/>
      <c r="L447" s="231"/>
      <c r="M447" s="231"/>
      <c r="N447" s="231"/>
      <c r="O447" s="231"/>
      <c r="P447" s="231"/>
      <c r="Q447" s="231"/>
      <c r="R447" s="231"/>
      <c r="S447" s="231"/>
      <c r="T447" s="231"/>
      <c r="U447" s="231"/>
      <c r="V447" s="231"/>
      <c r="W447" s="231"/>
      <c r="X447" s="231"/>
      <c r="Y447" s="231"/>
      <c r="Z447" s="231"/>
      <c r="AA447" s="231"/>
      <c r="AB447" s="231"/>
      <c r="AC447" s="231"/>
    </row>
    <row r="448" ht="24.75" hidden="1" customHeight="1" outlineLevel="1">
      <c r="A448" s="347">
        <v>45256.0</v>
      </c>
      <c r="B448" s="235" t="s">
        <v>669</v>
      </c>
      <c r="C448" s="358" t="s">
        <v>927</v>
      </c>
      <c r="D448" s="240" t="s">
        <v>962</v>
      </c>
      <c r="E448" s="305" t="s">
        <v>685</v>
      </c>
      <c r="F448" s="231"/>
      <c r="G448" s="231"/>
      <c r="H448" s="231"/>
      <c r="I448" s="231"/>
      <c r="J448" s="231"/>
      <c r="K448" s="231"/>
      <c r="L448" s="231"/>
      <c r="M448" s="231"/>
      <c r="N448" s="231"/>
      <c r="O448" s="231"/>
      <c r="P448" s="231"/>
      <c r="Q448" s="231"/>
      <c r="R448" s="231"/>
      <c r="S448" s="231"/>
      <c r="T448" s="231"/>
      <c r="U448" s="231"/>
      <c r="V448" s="231"/>
      <c r="W448" s="231"/>
      <c r="X448" s="231"/>
      <c r="Y448" s="231"/>
      <c r="Z448" s="231"/>
      <c r="AA448" s="231"/>
      <c r="AB448" s="231"/>
      <c r="AC448" s="231"/>
    </row>
    <row r="449" ht="24.75" hidden="1" customHeight="1" outlineLevel="1">
      <c r="A449" s="347">
        <v>45257.0</v>
      </c>
      <c r="B449" s="235" t="s">
        <v>753</v>
      </c>
      <c r="C449" s="261" t="s">
        <v>934</v>
      </c>
      <c r="D449" s="337" t="s">
        <v>146</v>
      </c>
      <c r="E449" s="305" t="s">
        <v>685</v>
      </c>
      <c r="F449" s="237"/>
      <c r="G449" s="237"/>
      <c r="H449" s="237" t="s">
        <v>963</v>
      </c>
      <c r="I449" s="237" t="s">
        <v>957</v>
      </c>
      <c r="J449" s="231"/>
      <c r="K449" s="231"/>
      <c r="L449" s="231"/>
      <c r="M449" s="231"/>
      <c r="N449" s="231"/>
      <c r="O449" s="231"/>
      <c r="P449" s="231"/>
      <c r="Q449" s="231"/>
      <c r="R449" s="231"/>
      <c r="S449" s="231"/>
      <c r="T449" s="231"/>
      <c r="U449" s="231"/>
      <c r="V449" s="231"/>
      <c r="W449" s="231"/>
      <c r="X449" s="231"/>
      <c r="Y449" s="231"/>
      <c r="Z449" s="231"/>
      <c r="AA449" s="231"/>
      <c r="AB449" s="231"/>
      <c r="AC449" s="231"/>
    </row>
    <row r="450" ht="24.75" hidden="1" customHeight="1" outlineLevel="1">
      <c r="A450" s="347">
        <v>45257.0</v>
      </c>
      <c r="B450" s="235" t="s">
        <v>756</v>
      </c>
      <c r="C450" s="261" t="s">
        <v>934</v>
      </c>
      <c r="D450" s="337" t="s">
        <v>146</v>
      </c>
      <c r="E450" s="305" t="s">
        <v>685</v>
      </c>
      <c r="F450" s="237"/>
      <c r="G450" s="237"/>
      <c r="H450" s="237" t="s">
        <v>963</v>
      </c>
      <c r="I450" s="237" t="s">
        <v>958</v>
      </c>
      <c r="J450" s="231"/>
      <c r="K450" s="231"/>
      <c r="L450" s="231"/>
      <c r="M450" s="231"/>
      <c r="N450" s="231"/>
      <c r="O450" s="231"/>
      <c r="P450" s="231"/>
      <c r="Q450" s="231"/>
      <c r="R450" s="231"/>
      <c r="S450" s="231"/>
      <c r="T450" s="231"/>
      <c r="U450" s="231"/>
      <c r="V450" s="231"/>
      <c r="W450" s="231"/>
      <c r="X450" s="231"/>
      <c r="Y450" s="231"/>
      <c r="Z450" s="231"/>
      <c r="AA450" s="231"/>
      <c r="AB450" s="231"/>
      <c r="AC450" s="231"/>
    </row>
    <row r="451" ht="24.75" hidden="1" customHeight="1" outlineLevel="1">
      <c r="A451" s="347">
        <v>45258.0</v>
      </c>
      <c r="B451" s="235" t="s">
        <v>736</v>
      </c>
      <c r="C451" s="358" t="s">
        <v>927</v>
      </c>
      <c r="D451" s="240" t="s">
        <v>964</v>
      </c>
      <c r="E451" s="305" t="s">
        <v>685</v>
      </c>
      <c r="F451" s="231"/>
      <c r="G451" s="231"/>
      <c r="H451" s="231"/>
      <c r="I451" s="231"/>
      <c r="J451" s="231"/>
      <c r="K451" s="231"/>
      <c r="L451" s="231"/>
      <c r="M451" s="231"/>
      <c r="N451" s="231"/>
      <c r="O451" s="231"/>
      <c r="P451" s="231"/>
      <c r="Q451" s="231"/>
      <c r="R451" s="231"/>
      <c r="S451" s="231"/>
      <c r="T451" s="231"/>
      <c r="U451" s="231"/>
      <c r="V451" s="231"/>
      <c r="W451" s="231"/>
      <c r="X451" s="231"/>
      <c r="Y451" s="231"/>
      <c r="Z451" s="231"/>
      <c r="AA451" s="231"/>
      <c r="AB451" s="231"/>
      <c r="AC451" s="231"/>
    </row>
    <row r="452" ht="24.75" hidden="1" customHeight="1" outlineLevel="1">
      <c r="A452" s="347">
        <v>45259.0</v>
      </c>
      <c r="B452" s="235" t="s">
        <v>743</v>
      </c>
      <c r="C452" s="358" t="s">
        <v>927</v>
      </c>
      <c r="D452" s="240" t="s">
        <v>965</v>
      </c>
      <c r="E452" s="305" t="s">
        <v>685</v>
      </c>
      <c r="F452" s="348"/>
      <c r="G452" s="348"/>
      <c r="H452" s="348"/>
      <c r="I452" s="231"/>
      <c r="J452" s="231"/>
      <c r="K452" s="231"/>
      <c r="L452" s="231"/>
      <c r="M452" s="231"/>
      <c r="N452" s="231"/>
      <c r="O452" s="231"/>
      <c r="P452" s="231"/>
      <c r="Q452" s="231"/>
      <c r="R452" s="231"/>
      <c r="S452" s="231"/>
      <c r="T452" s="231"/>
      <c r="U452" s="231"/>
      <c r="V452" s="231"/>
      <c r="W452" s="231"/>
      <c r="X452" s="231"/>
      <c r="Y452" s="231"/>
      <c r="Z452" s="231"/>
      <c r="AA452" s="231"/>
      <c r="AB452" s="231"/>
      <c r="AC452" s="231"/>
    </row>
    <row r="453" ht="24.75" hidden="1" customHeight="1" outlineLevel="1">
      <c r="A453" s="347">
        <v>45260.0</v>
      </c>
      <c r="B453" s="235" t="s">
        <v>745</v>
      </c>
      <c r="C453" s="358" t="s">
        <v>927</v>
      </c>
      <c r="D453" s="240" t="s">
        <v>966</v>
      </c>
      <c r="E453" s="305" t="s">
        <v>685</v>
      </c>
      <c r="F453" s="231"/>
      <c r="G453" s="231"/>
      <c r="H453" s="231"/>
      <c r="I453" s="231"/>
      <c r="J453" s="231"/>
      <c r="K453" s="231"/>
      <c r="L453" s="231"/>
      <c r="M453" s="231"/>
      <c r="N453" s="231"/>
      <c r="O453" s="231"/>
      <c r="P453" s="231"/>
      <c r="Q453" s="231"/>
      <c r="R453" s="231"/>
      <c r="S453" s="231"/>
      <c r="T453" s="231"/>
      <c r="U453" s="231"/>
      <c r="V453" s="231"/>
      <c r="W453" s="231"/>
      <c r="X453" s="231"/>
      <c r="Y453" s="231"/>
      <c r="Z453" s="231"/>
      <c r="AA453" s="231"/>
      <c r="AB453" s="231"/>
      <c r="AC453" s="231"/>
    </row>
    <row r="454" ht="24.75" customHeight="1">
      <c r="A454" s="237"/>
      <c r="B454" s="231"/>
      <c r="C454" s="231"/>
      <c r="D454" s="231"/>
      <c r="E454" s="225"/>
      <c r="F454" s="231"/>
      <c r="G454" s="231"/>
      <c r="H454" s="231"/>
      <c r="I454" s="231"/>
      <c r="J454" s="231"/>
      <c r="K454" s="231"/>
      <c r="L454" s="231"/>
      <c r="M454" s="231"/>
      <c r="N454" s="231"/>
      <c r="O454" s="231"/>
      <c r="P454" s="231"/>
      <c r="Q454" s="231"/>
      <c r="R454" s="231"/>
      <c r="S454" s="231"/>
      <c r="T454" s="231"/>
      <c r="U454" s="231"/>
      <c r="V454" s="231"/>
      <c r="W454" s="231"/>
      <c r="X454" s="231"/>
      <c r="Y454" s="231"/>
      <c r="Z454" s="231"/>
      <c r="AA454" s="231"/>
      <c r="AB454" s="231"/>
      <c r="AC454" s="231"/>
    </row>
    <row r="455" ht="24.75" customHeight="1" collapsed="1">
      <c r="A455" s="324" t="s">
        <v>967</v>
      </c>
      <c r="B455" s="231"/>
      <c r="C455" s="231"/>
      <c r="D455" s="231"/>
      <c r="E455" s="225"/>
      <c r="F455" s="231"/>
      <c r="G455" s="231"/>
      <c r="H455" s="231"/>
      <c r="I455" s="231"/>
      <c r="J455" s="231"/>
      <c r="K455" s="231"/>
      <c r="L455" s="231"/>
      <c r="M455" s="231"/>
      <c r="N455" s="231"/>
      <c r="O455" s="231"/>
      <c r="P455" s="231"/>
      <c r="Q455" s="231"/>
      <c r="R455" s="231"/>
      <c r="S455" s="231"/>
      <c r="T455" s="231"/>
      <c r="U455" s="231"/>
      <c r="V455" s="231"/>
      <c r="W455" s="231"/>
      <c r="X455" s="231"/>
      <c r="Y455" s="231"/>
      <c r="Z455" s="231"/>
      <c r="AA455" s="231"/>
      <c r="AB455" s="231"/>
      <c r="AC455" s="231"/>
    </row>
    <row r="456" ht="24.75" hidden="1" customHeight="1" outlineLevel="1">
      <c r="A456" s="329" t="s">
        <v>647</v>
      </c>
      <c r="B456" s="330" t="s">
        <v>648</v>
      </c>
      <c r="C456" s="330" t="s">
        <v>649</v>
      </c>
      <c r="D456" s="330" t="s">
        <v>650</v>
      </c>
      <c r="E456" s="330" t="s">
        <v>651</v>
      </c>
      <c r="F456" s="231"/>
      <c r="G456" s="231"/>
      <c r="H456" s="231"/>
      <c r="I456" s="231"/>
      <c r="J456" s="231"/>
      <c r="K456" s="231"/>
      <c r="L456" s="231"/>
      <c r="M456" s="231"/>
      <c r="N456" s="231"/>
      <c r="O456" s="231"/>
      <c r="P456" s="231"/>
      <c r="Q456" s="231"/>
      <c r="R456" s="231"/>
      <c r="S456" s="231"/>
      <c r="T456" s="231"/>
      <c r="U456" s="231"/>
      <c r="V456" s="231"/>
      <c r="W456" s="231"/>
      <c r="X456" s="231"/>
      <c r="Y456" s="231"/>
      <c r="Z456" s="231"/>
      <c r="AA456" s="231"/>
      <c r="AB456" s="231"/>
      <c r="AC456" s="231"/>
    </row>
    <row r="457" ht="39.0" hidden="1" customHeight="1" outlineLevel="1">
      <c r="A457" s="292">
        <v>45289.0</v>
      </c>
      <c r="B457" s="235" t="s">
        <v>714</v>
      </c>
      <c r="C457" s="358" t="s">
        <v>715</v>
      </c>
      <c r="D457" s="297" t="s">
        <v>778</v>
      </c>
      <c r="E457" s="305" t="s">
        <v>717</v>
      </c>
      <c r="F457" s="231"/>
      <c r="G457" s="231"/>
      <c r="H457" s="231"/>
      <c r="I457" s="237" t="s">
        <v>922</v>
      </c>
      <c r="J457" s="231"/>
      <c r="K457" s="231"/>
      <c r="L457" s="231"/>
      <c r="M457" s="231"/>
      <c r="N457" s="231"/>
      <c r="O457" s="231"/>
      <c r="P457" s="231"/>
      <c r="Q457" s="231"/>
      <c r="R457" s="231"/>
      <c r="S457" s="231"/>
      <c r="T457" s="231"/>
      <c r="U457" s="231"/>
      <c r="V457" s="231"/>
      <c r="W457" s="231"/>
      <c r="X457" s="231"/>
      <c r="Y457" s="231"/>
      <c r="Z457" s="231"/>
      <c r="AA457" s="231"/>
      <c r="AB457" s="231"/>
      <c r="AC457" s="231"/>
    </row>
    <row r="458" ht="24.75" hidden="1" customHeight="1" outlineLevel="1">
      <c r="A458" s="292">
        <v>45289.0</v>
      </c>
      <c r="B458" s="235" t="s">
        <v>663</v>
      </c>
      <c r="C458" s="358" t="s">
        <v>901</v>
      </c>
      <c r="D458" s="358" t="s">
        <v>662</v>
      </c>
      <c r="E458" s="305" t="s">
        <v>717</v>
      </c>
      <c r="F458" s="237"/>
      <c r="G458" s="237"/>
      <c r="H458" s="237"/>
      <c r="I458" s="237"/>
      <c r="J458" s="231"/>
      <c r="K458" s="231"/>
      <c r="L458" s="231"/>
      <c r="M458" s="231"/>
      <c r="N458" s="231"/>
      <c r="O458" s="231"/>
      <c r="P458" s="231"/>
      <c r="Q458" s="231"/>
      <c r="R458" s="231"/>
      <c r="S458" s="231"/>
      <c r="T458" s="231"/>
      <c r="U458" s="231"/>
      <c r="V458" s="231"/>
      <c r="W458" s="231"/>
      <c r="X458" s="231"/>
      <c r="Y458" s="231"/>
      <c r="Z458" s="231"/>
      <c r="AA458" s="231"/>
      <c r="AB458" s="231"/>
      <c r="AC458" s="231"/>
    </row>
    <row r="459" ht="24.75" hidden="1" customHeight="1" outlineLevel="1">
      <c r="A459" s="292">
        <v>45289.0</v>
      </c>
      <c r="B459" s="235" t="s">
        <v>35</v>
      </c>
      <c r="C459" s="235" t="s">
        <v>715</v>
      </c>
      <c r="D459" s="358" t="s">
        <v>662</v>
      </c>
      <c r="E459" s="305" t="s">
        <v>717</v>
      </c>
      <c r="F459" s="237"/>
      <c r="G459" s="237"/>
      <c r="H459" s="237"/>
      <c r="I459" s="231"/>
      <c r="J459" s="231"/>
      <c r="K459" s="231"/>
      <c r="L459" s="231"/>
      <c r="M459" s="231"/>
      <c r="N459" s="231"/>
      <c r="O459" s="231"/>
      <c r="P459" s="231"/>
      <c r="Q459" s="231"/>
      <c r="R459" s="231"/>
      <c r="S459" s="231"/>
      <c r="T459" s="231"/>
      <c r="U459" s="231"/>
      <c r="V459" s="231"/>
      <c r="W459" s="231"/>
      <c r="X459" s="231"/>
      <c r="Y459" s="231"/>
      <c r="Z459" s="231"/>
      <c r="AA459" s="231"/>
      <c r="AB459" s="231"/>
      <c r="AC459" s="231"/>
    </row>
    <row r="460" ht="24.75" hidden="1" customHeight="1" outlineLevel="1">
      <c r="A460" s="292">
        <v>45290.0</v>
      </c>
      <c r="B460" s="235" t="s">
        <v>720</v>
      </c>
      <c r="C460" s="358" t="s">
        <v>741</v>
      </c>
      <c r="D460" s="337" t="s">
        <v>146</v>
      </c>
      <c r="E460" s="305" t="s">
        <v>685</v>
      </c>
      <c r="F460" s="231"/>
      <c r="G460" s="231"/>
      <c r="H460" s="231"/>
      <c r="I460" s="231"/>
      <c r="J460" s="231"/>
      <c r="K460" s="231"/>
      <c r="L460" s="231"/>
      <c r="M460" s="231"/>
      <c r="N460" s="231"/>
      <c r="O460" s="231"/>
      <c r="P460" s="231"/>
      <c r="Q460" s="231"/>
      <c r="R460" s="231"/>
      <c r="S460" s="231"/>
      <c r="T460" s="231"/>
      <c r="U460" s="231"/>
      <c r="V460" s="231"/>
      <c r="W460" s="231"/>
      <c r="X460" s="231"/>
      <c r="Y460" s="231"/>
      <c r="Z460" s="231"/>
      <c r="AA460" s="231"/>
      <c r="AB460" s="231"/>
      <c r="AC460" s="231"/>
    </row>
    <row r="461" ht="24.75" hidden="1" customHeight="1" outlineLevel="1">
      <c r="A461" s="292">
        <v>45290.0</v>
      </c>
      <c r="B461" s="338" t="s">
        <v>692</v>
      </c>
      <c r="C461" s="358" t="s">
        <v>968</v>
      </c>
      <c r="D461" s="359" t="s">
        <v>969</v>
      </c>
      <c r="E461" s="305" t="s">
        <v>685</v>
      </c>
      <c r="F461" s="237"/>
      <c r="G461" s="237"/>
      <c r="H461" s="237" t="s">
        <v>970</v>
      </c>
      <c r="I461" s="237"/>
      <c r="J461" s="231"/>
      <c r="K461" s="231"/>
      <c r="L461" s="231"/>
      <c r="M461" s="231"/>
      <c r="N461" s="231"/>
      <c r="O461" s="231"/>
      <c r="P461" s="231"/>
      <c r="Q461" s="231"/>
      <c r="R461" s="231"/>
      <c r="S461" s="231"/>
      <c r="T461" s="231"/>
      <c r="U461" s="231"/>
      <c r="V461" s="231"/>
      <c r="W461" s="231"/>
      <c r="X461" s="231"/>
      <c r="Y461" s="231"/>
      <c r="Z461" s="231"/>
      <c r="AA461" s="231"/>
      <c r="AB461" s="231"/>
      <c r="AC461" s="231"/>
    </row>
    <row r="462" ht="24.75" hidden="1" customHeight="1" outlineLevel="1">
      <c r="A462" s="292">
        <v>45290.0</v>
      </c>
      <c r="B462" s="338" t="s">
        <v>695</v>
      </c>
      <c r="C462" s="358" t="s">
        <v>784</v>
      </c>
      <c r="D462" s="240" t="s">
        <v>971</v>
      </c>
      <c r="E462" s="305" t="s">
        <v>685</v>
      </c>
      <c r="F462" s="231"/>
      <c r="G462" s="231"/>
      <c r="H462" s="231"/>
      <c r="I462" s="231"/>
      <c r="J462" s="231"/>
      <c r="K462" s="231"/>
      <c r="L462" s="231"/>
      <c r="M462" s="231"/>
      <c r="N462" s="231"/>
      <c r="O462" s="231"/>
      <c r="P462" s="231"/>
      <c r="Q462" s="231"/>
      <c r="R462" s="231"/>
      <c r="S462" s="231"/>
      <c r="T462" s="231"/>
      <c r="U462" s="231"/>
      <c r="V462" s="231"/>
      <c r="W462" s="231"/>
      <c r="X462" s="231"/>
      <c r="Y462" s="231"/>
      <c r="Z462" s="231"/>
      <c r="AA462" s="231"/>
      <c r="AB462" s="231"/>
      <c r="AC462" s="231"/>
    </row>
    <row r="463" ht="24.75" hidden="1" customHeight="1" outlineLevel="1">
      <c r="A463" s="292">
        <v>45290.0</v>
      </c>
      <c r="B463" s="235" t="s">
        <v>691</v>
      </c>
      <c r="C463" s="358" t="s">
        <v>715</v>
      </c>
      <c r="D463" s="359" t="s">
        <v>972</v>
      </c>
      <c r="E463" s="305" t="s">
        <v>717</v>
      </c>
      <c r="I463" s="231"/>
      <c r="J463" s="231"/>
      <c r="K463" s="231"/>
      <c r="L463" s="231"/>
      <c r="M463" s="231"/>
      <c r="N463" s="231"/>
      <c r="O463" s="231"/>
      <c r="P463" s="231"/>
      <c r="Q463" s="231"/>
      <c r="R463" s="231"/>
      <c r="S463" s="231"/>
      <c r="T463" s="231"/>
      <c r="U463" s="231"/>
      <c r="V463" s="231"/>
      <c r="W463" s="231"/>
      <c r="X463" s="231"/>
      <c r="Y463" s="231"/>
      <c r="Z463" s="231"/>
      <c r="AA463" s="231"/>
      <c r="AB463" s="231"/>
      <c r="AC463" s="231"/>
    </row>
    <row r="464" ht="24.75" hidden="1" customHeight="1" outlineLevel="1">
      <c r="A464" s="292">
        <v>45291.0</v>
      </c>
      <c r="B464" s="235" t="s">
        <v>669</v>
      </c>
      <c r="C464" s="358" t="s">
        <v>927</v>
      </c>
      <c r="D464" s="240" t="s">
        <v>973</v>
      </c>
      <c r="E464" s="305" t="s">
        <v>685</v>
      </c>
      <c r="F464" s="231"/>
      <c r="G464" s="231"/>
      <c r="H464" s="231"/>
      <c r="I464" s="231"/>
      <c r="J464" s="231"/>
      <c r="K464" s="231"/>
      <c r="L464" s="231"/>
      <c r="M464" s="231"/>
      <c r="N464" s="231"/>
      <c r="O464" s="231"/>
      <c r="P464" s="231"/>
      <c r="Q464" s="231"/>
      <c r="R464" s="231"/>
      <c r="S464" s="231"/>
      <c r="T464" s="231"/>
      <c r="U464" s="231"/>
      <c r="V464" s="231"/>
      <c r="W464" s="231"/>
      <c r="X464" s="231"/>
      <c r="Y464" s="231"/>
      <c r="Z464" s="231"/>
      <c r="AA464" s="231"/>
      <c r="AB464" s="231"/>
      <c r="AC464" s="231"/>
    </row>
    <row r="465" ht="24.75" hidden="1" customHeight="1" outlineLevel="1">
      <c r="A465" s="292">
        <v>45291.0</v>
      </c>
      <c r="B465" s="235" t="s">
        <v>671</v>
      </c>
      <c r="C465" s="358" t="s">
        <v>741</v>
      </c>
      <c r="D465" s="337" t="s">
        <v>974</v>
      </c>
      <c r="E465" s="305" t="s">
        <v>685</v>
      </c>
      <c r="F465" s="360"/>
      <c r="G465" s="360"/>
      <c r="H465" s="360"/>
      <c r="I465" s="237"/>
      <c r="J465" s="231"/>
      <c r="K465" s="231"/>
      <c r="L465" s="231"/>
      <c r="M465" s="231"/>
      <c r="N465" s="231"/>
      <c r="O465" s="231"/>
      <c r="P465" s="231"/>
      <c r="Q465" s="231"/>
      <c r="R465" s="231"/>
      <c r="S465" s="231"/>
      <c r="T465" s="231"/>
      <c r="U465" s="231"/>
      <c r="V465" s="231"/>
      <c r="W465" s="231"/>
      <c r="X465" s="231"/>
      <c r="Y465" s="231"/>
      <c r="Z465" s="231"/>
      <c r="AA465" s="231"/>
      <c r="AB465" s="231"/>
      <c r="AC465" s="231"/>
    </row>
    <row r="466" ht="24.75" hidden="1" customHeight="1" outlineLevel="1">
      <c r="A466" s="292">
        <v>45291.0</v>
      </c>
      <c r="B466" s="235" t="s">
        <v>728</v>
      </c>
      <c r="C466" s="358" t="s">
        <v>975</v>
      </c>
      <c r="D466" s="337" t="s">
        <v>976</v>
      </c>
      <c r="E466" s="305" t="s">
        <v>685</v>
      </c>
      <c r="F466" s="237"/>
      <c r="G466" s="237"/>
      <c r="H466" s="237" t="s">
        <v>932</v>
      </c>
      <c r="I466" s="231"/>
      <c r="J466" s="231"/>
      <c r="K466" s="231"/>
      <c r="L466" s="231"/>
      <c r="M466" s="231"/>
      <c r="N466" s="231"/>
      <c r="O466" s="231"/>
      <c r="P466" s="231"/>
      <c r="Q466" s="231"/>
      <c r="R466" s="231"/>
      <c r="S466" s="231"/>
      <c r="T466" s="231"/>
      <c r="U466" s="231"/>
      <c r="V466" s="231"/>
      <c r="W466" s="231"/>
      <c r="X466" s="231"/>
      <c r="Y466" s="231"/>
      <c r="Z466" s="231"/>
      <c r="AA466" s="231"/>
      <c r="AB466" s="231"/>
      <c r="AC466" s="231"/>
    </row>
    <row r="467" ht="24.75" hidden="1" customHeight="1" outlineLevel="1">
      <c r="A467" s="292">
        <v>45292.0</v>
      </c>
      <c r="B467" s="235" t="s">
        <v>731</v>
      </c>
      <c r="C467" s="358" t="s">
        <v>784</v>
      </c>
      <c r="D467" s="337" t="s">
        <v>977</v>
      </c>
      <c r="E467" s="305" t="s">
        <v>685</v>
      </c>
      <c r="F467" s="237"/>
      <c r="G467" s="237"/>
      <c r="H467" s="237"/>
      <c r="I467" s="231"/>
      <c r="J467" s="231"/>
      <c r="K467" s="231"/>
      <c r="L467" s="231"/>
      <c r="M467" s="231"/>
      <c r="N467" s="231"/>
      <c r="O467" s="231"/>
      <c r="P467" s="231"/>
      <c r="Q467" s="231"/>
      <c r="R467" s="231"/>
      <c r="S467" s="231"/>
      <c r="T467" s="231"/>
      <c r="U467" s="231"/>
      <c r="V467" s="231"/>
      <c r="W467" s="231"/>
      <c r="X467" s="231"/>
      <c r="Y467" s="231"/>
      <c r="Z467" s="231"/>
      <c r="AA467" s="231"/>
      <c r="AB467" s="231"/>
      <c r="AC467" s="231"/>
    </row>
    <row r="468" ht="24.75" hidden="1" customHeight="1" outlineLevel="1">
      <c r="A468" s="292">
        <v>45292.0</v>
      </c>
      <c r="B468" s="235" t="s">
        <v>753</v>
      </c>
      <c r="C468" s="261" t="s">
        <v>934</v>
      </c>
      <c r="D468" s="337" t="s">
        <v>978</v>
      </c>
      <c r="E468" s="305" t="s">
        <v>685</v>
      </c>
      <c r="F468" s="237"/>
      <c r="G468" s="237"/>
      <c r="H468" s="237" t="s">
        <v>979</v>
      </c>
      <c r="I468" s="237" t="s">
        <v>957</v>
      </c>
      <c r="J468" s="231"/>
      <c r="K468" s="231"/>
      <c r="L468" s="231"/>
      <c r="M468" s="231"/>
      <c r="N468" s="231"/>
      <c r="O468" s="231"/>
      <c r="P468" s="231"/>
      <c r="Q468" s="231"/>
      <c r="R468" s="231"/>
      <c r="S468" s="231"/>
      <c r="T468" s="231"/>
      <c r="U468" s="231"/>
      <c r="V468" s="231"/>
      <c r="W468" s="231"/>
      <c r="X468" s="231"/>
      <c r="Y468" s="231"/>
      <c r="Z468" s="231"/>
      <c r="AA468" s="231"/>
      <c r="AB468" s="231"/>
      <c r="AC468" s="231"/>
    </row>
    <row r="469" ht="24.75" hidden="1" customHeight="1" outlineLevel="1">
      <c r="A469" s="292">
        <v>45292.0</v>
      </c>
      <c r="B469" s="235" t="s">
        <v>756</v>
      </c>
      <c r="C469" s="261" t="s">
        <v>934</v>
      </c>
      <c r="D469" s="337" t="s">
        <v>980</v>
      </c>
      <c r="E469" s="305" t="s">
        <v>685</v>
      </c>
      <c r="F469" s="237"/>
      <c r="G469" s="237"/>
      <c r="H469" s="237" t="s">
        <v>979</v>
      </c>
      <c r="I469" s="237" t="s">
        <v>958</v>
      </c>
      <c r="J469" s="231"/>
      <c r="K469" s="231"/>
      <c r="L469" s="231"/>
      <c r="M469" s="231"/>
      <c r="N469" s="231"/>
      <c r="O469" s="231"/>
      <c r="P469" s="231"/>
      <c r="Q469" s="231"/>
      <c r="R469" s="231"/>
      <c r="S469" s="231"/>
      <c r="T469" s="231"/>
      <c r="U469" s="231"/>
      <c r="V469" s="231"/>
      <c r="W469" s="231"/>
      <c r="X469" s="231"/>
      <c r="Y469" s="231"/>
      <c r="Z469" s="231"/>
      <c r="AA469" s="231"/>
      <c r="AB469" s="231"/>
      <c r="AC469" s="231"/>
    </row>
    <row r="470" ht="24.75" hidden="1" customHeight="1" outlineLevel="1">
      <c r="A470" s="292">
        <v>45292.0</v>
      </c>
      <c r="B470" s="235" t="s">
        <v>801</v>
      </c>
      <c r="C470" s="235" t="s">
        <v>715</v>
      </c>
      <c r="D470" s="337" t="s">
        <v>981</v>
      </c>
      <c r="E470" s="305" t="s">
        <v>717</v>
      </c>
      <c r="F470" s="237"/>
      <c r="G470" s="237"/>
      <c r="H470" s="237" t="s">
        <v>982</v>
      </c>
      <c r="I470" s="231"/>
      <c r="J470" s="231"/>
      <c r="K470" s="231"/>
      <c r="L470" s="231"/>
      <c r="M470" s="231"/>
      <c r="N470" s="231"/>
      <c r="O470" s="231"/>
      <c r="P470" s="231"/>
      <c r="Q470" s="231"/>
      <c r="R470" s="231"/>
      <c r="S470" s="231"/>
      <c r="T470" s="231"/>
      <c r="U470" s="231"/>
      <c r="V470" s="231"/>
      <c r="W470" s="231"/>
      <c r="X470" s="231"/>
      <c r="Y470" s="231"/>
      <c r="Z470" s="231"/>
      <c r="AA470" s="231"/>
      <c r="AB470" s="231"/>
      <c r="AC470" s="231"/>
    </row>
    <row r="471" ht="24.75" hidden="1" customHeight="1" outlineLevel="1">
      <c r="A471" s="347">
        <v>45293.0</v>
      </c>
      <c r="B471" s="235" t="s">
        <v>35</v>
      </c>
      <c r="C471" s="235" t="s">
        <v>715</v>
      </c>
      <c r="D471" s="358" t="s">
        <v>662</v>
      </c>
      <c r="E471" s="305" t="s">
        <v>717</v>
      </c>
      <c r="F471" s="237"/>
      <c r="G471" s="237"/>
      <c r="H471" s="237"/>
      <c r="I471" s="231"/>
      <c r="J471" s="231"/>
      <c r="K471" s="231"/>
      <c r="L471" s="231"/>
      <c r="M471" s="231"/>
      <c r="N471" s="231"/>
      <c r="O471" s="231"/>
      <c r="P471" s="231"/>
      <c r="Q471" s="231"/>
      <c r="R471" s="231"/>
      <c r="S471" s="231"/>
      <c r="T471" s="231"/>
      <c r="U471" s="231"/>
      <c r="V471" s="231"/>
      <c r="W471" s="231"/>
      <c r="X471" s="231"/>
      <c r="Y471" s="231"/>
      <c r="Z471" s="231"/>
      <c r="AA471" s="231"/>
      <c r="AB471" s="231"/>
      <c r="AC471" s="231"/>
    </row>
    <row r="472" ht="39.0" hidden="1" customHeight="1" outlineLevel="1">
      <c r="A472" s="347">
        <v>45293.0</v>
      </c>
      <c r="B472" s="235" t="s">
        <v>714</v>
      </c>
      <c r="C472" s="358" t="s">
        <v>715</v>
      </c>
      <c r="D472" s="297" t="s">
        <v>778</v>
      </c>
      <c r="E472" s="305" t="s">
        <v>717</v>
      </c>
      <c r="F472" s="231"/>
      <c r="G472" s="231"/>
      <c r="H472" s="231"/>
      <c r="I472" s="237" t="s">
        <v>922</v>
      </c>
      <c r="J472" s="231"/>
      <c r="K472" s="231"/>
      <c r="L472" s="231"/>
      <c r="M472" s="231"/>
      <c r="N472" s="231"/>
      <c r="O472" s="231"/>
      <c r="P472" s="231"/>
      <c r="Q472" s="231"/>
      <c r="R472" s="231"/>
      <c r="S472" s="231"/>
      <c r="T472" s="231"/>
      <c r="U472" s="231"/>
      <c r="V472" s="231"/>
      <c r="W472" s="231"/>
      <c r="X472" s="231"/>
      <c r="Y472" s="231"/>
      <c r="Z472" s="231"/>
      <c r="AA472" s="231"/>
      <c r="AB472" s="231"/>
      <c r="AC472" s="231"/>
    </row>
    <row r="473" ht="24.75" hidden="1" customHeight="1" outlineLevel="1">
      <c r="A473" s="347">
        <v>45293.0</v>
      </c>
      <c r="B473" s="235" t="s">
        <v>808</v>
      </c>
      <c r="C473" s="261" t="s">
        <v>715</v>
      </c>
      <c r="D473" s="235" t="s">
        <v>802</v>
      </c>
      <c r="E473" s="305" t="s">
        <v>717</v>
      </c>
      <c r="F473" s="237"/>
      <c r="G473" s="237"/>
      <c r="H473" s="237" t="s">
        <v>809</v>
      </c>
      <c r="I473" s="231"/>
      <c r="J473" s="231"/>
      <c r="K473" s="231"/>
      <c r="L473" s="231"/>
      <c r="M473" s="231"/>
      <c r="N473" s="231"/>
      <c r="O473" s="231"/>
      <c r="P473" s="231"/>
      <c r="Q473" s="231"/>
      <c r="R473" s="231"/>
      <c r="S473" s="231"/>
      <c r="T473" s="231"/>
      <c r="U473" s="231"/>
      <c r="V473" s="231"/>
      <c r="W473" s="231"/>
      <c r="X473" s="231"/>
      <c r="Y473" s="231"/>
      <c r="Z473" s="231"/>
      <c r="AA473" s="231"/>
      <c r="AB473" s="231"/>
      <c r="AC473" s="231"/>
    </row>
    <row r="474" ht="24.75" hidden="1" customHeight="1" outlineLevel="1">
      <c r="A474" s="347">
        <v>45293.0</v>
      </c>
      <c r="B474" s="235" t="s">
        <v>736</v>
      </c>
      <c r="C474" s="358" t="s">
        <v>927</v>
      </c>
      <c r="D474" s="240" t="s">
        <v>983</v>
      </c>
      <c r="E474" s="305" t="s">
        <v>685</v>
      </c>
      <c r="F474" s="231"/>
      <c r="G474" s="231"/>
      <c r="H474" s="231"/>
      <c r="I474" s="231"/>
      <c r="J474" s="231"/>
      <c r="K474" s="231"/>
      <c r="L474" s="231"/>
      <c r="M474" s="231"/>
      <c r="N474" s="231"/>
      <c r="O474" s="231"/>
      <c r="P474" s="231"/>
      <c r="Q474" s="231"/>
      <c r="R474" s="231"/>
      <c r="S474" s="231"/>
      <c r="T474" s="231"/>
      <c r="U474" s="231"/>
      <c r="V474" s="231"/>
      <c r="W474" s="231"/>
      <c r="X474" s="231"/>
      <c r="Y474" s="231"/>
      <c r="Z474" s="231"/>
      <c r="AA474" s="231"/>
      <c r="AB474" s="231"/>
      <c r="AC474" s="231"/>
    </row>
    <row r="475" ht="24.75" hidden="1" customHeight="1" outlineLevel="1">
      <c r="A475" s="347">
        <v>45294.0</v>
      </c>
      <c r="B475" s="235" t="s">
        <v>743</v>
      </c>
      <c r="C475" s="358" t="s">
        <v>927</v>
      </c>
      <c r="D475" s="240" t="s">
        <v>984</v>
      </c>
      <c r="E475" s="305" t="s">
        <v>685</v>
      </c>
      <c r="F475" s="348"/>
      <c r="G475" s="348"/>
      <c r="H475" s="348"/>
      <c r="I475" s="231"/>
      <c r="J475" s="231"/>
      <c r="K475" s="231"/>
      <c r="L475" s="231"/>
      <c r="M475" s="231"/>
      <c r="N475" s="231"/>
      <c r="O475" s="231"/>
      <c r="P475" s="231"/>
      <c r="Q475" s="231"/>
      <c r="R475" s="231"/>
      <c r="S475" s="231"/>
      <c r="T475" s="231"/>
      <c r="U475" s="231"/>
      <c r="V475" s="231"/>
      <c r="W475" s="231"/>
      <c r="X475" s="231"/>
      <c r="Y475" s="231"/>
      <c r="Z475" s="231"/>
      <c r="AA475" s="231"/>
      <c r="AB475" s="231"/>
      <c r="AC475" s="231"/>
    </row>
    <row r="476" ht="24.75" hidden="1" customHeight="1" outlineLevel="1">
      <c r="A476" s="347">
        <v>45294.0</v>
      </c>
      <c r="B476" s="235" t="s">
        <v>680</v>
      </c>
      <c r="C476" s="358" t="s">
        <v>715</v>
      </c>
      <c r="D476" s="359" t="s">
        <v>985</v>
      </c>
      <c r="E476" s="305" t="s">
        <v>717</v>
      </c>
      <c r="F476" s="231"/>
      <c r="G476" s="231"/>
      <c r="H476" s="231"/>
      <c r="I476" s="231"/>
      <c r="J476" s="231"/>
      <c r="K476" s="231"/>
      <c r="L476" s="231"/>
      <c r="M476" s="231"/>
      <c r="N476" s="231"/>
      <c r="O476" s="231"/>
      <c r="P476" s="231"/>
      <c r="Q476" s="231"/>
      <c r="R476" s="231"/>
      <c r="S476" s="231"/>
      <c r="T476" s="231"/>
      <c r="U476" s="231"/>
      <c r="V476" s="231"/>
      <c r="W476" s="231"/>
      <c r="X476" s="231"/>
      <c r="Y476" s="231"/>
      <c r="Z476" s="231"/>
      <c r="AA476" s="231"/>
      <c r="AB476" s="231"/>
      <c r="AC476" s="231"/>
    </row>
    <row r="477" ht="24.75" hidden="1" customHeight="1" outlineLevel="1">
      <c r="A477" s="347">
        <v>45294.0</v>
      </c>
      <c r="B477" s="235" t="s">
        <v>708</v>
      </c>
      <c r="C477" s="358" t="s">
        <v>784</v>
      </c>
      <c r="D477" s="337" t="s">
        <v>146</v>
      </c>
      <c r="E477" s="305" t="s">
        <v>685</v>
      </c>
      <c r="F477" s="231"/>
      <c r="G477" s="231"/>
      <c r="H477" s="231"/>
      <c r="I477" s="231"/>
      <c r="J477" s="231"/>
      <c r="K477" s="231"/>
      <c r="L477" s="231"/>
      <c r="M477" s="231"/>
      <c r="N477" s="231"/>
      <c r="O477" s="231"/>
      <c r="P477" s="231"/>
      <c r="Q477" s="231"/>
      <c r="R477" s="231"/>
      <c r="S477" s="231"/>
      <c r="T477" s="231"/>
      <c r="U477" s="231"/>
      <c r="V477" s="231"/>
      <c r="W477" s="231"/>
      <c r="X477" s="231"/>
      <c r="Y477" s="231"/>
      <c r="Z477" s="231"/>
      <c r="AA477" s="231"/>
      <c r="AB477" s="231"/>
      <c r="AC477" s="231"/>
    </row>
    <row r="478" ht="24.75" hidden="1" customHeight="1" outlineLevel="1">
      <c r="A478" s="347">
        <v>45294.0</v>
      </c>
      <c r="B478" s="235" t="s">
        <v>740</v>
      </c>
      <c r="C478" s="358" t="s">
        <v>741</v>
      </c>
      <c r="D478" s="337" t="s">
        <v>146</v>
      </c>
      <c r="E478" s="305" t="s">
        <v>685</v>
      </c>
      <c r="F478" s="231"/>
      <c r="G478" s="231"/>
      <c r="H478" s="231"/>
      <c r="I478" s="231"/>
      <c r="J478" s="231"/>
      <c r="K478" s="231"/>
      <c r="L478" s="231"/>
      <c r="M478" s="231"/>
      <c r="N478" s="231"/>
      <c r="O478" s="231"/>
      <c r="P478" s="231"/>
      <c r="Q478" s="231"/>
      <c r="R478" s="231"/>
      <c r="S478" s="231"/>
      <c r="T478" s="231"/>
      <c r="U478" s="231"/>
      <c r="V478" s="231"/>
      <c r="W478" s="231"/>
      <c r="X478" s="231"/>
      <c r="Y478" s="231"/>
      <c r="Z478" s="231"/>
      <c r="AA478" s="231"/>
      <c r="AB478" s="231"/>
      <c r="AC478" s="231"/>
    </row>
    <row r="479" ht="24.75" hidden="1" customHeight="1" outlineLevel="1">
      <c r="A479" s="347">
        <v>45294.0</v>
      </c>
      <c r="B479" s="235" t="s">
        <v>686</v>
      </c>
      <c r="C479" s="235" t="s">
        <v>939</v>
      </c>
      <c r="D479" s="359" t="s">
        <v>986</v>
      </c>
      <c r="E479" s="305" t="s">
        <v>685</v>
      </c>
      <c r="F479" s="237"/>
      <c r="G479" s="237"/>
      <c r="H479" s="237" t="s">
        <v>979</v>
      </c>
      <c r="I479" s="237" t="s">
        <v>987</v>
      </c>
      <c r="J479" s="231"/>
      <c r="K479" s="231"/>
      <c r="L479" s="231"/>
      <c r="M479" s="231"/>
      <c r="N479" s="231"/>
      <c r="O479" s="231"/>
      <c r="P479" s="231"/>
      <c r="Q479" s="231"/>
      <c r="R479" s="231"/>
      <c r="S479" s="231"/>
      <c r="T479" s="231"/>
      <c r="U479" s="231"/>
      <c r="V479" s="231"/>
      <c r="W479" s="231"/>
      <c r="X479" s="231"/>
      <c r="Y479" s="231"/>
      <c r="Z479" s="231"/>
      <c r="AA479" s="231"/>
      <c r="AB479" s="231"/>
      <c r="AC479" s="231"/>
    </row>
    <row r="480" ht="24.75" hidden="1" customHeight="1" outlineLevel="1">
      <c r="A480" s="347">
        <v>45295.0</v>
      </c>
      <c r="B480" s="235" t="s">
        <v>745</v>
      </c>
      <c r="C480" s="358" t="s">
        <v>927</v>
      </c>
      <c r="D480" s="240" t="s">
        <v>988</v>
      </c>
      <c r="E480" s="305" t="s">
        <v>685</v>
      </c>
      <c r="F480" s="231"/>
      <c r="G480" s="231"/>
      <c r="H480" s="231"/>
      <c r="I480" s="231"/>
      <c r="J480" s="231"/>
      <c r="K480" s="231"/>
      <c r="L480" s="231"/>
      <c r="M480" s="231"/>
      <c r="N480" s="231"/>
      <c r="O480" s="231"/>
      <c r="P480" s="231"/>
      <c r="Q480" s="231"/>
      <c r="R480" s="231"/>
      <c r="S480" s="231"/>
      <c r="T480" s="231"/>
      <c r="U480" s="231"/>
      <c r="V480" s="231"/>
      <c r="W480" s="231"/>
      <c r="X480" s="231"/>
      <c r="Y480" s="231"/>
      <c r="Z480" s="231"/>
      <c r="AA480" s="231"/>
      <c r="AB480" s="231"/>
      <c r="AC480" s="231"/>
    </row>
    <row r="481" ht="39.0" hidden="1" customHeight="1" outlineLevel="1">
      <c r="A481" s="347">
        <v>45296.0</v>
      </c>
      <c r="B481" s="235" t="s">
        <v>714</v>
      </c>
      <c r="C481" s="358" t="s">
        <v>715</v>
      </c>
      <c r="D481" s="333" t="s">
        <v>662</v>
      </c>
      <c r="E481" s="305" t="s">
        <v>717</v>
      </c>
      <c r="F481" s="231"/>
      <c r="G481" s="231"/>
      <c r="H481" s="231"/>
      <c r="I481" s="237" t="s">
        <v>922</v>
      </c>
      <c r="J481" s="231"/>
      <c r="K481" s="231"/>
      <c r="L481" s="231"/>
      <c r="M481" s="231"/>
      <c r="N481" s="231"/>
      <c r="O481" s="231"/>
      <c r="P481" s="231"/>
      <c r="Q481" s="231"/>
      <c r="R481" s="231"/>
      <c r="S481" s="231"/>
      <c r="T481" s="231"/>
      <c r="U481" s="231"/>
      <c r="V481" s="231"/>
      <c r="W481" s="231"/>
      <c r="X481" s="231"/>
      <c r="Y481" s="231"/>
      <c r="Z481" s="231"/>
      <c r="AA481" s="231"/>
      <c r="AB481" s="231"/>
      <c r="AC481" s="231"/>
    </row>
    <row r="482" ht="24.75" hidden="1" customHeight="1" outlineLevel="1">
      <c r="A482" s="347">
        <v>45296.0</v>
      </c>
      <c r="B482" s="277" t="s">
        <v>663</v>
      </c>
      <c r="C482" s="278" t="s">
        <v>901</v>
      </c>
      <c r="D482" s="358" t="s">
        <v>662</v>
      </c>
      <c r="E482" s="305" t="s">
        <v>685</v>
      </c>
      <c r="F482" s="312"/>
      <c r="G482" s="312"/>
      <c r="H482" s="312" t="s">
        <v>877</v>
      </c>
      <c r="I482" s="237" t="s">
        <v>843</v>
      </c>
      <c r="J482" s="231"/>
      <c r="K482" s="231"/>
      <c r="L482" s="231"/>
      <c r="M482" s="231"/>
      <c r="N482" s="231"/>
      <c r="O482" s="231"/>
      <c r="P482" s="231"/>
      <c r="Q482" s="231"/>
      <c r="R482" s="231"/>
      <c r="S482" s="231"/>
      <c r="T482" s="231"/>
      <c r="U482" s="231"/>
      <c r="V482" s="231"/>
      <c r="W482" s="231"/>
      <c r="X482" s="231"/>
      <c r="Y482" s="231"/>
      <c r="Z482" s="231"/>
      <c r="AA482" s="231"/>
      <c r="AB482" s="231"/>
      <c r="AC482" s="231"/>
    </row>
    <row r="483" ht="24.75" hidden="1" customHeight="1" outlineLevel="1">
      <c r="A483" s="347">
        <v>45296.0</v>
      </c>
      <c r="B483" s="235" t="s">
        <v>35</v>
      </c>
      <c r="C483" s="235" t="s">
        <v>715</v>
      </c>
      <c r="D483" s="358" t="s">
        <v>662</v>
      </c>
      <c r="E483" s="305" t="s">
        <v>717</v>
      </c>
      <c r="F483" s="237"/>
      <c r="G483" s="237"/>
      <c r="H483" s="237"/>
      <c r="I483" s="231"/>
      <c r="J483" s="231"/>
      <c r="K483" s="231"/>
      <c r="L483" s="231"/>
      <c r="M483" s="231"/>
      <c r="N483" s="231"/>
      <c r="O483" s="231"/>
      <c r="P483" s="231"/>
      <c r="Q483" s="231"/>
      <c r="R483" s="231"/>
      <c r="S483" s="231"/>
      <c r="T483" s="231"/>
      <c r="U483" s="231"/>
      <c r="V483" s="231"/>
      <c r="W483" s="231"/>
      <c r="X483" s="231"/>
      <c r="Y483" s="231"/>
      <c r="Z483" s="231"/>
      <c r="AA483" s="231"/>
      <c r="AB483" s="231"/>
      <c r="AC483" s="231"/>
    </row>
    <row r="484" ht="24.75" hidden="1" customHeight="1" outlineLevel="1">
      <c r="A484" s="347">
        <v>45297.0</v>
      </c>
      <c r="B484" s="235" t="s">
        <v>691</v>
      </c>
      <c r="C484" s="358" t="s">
        <v>715</v>
      </c>
      <c r="D484" s="358" t="s">
        <v>989</v>
      </c>
      <c r="E484" s="305" t="s">
        <v>717</v>
      </c>
      <c r="F484" s="237"/>
      <c r="G484" s="237"/>
      <c r="H484" s="237"/>
      <c r="I484" s="231"/>
      <c r="J484" s="231"/>
      <c r="K484" s="231"/>
      <c r="L484" s="231"/>
      <c r="M484" s="231"/>
      <c r="N484" s="231"/>
      <c r="O484" s="231"/>
      <c r="P484" s="231"/>
      <c r="Q484" s="231"/>
      <c r="R484" s="231"/>
      <c r="S484" s="231"/>
      <c r="T484" s="231"/>
      <c r="U484" s="231"/>
      <c r="V484" s="231"/>
      <c r="W484" s="231"/>
      <c r="X484" s="231"/>
      <c r="Y484" s="231"/>
      <c r="Z484" s="231"/>
      <c r="AA484" s="231"/>
      <c r="AB484" s="231"/>
      <c r="AC484" s="231"/>
    </row>
    <row r="485" ht="24.75" hidden="1" customHeight="1" outlineLevel="1">
      <c r="A485" s="347">
        <v>45297.0</v>
      </c>
      <c r="B485" s="235" t="s">
        <v>720</v>
      </c>
      <c r="C485" s="358" t="s">
        <v>741</v>
      </c>
      <c r="D485" s="337" t="s">
        <v>146</v>
      </c>
      <c r="E485" s="305" t="s">
        <v>685</v>
      </c>
      <c r="F485" s="237"/>
      <c r="G485" s="237"/>
      <c r="H485" s="237"/>
      <c r="I485" s="231"/>
      <c r="J485" s="231"/>
      <c r="K485" s="231"/>
      <c r="L485" s="231"/>
      <c r="M485" s="231"/>
      <c r="N485" s="231"/>
      <c r="O485" s="231"/>
      <c r="P485" s="231"/>
      <c r="Q485" s="231"/>
      <c r="R485" s="231"/>
      <c r="S485" s="231"/>
      <c r="T485" s="231"/>
      <c r="U485" s="231"/>
      <c r="V485" s="231"/>
      <c r="W485" s="231"/>
      <c r="X485" s="231"/>
      <c r="Y485" s="231"/>
      <c r="Z485" s="231"/>
      <c r="AA485" s="231"/>
      <c r="AB485" s="231"/>
      <c r="AC485" s="231"/>
    </row>
    <row r="486" ht="24.75" hidden="1" customHeight="1" outlineLevel="1">
      <c r="A486" s="347">
        <v>45297.0</v>
      </c>
      <c r="B486" s="338" t="s">
        <v>692</v>
      </c>
      <c r="C486" s="358" t="s">
        <v>990</v>
      </c>
      <c r="D486" s="337" t="s">
        <v>146</v>
      </c>
      <c r="E486" s="305" t="s">
        <v>685</v>
      </c>
      <c r="F486" s="237"/>
      <c r="G486" s="237"/>
      <c r="H486" s="237" t="s">
        <v>979</v>
      </c>
      <c r="I486" s="237"/>
      <c r="J486" s="231"/>
      <c r="K486" s="231"/>
      <c r="L486" s="231"/>
      <c r="M486" s="231"/>
      <c r="N486" s="231"/>
      <c r="O486" s="231"/>
      <c r="P486" s="231"/>
      <c r="Q486" s="231"/>
      <c r="R486" s="231"/>
      <c r="S486" s="231"/>
      <c r="T486" s="231"/>
      <c r="U486" s="231"/>
      <c r="V486" s="231"/>
      <c r="W486" s="231"/>
      <c r="X486" s="231"/>
      <c r="Y486" s="231"/>
      <c r="Z486" s="231"/>
      <c r="AA486" s="231"/>
      <c r="AB486" s="231"/>
      <c r="AC486" s="231"/>
    </row>
    <row r="487" ht="24.75" hidden="1" customHeight="1" outlineLevel="1">
      <c r="A487" s="347">
        <v>45297.0</v>
      </c>
      <c r="B487" s="338" t="s">
        <v>695</v>
      </c>
      <c r="C487" s="358" t="s">
        <v>784</v>
      </c>
      <c r="D487" s="240" t="s">
        <v>991</v>
      </c>
      <c r="E487" s="305" t="s">
        <v>685</v>
      </c>
      <c r="F487" s="231"/>
      <c r="G487" s="231"/>
      <c r="H487" s="231"/>
      <c r="I487" s="231"/>
      <c r="J487" s="231"/>
      <c r="K487" s="231"/>
      <c r="L487" s="231"/>
      <c r="M487" s="231"/>
      <c r="N487" s="231"/>
      <c r="O487" s="231"/>
      <c r="P487" s="231"/>
      <c r="Q487" s="231"/>
      <c r="R487" s="231"/>
      <c r="S487" s="231"/>
      <c r="T487" s="231"/>
      <c r="U487" s="231"/>
      <c r="V487" s="231"/>
      <c r="W487" s="231"/>
      <c r="X487" s="231"/>
      <c r="Y487" s="231"/>
      <c r="Z487" s="231"/>
      <c r="AA487" s="231"/>
      <c r="AB487" s="231"/>
      <c r="AC487" s="231"/>
    </row>
    <row r="488" ht="24.75" hidden="1" customHeight="1" outlineLevel="1">
      <c r="A488" s="347">
        <v>45298.0</v>
      </c>
      <c r="B488" s="235" t="s">
        <v>669</v>
      </c>
      <c r="C488" s="358" t="s">
        <v>927</v>
      </c>
      <c r="D488" s="337" t="s">
        <v>146</v>
      </c>
      <c r="E488" s="305" t="s">
        <v>685</v>
      </c>
      <c r="F488" s="231"/>
      <c r="G488" s="231"/>
      <c r="H488" s="231"/>
      <c r="I488" s="231"/>
      <c r="J488" s="231"/>
      <c r="K488" s="231"/>
      <c r="L488" s="231"/>
      <c r="M488" s="231"/>
      <c r="N488" s="231"/>
      <c r="O488" s="231"/>
      <c r="P488" s="231"/>
      <c r="Q488" s="231"/>
      <c r="R488" s="231"/>
      <c r="S488" s="231"/>
      <c r="T488" s="231"/>
      <c r="U488" s="231"/>
      <c r="V488" s="231"/>
      <c r="W488" s="231"/>
      <c r="X488" s="231"/>
      <c r="Y488" s="231"/>
      <c r="Z488" s="231"/>
      <c r="AA488" s="231"/>
      <c r="AB488" s="231"/>
      <c r="AC488" s="231"/>
    </row>
    <row r="489" ht="24.75" hidden="1" customHeight="1" outlineLevel="1">
      <c r="A489" s="347">
        <v>45298.0</v>
      </c>
      <c r="B489" s="235" t="s">
        <v>671</v>
      </c>
      <c r="C489" s="358" t="s">
        <v>741</v>
      </c>
      <c r="D489" s="358" t="s">
        <v>662</v>
      </c>
      <c r="E489" s="305" t="s">
        <v>717</v>
      </c>
      <c r="F489" s="237"/>
      <c r="G489" s="237"/>
      <c r="H489" s="237"/>
      <c r="I489" s="237" t="s">
        <v>752</v>
      </c>
      <c r="J489" s="231"/>
      <c r="K489" s="231"/>
      <c r="L489" s="231"/>
      <c r="M489" s="231"/>
      <c r="N489" s="231"/>
      <c r="O489" s="231"/>
      <c r="P489" s="231"/>
      <c r="Q489" s="231"/>
      <c r="R489" s="231"/>
      <c r="S489" s="231"/>
      <c r="T489" s="231"/>
      <c r="U489" s="231"/>
      <c r="V489" s="231"/>
      <c r="W489" s="231"/>
      <c r="X489" s="231"/>
      <c r="Y489" s="231"/>
      <c r="Z489" s="231"/>
      <c r="AA489" s="231"/>
      <c r="AB489" s="231"/>
      <c r="AC489" s="231"/>
    </row>
    <row r="490" ht="24.75" hidden="1" customHeight="1" outlineLevel="1">
      <c r="A490" s="353">
        <v>45299.0</v>
      </c>
      <c r="B490" s="235" t="s">
        <v>731</v>
      </c>
      <c r="C490" s="358" t="s">
        <v>784</v>
      </c>
      <c r="D490" s="234" t="s">
        <v>837</v>
      </c>
      <c r="E490" s="305" t="s">
        <v>717</v>
      </c>
      <c r="F490" s="237"/>
      <c r="G490" s="237"/>
      <c r="H490" s="237"/>
      <c r="I490" s="231"/>
      <c r="J490" s="231"/>
      <c r="K490" s="231"/>
      <c r="L490" s="231"/>
      <c r="M490" s="231"/>
      <c r="N490" s="231"/>
      <c r="O490" s="231"/>
      <c r="P490" s="231"/>
      <c r="Q490" s="231"/>
      <c r="R490" s="231"/>
      <c r="S490" s="231"/>
      <c r="T490" s="231"/>
      <c r="U490" s="231"/>
      <c r="V490" s="231"/>
      <c r="W490" s="231"/>
      <c r="X490" s="231"/>
      <c r="Y490" s="231"/>
      <c r="Z490" s="231"/>
      <c r="AA490" s="231"/>
      <c r="AB490" s="231"/>
      <c r="AC490" s="231"/>
    </row>
    <row r="491" ht="24.75" hidden="1" customHeight="1" outlineLevel="1">
      <c r="A491" s="353">
        <v>45299.0</v>
      </c>
      <c r="B491" s="235" t="s">
        <v>753</v>
      </c>
      <c r="C491" s="261" t="s">
        <v>934</v>
      </c>
      <c r="D491" s="234" t="s">
        <v>837</v>
      </c>
      <c r="E491" s="305" t="s">
        <v>717</v>
      </c>
      <c r="F491" s="237"/>
      <c r="G491" s="237"/>
      <c r="H491" s="237" t="s">
        <v>979</v>
      </c>
      <c r="I491" s="237" t="s">
        <v>957</v>
      </c>
      <c r="J491" s="231"/>
      <c r="K491" s="231"/>
      <c r="L491" s="231"/>
      <c r="M491" s="231"/>
      <c r="N491" s="231"/>
      <c r="O491" s="231"/>
      <c r="P491" s="231"/>
      <c r="Q491" s="231"/>
      <c r="R491" s="231"/>
      <c r="S491" s="231"/>
      <c r="T491" s="231"/>
      <c r="U491" s="231"/>
      <c r="V491" s="231"/>
      <c r="W491" s="231"/>
      <c r="X491" s="231"/>
      <c r="Y491" s="231"/>
      <c r="Z491" s="231"/>
      <c r="AA491" s="231"/>
      <c r="AB491" s="231"/>
      <c r="AC491" s="231"/>
    </row>
    <row r="492" ht="24.75" hidden="1" customHeight="1" outlineLevel="1">
      <c r="A492" s="353">
        <v>45299.0</v>
      </c>
      <c r="B492" s="235" t="s">
        <v>756</v>
      </c>
      <c r="C492" s="261" t="s">
        <v>934</v>
      </c>
      <c r="D492" s="234" t="s">
        <v>837</v>
      </c>
      <c r="E492" s="305" t="s">
        <v>717</v>
      </c>
      <c r="F492" s="237"/>
      <c r="G492" s="237"/>
      <c r="H492" s="237" t="s">
        <v>979</v>
      </c>
      <c r="I492" s="237" t="s">
        <v>958</v>
      </c>
      <c r="J492" s="231"/>
      <c r="K492" s="231"/>
      <c r="L492" s="231"/>
      <c r="M492" s="231"/>
      <c r="N492" s="231"/>
      <c r="O492" s="231"/>
      <c r="P492" s="231"/>
      <c r="Q492" s="231"/>
      <c r="R492" s="231"/>
      <c r="S492" s="231"/>
      <c r="T492" s="231"/>
      <c r="U492" s="231"/>
      <c r="V492" s="231"/>
      <c r="W492" s="231"/>
      <c r="X492" s="231"/>
      <c r="Y492" s="231"/>
      <c r="Z492" s="231"/>
      <c r="AA492" s="231"/>
      <c r="AB492" s="231"/>
      <c r="AC492" s="231"/>
    </row>
    <row r="493" ht="24.75" hidden="1" customHeight="1" outlineLevel="1">
      <c r="A493" s="353">
        <v>45299.0</v>
      </c>
      <c r="B493" s="235" t="s">
        <v>801</v>
      </c>
      <c r="C493" s="235" t="s">
        <v>715</v>
      </c>
      <c r="D493" s="235" t="s">
        <v>802</v>
      </c>
      <c r="E493" s="305" t="s">
        <v>717</v>
      </c>
      <c r="F493" s="237"/>
      <c r="G493" s="237"/>
      <c r="H493" s="237" t="s">
        <v>982</v>
      </c>
      <c r="I493" s="231"/>
      <c r="J493" s="231"/>
      <c r="K493" s="231"/>
      <c r="L493" s="231"/>
      <c r="M493" s="231"/>
      <c r="N493" s="231"/>
      <c r="O493" s="231"/>
      <c r="P493" s="231"/>
      <c r="Q493" s="231"/>
      <c r="R493" s="231"/>
      <c r="S493" s="231"/>
      <c r="T493" s="231"/>
      <c r="U493" s="231"/>
      <c r="V493" s="231"/>
      <c r="W493" s="231"/>
      <c r="X493" s="231"/>
      <c r="Y493" s="231"/>
      <c r="Z493" s="231"/>
      <c r="AA493" s="231"/>
      <c r="AB493" s="231"/>
      <c r="AC493" s="231"/>
    </row>
    <row r="494" ht="24.75" hidden="1" customHeight="1" outlineLevel="1">
      <c r="A494" s="353">
        <v>45300.0</v>
      </c>
      <c r="B494" s="361" t="s">
        <v>736</v>
      </c>
      <c r="C494" s="358" t="s">
        <v>927</v>
      </c>
      <c r="D494" s="308" t="s">
        <v>734</v>
      </c>
      <c r="E494" s="305" t="s">
        <v>685</v>
      </c>
      <c r="F494" s="249"/>
      <c r="G494" s="249"/>
      <c r="H494" s="249"/>
      <c r="I494" s="249"/>
      <c r="J494" s="249"/>
      <c r="K494" s="249"/>
      <c r="L494" s="249"/>
      <c r="M494" s="249"/>
      <c r="N494" s="249"/>
      <c r="O494" s="249"/>
      <c r="P494" s="249"/>
      <c r="Q494" s="249"/>
      <c r="R494" s="249"/>
      <c r="S494" s="249"/>
      <c r="T494" s="249"/>
      <c r="U494" s="249"/>
      <c r="V494" s="249"/>
      <c r="W494" s="249"/>
      <c r="X494" s="249"/>
      <c r="Y494" s="249"/>
      <c r="Z494" s="249"/>
      <c r="AA494" s="249"/>
      <c r="AB494" s="249"/>
      <c r="AC494" s="249"/>
    </row>
    <row r="495" ht="24.75" hidden="1" customHeight="1" outlineLevel="1">
      <c r="A495" s="353">
        <v>45301.0</v>
      </c>
      <c r="B495" s="362" t="s">
        <v>743</v>
      </c>
      <c r="C495" s="358" t="s">
        <v>927</v>
      </c>
      <c r="D495" s="308" t="s">
        <v>734</v>
      </c>
      <c r="E495" s="305" t="s">
        <v>685</v>
      </c>
      <c r="F495" s="249"/>
      <c r="G495" s="249"/>
      <c r="H495" s="249"/>
      <c r="I495" s="249"/>
      <c r="J495" s="249"/>
      <c r="K495" s="249"/>
      <c r="L495" s="249"/>
      <c r="M495" s="249"/>
      <c r="N495" s="249"/>
      <c r="O495" s="249"/>
      <c r="P495" s="249"/>
      <c r="Q495" s="249"/>
      <c r="R495" s="249"/>
      <c r="S495" s="249"/>
      <c r="T495" s="249"/>
      <c r="U495" s="249"/>
      <c r="V495" s="249"/>
      <c r="W495" s="249"/>
      <c r="X495" s="249"/>
      <c r="Y495" s="249"/>
      <c r="Z495" s="249"/>
      <c r="AA495" s="249"/>
      <c r="AB495" s="249"/>
      <c r="AC495" s="249"/>
    </row>
    <row r="496" ht="24.75" hidden="1" customHeight="1" outlineLevel="1">
      <c r="A496" s="353">
        <v>45302.0</v>
      </c>
      <c r="B496" s="362" t="s">
        <v>745</v>
      </c>
      <c r="C496" s="358" t="s">
        <v>927</v>
      </c>
      <c r="D496" s="308" t="s">
        <v>734</v>
      </c>
      <c r="E496" s="305" t="s">
        <v>685</v>
      </c>
      <c r="F496" s="249"/>
      <c r="G496" s="249"/>
      <c r="H496" s="249"/>
      <c r="I496" s="249"/>
      <c r="J496" s="249"/>
      <c r="K496" s="249"/>
      <c r="L496" s="249"/>
      <c r="M496" s="249"/>
      <c r="N496" s="249"/>
      <c r="O496" s="249"/>
      <c r="P496" s="249"/>
      <c r="Q496" s="249"/>
      <c r="R496" s="249"/>
      <c r="S496" s="249"/>
      <c r="T496" s="249"/>
      <c r="U496" s="249"/>
      <c r="V496" s="249"/>
      <c r="W496" s="249"/>
      <c r="X496" s="249"/>
      <c r="Y496" s="249"/>
      <c r="Z496" s="249"/>
      <c r="AA496" s="249"/>
      <c r="AB496" s="249"/>
      <c r="AC496" s="249"/>
    </row>
    <row r="497" ht="24.75" customHeight="1">
      <c r="A497" s="237"/>
      <c r="B497" s="231"/>
      <c r="C497" s="231"/>
      <c r="D497" s="231"/>
      <c r="E497" s="225"/>
      <c r="F497" s="231"/>
      <c r="G497" s="231"/>
      <c r="H497" s="231"/>
      <c r="I497" s="231"/>
      <c r="J497" s="231"/>
      <c r="K497" s="231"/>
      <c r="L497" s="231"/>
      <c r="M497" s="231"/>
      <c r="N497" s="231"/>
      <c r="O497" s="231"/>
      <c r="P497" s="231"/>
      <c r="Q497" s="231"/>
      <c r="R497" s="231"/>
      <c r="S497" s="231"/>
      <c r="T497" s="231"/>
      <c r="U497" s="231"/>
      <c r="V497" s="231"/>
      <c r="W497" s="231"/>
      <c r="X497" s="231"/>
      <c r="Y497" s="231"/>
      <c r="Z497" s="231"/>
      <c r="AA497" s="231"/>
      <c r="AB497" s="231"/>
      <c r="AC497" s="231"/>
    </row>
    <row r="498" ht="24.75" customHeight="1" collapsed="1">
      <c r="A498" s="237" t="s">
        <v>992</v>
      </c>
      <c r="B498" s="231"/>
      <c r="C498" s="231"/>
      <c r="D498" s="231"/>
      <c r="E498" s="225"/>
      <c r="F498" s="231"/>
      <c r="G498" s="231"/>
      <c r="H498" s="231"/>
      <c r="I498" s="231"/>
      <c r="J498" s="231"/>
      <c r="K498" s="231"/>
      <c r="L498" s="231"/>
      <c r="M498" s="231"/>
      <c r="N498" s="231"/>
      <c r="O498" s="231"/>
      <c r="P498" s="231"/>
      <c r="Q498" s="231"/>
      <c r="R498" s="231"/>
      <c r="S498" s="231"/>
      <c r="T498" s="231"/>
      <c r="U498" s="231"/>
      <c r="V498" s="231"/>
      <c r="W498" s="231"/>
      <c r="X498" s="231"/>
      <c r="Y498" s="231"/>
      <c r="Z498" s="231"/>
      <c r="AA498" s="231"/>
      <c r="AB498" s="231"/>
      <c r="AC498" s="231"/>
    </row>
    <row r="499" ht="24.75" hidden="1" customHeight="1" outlineLevel="1">
      <c r="A499" s="329" t="s">
        <v>647</v>
      </c>
      <c r="B499" s="330" t="s">
        <v>648</v>
      </c>
      <c r="C499" s="330" t="s">
        <v>649</v>
      </c>
      <c r="D499" s="330" t="s">
        <v>650</v>
      </c>
      <c r="E499" s="330" t="s">
        <v>651</v>
      </c>
      <c r="F499" s="237"/>
      <c r="G499" s="237"/>
      <c r="H499" s="237"/>
      <c r="I499" s="231"/>
      <c r="J499" s="231"/>
      <c r="K499" s="231"/>
      <c r="L499" s="231"/>
      <c r="M499" s="231"/>
      <c r="N499" s="231"/>
      <c r="O499" s="231"/>
      <c r="P499" s="231"/>
      <c r="Q499" s="231"/>
      <c r="R499" s="231"/>
      <c r="S499" s="231"/>
      <c r="T499" s="231"/>
      <c r="U499" s="231"/>
      <c r="V499" s="231"/>
      <c r="W499" s="231"/>
      <c r="X499" s="231"/>
      <c r="Y499" s="231"/>
      <c r="Z499" s="231"/>
      <c r="AA499" s="231"/>
      <c r="AB499" s="231"/>
      <c r="AC499" s="231"/>
    </row>
    <row r="500" ht="24.75" hidden="1" customHeight="1" outlineLevel="1">
      <c r="A500" s="339">
        <v>45334.0</v>
      </c>
      <c r="B500" s="235" t="s">
        <v>731</v>
      </c>
      <c r="C500" s="256" t="s">
        <v>793</v>
      </c>
      <c r="D500" s="234" t="s">
        <v>993</v>
      </c>
      <c r="E500" s="305" t="s">
        <v>717</v>
      </c>
      <c r="F500" s="237"/>
      <c r="G500" s="237"/>
      <c r="H500" s="237" t="s">
        <v>838</v>
      </c>
      <c r="I500" s="231"/>
      <c r="J500" s="231"/>
      <c r="K500" s="231"/>
      <c r="L500" s="231"/>
      <c r="M500" s="231"/>
      <c r="N500" s="231"/>
      <c r="O500" s="231"/>
      <c r="P500" s="231"/>
      <c r="Q500" s="231"/>
      <c r="R500" s="231"/>
      <c r="S500" s="231"/>
      <c r="T500" s="231"/>
      <c r="U500" s="231"/>
      <c r="V500" s="231"/>
      <c r="W500" s="231"/>
      <c r="X500" s="231"/>
      <c r="Y500" s="231"/>
      <c r="Z500" s="231"/>
      <c r="AA500" s="231"/>
      <c r="AB500" s="231"/>
      <c r="AC500" s="231"/>
    </row>
    <row r="501" ht="24.75" hidden="1" customHeight="1" outlineLevel="1">
      <c r="A501" s="339">
        <v>45334.0</v>
      </c>
      <c r="B501" s="235" t="s">
        <v>801</v>
      </c>
      <c r="C501" s="235" t="s">
        <v>715</v>
      </c>
      <c r="D501" s="333" t="s">
        <v>662</v>
      </c>
      <c r="E501" s="305" t="s">
        <v>717</v>
      </c>
      <c r="F501" s="237"/>
      <c r="G501" s="237"/>
      <c r="H501" s="237" t="s">
        <v>803</v>
      </c>
      <c r="I501" s="231"/>
      <c r="J501" s="231"/>
      <c r="K501" s="231"/>
      <c r="L501" s="231"/>
      <c r="M501" s="231"/>
      <c r="N501" s="231"/>
      <c r="O501" s="231"/>
      <c r="P501" s="231"/>
      <c r="Q501" s="231"/>
      <c r="R501" s="231"/>
      <c r="S501" s="231"/>
      <c r="T501" s="231"/>
      <c r="U501" s="231"/>
      <c r="V501" s="231"/>
      <c r="W501" s="231"/>
      <c r="X501" s="231"/>
      <c r="Y501" s="231"/>
      <c r="Z501" s="231"/>
      <c r="AA501" s="231"/>
      <c r="AB501" s="231"/>
      <c r="AC501" s="231"/>
    </row>
    <row r="502" ht="24.75" hidden="1" customHeight="1" outlineLevel="1">
      <c r="A502" s="339">
        <v>45334.0</v>
      </c>
      <c r="B502" s="253" t="s">
        <v>699</v>
      </c>
      <c r="C502" s="261" t="s">
        <v>934</v>
      </c>
      <c r="D502" s="234" t="s">
        <v>994</v>
      </c>
      <c r="E502" s="305" t="s">
        <v>717</v>
      </c>
      <c r="F502" s="237"/>
      <c r="G502" s="237"/>
      <c r="H502" s="237" t="s">
        <v>722</v>
      </c>
      <c r="I502" s="231"/>
      <c r="J502" s="231"/>
      <c r="K502" s="231"/>
      <c r="L502" s="231"/>
      <c r="M502" s="231"/>
      <c r="N502" s="231"/>
      <c r="O502" s="231"/>
      <c r="P502" s="231"/>
      <c r="Q502" s="231"/>
      <c r="R502" s="231"/>
      <c r="S502" s="231"/>
      <c r="T502" s="231"/>
      <c r="U502" s="231"/>
      <c r="V502" s="231"/>
      <c r="W502" s="231"/>
      <c r="X502" s="231"/>
      <c r="Y502" s="231"/>
      <c r="Z502" s="231"/>
      <c r="AA502" s="231"/>
      <c r="AB502" s="231"/>
      <c r="AC502" s="231"/>
    </row>
    <row r="503" ht="24.75" hidden="1" customHeight="1" outlineLevel="1">
      <c r="A503" s="339">
        <v>45335.0</v>
      </c>
      <c r="B503" s="235" t="s">
        <v>35</v>
      </c>
      <c r="C503" s="235" t="s">
        <v>715</v>
      </c>
      <c r="D503" s="333" t="s">
        <v>662</v>
      </c>
      <c r="E503" s="305" t="s">
        <v>717</v>
      </c>
      <c r="F503" s="237"/>
      <c r="G503" s="237"/>
      <c r="H503" s="237"/>
      <c r="I503" s="231"/>
      <c r="J503" s="231"/>
      <c r="K503" s="231"/>
      <c r="L503" s="231"/>
      <c r="M503" s="231"/>
      <c r="N503" s="231"/>
      <c r="O503" s="231"/>
      <c r="P503" s="231"/>
      <c r="Q503" s="231"/>
      <c r="R503" s="231"/>
      <c r="S503" s="231"/>
      <c r="T503" s="231"/>
      <c r="U503" s="231"/>
      <c r="V503" s="231"/>
      <c r="W503" s="231"/>
      <c r="X503" s="231"/>
      <c r="Y503" s="231"/>
      <c r="Z503" s="231"/>
      <c r="AA503" s="231"/>
      <c r="AB503" s="231"/>
      <c r="AC503" s="231"/>
    </row>
    <row r="504" ht="24.75" hidden="1" customHeight="1" outlineLevel="1">
      <c r="A504" s="339">
        <v>45335.0</v>
      </c>
      <c r="B504" s="235" t="s">
        <v>714</v>
      </c>
      <c r="C504" s="240" t="s">
        <v>715</v>
      </c>
      <c r="D504" s="333" t="s">
        <v>662</v>
      </c>
      <c r="E504" s="305" t="s">
        <v>717</v>
      </c>
      <c r="F504" s="231"/>
      <c r="G504" s="231"/>
      <c r="H504" s="231"/>
      <c r="I504" s="237" t="s">
        <v>922</v>
      </c>
      <c r="J504" s="231"/>
      <c r="K504" s="231"/>
      <c r="L504" s="231"/>
      <c r="M504" s="231"/>
      <c r="N504" s="231"/>
      <c r="O504" s="231"/>
      <c r="P504" s="231"/>
      <c r="Q504" s="231"/>
      <c r="R504" s="231"/>
      <c r="S504" s="231"/>
      <c r="T504" s="231"/>
      <c r="U504" s="231"/>
      <c r="V504" s="231"/>
      <c r="W504" s="231"/>
      <c r="X504" s="231"/>
      <c r="Y504" s="231"/>
      <c r="Z504" s="231"/>
      <c r="AA504" s="231"/>
      <c r="AB504" s="231"/>
      <c r="AC504" s="231"/>
    </row>
    <row r="505" ht="24.75" hidden="1" customHeight="1" outlineLevel="1">
      <c r="A505" s="339">
        <v>45335.0</v>
      </c>
      <c r="B505" s="235" t="s">
        <v>736</v>
      </c>
      <c r="C505" s="240" t="s">
        <v>895</v>
      </c>
      <c r="D505" s="333" t="s">
        <v>662</v>
      </c>
      <c r="E505" s="305" t="s">
        <v>717</v>
      </c>
      <c r="F505" s="231"/>
      <c r="G505" s="231"/>
      <c r="H505" s="231"/>
      <c r="I505" s="231"/>
      <c r="J505" s="231"/>
      <c r="K505" s="231"/>
      <c r="L505" s="231"/>
      <c r="M505" s="231"/>
      <c r="N505" s="231"/>
      <c r="O505" s="231"/>
      <c r="P505" s="231"/>
      <c r="Q505" s="231"/>
      <c r="R505" s="231"/>
      <c r="S505" s="231"/>
      <c r="T505" s="231"/>
      <c r="U505" s="231"/>
      <c r="V505" s="231"/>
      <c r="W505" s="231"/>
      <c r="X505" s="231"/>
      <c r="Y505" s="231"/>
      <c r="Z505" s="231"/>
      <c r="AA505" s="231"/>
      <c r="AB505" s="231"/>
      <c r="AC505" s="231"/>
    </row>
    <row r="506" ht="24.75" hidden="1" customHeight="1" outlineLevel="1">
      <c r="A506" s="339">
        <v>45335.0</v>
      </c>
      <c r="B506" s="235" t="s">
        <v>808</v>
      </c>
      <c r="C506" s="261" t="s">
        <v>715</v>
      </c>
      <c r="D506" s="333" t="s">
        <v>662</v>
      </c>
      <c r="E506" s="323" t="s">
        <v>717</v>
      </c>
      <c r="F506" s="231"/>
      <c r="G506" s="231"/>
      <c r="H506" s="231"/>
      <c r="I506" s="231"/>
      <c r="J506" s="231"/>
      <c r="K506" s="231"/>
      <c r="L506" s="231"/>
      <c r="M506" s="231"/>
      <c r="N506" s="231"/>
      <c r="O506" s="231"/>
      <c r="P506" s="231"/>
      <c r="Q506" s="231"/>
      <c r="R506" s="231"/>
      <c r="S506" s="231"/>
      <c r="T506" s="231"/>
      <c r="U506" s="231"/>
      <c r="V506" s="231"/>
      <c r="W506" s="231"/>
      <c r="X506" s="231"/>
      <c r="Y506" s="231"/>
      <c r="Z506" s="231"/>
      <c r="AA506" s="231"/>
      <c r="AB506" s="231"/>
      <c r="AC506" s="231"/>
    </row>
    <row r="507" ht="24.75" customHeight="1">
      <c r="A507" s="237"/>
      <c r="B507" s="231"/>
      <c r="C507" s="231"/>
      <c r="D507" s="231"/>
      <c r="E507" s="225"/>
      <c r="F507" s="231"/>
      <c r="G507" s="231"/>
      <c r="H507" s="231"/>
      <c r="I507" s="231"/>
      <c r="J507" s="231"/>
      <c r="K507" s="231"/>
      <c r="L507" s="231"/>
      <c r="M507" s="231"/>
      <c r="N507" s="231"/>
      <c r="O507" s="231"/>
      <c r="P507" s="231"/>
      <c r="Q507" s="231"/>
      <c r="R507" s="231"/>
      <c r="S507" s="231"/>
      <c r="T507" s="231"/>
      <c r="U507" s="231"/>
      <c r="V507" s="231"/>
      <c r="W507" s="231"/>
      <c r="X507" s="231"/>
      <c r="Y507" s="231"/>
      <c r="Z507" s="231"/>
      <c r="AA507" s="231"/>
      <c r="AB507" s="231"/>
      <c r="AC507" s="231"/>
    </row>
    <row r="508" ht="24.75" customHeight="1" collapsed="1">
      <c r="A508" s="237" t="s">
        <v>995</v>
      </c>
      <c r="B508" s="231"/>
      <c r="C508" s="363" t="s">
        <v>996</v>
      </c>
      <c r="D508" s="231"/>
      <c r="E508" s="225"/>
      <c r="F508" s="231"/>
      <c r="G508" s="231"/>
      <c r="H508" s="231"/>
      <c r="I508" s="231"/>
      <c r="J508" s="231"/>
      <c r="K508" s="231"/>
      <c r="L508" s="231"/>
      <c r="M508" s="231"/>
      <c r="N508" s="231"/>
      <c r="O508" s="231"/>
      <c r="P508" s="231"/>
      <c r="Q508" s="231"/>
      <c r="R508" s="231"/>
      <c r="S508" s="231"/>
      <c r="T508" s="231"/>
      <c r="U508" s="231"/>
      <c r="V508" s="231"/>
      <c r="W508" s="231"/>
      <c r="X508" s="231"/>
      <c r="Y508" s="231"/>
      <c r="Z508" s="231"/>
      <c r="AA508" s="231"/>
      <c r="AB508" s="231"/>
      <c r="AC508" s="231"/>
    </row>
    <row r="509" ht="24.75" hidden="1" customHeight="1" outlineLevel="1">
      <c r="A509" s="329" t="s">
        <v>647</v>
      </c>
      <c r="B509" s="330" t="s">
        <v>648</v>
      </c>
      <c r="C509" s="330" t="s">
        <v>649</v>
      </c>
      <c r="D509" s="330" t="s">
        <v>650</v>
      </c>
      <c r="E509" s="330" t="s">
        <v>651</v>
      </c>
      <c r="F509" s="237"/>
      <c r="G509" s="237"/>
      <c r="H509" s="237"/>
      <c r="I509" s="231"/>
      <c r="J509" s="231"/>
      <c r="K509" s="231"/>
      <c r="L509" s="231"/>
      <c r="M509" s="231"/>
      <c r="N509" s="231"/>
      <c r="O509" s="231"/>
      <c r="P509" s="231"/>
      <c r="Q509" s="231"/>
      <c r="R509" s="231"/>
      <c r="S509" s="231"/>
      <c r="T509" s="231"/>
      <c r="U509" s="231"/>
      <c r="V509" s="231"/>
      <c r="W509" s="231"/>
      <c r="X509" s="231"/>
      <c r="Y509" s="231"/>
      <c r="Z509" s="231"/>
      <c r="AA509" s="231"/>
      <c r="AB509" s="231"/>
      <c r="AC509" s="231"/>
    </row>
    <row r="510" ht="39.0" hidden="1" customHeight="1" outlineLevel="1">
      <c r="A510" s="292">
        <v>45345.0</v>
      </c>
      <c r="B510" s="235" t="s">
        <v>714</v>
      </c>
      <c r="C510" s="358" t="s">
        <v>715</v>
      </c>
      <c r="D510" s="364" t="s">
        <v>778</v>
      </c>
      <c r="E510" s="30" t="s">
        <v>717</v>
      </c>
      <c r="F510" s="231"/>
      <c r="G510" s="231"/>
      <c r="H510" s="231"/>
      <c r="I510" s="237" t="s">
        <v>922</v>
      </c>
      <c r="J510" s="231"/>
      <c r="K510" s="231"/>
      <c r="L510" s="231"/>
      <c r="M510" s="231"/>
      <c r="N510" s="231"/>
      <c r="O510" s="231"/>
      <c r="P510" s="231"/>
      <c r="Q510" s="231"/>
      <c r="R510" s="231"/>
      <c r="S510" s="231"/>
      <c r="T510" s="231"/>
      <c r="U510" s="231"/>
      <c r="V510" s="231"/>
      <c r="W510" s="231"/>
      <c r="X510" s="231"/>
      <c r="Y510" s="231"/>
      <c r="Z510" s="231"/>
      <c r="AA510" s="231"/>
      <c r="AB510" s="231"/>
      <c r="AC510" s="231"/>
    </row>
    <row r="511" ht="24.75" hidden="1" customHeight="1" outlineLevel="1">
      <c r="A511" s="292">
        <v>45345.0</v>
      </c>
      <c r="B511" s="235" t="s">
        <v>663</v>
      </c>
      <c r="C511" s="358" t="s">
        <v>901</v>
      </c>
      <c r="D511" s="358" t="s">
        <v>662</v>
      </c>
      <c r="E511" s="30" t="s">
        <v>717</v>
      </c>
      <c r="F511" s="237"/>
      <c r="G511" s="237"/>
      <c r="H511" s="237"/>
      <c r="I511" s="237"/>
      <c r="J511" s="231"/>
      <c r="K511" s="231"/>
      <c r="L511" s="231"/>
      <c r="M511" s="231"/>
      <c r="N511" s="231"/>
      <c r="O511" s="231"/>
      <c r="P511" s="231"/>
      <c r="Q511" s="231"/>
      <c r="R511" s="231"/>
      <c r="S511" s="231"/>
      <c r="T511" s="231"/>
      <c r="U511" s="231"/>
      <c r="V511" s="231"/>
      <c r="W511" s="231"/>
      <c r="X511" s="231"/>
      <c r="Y511" s="231"/>
      <c r="Z511" s="231"/>
      <c r="AA511" s="231"/>
      <c r="AB511" s="231"/>
      <c r="AC511" s="231"/>
    </row>
    <row r="512" ht="24.75" hidden="1" customHeight="1" outlineLevel="1">
      <c r="A512" s="292">
        <v>45345.0</v>
      </c>
      <c r="B512" s="235" t="s">
        <v>35</v>
      </c>
      <c r="C512" s="235" t="s">
        <v>715</v>
      </c>
      <c r="D512" s="358" t="s">
        <v>662</v>
      </c>
      <c r="E512" s="30" t="s">
        <v>717</v>
      </c>
      <c r="F512" s="237"/>
      <c r="G512" s="237"/>
      <c r="H512" s="237"/>
      <c r="I512" s="231"/>
      <c r="J512" s="231"/>
      <c r="K512" s="231"/>
      <c r="L512" s="231"/>
      <c r="M512" s="231"/>
      <c r="N512" s="231"/>
      <c r="O512" s="231"/>
      <c r="P512" s="231"/>
      <c r="Q512" s="231"/>
      <c r="R512" s="231"/>
      <c r="S512" s="231"/>
      <c r="T512" s="231"/>
      <c r="U512" s="231"/>
      <c r="V512" s="231"/>
      <c r="W512" s="231"/>
      <c r="X512" s="231"/>
      <c r="Y512" s="231"/>
      <c r="Z512" s="231"/>
      <c r="AA512" s="231"/>
      <c r="AB512" s="231"/>
      <c r="AC512" s="231"/>
    </row>
    <row r="513" ht="24.75" hidden="1" customHeight="1" outlineLevel="1">
      <c r="A513" s="269">
        <v>45346.0</v>
      </c>
      <c r="B513" s="270" t="s">
        <v>720</v>
      </c>
      <c r="C513" s="365" t="s">
        <v>741</v>
      </c>
      <c r="D513" s="365" t="s">
        <v>657</v>
      </c>
      <c r="E513" s="366" t="s">
        <v>717</v>
      </c>
      <c r="F513" s="367"/>
      <c r="G513" s="367"/>
      <c r="H513" s="367" t="s">
        <v>997</v>
      </c>
      <c r="I513" s="231"/>
      <c r="J513" s="231"/>
      <c r="K513" s="231"/>
      <c r="L513" s="231"/>
      <c r="M513" s="231"/>
      <c r="N513" s="231"/>
      <c r="O513" s="231"/>
      <c r="P513" s="231"/>
      <c r="Q513" s="231"/>
      <c r="R513" s="231"/>
      <c r="S513" s="231"/>
      <c r="T513" s="231"/>
      <c r="U513" s="231"/>
      <c r="V513" s="231"/>
      <c r="W513" s="231"/>
      <c r="X513" s="231"/>
      <c r="Y513" s="231"/>
      <c r="Z513" s="231"/>
      <c r="AA513" s="231"/>
      <c r="AB513" s="231"/>
      <c r="AC513" s="231"/>
    </row>
    <row r="514" ht="39.0" hidden="1" customHeight="1" outlineLevel="1">
      <c r="A514" s="292">
        <v>45346.0</v>
      </c>
      <c r="B514" s="338" t="s">
        <v>692</v>
      </c>
      <c r="C514" s="358" t="s">
        <v>998</v>
      </c>
      <c r="D514" s="358" t="s">
        <v>999</v>
      </c>
      <c r="E514" s="30" t="s">
        <v>717</v>
      </c>
      <c r="F514" s="237"/>
      <c r="G514" s="237"/>
      <c r="H514" s="237" t="s">
        <v>1000</v>
      </c>
      <c r="I514" s="237"/>
      <c r="J514" s="231"/>
      <c r="K514" s="231"/>
      <c r="L514" s="231"/>
      <c r="M514" s="231"/>
      <c r="N514" s="231"/>
      <c r="O514" s="231"/>
      <c r="P514" s="231"/>
      <c r="Q514" s="231"/>
      <c r="R514" s="231"/>
      <c r="S514" s="231"/>
      <c r="T514" s="231"/>
      <c r="U514" s="231"/>
      <c r="V514" s="231"/>
      <c r="W514" s="231"/>
      <c r="X514" s="231"/>
      <c r="Y514" s="231"/>
      <c r="Z514" s="231"/>
      <c r="AA514" s="231"/>
      <c r="AB514" s="231"/>
      <c r="AC514" s="231"/>
    </row>
    <row r="515" ht="24.75" hidden="1" customHeight="1" outlineLevel="1">
      <c r="A515" s="292">
        <v>45346.0</v>
      </c>
      <c r="B515" s="338" t="s">
        <v>695</v>
      </c>
      <c r="C515" s="358" t="s">
        <v>1001</v>
      </c>
      <c r="D515" s="359" t="s">
        <v>1002</v>
      </c>
      <c r="E515" s="305" t="s">
        <v>685</v>
      </c>
      <c r="F515" s="368"/>
      <c r="G515" s="368"/>
      <c r="H515" s="368" t="s">
        <v>1003</v>
      </c>
      <c r="I515" s="231"/>
      <c r="J515" s="231"/>
      <c r="K515" s="231"/>
      <c r="L515" s="231"/>
      <c r="M515" s="231"/>
      <c r="N515" s="231"/>
      <c r="O515" s="231"/>
      <c r="P515" s="231"/>
      <c r="Q515" s="231"/>
      <c r="R515" s="231"/>
      <c r="S515" s="231"/>
      <c r="T515" s="231"/>
      <c r="U515" s="231"/>
      <c r="V515" s="231"/>
      <c r="W515" s="231"/>
      <c r="X515" s="231"/>
      <c r="Y515" s="231"/>
      <c r="Z515" s="231"/>
      <c r="AA515" s="231"/>
      <c r="AB515" s="231"/>
      <c r="AC515" s="231"/>
    </row>
    <row r="516" ht="24.75" hidden="1" customHeight="1" outlineLevel="1">
      <c r="A516" s="292">
        <v>45346.0</v>
      </c>
      <c r="B516" s="235" t="s">
        <v>691</v>
      </c>
      <c r="C516" s="358" t="s">
        <v>715</v>
      </c>
      <c r="D516" s="358" t="s">
        <v>724</v>
      </c>
      <c r="E516" s="30" t="s">
        <v>717</v>
      </c>
      <c r="I516" s="231"/>
      <c r="J516" s="231"/>
      <c r="K516" s="231"/>
      <c r="L516" s="231"/>
      <c r="M516" s="231"/>
      <c r="N516" s="231"/>
      <c r="O516" s="231"/>
      <c r="P516" s="231"/>
      <c r="Q516" s="231"/>
      <c r="R516" s="231"/>
      <c r="S516" s="231"/>
      <c r="T516" s="231"/>
      <c r="U516" s="231"/>
      <c r="V516" s="231"/>
      <c r="W516" s="231"/>
      <c r="X516" s="231"/>
      <c r="Y516" s="231"/>
      <c r="Z516" s="231"/>
      <c r="AA516" s="231"/>
      <c r="AB516" s="231"/>
      <c r="AC516" s="231"/>
    </row>
    <row r="517" ht="24.75" hidden="1" customHeight="1" outlineLevel="1">
      <c r="A517" s="347">
        <v>45347.0</v>
      </c>
      <c r="B517" s="235" t="s">
        <v>669</v>
      </c>
      <c r="C517" s="358" t="s">
        <v>927</v>
      </c>
      <c r="D517" s="359" t="s">
        <v>1002</v>
      </c>
      <c r="E517" s="305" t="s">
        <v>685</v>
      </c>
      <c r="F517" s="368"/>
      <c r="G517" s="368"/>
      <c r="H517" s="368" t="s">
        <v>1004</v>
      </c>
      <c r="I517" s="231"/>
      <c r="J517" s="231"/>
      <c r="K517" s="231"/>
      <c r="L517" s="231"/>
      <c r="M517" s="231"/>
      <c r="N517" s="231"/>
      <c r="O517" s="231"/>
      <c r="P517" s="231"/>
      <c r="Q517" s="231"/>
      <c r="R517" s="231"/>
      <c r="S517" s="231"/>
      <c r="T517" s="231"/>
      <c r="U517" s="231"/>
      <c r="V517" s="231"/>
      <c r="W517" s="231"/>
      <c r="X517" s="231"/>
      <c r="Y517" s="231"/>
      <c r="Z517" s="231"/>
      <c r="AA517" s="231"/>
      <c r="AB517" s="231"/>
      <c r="AC517" s="231"/>
    </row>
    <row r="518" ht="24.75" hidden="1" customHeight="1" outlineLevel="1">
      <c r="A518" s="347">
        <v>45347.0</v>
      </c>
      <c r="B518" s="235" t="s">
        <v>728</v>
      </c>
      <c r="C518" s="358" t="s">
        <v>1005</v>
      </c>
      <c r="D518" s="359" t="s">
        <v>1006</v>
      </c>
      <c r="E518" s="305" t="s">
        <v>685</v>
      </c>
      <c r="F518" s="368"/>
      <c r="G518" s="368"/>
      <c r="H518" s="368"/>
      <c r="I518" s="237"/>
      <c r="J518" s="231"/>
      <c r="K518" s="231"/>
      <c r="L518" s="231"/>
      <c r="M518" s="231"/>
      <c r="N518" s="231"/>
      <c r="O518" s="231"/>
      <c r="P518" s="231"/>
      <c r="Q518" s="231"/>
      <c r="R518" s="231"/>
      <c r="S518" s="231"/>
      <c r="T518" s="231"/>
      <c r="U518" s="231"/>
      <c r="V518" s="231"/>
      <c r="W518" s="231"/>
      <c r="X518" s="231"/>
      <c r="Y518" s="231"/>
      <c r="Z518" s="231"/>
      <c r="AA518" s="231"/>
      <c r="AB518" s="231"/>
      <c r="AC518" s="231"/>
    </row>
    <row r="519" ht="24.75" hidden="1" customHeight="1" outlineLevel="1">
      <c r="A519" s="347">
        <v>45347.0</v>
      </c>
      <c r="B519" s="235" t="s">
        <v>671</v>
      </c>
      <c r="C519" s="358" t="s">
        <v>741</v>
      </c>
      <c r="D519" s="359" t="s">
        <v>1002</v>
      </c>
      <c r="E519" s="305" t="s">
        <v>685</v>
      </c>
      <c r="F519" s="368"/>
      <c r="G519" s="368"/>
      <c r="H519" s="368" t="s">
        <v>1003</v>
      </c>
      <c r="I519" s="237"/>
      <c r="J519" s="231"/>
      <c r="K519" s="231"/>
      <c r="L519" s="231"/>
      <c r="M519" s="231"/>
      <c r="N519" s="231"/>
      <c r="O519" s="231"/>
      <c r="P519" s="231"/>
      <c r="Q519" s="231"/>
      <c r="R519" s="231"/>
      <c r="S519" s="231"/>
      <c r="T519" s="231"/>
      <c r="U519" s="231"/>
      <c r="V519" s="231"/>
      <c r="W519" s="231"/>
      <c r="X519" s="231"/>
      <c r="Y519" s="231"/>
      <c r="Z519" s="231"/>
      <c r="AA519" s="231"/>
      <c r="AB519" s="231"/>
      <c r="AC519" s="231"/>
    </row>
    <row r="520" ht="24.75" hidden="1" customHeight="1" outlineLevel="1">
      <c r="A520" s="347">
        <v>45348.0</v>
      </c>
      <c r="B520" s="235" t="s">
        <v>731</v>
      </c>
      <c r="C520" s="358" t="s">
        <v>1001</v>
      </c>
      <c r="D520" s="359" t="s">
        <v>1002</v>
      </c>
      <c r="E520" s="305" t="s">
        <v>685</v>
      </c>
      <c r="F520" s="368"/>
      <c r="G520" s="368"/>
      <c r="H520" s="368" t="s">
        <v>1003</v>
      </c>
      <c r="I520" s="231"/>
      <c r="J520" s="231"/>
      <c r="K520" s="231"/>
      <c r="L520" s="231"/>
      <c r="M520" s="231"/>
      <c r="N520" s="231"/>
      <c r="O520" s="231"/>
      <c r="P520" s="231"/>
      <c r="Q520" s="231"/>
      <c r="R520" s="231"/>
      <c r="S520" s="231"/>
      <c r="T520" s="231"/>
      <c r="U520" s="231"/>
      <c r="V520" s="231"/>
      <c r="W520" s="231"/>
      <c r="X520" s="231"/>
      <c r="Y520" s="231"/>
      <c r="Z520" s="231"/>
      <c r="AA520" s="231"/>
      <c r="AB520" s="231"/>
      <c r="AC520" s="231"/>
    </row>
    <row r="521" ht="24.75" hidden="1" customHeight="1" outlineLevel="1">
      <c r="A521" s="347">
        <v>45348.0</v>
      </c>
      <c r="B521" s="235" t="s">
        <v>753</v>
      </c>
      <c r="C521" s="261" t="s">
        <v>934</v>
      </c>
      <c r="D521" s="337" t="s">
        <v>1007</v>
      </c>
      <c r="E521" s="305" t="s">
        <v>685</v>
      </c>
      <c r="F521" s="368"/>
      <c r="G521" s="368"/>
      <c r="H521" s="368" t="s">
        <v>1008</v>
      </c>
      <c r="I521" s="237" t="s">
        <v>957</v>
      </c>
      <c r="J521" s="231"/>
      <c r="K521" s="231"/>
      <c r="L521" s="231"/>
      <c r="M521" s="231"/>
      <c r="N521" s="231"/>
      <c r="O521" s="231"/>
      <c r="P521" s="231"/>
      <c r="Q521" s="231"/>
      <c r="R521" s="231"/>
      <c r="S521" s="231"/>
      <c r="T521" s="231"/>
      <c r="U521" s="231"/>
      <c r="V521" s="231"/>
      <c r="W521" s="231"/>
      <c r="X521" s="231"/>
      <c r="Y521" s="231"/>
      <c r="Z521" s="231"/>
      <c r="AA521" s="231"/>
      <c r="AB521" s="231"/>
      <c r="AC521" s="231"/>
    </row>
    <row r="522" ht="24.75" hidden="1" customHeight="1" outlineLevel="1">
      <c r="A522" s="347">
        <v>45348.0</v>
      </c>
      <c r="B522" s="235" t="s">
        <v>756</v>
      </c>
      <c r="C522" s="261" t="s">
        <v>934</v>
      </c>
      <c r="D522" s="337" t="s">
        <v>1007</v>
      </c>
      <c r="E522" s="305" t="s">
        <v>685</v>
      </c>
      <c r="F522" s="368"/>
      <c r="G522" s="368"/>
      <c r="H522" s="368" t="s">
        <v>1008</v>
      </c>
      <c r="I522" s="237" t="s">
        <v>958</v>
      </c>
      <c r="J522" s="231"/>
      <c r="K522" s="231"/>
      <c r="L522" s="231"/>
      <c r="M522" s="231"/>
      <c r="N522" s="231"/>
      <c r="O522" s="231"/>
      <c r="P522" s="231"/>
      <c r="Q522" s="231"/>
      <c r="R522" s="231"/>
      <c r="S522" s="231"/>
      <c r="T522" s="231"/>
      <c r="U522" s="231"/>
      <c r="V522" s="231"/>
      <c r="W522" s="231"/>
      <c r="X522" s="231"/>
      <c r="Y522" s="231"/>
      <c r="Z522" s="231"/>
      <c r="AA522" s="231"/>
      <c r="AB522" s="231"/>
      <c r="AC522" s="231"/>
    </row>
    <row r="523" ht="24.75" hidden="1" customHeight="1" outlineLevel="1">
      <c r="A523" s="347">
        <v>45348.0</v>
      </c>
      <c r="B523" s="235" t="s">
        <v>801</v>
      </c>
      <c r="C523" s="235" t="s">
        <v>715</v>
      </c>
      <c r="D523" s="235" t="s">
        <v>802</v>
      </c>
      <c r="E523" s="30" t="s">
        <v>717</v>
      </c>
      <c r="F523" s="237"/>
      <c r="G523" s="237"/>
      <c r="H523" s="237" t="s">
        <v>935</v>
      </c>
      <c r="I523" s="231"/>
      <c r="J523" s="231"/>
      <c r="K523" s="231"/>
      <c r="L523" s="231"/>
      <c r="M523" s="231"/>
      <c r="N523" s="231"/>
      <c r="O523" s="231"/>
      <c r="P523" s="231"/>
      <c r="Q523" s="231"/>
      <c r="R523" s="231"/>
      <c r="S523" s="231"/>
      <c r="T523" s="231"/>
      <c r="U523" s="231"/>
      <c r="V523" s="231"/>
      <c r="W523" s="231"/>
      <c r="X523" s="231"/>
      <c r="Y523" s="231"/>
      <c r="Z523" s="231"/>
      <c r="AA523" s="231"/>
      <c r="AB523" s="231"/>
      <c r="AC523" s="231"/>
    </row>
    <row r="524" ht="24.75" hidden="1" customHeight="1" outlineLevel="1">
      <c r="A524" s="347">
        <v>45348.0</v>
      </c>
      <c r="B524" s="235" t="s">
        <v>1009</v>
      </c>
      <c r="C524" s="358" t="s">
        <v>741</v>
      </c>
      <c r="D524" s="235" t="s">
        <v>802</v>
      </c>
      <c r="E524" s="30" t="s">
        <v>717</v>
      </c>
      <c r="F524" s="231"/>
      <c r="G524" s="231"/>
      <c r="H524" s="231"/>
      <c r="I524" s="231"/>
      <c r="J524" s="231"/>
      <c r="K524" s="231"/>
      <c r="L524" s="231"/>
      <c r="M524" s="231"/>
      <c r="N524" s="231"/>
      <c r="O524" s="231"/>
      <c r="P524" s="231"/>
      <c r="Q524" s="231"/>
      <c r="R524" s="231"/>
      <c r="S524" s="231"/>
      <c r="T524" s="231"/>
      <c r="U524" s="231"/>
      <c r="V524" s="231"/>
      <c r="W524" s="231"/>
      <c r="X524" s="231"/>
      <c r="Y524" s="231"/>
      <c r="Z524" s="231"/>
      <c r="AA524" s="231"/>
      <c r="AB524" s="231"/>
      <c r="AC524" s="231"/>
    </row>
    <row r="525" ht="24.75" customHeight="1">
      <c r="A525" s="237"/>
      <c r="B525" s="231"/>
      <c r="C525" s="231"/>
      <c r="D525" s="231"/>
      <c r="E525" s="225"/>
      <c r="F525" s="231"/>
      <c r="G525" s="231"/>
      <c r="H525" s="231"/>
      <c r="I525" s="231"/>
      <c r="J525" s="231"/>
      <c r="K525" s="231"/>
      <c r="L525" s="231"/>
      <c r="M525" s="231"/>
      <c r="N525" s="231"/>
      <c r="O525" s="231"/>
      <c r="P525" s="231"/>
      <c r="Q525" s="231"/>
      <c r="R525" s="231"/>
      <c r="S525" s="231"/>
      <c r="T525" s="231"/>
      <c r="U525" s="231"/>
      <c r="V525" s="231"/>
      <c r="W525" s="231"/>
      <c r="X525" s="231"/>
      <c r="Y525" s="231"/>
      <c r="Z525" s="231"/>
      <c r="AA525" s="231"/>
      <c r="AB525" s="231"/>
      <c r="AC525" s="231"/>
    </row>
    <row r="526" ht="24.75" customHeight="1" collapsed="1">
      <c r="A526" s="237" t="s">
        <v>1010</v>
      </c>
      <c r="B526" s="231"/>
      <c r="C526" s="363" t="s">
        <v>996</v>
      </c>
      <c r="D526" s="231"/>
      <c r="E526" s="225"/>
      <c r="F526" s="231"/>
      <c r="G526" s="231"/>
      <c r="H526" s="231"/>
      <c r="I526" s="231"/>
      <c r="J526" s="231"/>
      <c r="K526" s="231"/>
      <c r="L526" s="231"/>
      <c r="M526" s="231"/>
      <c r="N526" s="231"/>
      <c r="O526" s="231"/>
      <c r="P526" s="231"/>
      <c r="Q526" s="231"/>
      <c r="R526" s="231"/>
      <c r="S526" s="231"/>
      <c r="T526" s="231"/>
      <c r="U526" s="231"/>
      <c r="V526" s="231"/>
      <c r="W526" s="231"/>
      <c r="X526" s="231"/>
      <c r="Y526" s="231"/>
      <c r="Z526" s="231"/>
      <c r="AA526" s="231"/>
      <c r="AB526" s="231"/>
      <c r="AC526" s="231"/>
    </row>
    <row r="527" ht="24.75" hidden="1" customHeight="1" outlineLevel="1">
      <c r="A527" s="347">
        <v>45371.0</v>
      </c>
      <c r="B527" s="369" t="s">
        <v>743</v>
      </c>
      <c r="C527" s="358" t="s">
        <v>927</v>
      </c>
      <c r="D527" s="240" t="s">
        <v>1011</v>
      </c>
      <c r="E527" s="305" t="s">
        <v>717</v>
      </c>
      <c r="F527" s="348"/>
      <c r="G527" s="348"/>
      <c r="H527" s="348"/>
      <c r="I527" s="231"/>
      <c r="J527" s="231"/>
      <c r="K527" s="231"/>
      <c r="L527" s="231"/>
      <c r="M527" s="231"/>
      <c r="N527" s="231"/>
      <c r="O527" s="231"/>
      <c r="P527" s="231"/>
      <c r="Q527" s="231"/>
      <c r="R527" s="231"/>
      <c r="S527" s="231"/>
      <c r="T527" s="231"/>
      <c r="U527" s="231"/>
      <c r="V527" s="231"/>
      <c r="W527" s="231"/>
      <c r="X527" s="231"/>
      <c r="Y527" s="231"/>
      <c r="Z527" s="231"/>
      <c r="AA527" s="231"/>
      <c r="AB527" s="231"/>
      <c r="AC527" s="231"/>
    </row>
    <row r="528" ht="24.75" hidden="1" customHeight="1" outlineLevel="1">
      <c r="A528" s="347">
        <v>45371.0</v>
      </c>
      <c r="B528" s="370" t="s">
        <v>1012</v>
      </c>
      <c r="C528" s="358" t="s">
        <v>715</v>
      </c>
      <c r="D528" s="240" t="s">
        <v>1013</v>
      </c>
      <c r="E528" s="305" t="s">
        <v>717</v>
      </c>
      <c r="F528" s="237"/>
      <c r="G528" s="237"/>
      <c r="H528" s="237"/>
      <c r="I528" s="231"/>
      <c r="J528" s="231"/>
      <c r="K528" s="231"/>
      <c r="L528" s="231"/>
      <c r="M528" s="231"/>
      <c r="N528" s="231"/>
      <c r="O528" s="231"/>
      <c r="P528" s="231"/>
      <c r="Q528" s="231"/>
      <c r="R528" s="231"/>
      <c r="S528" s="231"/>
      <c r="T528" s="231"/>
      <c r="U528" s="231"/>
      <c r="V528" s="231"/>
      <c r="W528" s="231"/>
      <c r="X528" s="231"/>
      <c r="Y528" s="231"/>
      <c r="Z528" s="231"/>
      <c r="AA528" s="231"/>
      <c r="AB528" s="231"/>
      <c r="AC528" s="231"/>
    </row>
    <row r="529" ht="24.75" hidden="1" customHeight="1" outlineLevel="1">
      <c r="A529" s="347">
        <v>45371.0</v>
      </c>
      <c r="B529" s="369" t="s">
        <v>708</v>
      </c>
      <c r="C529" s="358" t="s">
        <v>1014</v>
      </c>
      <c r="D529" s="240" t="s">
        <v>1015</v>
      </c>
      <c r="E529" s="305" t="s">
        <v>717</v>
      </c>
      <c r="F529" s="231"/>
      <c r="G529" s="231"/>
      <c r="H529" s="231"/>
      <c r="I529" s="231"/>
      <c r="J529" s="231"/>
      <c r="K529" s="231"/>
      <c r="L529" s="231"/>
      <c r="M529" s="231"/>
      <c r="N529" s="231"/>
      <c r="O529" s="231"/>
      <c r="P529" s="231"/>
      <c r="Q529" s="231"/>
      <c r="R529" s="231"/>
      <c r="S529" s="231"/>
      <c r="T529" s="231"/>
      <c r="U529" s="231"/>
      <c r="V529" s="231"/>
      <c r="W529" s="231"/>
      <c r="X529" s="231"/>
      <c r="Y529" s="231"/>
      <c r="Z529" s="231"/>
      <c r="AA529" s="231"/>
      <c r="AB529" s="231"/>
      <c r="AC529" s="231"/>
    </row>
    <row r="530" ht="24.75" hidden="1" customHeight="1" outlineLevel="1">
      <c r="A530" s="347">
        <v>45371.0</v>
      </c>
      <c r="B530" s="370" t="s">
        <v>1016</v>
      </c>
      <c r="C530" s="235" t="s">
        <v>939</v>
      </c>
      <c r="D530" s="358" t="s">
        <v>1017</v>
      </c>
      <c r="E530" s="305" t="s">
        <v>1018</v>
      </c>
      <c r="F530" s="237"/>
      <c r="G530" s="237"/>
      <c r="H530" s="237" t="s">
        <v>1019</v>
      </c>
      <c r="I530" s="237" t="s">
        <v>987</v>
      </c>
      <c r="J530" s="231"/>
      <c r="K530" s="231"/>
      <c r="L530" s="231"/>
      <c r="M530" s="231"/>
      <c r="N530" s="231"/>
      <c r="O530" s="231"/>
      <c r="P530" s="231"/>
      <c r="Q530" s="231"/>
      <c r="R530" s="231"/>
      <c r="S530" s="231"/>
      <c r="T530" s="231"/>
      <c r="U530" s="231"/>
      <c r="V530" s="231"/>
      <c r="W530" s="231"/>
      <c r="X530" s="231"/>
      <c r="Y530" s="231"/>
      <c r="Z530" s="231"/>
      <c r="AA530" s="231"/>
      <c r="AB530" s="231"/>
      <c r="AC530" s="231"/>
    </row>
    <row r="531" ht="24.75" hidden="1" customHeight="1" outlineLevel="1">
      <c r="A531" s="347">
        <v>45372.0</v>
      </c>
      <c r="B531" s="369" t="s">
        <v>745</v>
      </c>
      <c r="C531" s="358" t="s">
        <v>927</v>
      </c>
      <c r="D531" s="240" t="s">
        <v>1011</v>
      </c>
      <c r="E531" s="305" t="s">
        <v>717</v>
      </c>
      <c r="F531" s="231"/>
      <c r="G531" s="231"/>
      <c r="H531" s="231"/>
      <c r="I531" s="231"/>
      <c r="J531" s="231"/>
      <c r="K531" s="231"/>
      <c r="L531" s="231"/>
      <c r="M531" s="231"/>
      <c r="N531" s="231"/>
      <c r="O531" s="231"/>
      <c r="P531" s="231"/>
      <c r="Q531" s="231"/>
      <c r="R531" s="231"/>
      <c r="S531" s="231"/>
      <c r="T531" s="231"/>
      <c r="U531" s="231"/>
      <c r="V531" s="231"/>
      <c r="W531" s="231"/>
      <c r="X531" s="231"/>
      <c r="Y531" s="231"/>
      <c r="Z531" s="231"/>
      <c r="AA531" s="231"/>
      <c r="AB531" s="231"/>
      <c r="AC531" s="231"/>
    </row>
    <row r="532" ht="24.75" hidden="1" customHeight="1" outlineLevel="1">
      <c r="A532" s="347">
        <v>45372.0</v>
      </c>
      <c r="B532" s="371" t="s">
        <v>1020</v>
      </c>
      <c r="C532" s="358" t="s">
        <v>741</v>
      </c>
      <c r="D532" s="240" t="s">
        <v>1021</v>
      </c>
      <c r="E532" s="305" t="s">
        <v>717</v>
      </c>
      <c r="F532" s="231"/>
      <c r="G532" s="231"/>
      <c r="H532" s="231"/>
      <c r="I532" s="231"/>
      <c r="J532" s="231"/>
      <c r="K532" s="231"/>
      <c r="L532" s="231"/>
      <c r="M532" s="231"/>
      <c r="N532" s="231"/>
      <c r="O532" s="231"/>
      <c r="P532" s="231"/>
      <c r="Q532" s="231"/>
      <c r="R532" s="231"/>
      <c r="S532" s="231"/>
      <c r="T532" s="231"/>
      <c r="U532" s="231"/>
      <c r="V532" s="231"/>
      <c r="W532" s="231"/>
      <c r="X532" s="231"/>
      <c r="Y532" s="231"/>
      <c r="Z532" s="231"/>
      <c r="AA532" s="231"/>
      <c r="AB532" s="231"/>
      <c r="AC532" s="231"/>
    </row>
    <row r="533" ht="24.75" hidden="1" customHeight="1" outlineLevel="1">
      <c r="A533" s="347">
        <v>45372.0</v>
      </c>
      <c r="B533" s="370" t="s">
        <v>1022</v>
      </c>
      <c r="C533" s="358" t="s">
        <v>741</v>
      </c>
      <c r="D533" s="240" t="s">
        <v>1023</v>
      </c>
      <c r="E533" s="305" t="s">
        <v>717</v>
      </c>
      <c r="F533" s="237"/>
      <c r="G533" s="237"/>
      <c r="H533" s="237" t="s">
        <v>1024</v>
      </c>
      <c r="I533" s="231"/>
      <c r="J533" s="231"/>
      <c r="K533" s="231"/>
      <c r="L533" s="231"/>
      <c r="M533" s="231"/>
      <c r="N533" s="231"/>
      <c r="O533" s="231"/>
      <c r="P533" s="231"/>
      <c r="Q533" s="231"/>
      <c r="R533" s="231"/>
      <c r="S533" s="231"/>
      <c r="T533" s="231"/>
      <c r="U533" s="231"/>
      <c r="V533" s="231"/>
      <c r="W533" s="231"/>
      <c r="X533" s="231"/>
      <c r="Y533" s="231"/>
      <c r="Z533" s="231"/>
      <c r="AA533" s="231"/>
      <c r="AB533" s="231"/>
      <c r="AC533" s="231"/>
    </row>
    <row r="534" ht="45.0" hidden="1" customHeight="1" outlineLevel="1">
      <c r="A534" s="347">
        <v>45374.0</v>
      </c>
      <c r="B534" s="370" t="s">
        <v>692</v>
      </c>
      <c r="C534" s="358" t="s">
        <v>1025</v>
      </c>
      <c r="D534" s="240" t="s">
        <v>1026</v>
      </c>
      <c r="E534" s="305" t="s">
        <v>1018</v>
      </c>
      <c r="F534" s="237"/>
      <c r="G534" s="237"/>
      <c r="H534" s="237" t="s">
        <v>1027</v>
      </c>
      <c r="I534" s="231"/>
      <c r="J534" s="231"/>
      <c r="K534" s="231"/>
      <c r="L534" s="231"/>
      <c r="M534" s="231"/>
      <c r="N534" s="231"/>
      <c r="O534" s="231"/>
      <c r="P534" s="231"/>
      <c r="Q534" s="231"/>
      <c r="R534" s="231"/>
      <c r="S534" s="231"/>
      <c r="T534" s="231"/>
      <c r="U534" s="231"/>
      <c r="V534" s="231"/>
      <c r="W534" s="231"/>
      <c r="X534" s="231"/>
      <c r="Y534" s="231"/>
      <c r="Z534" s="231"/>
      <c r="AA534" s="231"/>
      <c r="AB534" s="231"/>
      <c r="AC534" s="231"/>
    </row>
    <row r="535" ht="24.75" customHeight="1">
      <c r="A535" s="231"/>
      <c r="B535" s="231"/>
      <c r="C535" s="231"/>
      <c r="D535" s="231"/>
      <c r="E535" s="225"/>
      <c r="F535" s="231"/>
      <c r="G535" s="231"/>
      <c r="H535" s="231"/>
      <c r="I535" s="231"/>
      <c r="J535" s="231"/>
      <c r="K535" s="231"/>
      <c r="L535" s="231"/>
      <c r="M535" s="231"/>
      <c r="N535" s="231"/>
      <c r="O535" s="231"/>
      <c r="P535" s="231"/>
      <c r="Q535" s="231"/>
      <c r="R535" s="231"/>
      <c r="S535" s="231"/>
      <c r="T535" s="231"/>
      <c r="U535" s="231"/>
      <c r="V535" s="231"/>
      <c r="W535" s="231"/>
      <c r="X535" s="231"/>
      <c r="Y535" s="231"/>
      <c r="Z535" s="231"/>
      <c r="AA535" s="231"/>
      <c r="AB535" s="231"/>
      <c r="AC535" s="231"/>
    </row>
    <row r="536" ht="24.75" customHeight="1" collapsed="1">
      <c r="A536" s="237" t="s">
        <v>1028</v>
      </c>
      <c r="B536" s="231"/>
      <c r="C536" s="231"/>
      <c r="D536" s="231"/>
      <c r="E536" s="225"/>
      <c r="F536" s="231"/>
      <c r="G536" s="231"/>
      <c r="H536" s="231"/>
      <c r="I536" s="231"/>
      <c r="J536" s="231"/>
      <c r="K536" s="231"/>
      <c r="L536" s="231"/>
      <c r="M536" s="231"/>
      <c r="N536" s="231"/>
      <c r="O536" s="231"/>
      <c r="P536" s="231"/>
      <c r="Q536" s="231"/>
      <c r="R536" s="231"/>
      <c r="S536" s="231"/>
      <c r="T536" s="231"/>
      <c r="U536" s="231"/>
      <c r="V536" s="231"/>
      <c r="W536" s="231"/>
      <c r="X536" s="231"/>
      <c r="Y536" s="231"/>
      <c r="Z536" s="231"/>
      <c r="AA536" s="231"/>
      <c r="AB536" s="231"/>
      <c r="AC536" s="231"/>
    </row>
    <row r="537" ht="24.75" hidden="1" customHeight="1" outlineLevel="1">
      <c r="A537" s="329" t="s">
        <v>647</v>
      </c>
      <c r="B537" s="330" t="s">
        <v>648</v>
      </c>
      <c r="C537" s="330" t="s">
        <v>649</v>
      </c>
      <c r="D537" s="330" t="s">
        <v>650</v>
      </c>
      <c r="E537" s="372" t="s">
        <v>1029</v>
      </c>
      <c r="F537" s="237"/>
      <c r="G537" s="237"/>
      <c r="H537" s="237"/>
      <c r="I537" s="231"/>
      <c r="J537" s="231"/>
      <c r="K537" s="231"/>
      <c r="L537" s="231"/>
      <c r="M537" s="231"/>
      <c r="N537" s="231"/>
      <c r="O537" s="231"/>
      <c r="P537" s="231"/>
      <c r="Q537" s="231"/>
      <c r="R537" s="231"/>
      <c r="S537" s="231"/>
      <c r="T537" s="231"/>
      <c r="U537" s="231"/>
      <c r="V537" s="231"/>
      <c r="W537" s="231"/>
      <c r="X537" s="231"/>
      <c r="Y537" s="231"/>
      <c r="Z537" s="231"/>
      <c r="AA537" s="231"/>
      <c r="AB537" s="231"/>
      <c r="AC537" s="231"/>
    </row>
    <row r="538" ht="24.75" hidden="1" customHeight="1" outlineLevel="1">
      <c r="A538" s="282">
        <v>45411.0</v>
      </c>
      <c r="B538" s="338" t="s">
        <v>731</v>
      </c>
      <c r="C538" s="256" t="s">
        <v>1030</v>
      </c>
      <c r="D538" s="373" t="s">
        <v>1031</v>
      </c>
      <c r="E538" s="305" t="s">
        <v>717</v>
      </c>
      <c r="F538" s="237"/>
      <c r="G538" s="237"/>
      <c r="H538" s="237"/>
      <c r="I538" s="231"/>
      <c r="J538" s="231"/>
      <c r="K538" s="231"/>
      <c r="L538" s="231"/>
      <c r="M538" s="231"/>
      <c r="N538" s="231"/>
      <c r="O538" s="231"/>
      <c r="P538" s="231"/>
      <c r="Q538" s="231"/>
      <c r="R538" s="231"/>
      <c r="S538" s="231"/>
      <c r="T538" s="231"/>
      <c r="U538" s="231"/>
      <c r="V538" s="231"/>
      <c r="W538" s="231"/>
      <c r="X538" s="231"/>
      <c r="Y538" s="231"/>
      <c r="Z538" s="231"/>
      <c r="AA538" s="231"/>
      <c r="AB538" s="231"/>
      <c r="AC538" s="231"/>
    </row>
    <row r="539" ht="24.75" hidden="1" customHeight="1" outlineLevel="1">
      <c r="A539" s="282">
        <v>45411.0</v>
      </c>
      <c r="B539" s="369" t="s">
        <v>1009</v>
      </c>
      <c r="C539" s="374" t="s">
        <v>721</v>
      </c>
      <c r="D539" s="375" t="s">
        <v>1032</v>
      </c>
      <c r="E539" s="305" t="s">
        <v>717</v>
      </c>
      <c r="F539" s="237"/>
      <c r="G539" s="237"/>
      <c r="H539" s="237"/>
      <c r="I539" s="231"/>
      <c r="J539" s="231"/>
      <c r="K539" s="231"/>
      <c r="L539" s="231"/>
      <c r="M539" s="231"/>
      <c r="N539" s="231"/>
      <c r="O539" s="231"/>
      <c r="P539" s="231"/>
      <c r="Q539" s="231"/>
      <c r="R539" s="231"/>
      <c r="S539" s="231"/>
      <c r="T539" s="231"/>
      <c r="U539" s="231"/>
      <c r="V539" s="231"/>
      <c r="W539" s="231"/>
      <c r="X539" s="231"/>
      <c r="Y539" s="231"/>
      <c r="Z539" s="231"/>
      <c r="AA539" s="231"/>
      <c r="AB539" s="231"/>
      <c r="AC539" s="231"/>
    </row>
    <row r="540" ht="24.75" hidden="1" customHeight="1" outlineLevel="1">
      <c r="A540" s="282">
        <v>45411.0</v>
      </c>
      <c r="B540" s="235" t="s">
        <v>801</v>
      </c>
      <c r="C540" s="235" t="s">
        <v>703</v>
      </c>
      <c r="D540" s="375" t="s">
        <v>1033</v>
      </c>
      <c r="E540" s="305" t="s">
        <v>717</v>
      </c>
      <c r="F540" s="237"/>
      <c r="G540" s="237"/>
      <c r="H540" s="237" t="s">
        <v>803</v>
      </c>
      <c r="I540" s="231"/>
      <c r="J540" s="231"/>
      <c r="K540" s="231"/>
      <c r="L540" s="231"/>
      <c r="M540" s="231"/>
      <c r="N540" s="231"/>
      <c r="O540" s="231"/>
      <c r="P540" s="231"/>
      <c r="Q540" s="231"/>
      <c r="R540" s="231"/>
      <c r="S540" s="231"/>
      <c r="T540" s="231"/>
      <c r="U540" s="231"/>
      <c r="V540" s="231"/>
      <c r="W540" s="231"/>
      <c r="X540" s="231"/>
      <c r="Y540" s="231"/>
      <c r="Z540" s="231"/>
      <c r="AA540" s="231"/>
      <c r="AB540" s="231"/>
      <c r="AC540" s="231"/>
    </row>
    <row r="541" ht="24.75" hidden="1" customHeight="1" outlineLevel="1">
      <c r="A541" s="282">
        <v>45411.0</v>
      </c>
      <c r="B541" s="253" t="s">
        <v>699</v>
      </c>
      <c r="C541" s="261" t="s">
        <v>934</v>
      </c>
      <c r="D541" s="373" t="s">
        <v>1034</v>
      </c>
      <c r="E541" s="305" t="s">
        <v>717</v>
      </c>
      <c r="F541" s="237"/>
      <c r="G541" s="237"/>
      <c r="H541" s="237" t="s">
        <v>722</v>
      </c>
      <c r="I541" s="231"/>
      <c r="J541" s="231"/>
      <c r="K541" s="231"/>
      <c r="L541" s="231"/>
      <c r="M541" s="231"/>
      <c r="N541" s="231"/>
      <c r="O541" s="231"/>
      <c r="P541" s="231"/>
      <c r="Q541" s="231"/>
      <c r="R541" s="231"/>
      <c r="S541" s="231"/>
      <c r="T541" s="231"/>
      <c r="U541" s="231"/>
      <c r="V541" s="231"/>
      <c r="W541" s="231"/>
      <c r="X541" s="231"/>
      <c r="Y541" s="231"/>
      <c r="Z541" s="231"/>
      <c r="AA541" s="231"/>
      <c r="AB541" s="231"/>
      <c r="AC541" s="231"/>
    </row>
    <row r="542" ht="24.75" hidden="1" customHeight="1" outlineLevel="1">
      <c r="A542" s="282">
        <v>45412.0</v>
      </c>
      <c r="B542" s="338" t="s">
        <v>35</v>
      </c>
      <c r="C542" s="235" t="s">
        <v>703</v>
      </c>
      <c r="D542" s="375" t="s">
        <v>1035</v>
      </c>
      <c r="E542" s="305" t="s">
        <v>717</v>
      </c>
      <c r="F542" s="237"/>
      <c r="G542" s="237"/>
      <c r="H542" s="237"/>
      <c r="I542" s="231"/>
      <c r="J542" s="231"/>
      <c r="K542" s="231"/>
      <c r="L542" s="231"/>
      <c r="M542" s="231"/>
      <c r="N542" s="231"/>
      <c r="O542" s="231"/>
      <c r="P542" s="231"/>
      <c r="Q542" s="231"/>
      <c r="R542" s="231"/>
      <c r="S542" s="231"/>
      <c r="T542" s="231"/>
      <c r="U542" s="231"/>
      <c r="V542" s="231"/>
      <c r="W542" s="231"/>
      <c r="X542" s="231"/>
      <c r="Y542" s="231"/>
      <c r="Z542" s="231"/>
      <c r="AA542" s="231"/>
      <c r="AB542" s="231"/>
      <c r="AC542" s="231"/>
    </row>
    <row r="543" ht="24.75" hidden="1" customHeight="1" outlineLevel="1">
      <c r="A543" s="282">
        <v>45412.0</v>
      </c>
      <c r="B543" s="235" t="s">
        <v>714</v>
      </c>
      <c r="C543" s="376" t="s">
        <v>1036</v>
      </c>
      <c r="D543" s="375" t="s">
        <v>662</v>
      </c>
      <c r="E543" s="305" t="s">
        <v>717</v>
      </c>
      <c r="F543" s="237"/>
      <c r="G543" s="237"/>
      <c r="H543" s="237" t="s">
        <v>1037</v>
      </c>
      <c r="I543" s="237"/>
      <c r="J543" s="231"/>
      <c r="K543" s="231"/>
      <c r="L543" s="231"/>
      <c r="M543" s="231"/>
      <c r="N543" s="231"/>
      <c r="O543" s="231"/>
      <c r="P543" s="231"/>
      <c r="Q543" s="231"/>
      <c r="R543" s="231"/>
      <c r="S543" s="231"/>
      <c r="T543" s="231"/>
      <c r="U543" s="231"/>
      <c r="V543" s="231"/>
      <c r="W543" s="231"/>
      <c r="X543" s="231"/>
      <c r="Y543" s="231"/>
      <c r="Z543" s="231"/>
      <c r="AA543" s="231"/>
      <c r="AB543" s="231"/>
      <c r="AC543" s="231"/>
    </row>
    <row r="544" ht="24.75" hidden="1" customHeight="1" outlineLevel="1">
      <c r="A544" s="282">
        <v>45412.0</v>
      </c>
      <c r="B544" s="235" t="s">
        <v>808</v>
      </c>
      <c r="C544" s="261" t="s">
        <v>703</v>
      </c>
      <c r="D544" s="375" t="s">
        <v>662</v>
      </c>
      <c r="E544" s="305" t="s">
        <v>717</v>
      </c>
      <c r="F544" s="237"/>
      <c r="G544" s="237"/>
      <c r="H544" s="237" t="s">
        <v>1038</v>
      </c>
      <c r="I544" s="231"/>
      <c r="J544" s="231"/>
      <c r="K544" s="231"/>
      <c r="L544" s="231"/>
      <c r="M544" s="231"/>
      <c r="N544" s="231"/>
      <c r="O544" s="231"/>
      <c r="P544" s="231"/>
      <c r="Q544" s="231"/>
      <c r="R544" s="231"/>
      <c r="S544" s="231"/>
      <c r="T544" s="231"/>
      <c r="U544" s="231"/>
      <c r="V544" s="231"/>
      <c r="W544" s="231"/>
      <c r="X544" s="231"/>
      <c r="Y544" s="231"/>
      <c r="Z544" s="231"/>
      <c r="AA544" s="231"/>
      <c r="AB544" s="231"/>
      <c r="AC544" s="231"/>
    </row>
    <row r="545" ht="24.75" hidden="1" customHeight="1" outlineLevel="1">
      <c r="A545" s="282">
        <v>45412.0</v>
      </c>
      <c r="B545" s="338" t="s">
        <v>736</v>
      </c>
      <c r="C545" s="240" t="s">
        <v>1039</v>
      </c>
      <c r="D545" s="375" t="s">
        <v>1040</v>
      </c>
      <c r="E545" s="305" t="s">
        <v>717</v>
      </c>
      <c r="F545" s="231"/>
      <c r="G545" s="231"/>
      <c r="H545" s="231"/>
      <c r="I545" s="231"/>
      <c r="J545" s="231"/>
      <c r="K545" s="231"/>
      <c r="L545" s="231"/>
      <c r="M545" s="231"/>
      <c r="N545" s="231"/>
      <c r="O545" s="231"/>
      <c r="P545" s="231"/>
      <c r="Q545" s="231"/>
      <c r="R545" s="231"/>
      <c r="S545" s="231"/>
      <c r="T545" s="231"/>
      <c r="U545" s="231"/>
      <c r="V545" s="231"/>
      <c r="W545" s="231"/>
      <c r="X545" s="231"/>
      <c r="Y545" s="231"/>
      <c r="Z545" s="231"/>
      <c r="AA545" s="231"/>
      <c r="AB545" s="231"/>
      <c r="AC545" s="231"/>
    </row>
    <row r="546" ht="24.75" hidden="1" customHeight="1" outlineLevel="1">
      <c r="A546" s="282">
        <v>45412.0</v>
      </c>
      <c r="B546" s="235" t="s">
        <v>279</v>
      </c>
      <c r="C546" s="261" t="s">
        <v>703</v>
      </c>
      <c r="D546" s="375" t="s">
        <v>1041</v>
      </c>
      <c r="E546" s="305" t="s">
        <v>717</v>
      </c>
      <c r="F546" s="231"/>
      <c r="G546" s="231"/>
      <c r="H546" s="231"/>
      <c r="I546" s="231"/>
      <c r="J546" s="231"/>
      <c r="K546" s="231"/>
      <c r="L546" s="231"/>
      <c r="M546" s="231"/>
      <c r="N546" s="231"/>
      <c r="O546" s="231"/>
      <c r="P546" s="231"/>
      <c r="Q546" s="231"/>
      <c r="R546" s="231"/>
      <c r="S546" s="231"/>
      <c r="T546" s="231"/>
      <c r="U546" s="231"/>
      <c r="V546" s="231"/>
      <c r="W546" s="231"/>
      <c r="X546" s="231"/>
      <c r="Y546" s="231"/>
      <c r="Z546" s="231"/>
      <c r="AA546" s="231"/>
      <c r="AB546" s="231"/>
      <c r="AC546" s="231"/>
    </row>
    <row r="547" hidden="1" outlineLevel="1">
      <c r="A547" s="282">
        <v>45415.0</v>
      </c>
      <c r="B547" s="235" t="s">
        <v>714</v>
      </c>
      <c r="C547" s="376" t="s">
        <v>1042</v>
      </c>
      <c r="D547" s="377" t="s">
        <v>1043</v>
      </c>
      <c r="E547" s="305" t="s">
        <v>717</v>
      </c>
      <c r="F547" s="231"/>
      <c r="G547" s="231"/>
      <c r="H547" s="231"/>
      <c r="I547" s="237" t="s">
        <v>922</v>
      </c>
      <c r="J547" s="231"/>
      <c r="K547" s="231"/>
      <c r="L547" s="231"/>
      <c r="M547" s="231"/>
      <c r="N547" s="231"/>
      <c r="O547" s="231"/>
      <c r="P547" s="231"/>
      <c r="Q547" s="231"/>
      <c r="R547" s="231"/>
      <c r="S547" s="231"/>
      <c r="T547" s="231"/>
      <c r="U547" s="231"/>
      <c r="V547" s="231"/>
      <c r="W547" s="231"/>
      <c r="X547" s="231"/>
      <c r="Y547" s="231"/>
      <c r="Z547" s="231"/>
      <c r="AA547" s="231"/>
      <c r="AB547" s="231"/>
      <c r="AC547" s="231"/>
    </row>
    <row r="548" ht="24.75" hidden="1" customHeight="1" outlineLevel="1">
      <c r="A548" s="282">
        <v>45415.0</v>
      </c>
      <c r="B548" s="235" t="s">
        <v>663</v>
      </c>
      <c r="C548" s="358" t="s">
        <v>911</v>
      </c>
      <c r="D548" s="378" t="s">
        <v>1044</v>
      </c>
      <c r="E548" s="379" t="s">
        <v>1045</v>
      </c>
      <c r="F548" s="237"/>
      <c r="G548" s="237"/>
      <c r="H548" s="237"/>
      <c r="I548" s="237"/>
      <c r="J548" s="231"/>
      <c r="K548" s="231"/>
      <c r="L548" s="231"/>
      <c r="M548" s="231"/>
      <c r="N548" s="231"/>
      <c r="O548" s="231"/>
      <c r="P548" s="231"/>
      <c r="Q548" s="231"/>
      <c r="R548" s="231"/>
      <c r="S548" s="231"/>
      <c r="T548" s="231"/>
      <c r="U548" s="231"/>
      <c r="V548" s="231"/>
      <c r="W548" s="231"/>
      <c r="X548" s="231"/>
      <c r="Y548" s="231"/>
      <c r="Z548" s="231"/>
      <c r="AA548" s="231"/>
      <c r="AB548" s="231"/>
      <c r="AC548" s="231"/>
    </row>
    <row r="549" ht="24.75" hidden="1" customHeight="1" outlineLevel="1">
      <c r="A549" s="282">
        <v>45415.0</v>
      </c>
      <c r="B549" s="235" t="s">
        <v>35</v>
      </c>
      <c r="C549" s="235" t="s">
        <v>703</v>
      </c>
      <c r="D549" s="375" t="s">
        <v>1035</v>
      </c>
      <c r="E549" s="305" t="s">
        <v>717</v>
      </c>
      <c r="F549" s="237"/>
      <c r="G549" s="237"/>
      <c r="H549" s="237"/>
      <c r="I549" s="231"/>
      <c r="J549" s="231"/>
      <c r="K549" s="231"/>
      <c r="L549" s="231"/>
      <c r="M549" s="231"/>
      <c r="N549" s="231"/>
      <c r="O549" s="231"/>
      <c r="P549" s="231"/>
      <c r="Q549" s="231"/>
      <c r="R549" s="231"/>
      <c r="S549" s="231"/>
      <c r="T549" s="231"/>
      <c r="U549" s="231"/>
      <c r="V549" s="231"/>
      <c r="W549" s="231"/>
      <c r="X549" s="231"/>
      <c r="Y549" s="231"/>
      <c r="Z549" s="231"/>
      <c r="AA549" s="231"/>
      <c r="AB549" s="231"/>
      <c r="AC549" s="231"/>
    </row>
    <row r="550" hidden="1" outlineLevel="1">
      <c r="A550" s="282">
        <v>45416.0</v>
      </c>
      <c r="B550" s="338" t="s">
        <v>692</v>
      </c>
      <c r="C550" s="358" t="s">
        <v>1046</v>
      </c>
      <c r="D550" s="378" t="s">
        <v>1047</v>
      </c>
      <c r="E550" s="379" t="s">
        <v>1045</v>
      </c>
      <c r="F550" s="237"/>
      <c r="G550" s="237"/>
      <c r="H550" s="237" t="s">
        <v>1048</v>
      </c>
      <c r="I550" s="237"/>
      <c r="J550" s="231"/>
      <c r="K550" s="231"/>
      <c r="L550" s="231"/>
      <c r="M550" s="231"/>
      <c r="N550" s="231"/>
      <c r="O550" s="231"/>
      <c r="P550" s="231"/>
      <c r="Q550" s="231"/>
      <c r="R550" s="231"/>
      <c r="S550" s="231"/>
      <c r="T550" s="231"/>
      <c r="U550" s="231"/>
      <c r="V550" s="231"/>
      <c r="W550" s="231"/>
      <c r="X550" s="231"/>
      <c r="Y550" s="231"/>
      <c r="Z550" s="231"/>
      <c r="AA550" s="231"/>
      <c r="AB550" s="231"/>
      <c r="AC550" s="231"/>
    </row>
    <row r="551" ht="24.75" hidden="1" customHeight="1" outlineLevel="1">
      <c r="A551" s="282">
        <v>45416.0</v>
      </c>
      <c r="B551" s="338" t="s">
        <v>695</v>
      </c>
      <c r="C551" s="358" t="s">
        <v>1049</v>
      </c>
      <c r="D551" s="378" t="s">
        <v>1050</v>
      </c>
      <c r="E551" s="379" t="s">
        <v>1045</v>
      </c>
      <c r="F551" s="368"/>
      <c r="G551" s="368"/>
      <c r="H551" s="368"/>
      <c r="I551" s="231"/>
      <c r="J551" s="231"/>
      <c r="K551" s="231"/>
      <c r="L551" s="231"/>
      <c r="M551" s="231"/>
      <c r="N551" s="231"/>
      <c r="O551" s="231"/>
      <c r="P551" s="231"/>
      <c r="Q551" s="231"/>
      <c r="R551" s="231"/>
      <c r="S551" s="231"/>
      <c r="T551" s="231"/>
      <c r="U551" s="231"/>
      <c r="V551" s="231"/>
      <c r="W551" s="231"/>
      <c r="X551" s="231"/>
      <c r="Y551" s="231"/>
      <c r="Z551" s="231"/>
      <c r="AA551" s="231"/>
      <c r="AB551" s="231"/>
      <c r="AC551" s="231"/>
    </row>
    <row r="552" ht="24.75" hidden="1" customHeight="1" outlineLevel="1">
      <c r="A552" s="282">
        <v>45416.0</v>
      </c>
      <c r="B552" s="235" t="s">
        <v>691</v>
      </c>
      <c r="C552" s="358" t="s">
        <v>703</v>
      </c>
      <c r="D552" s="378" t="s">
        <v>724</v>
      </c>
      <c r="E552" s="305" t="s">
        <v>717</v>
      </c>
      <c r="F552" s="14"/>
      <c r="G552" s="14"/>
      <c r="H552" s="14" t="s">
        <v>1051</v>
      </c>
      <c r="I552" s="231"/>
      <c r="J552" s="231"/>
      <c r="K552" s="231"/>
      <c r="L552" s="231"/>
      <c r="M552" s="231"/>
      <c r="N552" s="231"/>
      <c r="O552" s="231"/>
      <c r="P552" s="231"/>
      <c r="Q552" s="231"/>
      <c r="R552" s="231"/>
      <c r="S552" s="231"/>
      <c r="T552" s="231"/>
      <c r="U552" s="231"/>
      <c r="V552" s="231"/>
      <c r="W552" s="231"/>
      <c r="X552" s="231"/>
      <c r="Y552" s="231"/>
      <c r="Z552" s="231"/>
      <c r="AA552" s="231"/>
      <c r="AB552" s="231"/>
      <c r="AC552" s="231"/>
    </row>
    <row r="553" ht="24.75" hidden="1" customHeight="1" outlineLevel="1">
      <c r="A553" s="282">
        <v>45417.0</v>
      </c>
      <c r="B553" s="235" t="s">
        <v>669</v>
      </c>
      <c r="C553" s="240" t="s">
        <v>1039</v>
      </c>
      <c r="D553" s="378" t="s">
        <v>1052</v>
      </c>
      <c r="E553" s="379" t="s">
        <v>1045</v>
      </c>
      <c r="F553" s="368"/>
      <c r="G553" s="368"/>
      <c r="H553" s="368"/>
      <c r="I553" s="231"/>
      <c r="J553" s="231"/>
      <c r="K553" s="231"/>
      <c r="L553" s="231"/>
      <c r="M553" s="231"/>
      <c r="N553" s="231"/>
      <c r="O553" s="231"/>
      <c r="P553" s="231"/>
      <c r="Q553" s="231"/>
      <c r="R553" s="231"/>
      <c r="S553" s="231"/>
      <c r="T553" s="231"/>
      <c r="U553" s="231"/>
      <c r="V553" s="231"/>
      <c r="W553" s="231"/>
      <c r="X553" s="231"/>
      <c r="Y553" s="231"/>
      <c r="Z553" s="231"/>
      <c r="AA553" s="231"/>
      <c r="AB553" s="231"/>
      <c r="AC553" s="231"/>
    </row>
    <row r="554" ht="24.75" hidden="1" customHeight="1" outlineLevel="1">
      <c r="A554" s="269">
        <v>45417.0</v>
      </c>
      <c r="B554" s="270" t="s">
        <v>728</v>
      </c>
      <c r="C554" s="365" t="s">
        <v>1005</v>
      </c>
      <c r="D554" s="380" t="s">
        <v>1053</v>
      </c>
      <c r="E554" s="366" t="s">
        <v>1054</v>
      </c>
      <c r="F554" s="368"/>
      <c r="G554" s="368"/>
      <c r="H554" s="368"/>
      <c r="I554" s="237"/>
      <c r="J554" s="231"/>
      <c r="K554" s="231"/>
      <c r="L554" s="231"/>
      <c r="M554" s="231"/>
      <c r="N554" s="231"/>
      <c r="O554" s="231"/>
      <c r="P554" s="231"/>
      <c r="Q554" s="231"/>
      <c r="R554" s="231"/>
      <c r="S554" s="231"/>
      <c r="T554" s="231"/>
      <c r="U554" s="231"/>
      <c r="V554" s="231"/>
      <c r="W554" s="231"/>
      <c r="X554" s="231"/>
      <c r="Y554" s="231"/>
      <c r="Z554" s="231"/>
      <c r="AA554" s="231"/>
      <c r="AB554" s="231"/>
      <c r="AC554" s="231"/>
    </row>
    <row r="555" ht="24.75" hidden="1" customHeight="1" outlineLevel="1">
      <c r="A555" s="282">
        <v>45417.0</v>
      </c>
      <c r="B555" s="235" t="s">
        <v>671</v>
      </c>
      <c r="C555" s="358" t="s">
        <v>741</v>
      </c>
      <c r="D555" s="378" t="s">
        <v>1050</v>
      </c>
      <c r="E555" s="379" t="s">
        <v>1045</v>
      </c>
      <c r="F555" s="368"/>
      <c r="G555" s="368"/>
      <c r="H555" s="368"/>
      <c r="I555" s="237"/>
      <c r="J555" s="231"/>
      <c r="K555" s="231"/>
      <c r="L555" s="231"/>
      <c r="M555" s="231"/>
      <c r="N555" s="231"/>
      <c r="O555" s="231"/>
      <c r="P555" s="231"/>
      <c r="Q555" s="231"/>
      <c r="R555" s="231"/>
      <c r="S555" s="231"/>
      <c r="T555" s="231"/>
      <c r="U555" s="231"/>
      <c r="V555" s="231"/>
      <c r="W555" s="231"/>
      <c r="X555" s="231"/>
      <c r="Y555" s="231"/>
      <c r="Z555" s="231"/>
      <c r="AA555" s="231"/>
      <c r="AB555" s="231"/>
      <c r="AC555" s="231"/>
    </row>
    <row r="556" ht="24.75" hidden="1" customHeight="1" outlineLevel="1">
      <c r="A556" s="282">
        <v>45418.0</v>
      </c>
      <c r="B556" s="235" t="s">
        <v>731</v>
      </c>
      <c r="C556" s="358" t="s">
        <v>1049</v>
      </c>
      <c r="D556" s="378" t="s">
        <v>1050</v>
      </c>
      <c r="E556" s="379" t="s">
        <v>1045</v>
      </c>
      <c r="F556" s="368"/>
      <c r="G556" s="368"/>
      <c r="H556" s="368"/>
      <c r="I556" s="231"/>
      <c r="J556" s="231"/>
      <c r="K556" s="231"/>
      <c r="L556" s="231"/>
      <c r="M556" s="231"/>
      <c r="N556" s="231"/>
      <c r="O556" s="231"/>
      <c r="P556" s="231"/>
      <c r="Q556" s="231"/>
      <c r="R556" s="231"/>
      <c r="S556" s="231"/>
      <c r="T556" s="231"/>
      <c r="U556" s="231"/>
      <c r="V556" s="231"/>
      <c r="W556" s="231"/>
      <c r="X556" s="231"/>
      <c r="Y556" s="231"/>
      <c r="Z556" s="231"/>
      <c r="AA556" s="231"/>
      <c r="AB556" s="231"/>
      <c r="AC556" s="231"/>
    </row>
    <row r="557" hidden="1" outlineLevel="1">
      <c r="A557" s="282">
        <v>45418.0</v>
      </c>
      <c r="B557" s="235" t="s">
        <v>753</v>
      </c>
      <c r="C557" s="261" t="s">
        <v>934</v>
      </c>
      <c r="D557" s="381" t="s">
        <v>1055</v>
      </c>
      <c r="E557" s="379" t="s">
        <v>1045</v>
      </c>
      <c r="F557" s="368"/>
      <c r="G557" s="368"/>
      <c r="H557" s="368" t="s">
        <v>1008</v>
      </c>
      <c r="I557" s="237" t="s">
        <v>957</v>
      </c>
      <c r="J557" s="231"/>
      <c r="K557" s="231"/>
      <c r="L557" s="231"/>
      <c r="M557" s="231"/>
      <c r="N557" s="231"/>
      <c r="O557" s="231"/>
      <c r="P557" s="231"/>
      <c r="Q557" s="231"/>
      <c r="R557" s="231"/>
      <c r="S557" s="231"/>
      <c r="T557" s="231"/>
      <c r="U557" s="231"/>
      <c r="V557" s="231"/>
      <c r="W557" s="231"/>
      <c r="X557" s="231"/>
      <c r="Y557" s="231"/>
      <c r="Z557" s="231"/>
      <c r="AA557" s="231"/>
      <c r="AB557" s="231"/>
      <c r="AC557" s="231"/>
    </row>
    <row r="558" hidden="1" outlineLevel="1">
      <c r="A558" s="282">
        <v>45418.0</v>
      </c>
      <c r="B558" s="235" t="s">
        <v>756</v>
      </c>
      <c r="C558" s="261" t="s">
        <v>934</v>
      </c>
      <c r="D558" s="381" t="s">
        <v>1055</v>
      </c>
      <c r="E558" s="379" t="s">
        <v>1045</v>
      </c>
      <c r="F558" s="368"/>
      <c r="G558" s="368"/>
      <c r="H558" s="368" t="s">
        <v>1008</v>
      </c>
      <c r="I558" s="237" t="s">
        <v>958</v>
      </c>
      <c r="J558" s="231"/>
      <c r="K558" s="231"/>
      <c r="L558" s="231"/>
      <c r="M558" s="231"/>
      <c r="N558" s="231"/>
      <c r="O558" s="231"/>
      <c r="P558" s="231"/>
      <c r="Q558" s="231"/>
      <c r="R558" s="231"/>
      <c r="S558" s="231"/>
      <c r="T558" s="231"/>
      <c r="U558" s="231"/>
      <c r="V558" s="231"/>
      <c r="W558" s="231"/>
      <c r="X558" s="231"/>
      <c r="Y558" s="231"/>
      <c r="Z558" s="231"/>
      <c r="AA558" s="231"/>
      <c r="AB558" s="231"/>
      <c r="AC558" s="231"/>
    </row>
    <row r="559" ht="24.75" hidden="1" customHeight="1" outlineLevel="1">
      <c r="A559" s="282">
        <v>45418.0</v>
      </c>
      <c r="B559" s="235" t="s">
        <v>801</v>
      </c>
      <c r="C559" s="235" t="s">
        <v>703</v>
      </c>
      <c r="D559" s="375" t="s">
        <v>1033</v>
      </c>
      <c r="E559" s="305" t="s">
        <v>717</v>
      </c>
      <c r="F559" s="237"/>
      <c r="G559" s="237"/>
      <c r="H559" s="237" t="s">
        <v>935</v>
      </c>
      <c r="I559" s="231"/>
      <c r="J559" s="231"/>
      <c r="K559" s="231"/>
      <c r="L559" s="231"/>
      <c r="M559" s="231"/>
      <c r="N559" s="231"/>
      <c r="O559" s="231"/>
      <c r="P559" s="231"/>
      <c r="Q559" s="231"/>
      <c r="R559" s="231"/>
      <c r="S559" s="231"/>
      <c r="T559" s="231"/>
      <c r="U559" s="231"/>
      <c r="V559" s="231"/>
      <c r="W559" s="231"/>
      <c r="X559" s="231"/>
      <c r="Y559" s="231"/>
      <c r="Z559" s="231"/>
      <c r="AA559" s="231"/>
      <c r="AB559" s="231"/>
      <c r="AC559" s="231"/>
    </row>
    <row r="560" ht="24.75" hidden="1" customHeight="1" outlineLevel="1">
      <c r="A560" s="282">
        <v>45418.0</v>
      </c>
      <c r="B560" s="382" t="s">
        <v>1009</v>
      </c>
      <c r="C560" s="358" t="s">
        <v>741</v>
      </c>
      <c r="D560" s="383" t="s">
        <v>1056</v>
      </c>
      <c r="E560" s="305" t="s">
        <v>717</v>
      </c>
      <c r="F560" s="231"/>
      <c r="G560" s="231"/>
      <c r="H560" s="231"/>
      <c r="I560" s="231"/>
      <c r="J560" s="231"/>
      <c r="K560" s="231"/>
      <c r="L560" s="231"/>
      <c r="M560" s="231"/>
      <c r="N560" s="231"/>
      <c r="O560" s="231"/>
      <c r="P560" s="231"/>
      <c r="Q560" s="231"/>
      <c r="R560" s="231"/>
      <c r="S560" s="231"/>
      <c r="T560" s="231"/>
      <c r="U560" s="231"/>
      <c r="V560" s="231"/>
      <c r="W560" s="231"/>
      <c r="X560" s="231"/>
      <c r="Y560" s="231"/>
      <c r="Z560" s="231"/>
      <c r="AA560" s="231"/>
      <c r="AB560" s="231"/>
      <c r="AC560" s="231"/>
    </row>
    <row r="561" ht="24.75" hidden="1" customHeight="1" outlineLevel="1">
      <c r="A561" s="282">
        <v>45419.0</v>
      </c>
      <c r="B561" s="338" t="s">
        <v>35</v>
      </c>
      <c r="C561" s="235" t="s">
        <v>703</v>
      </c>
      <c r="D561" s="375" t="s">
        <v>1035</v>
      </c>
      <c r="E561" s="305" t="s">
        <v>717</v>
      </c>
      <c r="F561" s="237"/>
      <c r="G561" s="237"/>
      <c r="H561" s="237"/>
      <c r="I561" s="231"/>
      <c r="J561" s="231"/>
      <c r="K561" s="231"/>
      <c r="L561" s="231"/>
      <c r="M561" s="231"/>
      <c r="N561" s="231"/>
      <c r="O561" s="231"/>
      <c r="P561" s="231"/>
      <c r="Q561" s="231"/>
      <c r="R561" s="231"/>
      <c r="S561" s="231"/>
      <c r="T561" s="231"/>
      <c r="U561" s="231"/>
      <c r="V561" s="231"/>
      <c r="W561" s="231"/>
      <c r="X561" s="231"/>
      <c r="Y561" s="231"/>
      <c r="Z561" s="231"/>
      <c r="AA561" s="231"/>
      <c r="AB561" s="231"/>
      <c r="AC561" s="231"/>
    </row>
    <row r="562" ht="24.75" hidden="1" customHeight="1" outlineLevel="1">
      <c r="A562" s="282">
        <v>45419.0</v>
      </c>
      <c r="B562" s="235" t="s">
        <v>714</v>
      </c>
      <c r="C562" s="376" t="s">
        <v>1057</v>
      </c>
      <c r="D562" s="375" t="s">
        <v>662</v>
      </c>
      <c r="E562" s="305" t="s">
        <v>717</v>
      </c>
      <c r="F562" s="231"/>
      <c r="G562" s="231"/>
      <c r="H562" s="231"/>
      <c r="I562" s="237" t="s">
        <v>922</v>
      </c>
      <c r="J562" s="231"/>
      <c r="K562" s="231"/>
      <c r="L562" s="231"/>
      <c r="M562" s="231"/>
      <c r="N562" s="231"/>
      <c r="O562" s="231"/>
      <c r="P562" s="231"/>
      <c r="Q562" s="231"/>
      <c r="R562" s="231"/>
      <c r="S562" s="231"/>
      <c r="T562" s="231"/>
      <c r="U562" s="231"/>
      <c r="V562" s="231"/>
      <c r="W562" s="231"/>
      <c r="X562" s="231"/>
      <c r="Y562" s="231"/>
      <c r="Z562" s="231"/>
      <c r="AA562" s="231"/>
      <c r="AB562" s="231"/>
      <c r="AC562" s="231"/>
    </row>
    <row r="563" ht="24.75" hidden="1" customHeight="1" outlineLevel="1">
      <c r="A563" s="282">
        <v>45419.0</v>
      </c>
      <c r="B563" s="235" t="s">
        <v>808</v>
      </c>
      <c r="C563" s="261" t="s">
        <v>703</v>
      </c>
      <c r="D563" s="375" t="s">
        <v>662</v>
      </c>
      <c r="E563" s="305" t="s">
        <v>717</v>
      </c>
      <c r="F563" s="237"/>
      <c r="G563" s="237"/>
      <c r="H563" s="237" t="s">
        <v>1038</v>
      </c>
      <c r="I563" s="231"/>
      <c r="J563" s="231"/>
      <c r="K563" s="231"/>
      <c r="L563" s="231"/>
      <c r="M563" s="231"/>
      <c r="N563" s="231"/>
      <c r="O563" s="231"/>
      <c r="P563" s="231"/>
      <c r="Q563" s="231"/>
      <c r="R563" s="231"/>
      <c r="S563" s="231"/>
      <c r="T563" s="231"/>
      <c r="U563" s="231"/>
      <c r="V563" s="231"/>
      <c r="W563" s="231"/>
      <c r="X563" s="231"/>
      <c r="Y563" s="231"/>
      <c r="Z563" s="231"/>
      <c r="AA563" s="231"/>
      <c r="AB563" s="231"/>
      <c r="AC563" s="231"/>
    </row>
    <row r="564" ht="24.75" hidden="1" customHeight="1" outlineLevel="1">
      <c r="A564" s="282">
        <v>45419.0</v>
      </c>
      <c r="B564" s="338" t="s">
        <v>736</v>
      </c>
      <c r="C564" s="240" t="s">
        <v>1039</v>
      </c>
      <c r="D564" s="378" t="s">
        <v>1052</v>
      </c>
      <c r="E564" s="379" t="s">
        <v>1045</v>
      </c>
      <c r="F564" s="231"/>
      <c r="G564" s="231"/>
      <c r="H564" s="231"/>
      <c r="I564" s="231"/>
      <c r="J564" s="231"/>
      <c r="K564" s="231"/>
      <c r="L564" s="231"/>
      <c r="M564" s="231"/>
      <c r="N564" s="231"/>
      <c r="O564" s="231"/>
      <c r="P564" s="231"/>
      <c r="Q564" s="231"/>
      <c r="R564" s="231"/>
      <c r="S564" s="231"/>
      <c r="T564" s="231"/>
      <c r="U564" s="231"/>
      <c r="V564" s="231"/>
      <c r="W564" s="231"/>
      <c r="X564" s="231"/>
      <c r="Y564" s="231"/>
      <c r="Z564" s="231"/>
      <c r="AA564" s="231"/>
      <c r="AB564" s="231"/>
      <c r="AC564" s="231"/>
    </row>
    <row r="565" ht="24.75" hidden="1" customHeight="1" outlineLevel="1">
      <c r="A565" s="282">
        <v>45419.0</v>
      </c>
      <c r="B565" s="235" t="s">
        <v>279</v>
      </c>
      <c r="C565" s="261" t="s">
        <v>703</v>
      </c>
      <c r="D565" s="375" t="s">
        <v>1041</v>
      </c>
      <c r="E565" s="305" t="s">
        <v>717</v>
      </c>
      <c r="F565" s="231"/>
      <c r="G565" s="231"/>
      <c r="H565" s="231"/>
      <c r="I565" s="231"/>
      <c r="J565" s="231"/>
      <c r="K565" s="231"/>
      <c r="L565" s="231"/>
      <c r="M565" s="231"/>
      <c r="N565" s="231"/>
      <c r="O565" s="231"/>
      <c r="P565" s="231"/>
      <c r="Q565" s="231"/>
      <c r="R565" s="231"/>
      <c r="S565" s="231"/>
      <c r="T565" s="231"/>
      <c r="U565" s="231"/>
      <c r="V565" s="231"/>
      <c r="W565" s="231"/>
      <c r="X565" s="231"/>
      <c r="Y565" s="231"/>
      <c r="Z565" s="231"/>
      <c r="AA565" s="231"/>
      <c r="AB565" s="231"/>
      <c r="AC565" s="231"/>
    </row>
    <row r="566" ht="24.75" hidden="1" customHeight="1" outlineLevel="1">
      <c r="A566" s="282">
        <v>45421.0</v>
      </c>
      <c r="B566" s="384" t="s">
        <v>1020</v>
      </c>
      <c r="C566" s="358" t="s">
        <v>741</v>
      </c>
      <c r="D566" s="378" t="s">
        <v>1058</v>
      </c>
      <c r="E566" s="379" t="s">
        <v>1045</v>
      </c>
      <c r="F566" s="231"/>
      <c r="G566" s="231"/>
      <c r="H566" s="231"/>
      <c r="I566" s="231"/>
      <c r="J566" s="231"/>
      <c r="K566" s="231"/>
      <c r="L566" s="231"/>
      <c r="M566" s="231"/>
      <c r="N566" s="231"/>
      <c r="O566" s="231"/>
      <c r="P566" s="231"/>
      <c r="Q566" s="231"/>
      <c r="R566" s="231"/>
      <c r="S566" s="231"/>
      <c r="T566" s="231"/>
      <c r="U566" s="231"/>
      <c r="V566" s="231"/>
      <c r="W566" s="231"/>
      <c r="X566" s="231"/>
      <c r="Y566" s="231"/>
      <c r="Z566" s="231"/>
      <c r="AA566" s="231"/>
      <c r="AB566" s="231"/>
      <c r="AC566" s="231"/>
    </row>
    <row r="567" ht="24.75" hidden="1" customHeight="1" outlineLevel="1">
      <c r="A567" s="237" t="s">
        <v>1059</v>
      </c>
      <c r="B567" s="231"/>
      <c r="C567" s="231"/>
      <c r="D567" s="231"/>
      <c r="E567" s="225"/>
      <c r="F567" s="231"/>
      <c r="G567" s="231"/>
      <c r="H567" s="231"/>
      <c r="I567" s="231"/>
      <c r="J567" s="231"/>
      <c r="K567" s="231"/>
      <c r="L567" s="231"/>
      <c r="M567" s="231"/>
      <c r="N567" s="231"/>
      <c r="O567" s="231"/>
      <c r="P567" s="231"/>
      <c r="Q567" s="231"/>
      <c r="R567" s="231"/>
      <c r="S567" s="231"/>
      <c r="T567" s="231"/>
      <c r="U567" s="231"/>
      <c r="V567" s="231"/>
      <c r="W567" s="231"/>
      <c r="X567" s="231"/>
      <c r="Y567" s="231"/>
      <c r="Z567" s="231"/>
      <c r="AA567" s="231"/>
      <c r="AB567" s="231"/>
      <c r="AC567" s="231"/>
    </row>
    <row r="568" ht="24.75" customHeight="1">
      <c r="A568" s="231"/>
      <c r="B568" s="231"/>
      <c r="C568" s="231"/>
      <c r="D568" s="231"/>
      <c r="E568" s="225"/>
      <c r="F568" s="231"/>
      <c r="G568" s="231"/>
      <c r="H568" s="231"/>
      <c r="I568" s="231"/>
      <c r="J568" s="231"/>
      <c r="K568" s="231"/>
      <c r="L568" s="231"/>
      <c r="M568" s="231"/>
      <c r="N568" s="231"/>
      <c r="O568" s="231"/>
      <c r="P568" s="231"/>
      <c r="Q568" s="231"/>
      <c r="R568" s="231"/>
      <c r="S568" s="231"/>
      <c r="T568" s="231"/>
      <c r="U568" s="231"/>
      <c r="V568" s="231"/>
      <c r="W568" s="231"/>
      <c r="X568" s="231"/>
      <c r="Y568" s="231"/>
      <c r="Z568" s="231"/>
      <c r="AA568" s="231"/>
      <c r="AB568" s="231"/>
      <c r="AC568" s="231"/>
    </row>
    <row r="569" ht="24.75" customHeight="1" collapsed="1">
      <c r="A569" s="385" t="s">
        <v>1060</v>
      </c>
      <c r="B569" s="248"/>
      <c r="C569" s="248"/>
      <c r="D569" s="248"/>
      <c r="E569" s="248"/>
      <c r="F569" s="249"/>
      <c r="G569" s="249"/>
      <c r="H569" s="249"/>
      <c r="I569" s="249"/>
      <c r="J569" s="249"/>
      <c r="K569" s="249"/>
      <c r="L569" s="249"/>
      <c r="M569" s="249"/>
      <c r="N569" s="249"/>
      <c r="O569" s="249"/>
      <c r="P569" s="249"/>
      <c r="Q569" s="249"/>
      <c r="R569" s="249"/>
      <c r="S569" s="249"/>
      <c r="T569" s="249"/>
      <c r="U569" s="249"/>
      <c r="V569" s="249"/>
      <c r="W569" s="249"/>
      <c r="X569" s="249"/>
      <c r="Y569" s="249"/>
      <c r="Z569" s="249"/>
      <c r="AA569" s="249"/>
      <c r="AB569" s="249"/>
      <c r="AC569" s="249"/>
    </row>
    <row r="570" ht="24.75" hidden="1" customHeight="1" outlineLevel="1">
      <c r="A570" s="263" t="s">
        <v>647</v>
      </c>
      <c r="B570" s="264" t="s">
        <v>648</v>
      </c>
      <c r="C570" s="264" t="s">
        <v>649</v>
      </c>
      <c r="D570" s="264" t="s">
        <v>650</v>
      </c>
      <c r="E570" s="386" t="s">
        <v>1029</v>
      </c>
      <c r="F570" s="249"/>
      <c r="G570" s="249"/>
      <c r="H570" s="249"/>
      <c r="I570" s="249"/>
      <c r="J570" s="249"/>
      <c r="K570" s="249"/>
      <c r="L570" s="249"/>
      <c r="M570" s="249"/>
      <c r="N570" s="249"/>
      <c r="O570" s="249"/>
      <c r="P570" s="249"/>
      <c r="Q570" s="249"/>
      <c r="R570" s="249"/>
      <c r="S570" s="249"/>
      <c r="T570" s="249"/>
      <c r="U570" s="249"/>
      <c r="V570" s="249"/>
      <c r="W570" s="249"/>
      <c r="X570" s="249"/>
      <c r="Y570" s="249"/>
      <c r="Z570" s="249"/>
      <c r="AA570" s="249"/>
      <c r="AB570" s="249"/>
      <c r="AC570" s="249"/>
    </row>
    <row r="571" ht="24.75" hidden="1" customHeight="1" outlineLevel="1">
      <c r="A571" s="387">
        <v>45488.0</v>
      </c>
      <c r="B571" s="388" t="s">
        <v>731</v>
      </c>
      <c r="C571" s="389" t="s">
        <v>1061</v>
      </c>
      <c r="D571" s="390" t="s">
        <v>1062</v>
      </c>
      <c r="E571" s="357" t="s">
        <v>717</v>
      </c>
      <c r="F571" s="249"/>
      <c r="G571" s="249"/>
      <c r="H571" s="249"/>
      <c r="I571" s="249"/>
      <c r="J571" s="249"/>
      <c r="K571" s="249"/>
      <c r="L571" s="249"/>
      <c r="M571" s="249"/>
      <c r="N571" s="249"/>
      <c r="O571" s="249"/>
      <c r="P571" s="249"/>
      <c r="Q571" s="249"/>
      <c r="R571" s="249"/>
      <c r="S571" s="249"/>
      <c r="T571" s="249"/>
      <c r="U571" s="249"/>
      <c r="V571" s="249"/>
      <c r="W571" s="249"/>
      <c r="X571" s="249"/>
      <c r="Y571" s="249"/>
      <c r="Z571" s="249"/>
      <c r="AA571" s="249"/>
      <c r="AB571" s="249"/>
      <c r="AC571" s="249"/>
    </row>
    <row r="572" ht="24.75" hidden="1" customHeight="1" outlineLevel="1">
      <c r="A572" s="387">
        <v>45488.0</v>
      </c>
      <c r="B572" s="388" t="s">
        <v>1009</v>
      </c>
      <c r="C572" s="362" t="s">
        <v>721</v>
      </c>
      <c r="D572" s="391" t="s">
        <v>1063</v>
      </c>
      <c r="E572" s="357" t="s">
        <v>717</v>
      </c>
      <c r="F572" s="249"/>
      <c r="G572" s="249"/>
      <c r="H572" s="249"/>
      <c r="I572" s="249"/>
      <c r="J572" s="249"/>
      <c r="K572" s="249"/>
      <c r="L572" s="249"/>
      <c r="M572" s="249"/>
      <c r="N572" s="249"/>
      <c r="O572" s="249"/>
      <c r="P572" s="249"/>
      <c r="Q572" s="249"/>
      <c r="R572" s="249"/>
      <c r="S572" s="249"/>
      <c r="T572" s="249"/>
      <c r="U572" s="249"/>
      <c r="V572" s="249"/>
      <c r="W572" s="249"/>
      <c r="X572" s="249"/>
      <c r="Y572" s="249"/>
      <c r="Z572" s="249"/>
      <c r="AA572" s="249"/>
      <c r="AB572" s="249"/>
      <c r="AC572" s="249"/>
    </row>
    <row r="573" ht="24.75" hidden="1" customHeight="1" outlineLevel="1">
      <c r="A573" s="387">
        <v>45488.0</v>
      </c>
      <c r="B573" s="362" t="s">
        <v>801</v>
      </c>
      <c r="C573" s="362" t="s">
        <v>703</v>
      </c>
      <c r="D573" s="392" t="s">
        <v>1033</v>
      </c>
      <c r="E573" s="357" t="s">
        <v>717</v>
      </c>
      <c r="F573" s="289"/>
      <c r="G573" s="289"/>
      <c r="H573" s="289" t="s">
        <v>803</v>
      </c>
      <c r="I573" s="249"/>
      <c r="J573" s="249"/>
      <c r="K573" s="249"/>
      <c r="L573" s="249"/>
      <c r="M573" s="249"/>
      <c r="N573" s="249"/>
      <c r="O573" s="249"/>
      <c r="P573" s="249"/>
      <c r="Q573" s="249"/>
      <c r="R573" s="249"/>
      <c r="S573" s="249"/>
      <c r="T573" s="249"/>
      <c r="U573" s="249"/>
      <c r="V573" s="249"/>
      <c r="W573" s="249"/>
      <c r="X573" s="249"/>
      <c r="Y573" s="249"/>
      <c r="Z573" s="249"/>
      <c r="AA573" s="249"/>
      <c r="AB573" s="249"/>
      <c r="AC573" s="249"/>
    </row>
    <row r="574" ht="24.75" hidden="1" customHeight="1" outlineLevel="1">
      <c r="A574" s="387">
        <v>45488.0</v>
      </c>
      <c r="B574" s="362" t="s">
        <v>699</v>
      </c>
      <c r="C574" s="362" t="s">
        <v>934</v>
      </c>
      <c r="D574" s="390" t="s">
        <v>1064</v>
      </c>
      <c r="E574" s="357" t="s">
        <v>717</v>
      </c>
      <c r="F574" s="249"/>
      <c r="G574" s="249"/>
      <c r="H574" s="249" t="s">
        <v>722</v>
      </c>
      <c r="I574" s="249"/>
      <c r="J574" s="249"/>
      <c r="K574" s="249"/>
      <c r="L574" s="249"/>
      <c r="M574" s="249"/>
      <c r="N574" s="249"/>
      <c r="O574" s="249"/>
      <c r="P574" s="249"/>
      <c r="Q574" s="249"/>
      <c r="R574" s="249"/>
      <c r="S574" s="249"/>
      <c r="T574" s="249"/>
      <c r="U574" s="249"/>
      <c r="V574" s="249"/>
      <c r="W574" s="249"/>
      <c r="X574" s="249"/>
      <c r="Y574" s="249"/>
      <c r="Z574" s="249"/>
      <c r="AA574" s="249"/>
      <c r="AB574" s="249"/>
      <c r="AC574" s="249"/>
    </row>
    <row r="575" ht="24.75" hidden="1" customHeight="1" outlineLevel="1">
      <c r="A575" s="387">
        <v>45489.0</v>
      </c>
      <c r="B575" s="388" t="s">
        <v>35</v>
      </c>
      <c r="C575" s="362" t="s">
        <v>703</v>
      </c>
      <c r="D575" s="392" t="s">
        <v>1035</v>
      </c>
      <c r="E575" s="357" t="s">
        <v>717</v>
      </c>
      <c r="F575" s="249"/>
      <c r="G575" s="249"/>
      <c r="H575" s="249"/>
      <c r="I575" s="249"/>
      <c r="J575" s="249"/>
      <c r="K575" s="249"/>
      <c r="L575" s="249"/>
      <c r="M575" s="249"/>
      <c r="N575" s="249"/>
      <c r="O575" s="249"/>
      <c r="P575" s="249"/>
      <c r="Q575" s="249"/>
      <c r="R575" s="249"/>
      <c r="S575" s="249"/>
      <c r="T575" s="249"/>
      <c r="U575" s="249"/>
      <c r="V575" s="249"/>
      <c r="W575" s="249"/>
      <c r="X575" s="249"/>
      <c r="Y575" s="249"/>
      <c r="Z575" s="249"/>
      <c r="AA575" s="249"/>
      <c r="AB575" s="249"/>
      <c r="AC575" s="249"/>
    </row>
    <row r="576" ht="24.75" hidden="1" customHeight="1" outlineLevel="1">
      <c r="A576" s="387">
        <v>45489.0</v>
      </c>
      <c r="B576" s="362" t="s">
        <v>714</v>
      </c>
      <c r="C576" s="393" t="s">
        <v>1065</v>
      </c>
      <c r="D576" s="392" t="s">
        <v>662</v>
      </c>
      <c r="E576" s="357" t="s">
        <v>717</v>
      </c>
      <c r="F576" s="289"/>
      <c r="G576" s="289"/>
      <c r="H576" s="289" t="s">
        <v>1037</v>
      </c>
      <c r="I576" s="249"/>
      <c r="J576" s="249"/>
      <c r="K576" s="249"/>
      <c r="L576" s="249"/>
      <c r="M576" s="249"/>
      <c r="N576" s="249"/>
      <c r="O576" s="249"/>
      <c r="P576" s="249"/>
      <c r="Q576" s="249"/>
      <c r="R576" s="249"/>
      <c r="S576" s="249"/>
      <c r="T576" s="249"/>
      <c r="U576" s="249"/>
      <c r="V576" s="249"/>
      <c r="W576" s="249"/>
      <c r="X576" s="249"/>
      <c r="Y576" s="249"/>
      <c r="Z576" s="249"/>
      <c r="AA576" s="249"/>
      <c r="AB576" s="249"/>
      <c r="AC576" s="249"/>
    </row>
    <row r="577" ht="24.75" hidden="1" customHeight="1" outlineLevel="1">
      <c r="A577" s="387">
        <v>45489.0</v>
      </c>
      <c r="B577" s="362" t="s">
        <v>808</v>
      </c>
      <c r="C577" s="362" t="s">
        <v>703</v>
      </c>
      <c r="D577" s="392" t="s">
        <v>662</v>
      </c>
      <c r="E577" s="357" t="s">
        <v>717</v>
      </c>
      <c r="F577" s="289"/>
      <c r="G577" s="289"/>
      <c r="H577" s="289" t="s">
        <v>1038</v>
      </c>
      <c r="I577" s="249"/>
      <c r="J577" s="249"/>
      <c r="K577" s="249"/>
      <c r="L577" s="249"/>
      <c r="M577" s="249"/>
      <c r="N577" s="249"/>
      <c r="O577" s="249"/>
      <c r="P577" s="249"/>
      <c r="Q577" s="249"/>
      <c r="R577" s="249"/>
      <c r="S577" s="249"/>
      <c r="T577" s="249"/>
      <c r="U577" s="249"/>
      <c r="V577" s="249"/>
      <c r="W577" s="249"/>
      <c r="X577" s="249"/>
      <c r="Y577" s="249"/>
      <c r="Z577" s="249"/>
      <c r="AA577" s="249"/>
      <c r="AB577" s="249"/>
      <c r="AC577" s="249"/>
    </row>
    <row r="578" ht="24.75" hidden="1" customHeight="1" outlineLevel="1">
      <c r="A578" s="387">
        <v>45489.0</v>
      </c>
      <c r="B578" s="388" t="s">
        <v>736</v>
      </c>
      <c r="C578" s="394" t="s">
        <v>1039</v>
      </c>
      <c r="D578" s="392" t="s">
        <v>1040</v>
      </c>
      <c r="E578" s="357" t="s">
        <v>717</v>
      </c>
      <c r="F578" s="249"/>
      <c r="G578" s="249"/>
      <c r="H578" s="249"/>
      <c r="I578" s="249"/>
      <c r="J578" s="249"/>
      <c r="K578" s="249"/>
      <c r="L578" s="249"/>
      <c r="M578" s="249"/>
      <c r="N578" s="249"/>
      <c r="O578" s="249"/>
      <c r="P578" s="249"/>
      <c r="Q578" s="249"/>
      <c r="R578" s="249"/>
      <c r="S578" s="249"/>
      <c r="T578" s="249"/>
      <c r="U578" s="249"/>
      <c r="V578" s="249"/>
      <c r="W578" s="249"/>
      <c r="X578" s="249"/>
      <c r="Y578" s="249"/>
      <c r="Z578" s="249"/>
      <c r="AA578" s="249"/>
      <c r="AB578" s="249"/>
      <c r="AC578" s="249"/>
    </row>
    <row r="579" ht="24.75" hidden="1" customHeight="1" outlineLevel="1">
      <c r="A579" s="387">
        <v>45489.0</v>
      </c>
      <c r="B579" s="362" t="s">
        <v>279</v>
      </c>
      <c r="C579" s="362" t="s">
        <v>703</v>
      </c>
      <c r="D579" s="392" t="s">
        <v>1041</v>
      </c>
      <c r="E579" s="357" t="s">
        <v>717</v>
      </c>
      <c r="F579" s="249"/>
      <c r="G579" s="249"/>
      <c r="H579" s="249"/>
      <c r="I579" s="249"/>
      <c r="J579" s="249"/>
      <c r="K579" s="249"/>
      <c r="L579" s="249"/>
      <c r="M579" s="249"/>
      <c r="N579" s="249"/>
      <c r="O579" s="249"/>
      <c r="P579" s="249"/>
      <c r="Q579" s="249"/>
      <c r="R579" s="249"/>
      <c r="S579" s="249"/>
      <c r="T579" s="249"/>
      <c r="U579" s="249"/>
      <c r="V579" s="249"/>
      <c r="W579" s="249"/>
      <c r="X579" s="249"/>
      <c r="Y579" s="249"/>
      <c r="Z579" s="249"/>
      <c r="AA579" s="249"/>
      <c r="AB579" s="249"/>
      <c r="AC579" s="249"/>
    </row>
    <row r="580" ht="24.75" customHeight="1">
      <c r="A580" s="231"/>
      <c r="B580" s="231"/>
      <c r="C580" s="231"/>
      <c r="D580" s="231"/>
      <c r="E580" s="225"/>
      <c r="F580" s="231"/>
      <c r="G580" s="231"/>
      <c r="H580" s="231"/>
      <c r="I580" s="231"/>
      <c r="J580" s="231"/>
      <c r="K580" s="231"/>
      <c r="L580" s="231"/>
      <c r="M580" s="231"/>
      <c r="N580" s="231"/>
      <c r="O580" s="231"/>
      <c r="P580" s="231"/>
      <c r="Q580" s="231"/>
      <c r="R580" s="231"/>
      <c r="S580" s="231"/>
      <c r="T580" s="231"/>
      <c r="U580" s="231"/>
      <c r="V580" s="231"/>
      <c r="W580" s="231"/>
      <c r="X580" s="231"/>
      <c r="Y580" s="231"/>
      <c r="Z580" s="231"/>
      <c r="AA580" s="231"/>
      <c r="AB580" s="231"/>
      <c r="AC580" s="231"/>
    </row>
    <row r="581" ht="24.75" customHeight="1" collapsed="1">
      <c r="A581" s="223" t="s">
        <v>1066</v>
      </c>
      <c r="B581" s="224"/>
      <c r="C581" s="224"/>
      <c r="D581" s="224"/>
      <c r="E581" s="224"/>
      <c r="F581" s="231"/>
      <c r="G581" s="231"/>
      <c r="H581" s="231"/>
      <c r="I581" s="231"/>
      <c r="J581" s="231"/>
      <c r="K581" s="231"/>
      <c r="L581" s="231"/>
      <c r="M581" s="231"/>
      <c r="N581" s="231"/>
      <c r="O581" s="231"/>
      <c r="P581" s="231"/>
      <c r="Q581" s="231"/>
      <c r="R581" s="231"/>
      <c r="S581" s="231"/>
      <c r="T581" s="231"/>
      <c r="U581" s="231"/>
      <c r="V581" s="231"/>
      <c r="W581" s="231"/>
      <c r="X581" s="231"/>
      <c r="Y581" s="231"/>
      <c r="Z581" s="231"/>
      <c r="AA581" s="231"/>
      <c r="AB581" s="231"/>
      <c r="AC581" s="231"/>
    </row>
    <row r="582" ht="24.75" hidden="1" customHeight="1" outlineLevel="1">
      <c r="A582" s="226" t="s">
        <v>647</v>
      </c>
      <c r="B582" s="226" t="s">
        <v>648</v>
      </c>
      <c r="C582" s="226" t="s">
        <v>649</v>
      </c>
      <c r="D582" s="226" t="s">
        <v>650</v>
      </c>
      <c r="E582" s="226" t="s">
        <v>651</v>
      </c>
      <c r="F582" s="231"/>
      <c r="G582" s="231"/>
      <c r="H582" s="231"/>
      <c r="I582" s="231"/>
      <c r="J582" s="231"/>
      <c r="K582" s="231"/>
      <c r="L582" s="231"/>
      <c r="M582" s="231"/>
      <c r="N582" s="231"/>
      <c r="O582" s="231"/>
      <c r="P582" s="231"/>
      <c r="Q582" s="231"/>
      <c r="R582" s="231"/>
      <c r="S582" s="231"/>
      <c r="T582" s="231"/>
      <c r="U582" s="231"/>
      <c r="V582" s="231"/>
      <c r="W582" s="231"/>
      <c r="X582" s="231"/>
      <c r="Y582" s="231"/>
      <c r="Z582" s="231"/>
      <c r="AA582" s="231"/>
      <c r="AB582" s="231"/>
      <c r="AC582" s="231"/>
    </row>
    <row r="583" ht="24.75" hidden="1" customHeight="1" outlineLevel="1">
      <c r="A583" s="395">
        <v>45513.0</v>
      </c>
      <c r="B583" s="396" t="s">
        <v>714</v>
      </c>
      <c r="C583" s="397" t="s">
        <v>715</v>
      </c>
      <c r="D583" s="397" t="s">
        <v>662</v>
      </c>
      <c r="E583" s="398" t="s">
        <v>717</v>
      </c>
      <c r="F583" s="237"/>
      <c r="G583" s="237"/>
      <c r="H583" s="237" t="s">
        <v>1067</v>
      </c>
      <c r="I583" s="231"/>
      <c r="J583" s="231"/>
      <c r="K583" s="231"/>
      <c r="L583" s="231"/>
      <c r="M583" s="231"/>
      <c r="N583" s="231"/>
      <c r="O583" s="231"/>
      <c r="P583" s="231"/>
      <c r="Q583" s="231"/>
      <c r="R583" s="231"/>
      <c r="S583" s="231"/>
      <c r="T583" s="231"/>
      <c r="U583" s="231"/>
      <c r="V583" s="231"/>
      <c r="W583" s="231"/>
      <c r="X583" s="231"/>
      <c r="Y583" s="231"/>
      <c r="Z583" s="231"/>
      <c r="AA583" s="231"/>
      <c r="AB583" s="231"/>
      <c r="AC583" s="231"/>
    </row>
    <row r="584" ht="24.75" hidden="1" customHeight="1" outlineLevel="1">
      <c r="A584" s="395">
        <v>45513.0</v>
      </c>
      <c r="B584" s="396" t="s">
        <v>663</v>
      </c>
      <c r="C584" s="397" t="s">
        <v>911</v>
      </c>
      <c r="D584" s="397" t="s">
        <v>662</v>
      </c>
      <c r="E584" s="398" t="s">
        <v>717</v>
      </c>
      <c r="F584" s="237"/>
      <c r="G584" s="237"/>
      <c r="H584" s="237" t="s">
        <v>1068</v>
      </c>
      <c r="I584" s="231"/>
      <c r="J584" s="231"/>
      <c r="K584" s="231"/>
      <c r="L584" s="231"/>
      <c r="M584" s="231"/>
      <c r="N584" s="231"/>
      <c r="O584" s="231"/>
      <c r="P584" s="231"/>
      <c r="Q584" s="231"/>
      <c r="R584" s="231"/>
      <c r="S584" s="231"/>
      <c r="T584" s="231"/>
      <c r="U584" s="231"/>
      <c r="V584" s="231"/>
      <c r="W584" s="231"/>
      <c r="X584" s="231"/>
      <c r="Y584" s="231"/>
      <c r="Z584" s="231"/>
      <c r="AA584" s="231"/>
      <c r="AB584" s="231"/>
      <c r="AC584" s="231"/>
    </row>
    <row r="585" ht="24.75" hidden="1" customHeight="1" outlineLevel="1">
      <c r="A585" s="395">
        <v>45513.0</v>
      </c>
      <c r="B585" s="396" t="s">
        <v>35</v>
      </c>
      <c r="C585" s="396" t="s">
        <v>715</v>
      </c>
      <c r="D585" s="397" t="s">
        <v>662</v>
      </c>
      <c r="E585" s="398" t="s">
        <v>717</v>
      </c>
      <c r="F585" s="237"/>
      <c r="G585" s="237"/>
      <c r="H585" s="237" t="s">
        <v>1069</v>
      </c>
      <c r="I585" s="231"/>
      <c r="J585" s="231"/>
      <c r="K585" s="231"/>
      <c r="L585" s="231"/>
      <c r="M585" s="231"/>
      <c r="N585" s="231"/>
      <c r="O585" s="231"/>
      <c r="P585" s="231"/>
      <c r="Q585" s="231"/>
      <c r="R585" s="231"/>
      <c r="S585" s="231"/>
      <c r="T585" s="231"/>
      <c r="U585" s="231"/>
      <c r="V585" s="231"/>
      <c r="W585" s="231"/>
      <c r="X585" s="231"/>
      <c r="Y585" s="231"/>
      <c r="Z585" s="231"/>
      <c r="AA585" s="231"/>
      <c r="AB585" s="231"/>
      <c r="AC585" s="231"/>
    </row>
    <row r="586" ht="24.75" hidden="1" customHeight="1" outlineLevel="1">
      <c r="A586" s="395">
        <v>45514.0</v>
      </c>
      <c r="B586" s="399" t="s">
        <v>692</v>
      </c>
      <c r="C586" s="397" t="s">
        <v>1070</v>
      </c>
      <c r="D586" s="397" t="s">
        <v>1071</v>
      </c>
      <c r="E586" s="398" t="s">
        <v>717</v>
      </c>
      <c r="F586" s="237"/>
      <c r="G586" s="237"/>
      <c r="H586" s="237" t="s">
        <v>1068</v>
      </c>
      <c r="I586" s="231"/>
      <c r="J586" s="231"/>
      <c r="K586" s="231"/>
      <c r="L586" s="231"/>
      <c r="M586" s="231"/>
      <c r="N586" s="231"/>
      <c r="O586" s="231"/>
      <c r="P586" s="231"/>
      <c r="Q586" s="231"/>
      <c r="R586" s="231"/>
      <c r="S586" s="231"/>
      <c r="T586" s="231"/>
      <c r="U586" s="231"/>
      <c r="V586" s="231"/>
      <c r="W586" s="231"/>
      <c r="X586" s="231"/>
      <c r="Y586" s="231"/>
      <c r="Z586" s="231"/>
      <c r="AA586" s="231"/>
      <c r="AB586" s="231"/>
      <c r="AC586" s="231"/>
    </row>
    <row r="587" ht="24.75" hidden="1" customHeight="1" outlineLevel="1">
      <c r="A587" s="400">
        <v>45514.0</v>
      </c>
      <c r="B587" s="399" t="s">
        <v>695</v>
      </c>
      <c r="C587" s="397" t="s">
        <v>1061</v>
      </c>
      <c r="D587" s="397" t="s">
        <v>662</v>
      </c>
      <c r="E587" s="398" t="s">
        <v>717</v>
      </c>
      <c r="F587" s="237"/>
      <c r="G587" s="237"/>
      <c r="H587" s="237" t="s">
        <v>1072</v>
      </c>
      <c r="I587" s="231"/>
      <c r="J587" s="231"/>
      <c r="K587" s="231"/>
      <c r="L587" s="231"/>
      <c r="M587" s="231"/>
      <c r="N587" s="231"/>
      <c r="O587" s="231"/>
      <c r="P587" s="231"/>
      <c r="Q587" s="231"/>
      <c r="R587" s="231"/>
      <c r="S587" s="231"/>
      <c r="T587" s="231"/>
      <c r="U587" s="231"/>
      <c r="V587" s="231"/>
      <c r="W587" s="231"/>
      <c r="X587" s="231"/>
      <c r="Y587" s="231"/>
      <c r="Z587" s="231"/>
      <c r="AA587" s="231"/>
      <c r="AB587" s="231"/>
      <c r="AC587" s="231"/>
    </row>
    <row r="588" ht="24.75" hidden="1" customHeight="1" outlineLevel="1">
      <c r="A588" s="395">
        <v>45514.0</v>
      </c>
      <c r="B588" s="396" t="s">
        <v>691</v>
      </c>
      <c r="C588" s="397" t="s">
        <v>715</v>
      </c>
      <c r="D588" s="397" t="s">
        <v>662</v>
      </c>
      <c r="E588" s="398" t="s">
        <v>717</v>
      </c>
      <c r="F588" s="237"/>
      <c r="G588" s="237"/>
      <c r="H588" s="237" t="s">
        <v>1068</v>
      </c>
      <c r="I588" s="231"/>
      <c r="J588" s="231"/>
      <c r="K588" s="231"/>
      <c r="L588" s="231"/>
      <c r="M588" s="231"/>
      <c r="N588" s="231"/>
      <c r="O588" s="231"/>
      <c r="P588" s="231"/>
      <c r="Q588" s="231"/>
      <c r="R588" s="231"/>
      <c r="S588" s="231"/>
      <c r="T588" s="231"/>
      <c r="U588" s="231"/>
      <c r="V588" s="231"/>
      <c r="W588" s="231"/>
      <c r="X588" s="231"/>
      <c r="Y588" s="231"/>
      <c r="Z588" s="231"/>
      <c r="AA588" s="231"/>
      <c r="AB588" s="231"/>
      <c r="AC588" s="231"/>
    </row>
    <row r="589" ht="24.75" hidden="1" customHeight="1" outlineLevel="1">
      <c r="A589" s="395">
        <v>45515.0</v>
      </c>
      <c r="B589" s="396" t="s">
        <v>669</v>
      </c>
      <c r="C589" s="397" t="s">
        <v>1073</v>
      </c>
      <c r="D589" s="397" t="s">
        <v>662</v>
      </c>
      <c r="E589" s="398" t="s">
        <v>717</v>
      </c>
      <c r="F589" s="237"/>
      <c r="G589" s="237"/>
      <c r="H589" s="237" t="s">
        <v>1068</v>
      </c>
      <c r="I589" s="231"/>
      <c r="J589" s="231"/>
      <c r="K589" s="231"/>
      <c r="L589" s="231"/>
      <c r="M589" s="231"/>
      <c r="N589" s="231"/>
      <c r="O589" s="231"/>
      <c r="P589" s="231"/>
      <c r="Q589" s="231"/>
      <c r="R589" s="231"/>
      <c r="S589" s="231"/>
      <c r="T589" s="231"/>
      <c r="U589" s="231"/>
      <c r="V589" s="231"/>
      <c r="W589" s="231"/>
      <c r="X589" s="231"/>
      <c r="Y589" s="231"/>
      <c r="Z589" s="231"/>
      <c r="AA589" s="231"/>
      <c r="AB589" s="231"/>
      <c r="AC589" s="231"/>
    </row>
    <row r="590" ht="24.75" hidden="1" customHeight="1" outlineLevel="1">
      <c r="A590" s="400">
        <v>45515.0</v>
      </c>
      <c r="B590" s="396" t="s">
        <v>671</v>
      </c>
      <c r="C590" s="397" t="s">
        <v>741</v>
      </c>
      <c r="D590" s="397" t="s">
        <v>662</v>
      </c>
      <c r="E590" s="398" t="s">
        <v>717</v>
      </c>
      <c r="F590" s="237"/>
      <c r="G590" s="237"/>
      <c r="H590" s="237" t="s">
        <v>1074</v>
      </c>
      <c r="I590" s="231"/>
      <c r="J590" s="231"/>
      <c r="K590" s="231"/>
      <c r="L590" s="231"/>
      <c r="M590" s="231"/>
      <c r="N590" s="231"/>
      <c r="O590" s="231"/>
      <c r="P590" s="231"/>
      <c r="Q590" s="231"/>
      <c r="R590" s="231"/>
      <c r="S590" s="231"/>
      <c r="T590" s="231"/>
      <c r="U590" s="231"/>
      <c r="V590" s="231"/>
      <c r="W590" s="231"/>
      <c r="X590" s="231"/>
      <c r="Y590" s="231"/>
      <c r="Z590" s="231"/>
      <c r="AA590" s="231"/>
      <c r="AB590" s="231"/>
      <c r="AC590" s="231"/>
    </row>
    <row r="591" ht="24.75" hidden="1" customHeight="1" outlineLevel="1">
      <c r="A591" s="395">
        <v>45515.0</v>
      </c>
      <c r="B591" s="396" t="s">
        <v>728</v>
      </c>
      <c r="C591" s="397" t="s">
        <v>930</v>
      </c>
      <c r="D591" s="397" t="s">
        <v>662</v>
      </c>
      <c r="E591" s="398" t="s">
        <v>717</v>
      </c>
      <c r="F591" s="237"/>
      <c r="G591" s="237"/>
      <c r="H591" s="237" t="s">
        <v>1068</v>
      </c>
      <c r="I591" s="231"/>
      <c r="J591" s="231"/>
      <c r="K591" s="231"/>
      <c r="L591" s="231"/>
      <c r="M591" s="231"/>
      <c r="N591" s="231"/>
      <c r="O591" s="231"/>
      <c r="P591" s="231"/>
      <c r="Q591" s="231"/>
      <c r="R591" s="231"/>
      <c r="S591" s="231"/>
      <c r="T591" s="231"/>
      <c r="U591" s="231"/>
      <c r="V591" s="231"/>
      <c r="W591" s="231"/>
      <c r="X591" s="231"/>
      <c r="Y591" s="231"/>
      <c r="Z591" s="231"/>
      <c r="AA591" s="231"/>
      <c r="AB591" s="231"/>
      <c r="AC591" s="231"/>
    </row>
    <row r="592" ht="24.75" hidden="1" customHeight="1" outlineLevel="1">
      <c r="A592" s="400">
        <v>45516.0</v>
      </c>
      <c r="B592" s="396" t="s">
        <v>731</v>
      </c>
      <c r="C592" s="397" t="s">
        <v>1061</v>
      </c>
      <c r="D592" s="397" t="s">
        <v>662</v>
      </c>
      <c r="E592" s="398" t="s">
        <v>685</v>
      </c>
      <c r="F592" s="237"/>
      <c r="G592" s="237"/>
      <c r="H592" s="237" t="s">
        <v>1075</v>
      </c>
      <c r="I592" s="401"/>
      <c r="J592" s="231"/>
      <c r="K592" s="231"/>
      <c r="L592" s="231"/>
      <c r="M592" s="231"/>
      <c r="N592" s="231"/>
      <c r="O592" s="231"/>
      <c r="P592" s="231"/>
      <c r="Q592" s="231"/>
      <c r="R592" s="231"/>
      <c r="S592" s="231"/>
      <c r="T592" s="231"/>
      <c r="U592" s="231"/>
      <c r="V592" s="231"/>
      <c r="W592" s="231"/>
      <c r="X592" s="231"/>
      <c r="Y592" s="231"/>
      <c r="Z592" s="231"/>
      <c r="AA592" s="231"/>
      <c r="AB592" s="231"/>
      <c r="AC592" s="231"/>
    </row>
    <row r="593" ht="24.75" hidden="1" customHeight="1" outlineLevel="1">
      <c r="A593" s="400">
        <v>45516.0</v>
      </c>
      <c r="B593" s="396" t="s">
        <v>1009</v>
      </c>
      <c r="C593" s="397" t="s">
        <v>741</v>
      </c>
      <c r="D593" s="397" t="s">
        <v>662</v>
      </c>
      <c r="E593" s="398" t="s">
        <v>685</v>
      </c>
      <c r="F593" s="237"/>
      <c r="G593" s="237"/>
      <c r="H593" s="237" t="s">
        <v>1076</v>
      </c>
      <c r="I593" s="401"/>
      <c r="J593" s="231"/>
      <c r="K593" s="231"/>
      <c r="L593" s="231"/>
      <c r="M593" s="231"/>
      <c r="N593" s="231"/>
      <c r="O593" s="231"/>
      <c r="P593" s="231"/>
      <c r="Q593" s="231"/>
      <c r="R593" s="231"/>
      <c r="S593" s="231"/>
      <c r="T593" s="231"/>
      <c r="U593" s="231"/>
      <c r="V593" s="231"/>
      <c r="W593" s="231"/>
      <c r="X593" s="231"/>
      <c r="Y593" s="231"/>
      <c r="Z593" s="231"/>
      <c r="AA593" s="231"/>
      <c r="AB593" s="231"/>
      <c r="AC593" s="231"/>
    </row>
    <row r="594" ht="24.75" hidden="1" customHeight="1" outlineLevel="1">
      <c r="A594" s="395">
        <v>45516.0</v>
      </c>
      <c r="B594" s="396" t="s">
        <v>753</v>
      </c>
      <c r="C594" s="402" t="s">
        <v>934</v>
      </c>
      <c r="D594" s="397" t="s">
        <v>1077</v>
      </c>
      <c r="E594" s="398" t="s">
        <v>685</v>
      </c>
      <c r="F594" s="237"/>
      <c r="G594" s="237"/>
      <c r="H594" s="237" t="s">
        <v>1078</v>
      </c>
      <c r="I594" s="401"/>
      <c r="J594" s="231"/>
      <c r="K594" s="231"/>
      <c r="L594" s="231"/>
      <c r="M594" s="231"/>
      <c r="N594" s="231"/>
      <c r="O594" s="231"/>
      <c r="P594" s="231"/>
      <c r="Q594" s="231"/>
      <c r="R594" s="231"/>
      <c r="S594" s="231"/>
      <c r="T594" s="231"/>
      <c r="U594" s="231"/>
      <c r="V594" s="231"/>
      <c r="W594" s="231"/>
      <c r="X594" s="231"/>
      <c r="Y594" s="231"/>
      <c r="Z594" s="231"/>
      <c r="AA594" s="231"/>
      <c r="AB594" s="231"/>
      <c r="AC594" s="231"/>
    </row>
    <row r="595" ht="24.75" hidden="1" customHeight="1" outlineLevel="1">
      <c r="A595" s="395">
        <v>45516.0</v>
      </c>
      <c r="B595" s="396" t="s">
        <v>756</v>
      </c>
      <c r="C595" s="402" t="s">
        <v>934</v>
      </c>
      <c r="D595" s="397" t="s">
        <v>1077</v>
      </c>
      <c r="E595" s="398" t="s">
        <v>685</v>
      </c>
      <c r="F595" s="311"/>
      <c r="G595" s="311"/>
      <c r="H595" s="311" t="s">
        <v>1078</v>
      </c>
      <c r="I595" s="401"/>
      <c r="J595" s="231"/>
      <c r="K595" s="231"/>
      <c r="L595" s="231"/>
      <c r="M595" s="231"/>
      <c r="N595" s="231"/>
      <c r="O595" s="231"/>
      <c r="P595" s="231"/>
      <c r="Q595" s="231"/>
      <c r="R595" s="231"/>
      <c r="S595" s="231"/>
      <c r="T595" s="231"/>
      <c r="U595" s="231"/>
      <c r="V595" s="231"/>
      <c r="W595" s="231"/>
      <c r="X595" s="231"/>
      <c r="Y595" s="231"/>
      <c r="Z595" s="231"/>
      <c r="AA595" s="231"/>
      <c r="AB595" s="231"/>
      <c r="AC595" s="231"/>
    </row>
    <row r="596" ht="24.75" hidden="1" customHeight="1" outlineLevel="1">
      <c r="A596" s="395">
        <v>45516.0</v>
      </c>
      <c r="B596" s="396" t="s">
        <v>801</v>
      </c>
      <c r="C596" s="396" t="s">
        <v>715</v>
      </c>
      <c r="D596" s="396" t="s">
        <v>802</v>
      </c>
      <c r="E596" s="398" t="s">
        <v>685</v>
      </c>
      <c r="F596" s="289"/>
      <c r="G596" s="289"/>
      <c r="H596" s="289" t="s">
        <v>803</v>
      </c>
      <c r="I596" s="231"/>
      <c r="J596" s="231"/>
      <c r="K596" s="231"/>
      <c r="L596" s="231"/>
      <c r="M596" s="231"/>
      <c r="N596" s="237" t="s">
        <v>1079</v>
      </c>
      <c r="O596" s="231"/>
      <c r="P596" s="231"/>
      <c r="Q596" s="231"/>
      <c r="R596" s="231"/>
      <c r="S596" s="231"/>
      <c r="T596" s="231"/>
      <c r="U596" s="231"/>
      <c r="V596" s="231"/>
      <c r="W596" s="231"/>
      <c r="X596" s="231"/>
      <c r="Y596" s="231"/>
      <c r="Z596" s="231"/>
      <c r="AA596" s="231"/>
      <c r="AB596" s="231"/>
      <c r="AC596" s="231"/>
    </row>
    <row r="597" ht="24.75" hidden="1" customHeight="1" outlineLevel="1">
      <c r="A597" s="400">
        <v>45517.0</v>
      </c>
      <c r="B597" s="403" t="s">
        <v>35</v>
      </c>
      <c r="C597" s="403" t="s">
        <v>715</v>
      </c>
      <c r="D597" s="404" t="s">
        <v>662</v>
      </c>
      <c r="E597" s="398" t="s">
        <v>717</v>
      </c>
      <c r="F597" s="237"/>
      <c r="G597" s="237"/>
      <c r="H597" s="237" t="s">
        <v>1080</v>
      </c>
      <c r="I597" s="237" t="s">
        <v>1081</v>
      </c>
      <c r="J597" s="231"/>
      <c r="K597" s="231"/>
      <c r="L597" s="231"/>
      <c r="M597" s="231"/>
      <c r="N597" s="237" t="s">
        <v>1082</v>
      </c>
      <c r="O597" s="231"/>
      <c r="P597" s="231"/>
      <c r="Q597" s="231"/>
      <c r="R597" s="231"/>
      <c r="S597" s="231"/>
      <c r="T597" s="231"/>
      <c r="U597" s="231"/>
      <c r="V597" s="231"/>
      <c r="W597" s="231"/>
      <c r="X597" s="231"/>
      <c r="Y597" s="231"/>
      <c r="Z597" s="231"/>
      <c r="AA597" s="231"/>
      <c r="AB597" s="231"/>
      <c r="AC597" s="231"/>
    </row>
    <row r="598" ht="24.75" hidden="1" customHeight="1" outlineLevel="1">
      <c r="A598" s="400">
        <v>45517.0</v>
      </c>
      <c r="B598" s="403" t="s">
        <v>714</v>
      </c>
      <c r="C598" s="404" t="s">
        <v>715</v>
      </c>
      <c r="D598" s="405" t="s">
        <v>1083</v>
      </c>
      <c r="E598" s="398" t="s">
        <v>717</v>
      </c>
      <c r="F598" s="237"/>
      <c r="G598" s="237"/>
      <c r="H598" s="237" t="s">
        <v>1084</v>
      </c>
      <c r="I598" s="237" t="s">
        <v>1081</v>
      </c>
      <c r="J598" s="231"/>
      <c r="K598" s="231"/>
      <c r="L598" s="231"/>
      <c r="M598" s="231"/>
      <c r="N598" s="231"/>
      <c r="O598" s="231"/>
      <c r="P598" s="231"/>
      <c r="Q598" s="231"/>
      <c r="R598" s="231"/>
      <c r="S598" s="231"/>
      <c r="T598" s="231"/>
      <c r="U598" s="231"/>
      <c r="V598" s="231"/>
      <c r="W598" s="231"/>
      <c r="X598" s="231"/>
      <c r="Y598" s="231"/>
      <c r="Z598" s="231"/>
      <c r="AA598" s="231"/>
      <c r="AB598" s="231"/>
      <c r="AC598" s="231"/>
    </row>
    <row r="599" ht="24.75" hidden="1" customHeight="1" outlineLevel="1">
      <c r="A599" s="400">
        <v>45517.0</v>
      </c>
      <c r="B599" s="403" t="s">
        <v>736</v>
      </c>
      <c r="C599" s="404" t="s">
        <v>1073</v>
      </c>
      <c r="D599" s="404" t="s">
        <v>662</v>
      </c>
      <c r="E599" s="398" t="s">
        <v>717</v>
      </c>
      <c r="F599" s="231"/>
      <c r="G599" s="231"/>
      <c r="H599" s="231"/>
      <c r="I599" s="237" t="s">
        <v>1081</v>
      </c>
      <c r="J599" s="231"/>
      <c r="K599" s="231"/>
      <c r="L599" s="231"/>
      <c r="M599" s="231"/>
      <c r="N599" s="231"/>
      <c r="O599" s="231"/>
      <c r="P599" s="231"/>
      <c r="Q599" s="231"/>
      <c r="R599" s="231"/>
      <c r="S599" s="231"/>
      <c r="T599" s="231"/>
      <c r="U599" s="231"/>
      <c r="V599" s="231"/>
      <c r="W599" s="231"/>
      <c r="X599" s="231"/>
      <c r="Y599" s="231"/>
      <c r="Z599" s="231"/>
      <c r="AA599" s="231"/>
      <c r="AB599" s="231"/>
      <c r="AC599" s="231"/>
    </row>
    <row r="600" ht="24.75" hidden="1" customHeight="1" outlineLevel="1">
      <c r="A600" s="400">
        <v>45517.0</v>
      </c>
      <c r="B600" s="403" t="s">
        <v>808</v>
      </c>
      <c r="C600" s="406" t="s">
        <v>715</v>
      </c>
      <c r="D600" s="403" t="s">
        <v>802</v>
      </c>
      <c r="E600" s="398" t="s">
        <v>717</v>
      </c>
      <c r="F600" s="237"/>
      <c r="G600" s="237"/>
      <c r="H600" s="237" t="s">
        <v>1038</v>
      </c>
      <c r="I600" s="237" t="s">
        <v>1081</v>
      </c>
      <c r="J600" s="231"/>
      <c r="K600" s="231"/>
      <c r="L600" s="231"/>
      <c r="M600" s="231"/>
      <c r="N600" s="231"/>
      <c r="O600" s="231"/>
      <c r="P600" s="231"/>
      <c r="Q600" s="231"/>
      <c r="R600" s="231"/>
      <c r="S600" s="231"/>
      <c r="T600" s="231"/>
      <c r="U600" s="231"/>
      <c r="V600" s="231"/>
      <c r="W600" s="231"/>
      <c r="X600" s="231"/>
      <c r="Y600" s="231"/>
      <c r="Z600" s="231"/>
      <c r="AA600" s="231"/>
      <c r="AB600" s="231"/>
      <c r="AC600" s="231"/>
    </row>
    <row r="601" ht="24.75" hidden="1" customHeight="1" outlineLevel="1">
      <c r="A601" s="400">
        <v>45518.0</v>
      </c>
      <c r="B601" s="403" t="s">
        <v>680</v>
      </c>
      <c r="C601" s="404" t="s">
        <v>715</v>
      </c>
      <c r="D601" s="404" t="s">
        <v>1085</v>
      </c>
      <c r="E601" s="398" t="s">
        <v>717</v>
      </c>
      <c r="F601" s="231"/>
      <c r="G601" s="231"/>
      <c r="H601" s="231"/>
      <c r="I601" s="237" t="s">
        <v>1081</v>
      </c>
      <c r="J601" s="231"/>
      <c r="K601" s="231"/>
      <c r="L601" s="231"/>
      <c r="M601" s="231"/>
      <c r="N601" s="231"/>
      <c r="O601" s="231"/>
      <c r="P601" s="231"/>
      <c r="Q601" s="231"/>
      <c r="R601" s="231"/>
      <c r="S601" s="231"/>
      <c r="T601" s="231"/>
      <c r="U601" s="231"/>
      <c r="V601" s="231"/>
      <c r="W601" s="231"/>
      <c r="X601" s="231"/>
      <c r="Y601" s="231"/>
      <c r="Z601" s="231"/>
      <c r="AA601" s="231"/>
      <c r="AB601" s="231"/>
      <c r="AC601" s="231"/>
    </row>
    <row r="602" ht="24.75" hidden="1" customHeight="1" outlineLevel="1">
      <c r="A602" s="400">
        <v>45518.0</v>
      </c>
      <c r="B602" s="403" t="s">
        <v>708</v>
      </c>
      <c r="C602" s="404" t="s">
        <v>1061</v>
      </c>
      <c r="D602" s="403" t="s">
        <v>146</v>
      </c>
      <c r="E602" s="398" t="s">
        <v>685</v>
      </c>
      <c r="F602" s="237"/>
      <c r="G602" s="237"/>
      <c r="H602" s="237" t="s">
        <v>1086</v>
      </c>
      <c r="I602" s="237" t="s">
        <v>1081</v>
      </c>
      <c r="J602" s="231"/>
      <c r="K602" s="231"/>
      <c r="L602" s="231"/>
      <c r="M602" s="231"/>
      <c r="N602" s="231"/>
      <c r="O602" s="231"/>
      <c r="P602" s="231"/>
      <c r="Q602" s="231"/>
      <c r="R602" s="231"/>
      <c r="S602" s="231"/>
      <c r="T602" s="231"/>
      <c r="U602" s="231"/>
      <c r="V602" s="231"/>
      <c r="W602" s="231"/>
      <c r="X602" s="231"/>
      <c r="Y602" s="231"/>
      <c r="Z602" s="231"/>
      <c r="AA602" s="231"/>
      <c r="AB602" s="231"/>
      <c r="AC602" s="231"/>
    </row>
    <row r="603" ht="24.75" hidden="1" customHeight="1" outlineLevel="1">
      <c r="A603" s="400">
        <v>45518.0</v>
      </c>
      <c r="B603" s="403" t="s">
        <v>743</v>
      </c>
      <c r="C603" s="404" t="s">
        <v>1073</v>
      </c>
      <c r="D603" s="404" t="s">
        <v>662</v>
      </c>
      <c r="E603" s="398" t="s">
        <v>717</v>
      </c>
      <c r="F603" s="231"/>
      <c r="G603" s="231"/>
      <c r="H603" s="231"/>
      <c r="I603" s="237" t="s">
        <v>1081</v>
      </c>
      <c r="J603" s="231"/>
      <c r="K603" s="231"/>
      <c r="L603" s="231"/>
      <c r="M603" s="231"/>
      <c r="N603" s="231"/>
      <c r="O603" s="231"/>
      <c r="P603" s="231"/>
      <c r="Q603" s="231"/>
      <c r="R603" s="231"/>
      <c r="S603" s="231"/>
      <c r="T603" s="231"/>
      <c r="U603" s="231"/>
      <c r="V603" s="231"/>
      <c r="W603" s="231"/>
      <c r="X603" s="231"/>
      <c r="Y603" s="231"/>
      <c r="Z603" s="231"/>
      <c r="AA603" s="231"/>
      <c r="AB603" s="231"/>
      <c r="AC603" s="231"/>
    </row>
    <row r="604" ht="24.75" hidden="1" customHeight="1" outlineLevel="1">
      <c r="A604" s="400">
        <v>45518.0</v>
      </c>
      <c r="B604" s="403" t="s">
        <v>686</v>
      </c>
      <c r="C604" s="403" t="s">
        <v>1087</v>
      </c>
      <c r="D604" s="404" t="s">
        <v>146</v>
      </c>
      <c r="E604" s="398" t="s">
        <v>685</v>
      </c>
      <c r="F604" s="237"/>
      <c r="G604" s="237"/>
      <c r="H604" s="237" t="s">
        <v>941</v>
      </c>
      <c r="I604" s="401" t="s">
        <v>1081</v>
      </c>
      <c r="J604" s="231"/>
      <c r="K604" s="231"/>
      <c r="L604" s="231"/>
      <c r="M604" s="231"/>
      <c r="N604" s="231"/>
      <c r="O604" s="231"/>
      <c r="P604" s="231"/>
      <c r="Q604" s="231"/>
      <c r="R604" s="231"/>
      <c r="S604" s="231"/>
      <c r="T604" s="231"/>
      <c r="U604" s="231"/>
      <c r="V604" s="231"/>
      <c r="W604" s="231"/>
      <c r="X604" s="231"/>
      <c r="Y604" s="231"/>
      <c r="Z604" s="231"/>
      <c r="AA604" s="231"/>
      <c r="AB604" s="231"/>
      <c r="AC604" s="231"/>
    </row>
    <row r="605" ht="24.75" hidden="1" customHeight="1" outlineLevel="1">
      <c r="A605" s="400">
        <v>45519.0</v>
      </c>
      <c r="B605" s="403" t="s">
        <v>1020</v>
      </c>
      <c r="C605" s="404" t="s">
        <v>741</v>
      </c>
      <c r="D605" s="403" t="s">
        <v>146</v>
      </c>
      <c r="E605" s="398" t="s">
        <v>685</v>
      </c>
      <c r="F605" s="231"/>
      <c r="G605" s="231"/>
      <c r="H605" s="231"/>
      <c r="I605" s="401" t="s">
        <v>1081</v>
      </c>
      <c r="J605" s="231"/>
      <c r="K605" s="231"/>
      <c r="L605" s="231"/>
      <c r="M605" s="231"/>
      <c r="N605" s="231"/>
      <c r="O605" s="231"/>
      <c r="P605" s="231"/>
      <c r="Q605" s="231"/>
      <c r="R605" s="231"/>
      <c r="S605" s="231"/>
      <c r="T605" s="231"/>
      <c r="U605" s="231"/>
      <c r="V605" s="231"/>
      <c r="W605" s="231"/>
      <c r="X605" s="231"/>
      <c r="Y605" s="231"/>
      <c r="Z605" s="231"/>
      <c r="AA605" s="231"/>
      <c r="AB605" s="231"/>
      <c r="AC605" s="231"/>
    </row>
    <row r="606" ht="24.75" hidden="1" customHeight="1" outlineLevel="1">
      <c r="A606" s="400">
        <v>45519.0</v>
      </c>
      <c r="B606" s="403" t="s">
        <v>745</v>
      </c>
      <c r="C606" s="404" t="s">
        <v>1073</v>
      </c>
      <c r="D606" s="404" t="s">
        <v>662</v>
      </c>
      <c r="E606" s="398" t="s">
        <v>717</v>
      </c>
      <c r="F606" s="231"/>
      <c r="G606" s="231"/>
      <c r="H606" s="231"/>
      <c r="I606" s="237" t="s">
        <v>1081</v>
      </c>
      <c r="J606" s="231"/>
      <c r="K606" s="231"/>
      <c r="L606" s="231"/>
      <c r="M606" s="231"/>
      <c r="N606" s="231"/>
      <c r="O606" s="231"/>
      <c r="P606" s="231"/>
      <c r="Q606" s="231"/>
      <c r="R606" s="231"/>
      <c r="S606" s="231"/>
      <c r="T606" s="231"/>
      <c r="U606" s="231"/>
      <c r="V606" s="231"/>
      <c r="W606" s="231"/>
      <c r="X606" s="231"/>
      <c r="Y606" s="231"/>
      <c r="Z606" s="231"/>
      <c r="AA606" s="231"/>
      <c r="AB606" s="231"/>
      <c r="AC606" s="231"/>
    </row>
    <row r="607" ht="24.75" hidden="1" customHeight="1" outlineLevel="1">
      <c r="A607" s="400">
        <v>45520.0</v>
      </c>
      <c r="B607" s="403" t="s">
        <v>714</v>
      </c>
      <c r="C607" s="404" t="s">
        <v>715</v>
      </c>
      <c r="D607" s="405" t="s">
        <v>1083</v>
      </c>
      <c r="E607" s="398" t="s">
        <v>717</v>
      </c>
      <c r="F607" s="237"/>
      <c r="G607" s="237"/>
      <c r="H607" s="237" t="s">
        <v>1084</v>
      </c>
      <c r="I607" s="237" t="s">
        <v>1081</v>
      </c>
      <c r="J607" s="231"/>
      <c r="K607" s="231"/>
      <c r="L607" s="231"/>
      <c r="M607" s="231"/>
      <c r="N607" s="231"/>
      <c r="O607" s="231"/>
      <c r="P607" s="231"/>
      <c r="Q607" s="231"/>
      <c r="R607" s="231"/>
      <c r="S607" s="231"/>
      <c r="T607" s="231"/>
      <c r="U607" s="231"/>
      <c r="V607" s="231"/>
      <c r="W607" s="231"/>
      <c r="X607" s="231"/>
      <c r="Y607" s="231"/>
      <c r="Z607" s="231"/>
      <c r="AA607" s="231"/>
      <c r="AB607" s="231"/>
      <c r="AC607" s="231"/>
    </row>
    <row r="608" ht="24.75" hidden="1" customHeight="1" outlineLevel="1">
      <c r="A608" s="400">
        <v>45520.0</v>
      </c>
      <c r="B608" s="407" t="s">
        <v>663</v>
      </c>
      <c r="C608" s="404" t="s">
        <v>911</v>
      </c>
      <c r="D608" s="403" t="s">
        <v>146</v>
      </c>
      <c r="E608" s="398" t="s">
        <v>685</v>
      </c>
      <c r="F608" s="231"/>
      <c r="G608" s="231"/>
      <c r="H608" s="231"/>
      <c r="I608" s="237" t="s">
        <v>1081</v>
      </c>
      <c r="J608" s="231"/>
      <c r="K608" s="231"/>
      <c r="L608" s="231"/>
      <c r="M608" s="231"/>
      <c r="N608" s="231"/>
      <c r="O608" s="231"/>
      <c r="P608" s="231"/>
      <c r="Q608" s="231"/>
      <c r="R608" s="231"/>
      <c r="S608" s="231"/>
      <c r="T608" s="231"/>
      <c r="U608" s="231"/>
      <c r="V608" s="231"/>
      <c r="W608" s="231"/>
      <c r="X608" s="231"/>
      <c r="Y608" s="231"/>
      <c r="Z608" s="231"/>
      <c r="AA608" s="231"/>
      <c r="AB608" s="231"/>
      <c r="AC608" s="231"/>
    </row>
    <row r="609" ht="24.75" hidden="1" customHeight="1" outlineLevel="1">
      <c r="A609" s="400">
        <v>45520.0</v>
      </c>
      <c r="B609" s="403" t="s">
        <v>35</v>
      </c>
      <c r="C609" s="403" t="s">
        <v>715</v>
      </c>
      <c r="D609" s="404" t="s">
        <v>662</v>
      </c>
      <c r="E609" s="398" t="s">
        <v>717</v>
      </c>
      <c r="F609" s="237"/>
      <c r="G609" s="237"/>
      <c r="H609" s="237" t="s">
        <v>1069</v>
      </c>
      <c r="I609" s="237" t="s">
        <v>1081</v>
      </c>
      <c r="J609" s="231"/>
      <c r="K609" s="231"/>
      <c r="L609" s="231"/>
      <c r="M609" s="231"/>
      <c r="N609" s="231"/>
      <c r="O609" s="231"/>
      <c r="P609" s="231"/>
      <c r="Q609" s="231"/>
      <c r="R609" s="231"/>
      <c r="S609" s="231"/>
      <c r="T609" s="231"/>
      <c r="U609" s="231"/>
      <c r="V609" s="231"/>
      <c r="W609" s="231"/>
      <c r="X609" s="231"/>
      <c r="Y609" s="231"/>
      <c r="Z609" s="231"/>
      <c r="AA609" s="231"/>
      <c r="AB609" s="231"/>
      <c r="AC609" s="231"/>
    </row>
    <row r="610" ht="24.75" hidden="1" customHeight="1" outlineLevel="1">
      <c r="A610" s="400">
        <v>45521.0</v>
      </c>
      <c r="B610" s="403" t="s">
        <v>723</v>
      </c>
      <c r="C610" s="404" t="s">
        <v>715</v>
      </c>
      <c r="D610" s="404" t="s">
        <v>724</v>
      </c>
      <c r="E610" s="398" t="s">
        <v>717</v>
      </c>
      <c r="F610" s="231"/>
      <c r="G610" s="231"/>
      <c r="H610" s="231"/>
      <c r="I610" s="237" t="s">
        <v>1081</v>
      </c>
      <c r="J610" s="231"/>
      <c r="K610" s="231"/>
      <c r="L610" s="231"/>
      <c r="M610" s="231"/>
      <c r="N610" s="231"/>
      <c r="O610" s="231"/>
      <c r="P610" s="231"/>
      <c r="Q610" s="231"/>
      <c r="R610" s="231"/>
      <c r="S610" s="231"/>
      <c r="T610" s="231"/>
      <c r="U610" s="231"/>
      <c r="V610" s="231"/>
      <c r="W610" s="231"/>
      <c r="X610" s="231"/>
      <c r="Y610" s="231"/>
      <c r="Z610" s="231"/>
      <c r="AA610" s="231"/>
      <c r="AB610" s="231"/>
      <c r="AC610" s="231"/>
    </row>
    <row r="611" ht="24.75" hidden="1" customHeight="1" outlineLevel="1">
      <c r="A611" s="400">
        <v>45521.0</v>
      </c>
      <c r="B611" s="408" t="s">
        <v>692</v>
      </c>
      <c r="C611" s="404" t="s">
        <v>1088</v>
      </c>
      <c r="D611" s="403" t="s">
        <v>146</v>
      </c>
      <c r="E611" s="398" t="s">
        <v>685</v>
      </c>
      <c r="F611" s="237"/>
      <c r="G611" s="237"/>
      <c r="H611" s="237" t="s">
        <v>1089</v>
      </c>
      <c r="I611" s="401" t="s">
        <v>1081</v>
      </c>
      <c r="J611" s="231"/>
      <c r="K611" s="231"/>
      <c r="L611" s="231"/>
      <c r="M611" s="231"/>
      <c r="N611" s="231"/>
      <c r="O611" s="231"/>
      <c r="P611" s="231"/>
      <c r="Q611" s="231"/>
      <c r="R611" s="231"/>
      <c r="S611" s="231"/>
      <c r="T611" s="231"/>
      <c r="U611" s="231"/>
      <c r="V611" s="231"/>
      <c r="W611" s="231"/>
      <c r="X611" s="231"/>
      <c r="Y611" s="231"/>
      <c r="Z611" s="231"/>
      <c r="AA611" s="231"/>
      <c r="AB611" s="231"/>
      <c r="AC611" s="231"/>
    </row>
    <row r="612" ht="24.75" hidden="1" customHeight="1" outlineLevel="1">
      <c r="A612" s="400">
        <v>45521.0</v>
      </c>
      <c r="B612" s="408" t="s">
        <v>695</v>
      </c>
      <c r="C612" s="404" t="s">
        <v>1061</v>
      </c>
      <c r="D612" s="403" t="s">
        <v>146</v>
      </c>
      <c r="E612" s="398" t="s">
        <v>685</v>
      </c>
      <c r="F612" s="237"/>
      <c r="G612" s="237"/>
      <c r="H612" s="237" t="s">
        <v>1090</v>
      </c>
      <c r="I612" s="401" t="s">
        <v>1081</v>
      </c>
      <c r="J612" s="231"/>
      <c r="K612" s="231"/>
      <c r="L612" s="231"/>
      <c r="M612" s="231"/>
      <c r="N612" s="231"/>
      <c r="O612" s="231"/>
      <c r="P612" s="231"/>
      <c r="Q612" s="231"/>
      <c r="R612" s="231"/>
      <c r="S612" s="231"/>
      <c r="T612" s="231"/>
      <c r="U612" s="231"/>
      <c r="V612" s="231"/>
      <c r="W612" s="231"/>
      <c r="X612" s="231"/>
      <c r="Y612" s="231"/>
      <c r="Z612" s="231"/>
      <c r="AA612" s="231"/>
      <c r="AB612" s="231"/>
      <c r="AC612" s="231"/>
    </row>
    <row r="613" ht="24.75" hidden="1" customHeight="1" outlineLevel="1">
      <c r="A613" s="400">
        <v>45522.0</v>
      </c>
      <c r="B613" s="403" t="s">
        <v>669</v>
      </c>
      <c r="C613" s="404" t="s">
        <v>1073</v>
      </c>
      <c r="D613" s="403" t="s">
        <v>146</v>
      </c>
      <c r="E613" s="398" t="s">
        <v>685</v>
      </c>
      <c r="F613" s="231"/>
      <c r="G613" s="231"/>
      <c r="H613" s="231"/>
      <c r="I613" s="401" t="s">
        <v>1081</v>
      </c>
      <c r="J613" s="231"/>
      <c r="K613" s="231"/>
      <c r="L613" s="231"/>
      <c r="M613" s="231"/>
      <c r="N613" s="231"/>
      <c r="O613" s="231"/>
      <c r="P613" s="231"/>
      <c r="Q613" s="231"/>
      <c r="R613" s="231"/>
      <c r="S613" s="231"/>
      <c r="T613" s="231"/>
      <c r="U613" s="231"/>
      <c r="V613" s="231"/>
      <c r="W613" s="231"/>
      <c r="X613" s="231"/>
      <c r="Y613" s="231"/>
      <c r="Z613" s="231"/>
      <c r="AA613" s="231"/>
      <c r="AB613" s="231"/>
      <c r="AC613" s="231"/>
    </row>
    <row r="614" ht="24.75" hidden="1" customHeight="1" outlineLevel="1">
      <c r="A614" s="400">
        <v>45522.0</v>
      </c>
      <c r="B614" s="403" t="s">
        <v>671</v>
      </c>
      <c r="C614" s="404" t="s">
        <v>741</v>
      </c>
      <c r="D614" s="403" t="s">
        <v>146</v>
      </c>
      <c r="E614" s="398" t="s">
        <v>685</v>
      </c>
      <c r="F614" s="237"/>
      <c r="G614" s="237"/>
      <c r="H614" s="237" t="s">
        <v>1091</v>
      </c>
      <c r="I614" s="401" t="s">
        <v>1081</v>
      </c>
      <c r="J614" s="231"/>
      <c r="K614" s="231"/>
      <c r="L614" s="231"/>
      <c r="M614" s="231"/>
      <c r="N614" s="231"/>
      <c r="O614" s="231"/>
      <c r="P614" s="231"/>
      <c r="Q614" s="231"/>
      <c r="R614" s="231"/>
      <c r="S614" s="231"/>
      <c r="T614" s="231"/>
      <c r="U614" s="231"/>
      <c r="V614" s="231"/>
      <c r="W614" s="231"/>
      <c r="X614" s="231"/>
      <c r="Y614" s="231"/>
      <c r="Z614" s="231"/>
      <c r="AA614" s="231"/>
      <c r="AB614" s="231"/>
      <c r="AC614" s="231"/>
    </row>
    <row r="615" ht="24.75" hidden="1" customHeight="1" outlineLevel="1">
      <c r="A615" s="400">
        <v>45523.0</v>
      </c>
      <c r="B615" s="403" t="s">
        <v>731</v>
      </c>
      <c r="C615" s="404" t="s">
        <v>1061</v>
      </c>
      <c r="D615" s="403" t="s">
        <v>146</v>
      </c>
      <c r="E615" s="398" t="s">
        <v>685</v>
      </c>
      <c r="F615" s="237"/>
      <c r="G615" s="237"/>
      <c r="H615" s="237" t="s">
        <v>1092</v>
      </c>
      <c r="I615" s="401" t="s">
        <v>1081</v>
      </c>
      <c r="J615" s="231"/>
      <c r="K615" s="231"/>
      <c r="L615" s="231"/>
      <c r="M615" s="231"/>
      <c r="N615" s="231"/>
      <c r="O615" s="231"/>
      <c r="P615" s="231"/>
      <c r="Q615" s="231"/>
      <c r="R615" s="231"/>
      <c r="S615" s="231"/>
      <c r="T615" s="231"/>
      <c r="U615" s="231"/>
      <c r="V615" s="231"/>
      <c r="W615" s="231"/>
      <c r="X615" s="231"/>
      <c r="Y615" s="231"/>
      <c r="Z615" s="231"/>
      <c r="AA615" s="231"/>
      <c r="AB615" s="231"/>
      <c r="AC615" s="231"/>
    </row>
    <row r="616" ht="24.75" hidden="1" customHeight="1" outlineLevel="1">
      <c r="A616" s="400">
        <v>45523.0</v>
      </c>
      <c r="B616" s="403" t="s">
        <v>801</v>
      </c>
      <c r="C616" s="403" t="s">
        <v>715</v>
      </c>
      <c r="D616" s="403" t="s">
        <v>802</v>
      </c>
      <c r="E616" s="398" t="s">
        <v>717</v>
      </c>
      <c r="F616" s="231"/>
      <c r="G616" s="231"/>
      <c r="H616" s="231"/>
      <c r="I616" s="401" t="s">
        <v>1081</v>
      </c>
      <c r="J616" s="231"/>
      <c r="K616" s="231"/>
      <c r="L616" s="231"/>
      <c r="M616" s="231"/>
      <c r="N616" s="231"/>
      <c r="O616" s="231"/>
      <c r="P616" s="231"/>
      <c r="Q616" s="231"/>
      <c r="R616" s="231"/>
      <c r="S616" s="231"/>
      <c r="T616" s="231"/>
      <c r="U616" s="231"/>
      <c r="V616" s="231"/>
      <c r="W616" s="231"/>
      <c r="X616" s="231"/>
      <c r="Y616" s="231"/>
      <c r="Z616" s="231"/>
      <c r="AA616" s="231"/>
      <c r="AB616" s="231"/>
      <c r="AC616" s="231"/>
    </row>
    <row r="617" ht="24.75" hidden="1" customHeight="1" outlineLevel="1">
      <c r="A617" s="400">
        <v>45523.0</v>
      </c>
      <c r="B617" s="403" t="s">
        <v>1009</v>
      </c>
      <c r="C617" s="404" t="s">
        <v>741</v>
      </c>
      <c r="D617" s="403" t="s">
        <v>146</v>
      </c>
      <c r="E617" s="398" t="s">
        <v>685</v>
      </c>
      <c r="F617" s="237"/>
      <c r="G617" s="237"/>
      <c r="H617" s="237" t="s">
        <v>1093</v>
      </c>
      <c r="I617" s="401" t="s">
        <v>1081</v>
      </c>
      <c r="J617" s="231"/>
      <c r="K617" s="231"/>
      <c r="L617" s="231"/>
      <c r="M617" s="231"/>
      <c r="N617" s="231"/>
      <c r="O617" s="231"/>
      <c r="P617" s="231"/>
      <c r="Q617" s="231"/>
      <c r="R617" s="231"/>
      <c r="S617" s="231"/>
      <c r="T617" s="231"/>
      <c r="U617" s="231"/>
      <c r="V617" s="231"/>
      <c r="W617" s="231"/>
      <c r="X617" s="231"/>
      <c r="Y617" s="231"/>
      <c r="Z617" s="231"/>
      <c r="AA617" s="231"/>
      <c r="AB617" s="231"/>
      <c r="AC617" s="231"/>
    </row>
    <row r="618" ht="24.75" hidden="1" customHeight="1" outlineLevel="1">
      <c r="A618" s="400">
        <v>45523.0</v>
      </c>
      <c r="B618" s="403" t="s">
        <v>753</v>
      </c>
      <c r="C618" s="406" t="s">
        <v>934</v>
      </c>
      <c r="D618" s="403" t="s">
        <v>146</v>
      </c>
      <c r="E618" s="398" t="s">
        <v>685</v>
      </c>
      <c r="F618" s="237"/>
      <c r="G618" s="237"/>
      <c r="H618" s="237" t="s">
        <v>1094</v>
      </c>
      <c r="I618" s="401" t="s">
        <v>1081</v>
      </c>
      <c r="J618" s="231"/>
      <c r="K618" s="231"/>
      <c r="L618" s="231"/>
      <c r="M618" s="231"/>
      <c r="N618" s="231"/>
      <c r="O618" s="231"/>
      <c r="P618" s="231"/>
      <c r="Q618" s="231"/>
      <c r="R618" s="231"/>
      <c r="S618" s="231"/>
      <c r="T618" s="231"/>
      <c r="U618" s="231"/>
      <c r="V618" s="231"/>
      <c r="W618" s="231"/>
      <c r="X618" s="231"/>
      <c r="Y618" s="231"/>
      <c r="Z618" s="231"/>
      <c r="AA618" s="231"/>
      <c r="AB618" s="231"/>
      <c r="AC618" s="231"/>
    </row>
    <row r="619" ht="24.75" hidden="1" customHeight="1" outlineLevel="1">
      <c r="A619" s="400">
        <v>45523.0</v>
      </c>
      <c r="B619" s="403" t="s">
        <v>756</v>
      </c>
      <c r="C619" s="406" t="s">
        <v>934</v>
      </c>
      <c r="D619" s="403" t="s">
        <v>146</v>
      </c>
      <c r="E619" s="398" t="s">
        <v>685</v>
      </c>
      <c r="F619" s="237"/>
      <c r="G619" s="237"/>
      <c r="H619" s="237" t="s">
        <v>1094</v>
      </c>
      <c r="I619" s="401" t="s">
        <v>1081</v>
      </c>
      <c r="J619" s="231"/>
      <c r="K619" s="231"/>
      <c r="L619" s="231"/>
      <c r="M619" s="231"/>
      <c r="N619" s="231"/>
      <c r="O619" s="231"/>
      <c r="P619" s="231"/>
      <c r="Q619" s="231"/>
      <c r="R619" s="231"/>
      <c r="S619" s="231"/>
      <c r="T619" s="231"/>
      <c r="U619" s="231"/>
      <c r="V619" s="231"/>
      <c r="W619" s="231"/>
      <c r="X619" s="231"/>
      <c r="Y619" s="231"/>
      <c r="Z619" s="231"/>
      <c r="AA619" s="231"/>
      <c r="AB619" s="231"/>
      <c r="AC619" s="231"/>
    </row>
    <row r="620" ht="24.75" hidden="1" customHeight="1" outlineLevel="1">
      <c r="A620" s="409">
        <v>45524.0</v>
      </c>
      <c r="B620" s="403" t="s">
        <v>35</v>
      </c>
      <c r="C620" s="403" t="s">
        <v>715</v>
      </c>
      <c r="D620" s="404" t="s">
        <v>662</v>
      </c>
      <c r="E620" s="398" t="s">
        <v>717</v>
      </c>
      <c r="F620" s="237"/>
      <c r="G620" s="237"/>
      <c r="H620" s="237" t="s">
        <v>1069</v>
      </c>
      <c r="I620" s="401"/>
      <c r="J620" s="231"/>
      <c r="K620" s="231"/>
      <c r="L620" s="231"/>
      <c r="M620" s="231"/>
      <c r="N620" s="231"/>
      <c r="O620" s="231"/>
      <c r="P620" s="231"/>
      <c r="Q620" s="231"/>
      <c r="R620" s="231"/>
      <c r="S620" s="231"/>
      <c r="T620" s="231"/>
      <c r="U620" s="231"/>
      <c r="V620" s="231"/>
      <c r="W620" s="231"/>
      <c r="X620" s="231"/>
      <c r="Y620" s="231"/>
      <c r="Z620" s="231"/>
      <c r="AA620" s="231"/>
      <c r="AB620" s="231"/>
      <c r="AC620" s="231"/>
    </row>
    <row r="621" ht="24.75" hidden="1" customHeight="1" outlineLevel="1">
      <c r="A621" s="395">
        <v>45524.0</v>
      </c>
      <c r="B621" s="396" t="s">
        <v>714</v>
      </c>
      <c r="C621" s="397" t="s">
        <v>715</v>
      </c>
      <c r="D621" s="397" t="s">
        <v>662</v>
      </c>
      <c r="E621" s="398" t="s">
        <v>717</v>
      </c>
      <c r="F621" s="237"/>
      <c r="G621" s="237"/>
      <c r="H621" s="237" t="s">
        <v>1067</v>
      </c>
      <c r="I621" s="401"/>
      <c r="J621" s="231"/>
      <c r="K621" s="231"/>
      <c r="L621" s="231"/>
      <c r="M621" s="231"/>
      <c r="N621" s="231"/>
      <c r="O621" s="231"/>
      <c r="P621" s="231"/>
      <c r="Q621" s="231"/>
      <c r="R621" s="231"/>
      <c r="S621" s="231"/>
      <c r="T621" s="231"/>
      <c r="U621" s="231"/>
      <c r="V621" s="231"/>
      <c r="W621" s="231"/>
      <c r="X621" s="231"/>
      <c r="Y621" s="231"/>
      <c r="Z621" s="231"/>
      <c r="AA621" s="231"/>
      <c r="AB621" s="231"/>
      <c r="AC621" s="231"/>
    </row>
    <row r="622" ht="24.75" hidden="1" customHeight="1" outlineLevel="1">
      <c r="A622" s="395">
        <v>45524.0</v>
      </c>
      <c r="B622" s="410" t="s">
        <v>736</v>
      </c>
      <c r="C622" s="397" t="s">
        <v>1073</v>
      </c>
      <c r="D622" s="397" t="s">
        <v>1095</v>
      </c>
      <c r="E622" s="398" t="s">
        <v>685</v>
      </c>
      <c r="F622" s="237"/>
      <c r="G622" s="237"/>
      <c r="H622" s="237" t="s">
        <v>1096</v>
      </c>
      <c r="I622" s="401"/>
      <c r="J622" s="231"/>
      <c r="K622" s="231"/>
      <c r="L622" s="231"/>
      <c r="M622" s="231"/>
      <c r="N622" s="231"/>
      <c r="O622" s="231"/>
      <c r="P622" s="231"/>
      <c r="Q622" s="231"/>
      <c r="R622" s="231"/>
      <c r="S622" s="231"/>
      <c r="T622" s="231"/>
      <c r="U622" s="231"/>
      <c r="V622" s="231"/>
      <c r="W622" s="231"/>
      <c r="X622" s="231"/>
      <c r="Y622" s="231"/>
      <c r="Z622" s="231"/>
      <c r="AA622" s="231"/>
      <c r="AB622" s="231"/>
      <c r="AC622" s="231"/>
    </row>
    <row r="623" ht="24.75" hidden="1" customHeight="1" outlineLevel="1">
      <c r="A623" s="409">
        <v>45524.0</v>
      </c>
      <c r="B623" s="403" t="s">
        <v>808</v>
      </c>
      <c r="C623" s="406" t="s">
        <v>715</v>
      </c>
      <c r="D623" s="403" t="s">
        <v>802</v>
      </c>
      <c r="E623" s="398" t="s">
        <v>717</v>
      </c>
      <c r="F623" s="237"/>
      <c r="G623" s="237"/>
      <c r="H623" s="237" t="s">
        <v>1038</v>
      </c>
      <c r="I623" s="401"/>
      <c r="J623" s="231"/>
      <c r="K623" s="231"/>
      <c r="L623" s="231"/>
      <c r="M623" s="231"/>
      <c r="N623" s="231"/>
      <c r="O623" s="231"/>
      <c r="P623" s="231"/>
      <c r="Q623" s="231"/>
      <c r="R623" s="231"/>
      <c r="S623" s="231"/>
      <c r="T623" s="231"/>
      <c r="U623" s="231"/>
      <c r="V623" s="231"/>
      <c r="W623" s="231"/>
      <c r="X623" s="231"/>
      <c r="Y623" s="231"/>
      <c r="Z623" s="231"/>
      <c r="AA623" s="231"/>
      <c r="AB623" s="231"/>
      <c r="AC623" s="231"/>
    </row>
    <row r="624" ht="24.75" hidden="1" customHeight="1" outlineLevel="1">
      <c r="A624" s="395">
        <v>45525.0</v>
      </c>
      <c r="B624" s="411" t="s">
        <v>743</v>
      </c>
      <c r="C624" s="397" t="s">
        <v>1073</v>
      </c>
      <c r="D624" s="397" t="s">
        <v>1095</v>
      </c>
      <c r="E624" s="398" t="s">
        <v>685</v>
      </c>
      <c r="F624" s="231"/>
      <c r="G624" s="231"/>
      <c r="H624" s="231"/>
      <c r="I624" s="401"/>
      <c r="J624" s="231"/>
      <c r="K624" s="231"/>
      <c r="L624" s="231"/>
      <c r="M624" s="231"/>
      <c r="N624" s="231"/>
      <c r="O624" s="231"/>
      <c r="P624" s="231"/>
      <c r="Q624" s="231"/>
      <c r="R624" s="231"/>
      <c r="S624" s="231"/>
      <c r="T624" s="231"/>
      <c r="U624" s="231"/>
      <c r="V624" s="231"/>
      <c r="W624" s="231"/>
      <c r="X624" s="231"/>
      <c r="Y624" s="231"/>
      <c r="Z624" s="231"/>
      <c r="AA624" s="231"/>
      <c r="AB624" s="231"/>
      <c r="AC624" s="231"/>
    </row>
    <row r="625" ht="24.75" hidden="1" customHeight="1" outlineLevel="1">
      <c r="A625" s="395">
        <v>45526.0</v>
      </c>
      <c r="B625" s="411" t="s">
        <v>745</v>
      </c>
      <c r="C625" s="397" t="s">
        <v>1073</v>
      </c>
      <c r="D625" s="397" t="s">
        <v>1095</v>
      </c>
      <c r="E625" s="398" t="s">
        <v>685</v>
      </c>
      <c r="F625" s="231"/>
      <c r="G625" s="231"/>
      <c r="H625" s="231"/>
      <c r="I625" s="401"/>
      <c r="J625" s="231"/>
      <c r="K625" s="231"/>
      <c r="L625" s="231"/>
      <c r="M625" s="231"/>
      <c r="N625" s="231"/>
      <c r="O625" s="231"/>
      <c r="P625" s="231"/>
      <c r="Q625" s="231"/>
      <c r="R625" s="231"/>
      <c r="S625" s="231"/>
      <c r="T625" s="231"/>
      <c r="U625" s="231"/>
      <c r="V625" s="231"/>
      <c r="W625" s="231"/>
      <c r="X625" s="231"/>
      <c r="Y625" s="231"/>
      <c r="Z625" s="231"/>
      <c r="AA625" s="231"/>
      <c r="AB625" s="231"/>
      <c r="AC625" s="231"/>
    </row>
    <row r="626" ht="24.75" customHeight="1">
      <c r="A626" s="231"/>
      <c r="B626" s="231"/>
      <c r="C626" s="231"/>
      <c r="D626" s="231"/>
      <c r="E626" s="225"/>
      <c r="F626" s="231"/>
      <c r="G626" s="231"/>
      <c r="H626" s="231"/>
      <c r="I626" s="231"/>
      <c r="J626" s="231"/>
      <c r="K626" s="231"/>
      <c r="L626" s="231"/>
      <c r="M626" s="231"/>
      <c r="N626" s="231"/>
      <c r="O626" s="231"/>
      <c r="P626" s="231"/>
      <c r="Q626" s="231"/>
      <c r="R626" s="231"/>
      <c r="S626" s="231"/>
      <c r="T626" s="231"/>
      <c r="U626" s="231"/>
      <c r="V626" s="231"/>
      <c r="W626" s="231"/>
      <c r="X626" s="231"/>
      <c r="Y626" s="231"/>
      <c r="Z626" s="231"/>
      <c r="AA626" s="231"/>
      <c r="AB626" s="231"/>
      <c r="AC626" s="231"/>
    </row>
    <row r="627" ht="24.75" customHeight="1" collapsed="1">
      <c r="A627" s="237" t="s">
        <v>1097</v>
      </c>
      <c r="B627" s="231"/>
      <c r="C627" s="231"/>
      <c r="D627" s="231"/>
      <c r="E627" s="225"/>
      <c r="F627" s="231"/>
      <c r="G627" s="231"/>
      <c r="H627" s="231"/>
      <c r="I627" s="231"/>
      <c r="J627" s="231"/>
      <c r="K627" s="231"/>
      <c r="L627" s="231"/>
      <c r="M627" s="231"/>
      <c r="N627" s="231"/>
      <c r="O627" s="231"/>
      <c r="P627" s="231"/>
      <c r="Q627" s="231"/>
      <c r="R627" s="231"/>
      <c r="S627" s="231"/>
      <c r="T627" s="231"/>
      <c r="U627" s="231"/>
      <c r="V627" s="231"/>
      <c r="W627" s="231"/>
      <c r="X627" s="231"/>
      <c r="Y627" s="231"/>
      <c r="Z627" s="231"/>
      <c r="AA627" s="231"/>
      <c r="AB627" s="231"/>
      <c r="AC627" s="231"/>
    </row>
    <row r="628" ht="24.75" hidden="1" customHeight="1" outlineLevel="1">
      <c r="A628" s="263" t="s">
        <v>647</v>
      </c>
      <c r="B628" s="264" t="s">
        <v>648</v>
      </c>
      <c r="C628" s="264" t="s">
        <v>649</v>
      </c>
      <c r="D628" s="264" t="s">
        <v>650</v>
      </c>
      <c r="E628" s="264" t="s">
        <v>651</v>
      </c>
      <c r="F628" s="231"/>
      <c r="G628" s="231"/>
      <c r="H628" s="231"/>
      <c r="I628" s="231"/>
      <c r="J628" s="231"/>
      <c r="K628" s="231"/>
      <c r="L628" s="231"/>
      <c r="M628" s="231"/>
      <c r="N628" s="231"/>
      <c r="O628" s="231"/>
      <c r="P628" s="231"/>
      <c r="Q628" s="231"/>
      <c r="R628" s="231"/>
      <c r="S628" s="231"/>
      <c r="T628" s="231"/>
      <c r="U628" s="231"/>
      <c r="V628" s="231"/>
      <c r="W628" s="231"/>
      <c r="X628" s="231"/>
      <c r="Y628" s="231"/>
      <c r="Z628" s="231"/>
      <c r="AA628" s="231"/>
      <c r="AB628" s="231"/>
      <c r="AC628" s="231"/>
    </row>
    <row r="629" ht="24.75" hidden="1" customHeight="1" outlineLevel="1">
      <c r="A629" s="339">
        <v>45551.0</v>
      </c>
      <c r="B629" s="412" t="s">
        <v>731</v>
      </c>
      <c r="C629" s="256" t="s">
        <v>1061</v>
      </c>
      <c r="D629" s="413" t="s">
        <v>1098</v>
      </c>
      <c r="E629" s="414" t="s">
        <v>717</v>
      </c>
      <c r="F629" s="415"/>
      <c r="G629" s="415"/>
      <c r="H629" s="416"/>
      <c r="I629" s="417"/>
      <c r="J629" s="331"/>
      <c r="K629" s="418"/>
      <c r="L629" s="419"/>
      <c r="M629" s="237"/>
      <c r="N629" s="401"/>
      <c r="O629" s="231"/>
      <c r="P629" s="231"/>
      <c r="Q629" s="231"/>
      <c r="R629" s="231"/>
      <c r="S629" s="231"/>
      <c r="T629" s="231"/>
      <c r="U629" s="231"/>
      <c r="V629" s="231"/>
      <c r="W629" s="231"/>
      <c r="X629" s="231"/>
      <c r="Y629" s="231"/>
      <c r="Z629" s="231"/>
      <c r="AA629" s="231"/>
      <c r="AB629" s="231"/>
      <c r="AC629" s="231"/>
    </row>
    <row r="630" ht="24.75" hidden="1" customHeight="1" outlineLevel="1">
      <c r="A630" s="339">
        <v>45551.0</v>
      </c>
      <c r="B630" s="412" t="s">
        <v>1009</v>
      </c>
      <c r="C630" s="253" t="s">
        <v>721</v>
      </c>
      <c r="D630" s="420" t="s">
        <v>1063</v>
      </c>
      <c r="E630" s="414" t="s">
        <v>717</v>
      </c>
      <c r="F630" s="415"/>
      <c r="G630" s="415"/>
      <c r="H630" s="416"/>
      <c r="I630" s="417"/>
      <c r="J630" s="249"/>
      <c r="K630" s="418"/>
      <c r="L630" s="419"/>
      <c r="M630" s="237"/>
      <c r="N630" s="401"/>
      <c r="O630" s="231"/>
      <c r="P630" s="231"/>
      <c r="Q630" s="231"/>
      <c r="R630" s="231"/>
      <c r="S630" s="231"/>
      <c r="T630" s="231"/>
      <c r="U630" s="231"/>
      <c r="V630" s="231"/>
      <c r="W630" s="231"/>
      <c r="X630" s="231"/>
      <c r="Y630" s="231"/>
      <c r="Z630" s="231"/>
      <c r="AA630" s="231"/>
      <c r="AB630" s="231"/>
      <c r="AC630" s="231"/>
    </row>
    <row r="631" ht="24.75" hidden="1" customHeight="1" outlineLevel="1">
      <c r="A631" s="339">
        <v>45551.0</v>
      </c>
      <c r="B631" s="253" t="s">
        <v>801</v>
      </c>
      <c r="C631" s="253" t="s">
        <v>703</v>
      </c>
      <c r="D631" s="421" t="s">
        <v>1033</v>
      </c>
      <c r="E631" s="414" t="s">
        <v>717</v>
      </c>
      <c r="F631" s="289"/>
      <c r="G631" s="289"/>
      <c r="H631" s="289" t="s">
        <v>803</v>
      </c>
      <c r="I631" s="249"/>
      <c r="J631" s="249"/>
      <c r="K631" s="422"/>
      <c r="L631" s="419"/>
      <c r="M631" s="237"/>
      <c r="N631" s="401"/>
      <c r="O631" s="231"/>
      <c r="P631" s="231"/>
      <c r="Q631" s="231"/>
      <c r="R631" s="231"/>
      <c r="S631" s="231"/>
      <c r="T631" s="231"/>
      <c r="U631" s="231"/>
      <c r="V631" s="231"/>
      <c r="W631" s="231"/>
      <c r="X631" s="231"/>
      <c r="Y631" s="231"/>
      <c r="Z631" s="231"/>
      <c r="AA631" s="231"/>
      <c r="AB631" s="231"/>
      <c r="AC631" s="231"/>
    </row>
    <row r="632" ht="24.75" hidden="1" customHeight="1" outlineLevel="1">
      <c r="A632" s="339">
        <v>45551.0</v>
      </c>
      <c r="B632" s="253" t="s">
        <v>699</v>
      </c>
      <c r="C632" s="253" t="s">
        <v>934</v>
      </c>
      <c r="D632" s="413" t="s">
        <v>837</v>
      </c>
      <c r="E632" s="414" t="s">
        <v>717</v>
      </c>
      <c r="F632" s="249"/>
      <c r="G632" s="249"/>
      <c r="H632" s="249" t="s">
        <v>722</v>
      </c>
      <c r="I632" s="249"/>
      <c r="J632" s="249"/>
      <c r="K632" s="418"/>
      <c r="L632" s="419"/>
      <c r="M632" s="237"/>
      <c r="N632" s="401"/>
      <c r="O632" s="231"/>
      <c r="P632" s="231"/>
      <c r="Q632" s="231"/>
      <c r="R632" s="231"/>
      <c r="S632" s="231"/>
      <c r="T632" s="231"/>
      <c r="U632" s="231"/>
      <c r="V632" s="231"/>
      <c r="W632" s="231"/>
      <c r="X632" s="231"/>
      <c r="Y632" s="231"/>
      <c r="Z632" s="231"/>
      <c r="AA632" s="231"/>
      <c r="AB632" s="231"/>
      <c r="AC632" s="231"/>
    </row>
    <row r="633" ht="24.75" hidden="1" customHeight="1" outlineLevel="1">
      <c r="A633" s="353">
        <v>45552.0</v>
      </c>
      <c r="B633" s="412" t="s">
        <v>35</v>
      </c>
      <c r="C633" s="253" t="s">
        <v>703</v>
      </c>
      <c r="D633" s="421" t="s">
        <v>1035</v>
      </c>
      <c r="E633" s="414" t="s">
        <v>717</v>
      </c>
      <c r="F633" s="249"/>
      <c r="G633" s="249"/>
      <c r="H633" s="249"/>
      <c r="I633" s="417"/>
      <c r="J633" s="249"/>
      <c r="K633" s="422"/>
      <c r="L633" s="419"/>
      <c r="M633" s="311"/>
      <c r="N633" s="401"/>
      <c r="O633" s="231"/>
      <c r="P633" s="231"/>
      <c r="Q633" s="231"/>
      <c r="R633" s="231"/>
      <c r="S633" s="231"/>
      <c r="T633" s="231"/>
      <c r="U633" s="231"/>
      <c r="V633" s="231"/>
      <c r="W633" s="231"/>
      <c r="X633" s="231"/>
      <c r="Y633" s="231"/>
      <c r="Z633" s="231"/>
      <c r="AA633" s="231"/>
      <c r="AB633" s="231"/>
      <c r="AC633" s="231"/>
    </row>
    <row r="634" ht="24.75" hidden="1" customHeight="1" outlineLevel="1">
      <c r="A634" s="353">
        <v>45552.0</v>
      </c>
      <c r="B634" s="253" t="s">
        <v>714</v>
      </c>
      <c r="C634" s="423" t="s">
        <v>1099</v>
      </c>
      <c r="D634" s="421" t="s">
        <v>662</v>
      </c>
      <c r="E634" s="414" t="s">
        <v>717</v>
      </c>
      <c r="F634" s="289"/>
      <c r="G634" s="289"/>
      <c r="H634" s="289" t="s">
        <v>1037</v>
      </c>
      <c r="I634" s="249"/>
      <c r="J634" s="424"/>
      <c r="K634" s="422"/>
      <c r="L634" s="419"/>
      <c r="M634" s="289"/>
      <c r="N634" s="231"/>
      <c r="O634" s="231"/>
      <c r="P634" s="231"/>
      <c r="Q634" s="231"/>
      <c r="R634" s="231"/>
      <c r="S634" s="231"/>
      <c r="T634" s="231"/>
      <c r="U634" s="231"/>
      <c r="V634" s="231"/>
      <c r="W634" s="231"/>
      <c r="X634" s="231"/>
      <c r="Y634" s="231"/>
      <c r="Z634" s="231"/>
      <c r="AA634" s="231"/>
      <c r="AB634" s="231"/>
      <c r="AC634" s="231"/>
    </row>
    <row r="635" ht="24.75" hidden="1" customHeight="1" outlineLevel="1">
      <c r="A635" s="353">
        <v>45552.0</v>
      </c>
      <c r="B635" s="253" t="s">
        <v>808</v>
      </c>
      <c r="C635" s="253" t="s">
        <v>703</v>
      </c>
      <c r="D635" s="421" t="s">
        <v>662</v>
      </c>
      <c r="E635" s="414" t="s">
        <v>717</v>
      </c>
      <c r="F635" s="289"/>
      <c r="G635" s="289"/>
      <c r="H635" s="289" t="s">
        <v>1038</v>
      </c>
      <c r="I635" s="249"/>
      <c r="J635" s="249"/>
      <c r="K635" s="422"/>
      <c r="L635" s="419"/>
      <c r="M635" s="237"/>
      <c r="N635" s="237"/>
      <c r="O635" s="231"/>
      <c r="P635" s="231"/>
      <c r="Q635" s="231"/>
      <c r="R635" s="231"/>
      <c r="S635" s="231"/>
      <c r="T635" s="231"/>
      <c r="U635" s="231"/>
      <c r="V635" s="231"/>
      <c r="W635" s="231"/>
      <c r="X635" s="231"/>
      <c r="Y635" s="231"/>
      <c r="Z635" s="231"/>
      <c r="AA635" s="231"/>
      <c r="AB635" s="231"/>
      <c r="AC635" s="231"/>
    </row>
    <row r="636" ht="24.75" hidden="1" customHeight="1" outlineLevel="1">
      <c r="A636" s="353">
        <v>45552.0</v>
      </c>
      <c r="B636" s="412" t="s">
        <v>736</v>
      </c>
      <c r="C636" s="425" t="s">
        <v>1073</v>
      </c>
      <c r="D636" s="421" t="s">
        <v>1040</v>
      </c>
      <c r="E636" s="414" t="s">
        <v>717</v>
      </c>
      <c r="F636" s="415"/>
      <c r="G636" s="415"/>
      <c r="H636" s="416"/>
      <c r="I636" s="417"/>
      <c r="J636" s="426"/>
      <c r="K636" s="422"/>
      <c r="L636" s="419"/>
      <c r="M636" s="237"/>
      <c r="N636" s="237"/>
      <c r="O636" s="231"/>
      <c r="P636" s="231"/>
      <c r="Q636" s="231"/>
      <c r="R636" s="231"/>
      <c r="S636" s="231"/>
      <c r="T636" s="231"/>
      <c r="U636" s="231"/>
      <c r="V636" s="231"/>
      <c r="W636" s="231"/>
      <c r="X636" s="231"/>
      <c r="Y636" s="231"/>
      <c r="Z636" s="231"/>
      <c r="AA636" s="231"/>
      <c r="AB636" s="231"/>
      <c r="AC636" s="231"/>
    </row>
    <row r="637" ht="24.75" hidden="1" customHeight="1" outlineLevel="1">
      <c r="A637" s="353">
        <v>45552.0</v>
      </c>
      <c r="B637" s="253" t="s">
        <v>279</v>
      </c>
      <c r="C637" s="253" t="s">
        <v>703</v>
      </c>
      <c r="D637" s="421" t="s">
        <v>1041</v>
      </c>
      <c r="E637" s="414" t="s">
        <v>717</v>
      </c>
      <c r="F637" s="415"/>
      <c r="G637" s="415"/>
      <c r="H637" s="416"/>
      <c r="I637" s="249"/>
      <c r="J637" s="249"/>
      <c r="K637" s="422"/>
      <c r="L637" s="419"/>
      <c r="M637" s="237"/>
      <c r="N637" s="237"/>
      <c r="O637" s="231"/>
      <c r="P637" s="231"/>
      <c r="Q637" s="231"/>
      <c r="R637" s="231"/>
      <c r="S637" s="231"/>
      <c r="T637" s="231"/>
      <c r="U637" s="231"/>
      <c r="V637" s="231"/>
      <c r="W637" s="231"/>
      <c r="X637" s="231"/>
      <c r="Y637" s="231"/>
      <c r="Z637" s="231"/>
      <c r="AA637" s="231"/>
      <c r="AB637" s="231"/>
      <c r="AC637" s="231"/>
    </row>
    <row r="638" ht="24.75" customHeight="1">
      <c r="A638" s="231"/>
      <c r="B638" s="231"/>
      <c r="C638" s="231"/>
      <c r="D638" s="231"/>
      <c r="E638" s="225"/>
      <c r="F638" s="231"/>
      <c r="G638" s="231"/>
      <c r="H638" s="231"/>
      <c r="I638" s="231"/>
      <c r="J638" s="231"/>
      <c r="K638" s="231"/>
      <c r="L638" s="231"/>
      <c r="M638" s="231"/>
      <c r="N638" s="237"/>
      <c r="O638" s="231"/>
      <c r="P638" s="231"/>
      <c r="Q638" s="231"/>
      <c r="R638" s="231"/>
      <c r="S638" s="231"/>
      <c r="T638" s="231"/>
      <c r="U638" s="231"/>
      <c r="V638" s="231"/>
      <c r="W638" s="231"/>
      <c r="X638" s="231"/>
      <c r="Y638" s="231"/>
      <c r="Z638" s="231"/>
      <c r="AA638" s="231"/>
      <c r="AB638" s="231"/>
      <c r="AC638" s="231"/>
    </row>
    <row r="639" ht="24.75" customHeight="1" collapsed="1">
      <c r="A639" s="237" t="s">
        <v>1100</v>
      </c>
      <c r="B639" s="231"/>
      <c r="C639" s="231"/>
      <c r="D639" s="231"/>
      <c r="E639" s="225"/>
      <c r="F639" s="231"/>
      <c r="G639" s="231"/>
      <c r="H639" s="231"/>
      <c r="I639" s="231"/>
      <c r="J639" s="231"/>
      <c r="K639" s="231"/>
      <c r="L639" s="231"/>
      <c r="M639" s="237"/>
      <c r="N639" s="237"/>
      <c r="O639" s="231"/>
      <c r="P639" s="231"/>
      <c r="Q639" s="231"/>
      <c r="R639" s="231"/>
      <c r="S639" s="231"/>
      <c r="T639" s="231"/>
      <c r="U639" s="231"/>
      <c r="V639" s="231"/>
      <c r="W639" s="231"/>
      <c r="X639" s="231"/>
      <c r="Y639" s="231"/>
      <c r="Z639" s="231"/>
      <c r="AA639" s="231"/>
      <c r="AB639" s="231"/>
      <c r="AC639" s="231"/>
    </row>
    <row r="640" ht="24.75" hidden="1" customHeight="1" outlineLevel="1">
      <c r="A640" s="427" t="s">
        <v>647</v>
      </c>
      <c r="B640" s="428" t="s">
        <v>648</v>
      </c>
      <c r="C640" s="428" t="s">
        <v>649</v>
      </c>
      <c r="D640" s="428" t="s">
        <v>650</v>
      </c>
      <c r="E640" s="428" t="s">
        <v>651</v>
      </c>
      <c r="F640" s="231"/>
      <c r="G640" s="231"/>
      <c r="H640" s="231"/>
      <c r="I640" s="231"/>
      <c r="J640" s="231"/>
      <c r="K640" s="231"/>
      <c r="L640" s="231"/>
      <c r="M640" s="231"/>
      <c r="N640" s="231"/>
      <c r="O640" s="231"/>
      <c r="P640" s="231"/>
      <c r="Q640" s="231"/>
      <c r="R640" s="231"/>
      <c r="S640" s="231"/>
      <c r="T640" s="231"/>
      <c r="U640" s="231"/>
      <c r="V640" s="231"/>
      <c r="W640" s="231"/>
      <c r="X640" s="231"/>
      <c r="Y640" s="231"/>
      <c r="Z640" s="231"/>
      <c r="AA640" s="231"/>
      <c r="AB640" s="231"/>
      <c r="AC640" s="231"/>
    </row>
    <row r="641" ht="24.75" hidden="1" customHeight="1" outlineLevel="1">
      <c r="A641" s="339">
        <v>45558.0</v>
      </c>
      <c r="B641" s="412" t="s">
        <v>731</v>
      </c>
      <c r="C641" s="256" t="s">
        <v>1061</v>
      </c>
      <c r="D641" s="413" t="s">
        <v>1098</v>
      </c>
      <c r="E641" s="429" t="s">
        <v>717</v>
      </c>
      <c r="F641" s="231"/>
      <c r="G641" s="231"/>
      <c r="H641" s="231"/>
      <c r="I641" s="231"/>
      <c r="J641" s="231"/>
      <c r="K641" s="231"/>
      <c r="L641" s="231"/>
      <c r="M641" s="231"/>
      <c r="N641" s="231"/>
      <c r="O641" s="231"/>
      <c r="P641" s="231"/>
      <c r="Q641" s="231"/>
      <c r="R641" s="231"/>
      <c r="S641" s="231"/>
      <c r="T641" s="231"/>
      <c r="U641" s="231"/>
      <c r="V641" s="231"/>
      <c r="W641" s="231"/>
      <c r="X641" s="231"/>
      <c r="Y641" s="231"/>
      <c r="Z641" s="231"/>
      <c r="AA641" s="231"/>
      <c r="AB641" s="231"/>
      <c r="AC641" s="231"/>
    </row>
    <row r="642" ht="24.75" hidden="1" customHeight="1" outlineLevel="1">
      <c r="A642" s="339">
        <v>45558.0</v>
      </c>
      <c r="B642" s="412" t="s">
        <v>1009</v>
      </c>
      <c r="C642" s="253" t="s">
        <v>721</v>
      </c>
      <c r="D642" s="420" t="s">
        <v>1063</v>
      </c>
      <c r="E642" s="429" t="s">
        <v>717</v>
      </c>
      <c r="F642" s="231"/>
      <c r="G642" s="231"/>
      <c r="H642" s="231"/>
      <c r="I642" s="231"/>
      <c r="J642" s="231"/>
      <c r="K642" s="231"/>
      <c r="L642" s="231"/>
      <c r="M642" s="231"/>
      <c r="N642" s="231"/>
      <c r="O642" s="231"/>
      <c r="P642" s="231"/>
      <c r="Q642" s="231"/>
      <c r="R642" s="231"/>
      <c r="S642" s="231"/>
      <c r="T642" s="231"/>
      <c r="U642" s="231"/>
      <c r="V642" s="231"/>
      <c r="W642" s="231"/>
      <c r="X642" s="231"/>
      <c r="Y642" s="231"/>
      <c r="Z642" s="231"/>
      <c r="AA642" s="231"/>
      <c r="AB642" s="231"/>
      <c r="AC642" s="231"/>
    </row>
    <row r="643" ht="24.75" hidden="1" customHeight="1" outlineLevel="1">
      <c r="A643" s="339">
        <v>45558.0</v>
      </c>
      <c r="B643" s="253" t="s">
        <v>801</v>
      </c>
      <c r="C643" s="253" t="s">
        <v>703</v>
      </c>
      <c r="D643" s="421" t="s">
        <v>1033</v>
      </c>
      <c r="E643" s="429" t="s">
        <v>717</v>
      </c>
      <c r="F643" s="289"/>
      <c r="G643" s="289"/>
      <c r="H643" s="289" t="s">
        <v>803</v>
      </c>
      <c r="I643" s="231"/>
      <c r="J643" s="231"/>
      <c r="K643" s="231"/>
      <c r="L643" s="231"/>
      <c r="M643" s="231"/>
      <c r="N643" s="231"/>
      <c r="O643" s="231"/>
      <c r="P643" s="231"/>
      <c r="Q643" s="231"/>
      <c r="R643" s="231"/>
      <c r="S643" s="231"/>
      <c r="T643" s="231"/>
      <c r="U643" s="231"/>
      <c r="V643" s="231"/>
      <c r="W643" s="231"/>
      <c r="X643" s="231"/>
      <c r="Y643" s="231"/>
      <c r="Z643" s="231"/>
      <c r="AA643" s="231"/>
      <c r="AB643" s="231"/>
      <c r="AC643" s="231"/>
    </row>
    <row r="644" ht="24.75" hidden="1" customHeight="1" outlineLevel="1">
      <c r="A644" s="339">
        <v>45558.0</v>
      </c>
      <c r="B644" s="253" t="s">
        <v>699</v>
      </c>
      <c r="C644" s="253" t="s">
        <v>934</v>
      </c>
      <c r="D644" s="413" t="s">
        <v>837</v>
      </c>
      <c r="E644" s="429" t="s">
        <v>717</v>
      </c>
      <c r="F644" s="249"/>
      <c r="G644" s="249"/>
      <c r="H644" s="249" t="s">
        <v>722</v>
      </c>
      <c r="I644" s="231"/>
      <c r="J644" s="231"/>
      <c r="K644" s="231"/>
      <c r="L644" s="231"/>
      <c r="M644" s="231"/>
      <c r="N644" s="231"/>
      <c r="O644" s="231"/>
      <c r="P644" s="231"/>
      <c r="Q644" s="231"/>
      <c r="R644" s="231"/>
      <c r="S644" s="231"/>
      <c r="T644" s="231"/>
      <c r="U644" s="231"/>
      <c r="V644" s="231"/>
      <c r="W644" s="231"/>
      <c r="X644" s="231"/>
      <c r="Y644" s="231"/>
      <c r="Z644" s="231"/>
      <c r="AA644" s="231"/>
      <c r="AB644" s="231"/>
      <c r="AC644" s="231"/>
    </row>
    <row r="645" ht="24.75" hidden="1" customHeight="1" outlineLevel="1">
      <c r="A645" s="353">
        <v>45559.0</v>
      </c>
      <c r="B645" s="412" t="s">
        <v>35</v>
      </c>
      <c r="C645" s="253" t="s">
        <v>703</v>
      </c>
      <c r="D645" s="421" t="s">
        <v>1035</v>
      </c>
      <c r="E645" s="429" t="s">
        <v>717</v>
      </c>
      <c r="F645" s="249"/>
      <c r="G645" s="249"/>
      <c r="H645" s="249"/>
      <c r="I645" s="231"/>
      <c r="J645" s="231"/>
      <c r="K645" s="231"/>
      <c r="L645" s="231"/>
      <c r="M645" s="231"/>
      <c r="N645" s="231"/>
      <c r="O645" s="231"/>
      <c r="P645" s="231"/>
      <c r="Q645" s="231"/>
      <c r="R645" s="231"/>
      <c r="S645" s="231"/>
      <c r="T645" s="231"/>
      <c r="U645" s="231"/>
      <c r="V645" s="231"/>
      <c r="W645" s="231"/>
      <c r="X645" s="231"/>
      <c r="Y645" s="231"/>
      <c r="Z645" s="231"/>
      <c r="AA645" s="231"/>
      <c r="AB645" s="231"/>
      <c r="AC645" s="231"/>
    </row>
    <row r="646" ht="24.75" hidden="1" customHeight="1" outlineLevel="1">
      <c r="A646" s="353">
        <v>45559.0</v>
      </c>
      <c r="B646" s="253" t="s">
        <v>714</v>
      </c>
      <c r="C646" s="423" t="s">
        <v>1101</v>
      </c>
      <c r="D646" s="421" t="s">
        <v>662</v>
      </c>
      <c r="E646" s="429" t="s">
        <v>717</v>
      </c>
      <c r="F646" s="289"/>
      <c r="G646" s="289"/>
      <c r="H646" s="289" t="s">
        <v>1037</v>
      </c>
      <c r="I646" s="231"/>
      <c r="J646" s="231"/>
      <c r="K646" s="231"/>
      <c r="L646" s="231"/>
      <c r="M646" s="231"/>
      <c r="N646" s="231"/>
      <c r="O646" s="231"/>
      <c r="P646" s="231"/>
      <c r="Q646" s="231"/>
      <c r="R646" s="231"/>
      <c r="S646" s="231"/>
      <c r="T646" s="231"/>
      <c r="U646" s="231"/>
      <c r="V646" s="231"/>
      <c r="W646" s="231"/>
      <c r="X646" s="231"/>
      <c r="Y646" s="231"/>
      <c r="Z646" s="231"/>
      <c r="AA646" s="231"/>
      <c r="AB646" s="231"/>
      <c r="AC646" s="231"/>
    </row>
    <row r="647" ht="24.75" hidden="1" customHeight="1" outlineLevel="1">
      <c r="A647" s="353">
        <v>45559.0</v>
      </c>
      <c r="B647" s="253" t="s">
        <v>808</v>
      </c>
      <c r="C647" s="253" t="s">
        <v>703</v>
      </c>
      <c r="D647" s="421" t="s">
        <v>662</v>
      </c>
      <c r="E647" s="429" t="s">
        <v>717</v>
      </c>
      <c r="F647" s="289"/>
      <c r="G647" s="289"/>
      <c r="H647" s="289" t="s">
        <v>1038</v>
      </c>
      <c r="I647" s="231"/>
      <c r="J647" s="231"/>
      <c r="K647" s="231"/>
      <c r="L647" s="231"/>
      <c r="M647" s="231"/>
      <c r="N647" s="231"/>
      <c r="O647" s="231"/>
      <c r="P647" s="231"/>
      <c r="Q647" s="231"/>
      <c r="R647" s="231"/>
      <c r="S647" s="231"/>
      <c r="T647" s="231"/>
      <c r="U647" s="231"/>
      <c r="V647" s="231"/>
      <c r="W647" s="231"/>
      <c r="X647" s="231"/>
      <c r="Y647" s="231"/>
      <c r="Z647" s="231"/>
      <c r="AA647" s="231"/>
      <c r="AB647" s="231"/>
      <c r="AC647" s="231"/>
    </row>
    <row r="648" ht="24.75" hidden="1" customHeight="1" outlineLevel="1">
      <c r="A648" s="353">
        <v>45559.0</v>
      </c>
      <c r="B648" s="412" t="s">
        <v>736</v>
      </c>
      <c r="C648" s="425" t="s">
        <v>1073</v>
      </c>
      <c r="D648" s="421" t="s">
        <v>1040</v>
      </c>
      <c r="E648" s="429" t="s">
        <v>717</v>
      </c>
      <c r="F648" s="231"/>
      <c r="G648" s="231"/>
      <c r="H648" s="231"/>
      <c r="I648" s="231"/>
      <c r="J648" s="231"/>
      <c r="K648" s="231"/>
      <c r="L648" s="231"/>
      <c r="M648" s="231"/>
      <c r="N648" s="231"/>
      <c r="O648" s="231"/>
      <c r="P648" s="231"/>
      <c r="Q648" s="231"/>
      <c r="R648" s="231"/>
      <c r="S648" s="231"/>
      <c r="T648" s="231"/>
      <c r="U648" s="231"/>
      <c r="V648" s="231"/>
      <c r="W648" s="231"/>
      <c r="X648" s="231"/>
      <c r="Y648" s="231"/>
      <c r="Z648" s="231"/>
      <c r="AA648" s="231"/>
      <c r="AB648" s="231"/>
      <c r="AC648" s="231"/>
    </row>
    <row r="649" ht="24.75" hidden="1" customHeight="1" outlineLevel="1">
      <c r="A649" s="353">
        <v>45559.0</v>
      </c>
      <c r="B649" s="253" t="s">
        <v>279</v>
      </c>
      <c r="C649" s="253" t="s">
        <v>703</v>
      </c>
      <c r="D649" s="421" t="s">
        <v>1041</v>
      </c>
      <c r="E649" s="429" t="s">
        <v>717</v>
      </c>
      <c r="F649" s="231"/>
      <c r="G649" s="231"/>
      <c r="H649" s="231"/>
      <c r="I649" s="231"/>
      <c r="J649" s="231"/>
      <c r="K649" s="231"/>
      <c r="L649" s="231"/>
      <c r="M649" s="231"/>
      <c r="N649" s="231"/>
      <c r="O649" s="231"/>
      <c r="P649" s="231"/>
      <c r="Q649" s="231"/>
      <c r="R649" s="231"/>
      <c r="S649" s="231"/>
      <c r="T649" s="231"/>
      <c r="U649" s="231"/>
      <c r="V649" s="231"/>
      <c r="W649" s="231"/>
      <c r="X649" s="231"/>
      <c r="Y649" s="231"/>
      <c r="Z649" s="231"/>
      <c r="AA649" s="231"/>
      <c r="AB649" s="231"/>
      <c r="AC649" s="231"/>
    </row>
    <row r="650" ht="24.75" customHeight="1">
      <c r="A650" s="231"/>
      <c r="B650" s="231"/>
      <c r="C650" s="231"/>
      <c r="D650" s="231"/>
      <c r="E650" s="225"/>
      <c r="F650" s="231"/>
      <c r="G650" s="231"/>
      <c r="H650" s="231"/>
      <c r="I650" s="231"/>
      <c r="J650" s="231"/>
      <c r="K650" s="231"/>
      <c r="L650" s="231"/>
      <c r="M650" s="231"/>
      <c r="N650" s="231"/>
      <c r="O650" s="231"/>
      <c r="P650" s="231"/>
      <c r="Q650" s="231"/>
      <c r="R650" s="231"/>
      <c r="S650" s="231"/>
      <c r="T650" s="231"/>
      <c r="U650" s="231"/>
      <c r="V650" s="231"/>
      <c r="W650" s="231"/>
      <c r="X650" s="231"/>
      <c r="Y650" s="231"/>
      <c r="Z650" s="231"/>
      <c r="AA650" s="231"/>
      <c r="AB650" s="231"/>
      <c r="AC650" s="231"/>
    </row>
    <row r="651" ht="24.75" customHeight="1" collapsed="1">
      <c r="A651" s="237" t="s">
        <v>1102</v>
      </c>
      <c r="B651" s="231"/>
      <c r="C651" s="231"/>
      <c r="D651" s="231"/>
      <c r="E651" s="225"/>
      <c r="F651" s="231"/>
      <c r="G651" s="231"/>
      <c r="H651" s="231"/>
      <c r="I651" s="231"/>
      <c r="J651" s="231"/>
      <c r="K651" s="231"/>
      <c r="L651" s="231"/>
      <c r="M651" s="231"/>
      <c r="N651" s="231"/>
      <c r="O651" s="231"/>
      <c r="P651" s="231"/>
      <c r="Q651" s="231"/>
      <c r="R651" s="231"/>
      <c r="S651" s="231"/>
      <c r="T651" s="231"/>
      <c r="U651" s="231"/>
      <c r="V651" s="231"/>
      <c r="W651" s="231"/>
      <c r="X651" s="231"/>
      <c r="Y651" s="231"/>
      <c r="Z651" s="231"/>
      <c r="AA651" s="231"/>
      <c r="AB651" s="231"/>
      <c r="AC651" s="231"/>
    </row>
    <row r="652" ht="24.75" hidden="1" customHeight="1" outlineLevel="1">
      <c r="A652" s="329" t="s">
        <v>647</v>
      </c>
      <c r="B652" s="330" t="s">
        <v>648</v>
      </c>
      <c r="C652" s="330" t="s">
        <v>649</v>
      </c>
      <c r="D652" s="330" t="s">
        <v>650</v>
      </c>
      <c r="E652" s="330" t="s">
        <v>651</v>
      </c>
      <c r="F652" s="231"/>
      <c r="G652" s="231"/>
      <c r="H652" s="231"/>
      <c r="I652" s="231"/>
      <c r="J652" s="231"/>
      <c r="K652" s="231"/>
      <c r="L652" s="231"/>
      <c r="M652" s="231"/>
      <c r="N652" s="231"/>
      <c r="O652" s="231"/>
      <c r="P652" s="231"/>
      <c r="Q652" s="231"/>
      <c r="R652" s="231"/>
      <c r="S652" s="231"/>
      <c r="T652" s="231"/>
      <c r="U652" s="231"/>
      <c r="V652" s="231"/>
      <c r="W652" s="231"/>
      <c r="X652" s="231"/>
      <c r="Y652" s="231"/>
      <c r="Z652" s="231"/>
      <c r="AA652" s="231"/>
      <c r="AB652" s="231"/>
      <c r="AC652" s="231"/>
    </row>
    <row r="653" ht="24.75" hidden="1" customHeight="1" outlineLevel="1">
      <c r="A653" s="339">
        <v>45579.0</v>
      </c>
      <c r="B653" s="235" t="s">
        <v>731</v>
      </c>
      <c r="C653" s="256" t="s">
        <v>793</v>
      </c>
      <c r="D653" s="234" t="s">
        <v>1103</v>
      </c>
      <c r="E653" s="305" t="s">
        <v>717</v>
      </c>
      <c r="F653" s="237"/>
      <c r="G653" s="237"/>
      <c r="H653" s="237" t="s">
        <v>838</v>
      </c>
      <c r="I653" s="231"/>
      <c r="J653" s="231"/>
      <c r="K653" s="231"/>
      <c r="L653" s="231"/>
      <c r="M653" s="231"/>
      <c r="N653" s="231"/>
      <c r="O653" s="231"/>
      <c r="P653" s="231"/>
      <c r="Q653" s="231"/>
      <c r="R653" s="231"/>
      <c r="S653" s="231"/>
      <c r="T653" s="231"/>
      <c r="U653" s="231"/>
      <c r="V653" s="231"/>
      <c r="W653" s="231"/>
      <c r="X653" s="231"/>
      <c r="Y653" s="231"/>
      <c r="Z653" s="231"/>
      <c r="AA653" s="231"/>
      <c r="AB653" s="231"/>
      <c r="AC653" s="231"/>
    </row>
    <row r="654" ht="24.75" hidden="1" customHeight="1" outlineLevel="1">
      <c r="A654" s="339">
        <v>45579.0</v>
      </c>
      <c r="B654" s="235" t="s">
        <v>801</v>
      </c>
      <c r="C654" s="235" t="s">
        <v>715</v>
      </c>
      <c r="D654" s="333" t="s">
        <v>662</v>
      </c>
      <c r="E654" s="305" t="s">
        <v>717</v>
      </c>
      <c r="F654" s="237"/>
      <c r="G654" s="237"/>
      <c r="H654" s="237" t="s">
        <v>803</v>
      </c>
      <c r="I654" s="231"/>
      <c r="J654" s="231"/>
      <c r="K654" s="231"/>
      <c r="L654" s="231"/>
      <c r="M654" s="231"/>
      <c r="N654" s="231"/>
      <c r="O654" s="231"/>
      <c r="P654" s="231"/>
      <c r="Q654" s="231"/>
      <c r="R654" s="231"/>
      <c r="S654" s="231"/>
      <c r="T654" s="231"/>
      <c r="U654" s="231"/>
      <c r="V654" s="231"/>
      <c r="W654" s="231"/>
      <c r="X654" s="231"/>
      <c r="Y654" s="231"/>
      <c r="Z654" s="231"/>
      <c r="AA654" s="231"/>
      <c r="AB654" s="231"/>
      <c r="AC654" s="231"/>
    </row>
    <row r="655" ht="24.75" hidden="1" customHeight="1" outlineLevel="1">
      <c r="A655" s="339">
        <v>45579.0</v>
      </c>
      <c r="B655" s="253" t="s">
        <v>699</v>
      </c>
      <c r="C655" s="261" t="s">
        <v>934</v>
      </c>
      <c r="D655" s="234" t="s">
        <v>1104</v>
      </c>
      <c r="E655" s="305" t="s">
        <v>717</v>
      </c>
      <c r="F655" s="237"/>
      <c r="G655" s="237"/>
      <c r="H655" s="237" t="s">
        <v>722</v>
      </c>
      <c r="I655" s="231"/>
      <c r="J655" s="231"/>
      <c r="K655" s="231"/>
      <c r="L655" s="231"/>
      <c r="M655" s="231"/>
      <c r="N655" s="231"/>
      <c r="O655" s="231"/>
      <c r="P655" s="231"/>
      <c r="Q655" s="231"/>
      <c r="R655" s="231"/>
      <c r="S655" s="231"/>
      <c r="T655" s="231"/>
      <c r="U655" s="231"/>
      <c r="V655" s="231"/>
      <c r="W655" s="231"/>
      <c r="X655" s="231"/>
      <c r="Y655" s="231"/>
      <c r="Z655" s="231"/>
      <c r="AA655" s="231"/>
      <c r="AB655" s="231"/>
      <c r="AC655" s="231"/>
    </row>
    <row r="656" ht="24.75" hidden="1" customHeight="1" outlineLevel="1">
      <c r="A656" s="353">
        <v>45580.0</v>
      </c>
      <c r="B656" s="235" t="s">
        <v>35</v>
      </c>
      <c r="C656" s="235" t="s">
        <v>715</v>
      </c>
      <c r="D656" s="333" t="s">
        <v>662</v>
      </c>
      <c r="E656" s="305" t="s">
        <v>717</v>
      </c>
      <c r="F656" s="237"/>
      <c r="G656" s="237"/>
      <c r="H656" s="237"/>
      <c r="I656" s="231"/>
      <c r="J656" s="231"/>
      <c r="K656" s="231"/>
      <c r="L656" s="231"/>
      <c r="M656" s="231"/>
      <c r="N656" s="231"/>
      <c r="O656" s="231"/>
      <c r="P656" s="231"/>
      <c r="Q656" s="231"/>
      <c r="R656" s="231"/>
      <c r="S656" s="231"/>
      <c r="T656" s="231"/>
      <c r="U656" s="231"/>
      <c r="V656" s="231"/>
      <c r="W656" s="231"/>
      <c r="X656" s="231"/>
      <c r="Y656" s="231"/>
      <c r="Z656" s="231"/>
      <c r="AA656" s="231"/>
      <c r="AB656" s="231"/>
      <c r="AC656" s="231"/>
    </row>
    <row r="657" ht="24.75" hidden="1" customHeight="1" outlineLevel="1">
      <c r="A657" s="353">
        <v>45580.0</v>
      </c>
      <c r="B657" s="235" t="s">
        <v>714</v>
      </c>
      <c r="C657" s="240" t="s">
        <v>715</v>
      </c>
      <c r="D657" s="333" t="s">
        <v>662</v>
      </c>
      <c r="E657" s="305" t="s">
        <v>717</v>
      </c>
      <c r="F657" s="231"/>
      <c r="G657" s="231"/>
      <c r="H657" s="231"/>
      <c r="I657" s="237" t="s">
        <v>922</v>
      </c>
      <c r="J657" s="231"/>
      <c r="K657" s="231"/>
      <c r="L657" s="231"/>
      <c r="M657" s="231"/>
      <c r="N657" s="231"/>
      <c r="O657" s="231"/>
      <c r="P657" s="231"/>
      <c r="Q657" s="231"/>
      <c r="R657" s="231"/>
      <c r="S657" s="231"/>
      <c r="T657" s="231"/>
      <c r="U657" s="231"/>
      <c r="V657" s="231"/>
      <c r="W657" s="231"/>
      <c r="X657" s="231"/>
      <c r="Y657" s="231"/>
      <c r="Z657" s="231"/>
      <c r="AA657" s="231"/>
      <c r="AB657" s="231"/>
      <c r="AC657" s="231"/>
    </row>
    <row r="658" ht="24.75" hidden="1" customHeight="1" outlineLevel="1">
      <c r="A658" s="353">
        <v>45580.0</v>
      </c>
      <c r="B658" s="235" t="s">
        <v>736</v>
      </c>
      <c r="C658" s="240" t="s">
        <v>895</v>
      </c>
      <c r="D658" s="333" t="s">
        <v>662</v>
      </c>
      <c r="E658" s="305" t="s">
        <v>717</v>
      </c>
      <c r="F658" s="231"/>
      <c r="G658" s="231"/>
      <c r="H658" s="231"/>
      <c r="I658" s="231"/>
      <c r="J658" s="231"/>
      <c r="K658" s="231"/>
      <c r="L658" s="231"/>
      <c r="M658" s="231"/>
      <c r="N658" s="231"/>
      <c r="O658" s="231"/>
      <c r="P658" s="231"/>
      <c r="Q658" s="231"/>
      <c r="R658" s="231"/>
      <c r="S658" s="231"/>
      <c r="T658" s="231"/>
      <c r="U658" s="231"/>
      <c r="V658" s="231"/>
      <c r="W658" s="231"/>
      <c r="X658" s="231"/>
      <c r="Y658" s="231"/>
      <c r="Z658" s="231"/>
      <c r="AA658" s="231"/>
      <c r="AB658" s="231"/>
      <c r="AC658" s="231"/>
    </row>
    <row r="659" ht="24.75" hidden="1" customHeight="1" outlineLevel="1">
      <c r="A659" s="353">
        <v>45580.0</v>
      </c>
      <c r="B659" s="235" t="s">
        <v>808</v>
      </c>
      <c r="C659" s="261" t="s">
        <v>715</v>
      </c>
      <c r="D659" s="333" t="s">
        <v>662</v>
      </c>
      <c r="E659" s="323" t="s">
        <v>717</v>
      </c>
      <c r="F659" s="231"/>
      <c r="G659" s="231"/>
      <c r="H659" s="231"/>
      <c r="I659" s="231"/>
      <c r="J659" s="231"/>
      <c r="K659" s="231"/>
      <c r="L659" s="231"/>
      <c r="M659" s="231"/>
      <c r="N659" s="231"/>
      <c r="O659" s="231"/>
      <c r="P659" s="231"/>
      <c r="Q659" s="231"/>
      <c r="R659" s="231"/>
      <c r="S659" s="231"/>
      <c r="T659" s="231"/>
      <c r="U659" s="231"/>
      <c r="V659" s="231"/>
      <c r="W659" s="231"/>
      <c r="X659" s="231"/>
      <c r="Y659" s="231"/>
      <c r="Z659" s="231"/>
      <c r="AA659" s="231"/>
      <c r="AB659" s="231"/>
      <c r="AC659" s="231"/>
    </row>
    <row r="660" ht="24.75" customHeight="1">
      <c r="A660" s="231"/>
      <c r="B660" s="231"/>
      <c r="C660" s="231"/>
      <c r="D660" s="231"/>
      <c r="E660" s="225"/>
      <c r="F660" s="231"/>
      <c r="G660" s="231"/>
      <c r="H660" s="231"/>
      <c r="I660" s="231"/>
      <c r="J660" s="231"/>
      <c r="K660" s="231"/>
      <c r="L660" s="231"/>
      <c r="M660" s="231"/>
      <c r="N660" s="231"/>
      <c r="O660" s="231"/>
      <c r="P660" s="231"/>
      <c r="Q660" s="231"/>
      <c r="R660" s="231"/>
      <c r="S660" s="231"/>
      <c r="T660" s="231"/>
      <c r="U660" s="231"/>
      <c r="V660" s="231"/>
      <c r="W660" s="231"/>
      <c r="X660" s="231"/>
      <c r="Y660" s="231"/>
      <c r="Z660" s="231"/>
      <c r="AA660" s="231"/>
      <c r="AB660" s="231"/>
      <c r="AC660" s="231"/>
    </row>
    <row r="661" ht="24.75" customHeight="1">
      <c r="A661" s="231"/>
      <c r="B661" s="231"/>
      <c r="C661" s="231"/>
      <c r="D661" s="231"/>
      <c r="E661" s="225"/>
      <c r="F661" s="231"/>
      <c r="G661" s="231"/>
      <c r="H661" s="231"/>
      <c r="I661" s="231"/>
      <c r="J661" s="231"/>
      <c r="K661" s="231"/>
      <c r="L661" s="231"/>
      <c r="M661" s="231"/>
      <c r="N661" s="231"/>
      <c r="O661" s="231"/>
      <c r="P661" s="231"/>
      <c r="Q661" s="231"/>
      <c r="R661" s="231"/>
      <c r="S661" s="231"/>
      <c r="T661" s="231"/>
      <c r="U661" s="231"/>
      <c r="V661" s="231"/>
      <c r="W661" s="231"/>
      <c r="X661" s="231"/>
      <c r="Y661" s="231"/>
      <c r="Z661" s="231"/>
      <c r="AA661" s="231"/>
      <c r="AB661" s="231"/>
      <c r="AC661" s="231"/>
    </row>
    <row r="662" ht="24.75" customHeight="1" collapsed="1">
      <c r="A662" s="237" t="s">
        <v>1105</v>
      </c>
      <c r="B662" s="231"/>
      <c r="C662" s="231"/>
      <c r="D662" s="231"/>
      <c r="E662" s="225"/>
      <c r="F662" s="231"/>
      <c r="G662" s="231"/>
      <c r="H662" s="231"/>
      <c r="I662" s="231"/>
      <c r="J662" s="231"/>
      <c r="K662" s="231"/>
      <c r="L662" s="231"/>
      <c r="M662" s="231"/>
      <c r="N662" s="231"/>
      <c r="O662" s="231"/>
      <c r="P662" s="231"/>
      <c r="Q662" s="231"/>
      <c r="R662" s="231"/>
      <c r="S662" s="231"/>
      <c r="T662" s="231"/>
      <c r="U662" s="231"/>
      <c r="V662" s="231"/>
      <c r="W662" s="231"/>
      <c r="X662" s="231"/>
      <c r="Y662" s="231"/>
      <c r="Z662" s="231"/>
      <c r="AA662" s="231"/>
      <c r="AB662" s="231"/>
      <c r="AC662" s="231"/>
    </row>
    <row r="663" ht="24.75" hidden="1" customHeight="1" outlineLevel="1">
      <c r="A663" s="329" t="s">
        <v>647</v>
      </c>
      <c r="B663" s="330" t="s">
        <v>648</v>
      </c>
      <c r="C663" s="330" t="s">
        <v>649</v>
      </c>
      <c r="D663" s="330" t="s">
        <v>650</v>
      </c>
      <c r="E663" s="330" t="s">
        <v>651</v>
      </c>
      <c r="F663" s="231"/>
      <c r="G663" s="231"/>
      <c r="H663" s="231"/>
      <c r="I663" s="231"/>
      <c r="J663" s="231"/>
      <c r="K663" s="231"/>
      <c r="L663" s="231"/>
      <c r="M663" s="231"/>
      <c r="N663" s="231"/>
      <c r="O663" s="231"/>
      <c r="P663" s="231"/>
      <c r="Q663" s="231"/>
      <c r="R663" s="231"/>
      <c r="S663" s="231"/>
      <c r="T663" s="231"/>
      <c r="U663" s="231"/>
      <c r="V663" s="231"/>
      <c r="W663" s="231"/>
      <c r="X663" s="231"/>
      <c r="Y663" s="231"/>
      <c r="Z663" s="231"/>
      <c r="AA663" s="231"/>
      <c r="AB663" s="231"/>
      <c r="AC663" s="231"/>
    </row>
    <row r="664" ht="24.75" hidden="1" customHeight="1" outlineLevel="1">
      <c r="A664" s="339">
        <v>45600.0</v>
      </c>
      <c r="B664" s="235" t="s">
        <v>731</v>
      </c>
      <c r="C664" s="256" t="s">
        <v>793</v>
      </c>
      <c r="D664" s="234" t="s">
        <v>1106</v>
      </c>
      <c r="E664" s="305" t="s">
        <v>717</v>
      </c>
      <c r="F664" s="237"/>
      <c r="G664" s="237"/>
      <c r="H664" s="237"/>
      <c r="I664" s="231"/>
      <c r="J664" s="231"/>
      <c r="K664" s="231"/>
      <c r="L664" s="231"/>
      <c r="M664" s="231"/>
      <c r="N664" s="231"/>
      <c r="O664" s="231"/>
      <c r="P664" s="231"/>
      <c r="Q664" s="231"/>
      <c r="R664" s="231"/>
      <c r="S664" s="231"/>
      <c r="T664" s="231"/>
      <c r="U664" s="231"/>
      <c r="V664" s="231"/>
      <c r="W664" s="231"/>
      <c r="X664" s="231"/>
      <c r="Y664" s="231"/>
      <c r="Z664" s="231"/>
      <c r="AA664" s="231"/>
      <c r="AB664" s="231"/>
      <c r="AC664" s="231"/>
    </row>
    <row r="665" ht="24.75" hidden="1" customHeight="1" outlineLevel="1">
      <c r="A665" s="339">
        <v>45600.0</v>
      </c>
      <c r="B665" s="235" t="s">
        <v>801</v>
      </c>
      <c r="C665" s="235" t="s">
        <v>715</v>
      </c>
      <c r="D665" s="333" t="s">
        <v>662</v>
      </c>
      <c r="E665" s="305" t="s">
        <v>717</v>
      </c>
      <c r="F665" s="237"/>
      <c r="G665" s="237"/>
      <c r="H665" s="237"/>
      <c r="I665" s="231"/>
      <c r="J665" s="231"/>
      <c r="K665" s="231"/>
      <c r="L665" s="231"/>
      <c r="M665" s="231"/>
      <c r="N665" s="231"/>
      <c r="O665" s="231"/>
      <c r="P665" s="231"/>
      <c r="Q665" s="231"/>
      <c r="R665" s="231"/>
      <c r="S665" s="231"/>
      <c r="T665" s="231"/>
      <c r="U665" s="231"/>
      <c r="V665" s="231"/>
      <c r="W665" s="231"/>
      <c r="X665" s="231"/>
      <c r="Y665" s="231"/>
      <c r="Z665" s="231"/>
      <c r="AA665" s="231"/>
      <c r="AB665" s="231"/>
      <c r="AC665" s="231"/>
    </row>
    <row r="666" ht="24.75" hidden="1" customHeight="1" outlineLevel="1">
      <c r="A666" s="339">
        <v>45600.0</v>
      </c>
      <c r="B666" s="253" t="s">
        <v>699</v>
      </c>
      <c r="C666" s="261" t="s">
        <v>934</v>
      </c>
      <c r="D666" s="234" t="s">
        <v>1107</v>
      </c>
      <c r="E666" s="305" t="s">
        <v>717</v>
      </c>
      <c r="F666" s="237"/>
      <c r="G666" s="237"/>
      <c r="H666" s="237"/>
      <c r="I666" s="231"/>
      <c r="J666" s="231"/>
      <c r="K666" s="231"/>
      <c r="L666" s="231"/>
      <c r="M666" s="231"/>
      <c r="N666" s="231"/>
      <c r="O666" s="231"/>
      <c r="P666" s="231"/>
      <c r="Q666" s="231"/>
      <c r="R666" s="231"/>
      <c r="S666" s="231"/>
      <c r="T666" s="231"/>
      <c r="U666" s="231"/>
      <c r="V666" s="231"/>
      <c r="W666" s="231"/>
      <c r="X666" s="231"/>
      <c r="Y666" s="231"/>
      <c r="Z666" s="231"/>
      <c r="AA666" s="231"/>
      <c r="AB666" s="231"/>
      <c r="AC666" s="231"/>
    </row>
    <row r="667" ht="24.75" hidden="1" customHeight="1" outlineLevel="1">
      <c r="A667" s="353">
        <v>45601.0</v>
      </c>
      <c r="B667" s="235" t="s">
        <v>35</v>
      </c>
      <c r="C667" s="235" t="s">
        <v>715</v>
      </c>
      <c r="D667" s="333" t="s">
        <v>662</v>
      </c>
      <c r="E667" s="305" t="s">
        <v>717</v>
      </c>
      <c r="F667" s="237"/>
      <c r="G667" s="237"/>
      <c r="H667" s="237"/>
      <c r="I667" s="231"/>
      <c r="J667" s="231"/>
      <c r="K667" s="231"/>
      <c r="L667" s="231"/>
      <c r="M667" s="231"/>
      <c r="N667" s="231"/>
      <c r="O667" s="231"/>
      <c r="P667" s="231"/>
      <c r="Q667" s="231"/>
      <c r="R667" s="231"/>
      <c r="S667" s="231"/>
      <c r="T667" s="231"/>
      <c r="U667" s="231"/>
      <c r="V667" s="231"/>
      <c r="W667" s="231"/>
      <c r="X667" s="231"/>
      <c r="Y667" s="231"/>
      <c r="Z667" s="231"/>
      <c r="AA667" s="231"/>
      <c r="AB667" s="231"/>
      <c r="AC667" s="231"/>
    </row>
    <row r="668" ht="24.75" hidden="1" customHeight="1" outlineLevel="1">
      <c r="A668" s="353">
        <v>45601.0</v>
      </c>
      <c r="B668" s="235" t="s">
        <v>714</v>
      </c>
      <c r="C668" s="240" t="s">
        <v>715</v>
      </c>
      <c r="D668" s="333" t="s">
        <v>662</v>
      </c>
      <c r="E668" s="305" t="s">
        <v>717</v>
      </c>
      <c r="F668" s="231"/>
      <c r="G668" s="231"/>
      <c r="H668" s="231"/>
      <c r="I668" s="237"/>
      <c r="J668" s="231"/>
      <c r="K668" s="231"/>
      <c r="L668" s="231"/>
      <c r="M668" s="231"/>
      <c r="N668" s="231"/>
      <c r="O668" s="231"/>
      <c r="P668" s="231"/>
      <c r="Q668" s="231"/>
      <c r="R668" s="231"/>
      <c r="S668" s="231"/>
      <c r="T668" s="231"/>
      <c r="U668" s="231"/>
      <c r="V668" s="231"/>
      <c r="W668" s="231"/>
      <c r="X668" s="231"/>
      <c r="Y668" s="231"/>
      <c r="Z668" s="231"/>
      <c r="AA668" s="231"/>
      <c r="AB668" s="231"/>
      <c r="AC668" s="231"/>
    </row>
    <row r="669" ht="24.75" hidden="1" customHeight="1" outlineLevel="1">
      <c r="A669" s="353">
        <v>45601.0</v>
      </c>
      <c r="B669" s="235" t="s">
        <v>736</v>
      </c>
      <c r="C669" s="240" t="s">
        <v>895</v>
      </c>
      <c r="D669" s="333" t="s">
        <v>662</v>
      </c>
      <c r="E669" s="305" t="s">
        <v>717</v>
      </c>
      <c r="F669" s="231"/>
      <c r="G669" s="231"/>
      <c r="H669" s="231"/>
      <c r="I669" s="231"/>
      <c r="J669" s="231"/>
      <c r="K669" s="231"/>
      <c r="L669" s="231"/>
      <c r="M669" s="231"/>
      <c r="N669" s="231"/>
      <c r="O669" s="231"/>
      <c r="P669" s="231"/>
      <c r="Q669" s="231"/>
      <c r="R669" s="231"/>
      <c r="S669" s="231"/>
      <c r="T669" s="231"/>
      <c r="U669" s="231"/>
      <c r="V669" s="231"/>
      <c r="W669" s="231"/>
      <c r="X669" s="231"/>
      <c r="Y669" s="231"/>
      <c r="Z669" s="231"/>
      <c r="AA669" s="231"/>
      <c r="AB669" s="231"/>
      <c r="AC669" s="231"/>
    </row>
    <row r="670" ht="24.75" hidden="1" customHeight="1" outlineLevel="1">
      <c r="A670" s="353">
        <v>45601.0</v>
      </c>
      <c r="B670" s="235" t="s">
        <v>808</v>
      </c>
      <c r="C670" s="261" t="s">
        <v>715</v>
      </c>
      <c r="D670" s="333" t="s">
        <v>662</v>
      </c>
      <c r="E670" s="323" t="s">
        <v>717</v>
      </c>
      <c r="F670" s="231"/>
      <c r="G670" s="231"/>
      <c r="H670" s="231"/>
      <c r="I670" s="231"/>
      <c r="J670" s="231"/>
      <c r="K670" s="231"/>
      <c r="L670" s="231"/>
      <c r="M670" s="231"/>
      <c r="N670" s="231"/>
      <c r="O670" s="231"/>
      <c r="P670" s="231"/>
      <c r="Q670" s="231"/>
      <c r="R670" s="231"/>
      <c r="S670" s="231"/>
      <c r="T670" s="231"/>
      <c r="U670" s="231"/>
      <c r="V670" s="231"/>
      <c r="W670" s="231"/>
      <c r="X670" s="231"/>
      <c r="Y670" s="231"/>
      <c r="Z670" s="231"/>
      <c r="AA670" s="231"/>
      <c r="AB670" s="231"/>
      <c r="AC670" s="231"/>
    </row>
    <row r="671" ht="24.75" customHeight="1">
      <c r="A671" s="231"/>
      <c r="B671" s="231"/>
      <c r="C671" s="231"/>
      <c r="D671" s="231"/>
      <c r="E671" s="225"/>
      <c r="F671" s="231"/>
      <c r="G671" s="231"/>
      <c r="H671" s="231"/>
      <c r="I671" s="231"/>
      <c r="J671" s="231"/>
      <c r="K671" s="231"/>
      <c r="L671" s="231"/>
      <c r="M671" s="231"/>
      <c r="N671" s="231"/>
      <c r="O671" s="231"/>
      <c r="P671" s="231"/>
      <c r="Q671" s="231"/>
      <c r="R671" s="231"/>
      <c r="S671" s="231"/>
      <c r="T671" s="231"/>
      <c r="U671" s="231"/>
      <c r="V671" s="231"/>
      <c r="W671" s="231"/>
      <c r="X671" s="231"/>
      <c r="Y671" s="231"/>
      <c r="Z671" s="231"/>
      <c r="AA671" s="231"/>
      <c r="AB671" s="231"/>
      <c r="AC671" s="231"/>
    </row>
    <row r="672" ht="24.75" customHeight="1" collapsed="1">
      <c r="A672" s="237" t="s">
        <v>1108</v>
      </c>
      <c r="B672" s="231"/>
      <c r="C672" s="231"/>
      <c r="D672" s="231"/>
      <c r="E672" s="225"/>
      <c r="F672" s="231"/>
      <c r="G672" s="231"/>
      <c r="H672" s="231"/>
      <c r="I672" s="231"/>
      <c r="J672" s="231"/>
      <c r="K672" s="231"/>
      <c r="L672" s="231"/>
      <c r="M672" s="231"/>
      <c r="N672" s="231"/>
      <c r="O672" s="231"/>
      <c r="P672" s="231"/>
      <c r="Q672" s="231"/>
      <c r="R672" s="231"/>
      <c r="S672" s="231"/>
      <c r="T672" s="231"/>
      <c r="U672" s="231"/>
      <c r="V672" s="231"/>
      <c r="W672" s="231"/>
      <c r="X672" s="231"/>
      <c r="Y672" s="231"/>
      <c r="Z672" s="231"/>
      <c r="AA672" s="231"/>
      <c r="AB672" s="231"/>
      <c r="AC672" s="231"/>
    </row>
    <row r="673" ht="24.75" hidden="1" customHeight="1" outlineLevel="1">
      <c r="A673" s="329" t="s">
        <v>647</v>
      </c>
      <c r="B673" s="330" t="s">
        <v>648</v>
      </c>
      <c r="C673" s="330" t="s">
        <v>649</v>
      </c>
      <c r="D673" s="330" t="s">
        <v>650</v>
      </c>
      <c r="E673" s="330" t="s">
        <v>651</v>
      </c>
      <c r="F673" s="237"/>
      <c r="G673" s="237"/>
      <c r="H673" s="237" t="s">
        <v>1109</v>
      </c>
      <c r="I673" s="231"/>
      <c r="J673" s="231"/>
      <c r="K673" s="231"/>
      <c r="L673" s="231"/>
      <c r="M673" s="231"/>
      <c r="N673" s="231"/>
      <c r="O673" s="231"/>
      <c r="P673" s="231"/>
      <c r="Q673" s="231"/>
      <c r="R673" s="231"/>
      <c r="S673" s="231"/>
      <c r="T673" s="231"/>
      <c r="U673" s="231"/>
      <c r="V673" s="231"/>
      <c r="W673" s="231"/>
      <c r="X673" s="231"/>
      <c r="Y673" s="231"/>
      <c r="Z673" s="231"/>
      <c r="AA673" s="231"/>
      <c r="AB673" s="231"/>
      <c r="AC673" s="231"/>
    </row>
    <row r="674" ht="24.75" hidden="1" customHeight="1" outlineLevel="1">
      <c r="A674" s="292">
        <v>45653.0</v>
      </c>
      <c r="B674" s="235" t="s">
        <v>714</v>
      </c>
      <c r="C674" s="358" t="s">
        <v>715</v>
      </c>
      <c r="D674" s="397" t="s">
        <v>662</v>
      </c>
      <c r="E674" s="305" t="s">
        <v>717</v>
      </c>
      <c r="F674" s="237"/>
      <c r="G674" s="237"/>
      <c r="H674" s="237" t="s">
        <v>1067</v>
      </c>
      <c r="I674" s="237" t="s">
        <v>922</v>
      </c>
      <c r="J674" s="231"/>
      <c r="K674" s="231"/>
      <c r="L674" s="231"/>
      <c r="M674" s="231"/>
      <c r="N674" s="231"/>
      <c r="O674" s="231"/>
      <c r="P674" s="231"/>
      <c r="Q674" s="231"/>
      <c r="R674" s="231"/>
      <c r="S674" s="231"/>
      <c r="T674" s="231"/>
      <c r="U674" s="231"/>
      <c r="V674" s="231"/>
      <c r="W674" s="231"/>
      <c r="X674" s="231"/>
      <c r="Y674" s="231"/>
      <c r="Z674" s="231"/>
      <c r="AA674" s="231"/>
      <c r="AB674" s="231"/>
      <c r="AC674" s="231"/>
    </row>
    <row r="675" ht="24.75" hidden="1" customHeight="1" outlineLevel="1">
      <c r="A675" s="292">
        <v>45653.0</v>
      </c>
      <c r="B675" s="235" t="s">
        <v>35</v>
      </c>
      <c r="C675" s="235" t="s">
        <v>715</v>
      </c>
      <c r="D675" s="397" t="s">
        <v>662</v>
      </c>
      <c r="E675" s="305" t="s">
        <v>717</v>
      </c>
      <c r="F675" s="237"/>
      <c r="G675" s="237"/>
      <c r="H675" s="237" t="s">
        <v>1110</v>
      </c>
      <c r="I675" s="231"/>
      <c r="J675" s="231"/>
      <c r="K675" s="231"/>
      <c r="L675" s="231"/>
      <c r="M675" s="231"/>
      <c r="N675" s="231"/>
      <c r="O675" s="231"/>
      <c r="P675" s="231"/>
      <c r="Q675" s="231"/>
      <c r="R675" s="231"/>
      <c r="S675" s="231"/>
      <c r="T675" s="231"/>
      <c r="U675" s="231"/>
      <c r="V675" s="231"/>
      <c r="W675" s="231"/>
      <c r="X675" s="231"/>
      <c r="Y675" s="231"/>
      <c r="Z675" s="231"/>
      <c r="AA675" s="231"/>
      <c r="AB675" s="231"/>
      <c r="AC675" s="231"/>
    </row>
    <row r="676" ht="24.75" hidden="1" customHeight="1" outlineLevel="1">
      <c r="A676" s="292">
        <v>45653.0</v>
      </c>
      <c r="B676" s="235" t="s">
        <v>663</v>
      </c>
      <c r="C676" s="397" t="s">
        <v>911</v>
      </c>
      <c r="D676" s="397" t="s">
        <v>662</v>
      </c>
      <c r="E676" s="305" t="s">
        <v>717</v>
      </c>
      <c r="F676" s="237"/>
      <c r="G676" s="237"/>
      <c r="H676" s="237"/>
      <c r="I676" s="237"/>
      <c r="J676" s="231"/>
      <c r="K676" s="231"/>
      <c r="L676" s="231"/>
      <c r="M676" s="231"/>
      <c r="N676" s="231"/>
      <c r="O676" s="231"/>
      <c r="P676" s="231"/>
      <c r="Q676" s="430" t="s">
        <v>1111</v>
      </c>
      <c r="R676" s="431" t="s">
        <v>1112</v>
      </c>
      <c r="S676" s="431" t="s">
        <v>651</v>
      </c>
      <c r="T676" s="431" t="s">
        <v>1113</v>
      </c>
      <c r="U676" s="431" t="s">
        <v>1114</v>
      </c>
      <c r="V676" s="431" t="s">
        <v>1115</v>
      </c>
      <c r="W676" s="430" t="s">
        <v>1116</v>
      </c>
      <c r="X676" s="231"/>
      <c r="Y676" s="231"/>
      <c r="Z676" s="231"/>
      <c r="AA676" s="231"/>
      <c r="AB676" s="231"/>
      <c r="AC676" s="231"/>
    </row>
    <row r="677" ht="24.75" hidden="1" customHeight="1" outlineLevel="1">
      <c r="A677" s="292">
        <v>45653.0</v>
      </c>
      <c r="B677" s="432" t="s">
        <v>179</v>
      </c>
      <c r="C677" s="433" t="s">
        <v>715</v>
      </c>
      <c r="D677" s="358" t="s">
        <v>662</v>
      </c>
      <c r="E677" s="305" t="s">
        <v>717</v>
      </c>
      <c r="F677" s="223"/>
      <c r="G677" s="223"/>
      <c r="H677" s="223" t="s">
        <v>1117</v>
      </c>
      <c r="I677" s="231"/>
      <c r="J677" s="231"/>
      <c r="K677" s="231"/>
      <c r="L677" s="231"/>
      <c r="M677" s="231"/>
      <c r="N677" s="231"/>
      <c r="O677" s="231"/>
      <c r="P677" s="231"/>
      <c r="Q677" s="430" t="s">
        <v>692</v>
      </c>
      <c r="R677" s="430" t="s">
        <v>1045</v>
      </c>
      <c r="S677" s="430" t="s">
        <v>1045</v>
      </c>
      <c r="T677" s="434" t="s">
        <v>1118</v>
      </c>
      <c r="U677" s="434" t="s">
        <v>1119</v>
      </c>
      <c r="V677" s="434" t="s">
        <v>1120</v>
      </c>
      <c r="W677" s="430" t="s">
        <v>1121</v>
      </c>
      <c r="X677" s="231"/>
      <c r="Y677" s="231"/>
      <c r="Z677" s="231"/>
      <c r="AA677" s="231"/>
      <c r="AB677" s="231"/>
      <c r="AC677" s="231"/>
    </row>
    <row r="678" ht="24.75" hidden="1" customHeight="1" outlineLevel="1">
      <c r="A678" s="292">
        <v>45653.0</v>
      </c>
      <c r="B678" s="435" t="s">
        <v>211</v>
      </c>
      <c r="C678" s="433"/>
      <c r="D678" s="358" t="s">
        <v>662</v>
      </c>
      <c r="E678" s="305" t="s">
        <v>717</v>
      </c>
      <c r="F678" s="223"/>
      <c r="G678" s="223"/>
      <c r="H678" s="223" t="s">
        <v>1117</v>
      </c>
      <c r="I678" s="231"/>
      <c r="J678" s="231"/>
      <c r="K678" s="231"/>
      <c r="L678" s="231"/>
      <c r="M678" s="231"/>
      <c r="N678" s="231"/>
      <c r="O678" s="231"/>
      <c r="P678" s="231"/>
      <c r="Q678" s="430" t="s">
        <v>1122</v>
      </c>
      <c r="R678" s="430" t="s">
        <v>1045</v>
      </c>
      <c r="S678" s="430" t="s">
        <v>1045</v>
      </c>
      <c r="T678" s="434" t="s">
        <v>1123</v>
      </c>
      <c r="U678" s="434" t="s">
        <v>1124</v>
      </c>
      <c r="V678" s="434" t="s">
        <v>1125</v>
      </c>
      <c r="W678" s="436"/>
      <c r="X678" s="231"/>
      <c r="Y678" s="231"/>
      <c r="Z678" s="231"/>
      <c r="AA678" s="231"/>
      <c r="AB678" s="231"/>
      <c r="AC678" s="231"/>
    </row>
    <row r="679" ht="24.75" hidden="1" customHeight="1" outlineLevel="1">
      <c r="A679" s="292">
        <v>45654.0</v>
      </c>
      <c r="B679" s="235" t="s">
        <v>691</v>
      </c>
      <c r="C679" s="358" t="s">
        <v>715</v>
      </c>
      <c r="D679" s="358" t="s">
        <v>662</v>
      </c>
      <c r="E679" s="305" t="s">
        <v>717</v>
      </c>
      <c r="F679" s="237"/>
      <c r="G679" s="237"/>
      <c r="H679" s="237" t="s">
        <v>1126</v>
      </c>
      <c r="I679" s="231"/>
      <c r="J679" s="231"/>
      <c r="K679" s="231"/>
      <c r="L679" s="231"/>
      <c r="M679" s="231"/>
      <c r="N679" s="231"/>
      <c r="O679" s="231"/>
      <c r="P679" s="231"/>
      <c r="Q679" s="430" t="s">
        <v>1127</v>
      </c>
      <c r="R679" s="430" t="s">
        <v>1045</v>
      </c>
      <c r="S679" s="430" t="s">
        <v>1045</v>
      </c>
      <c r="T679" s="434" t="s">
        <v>1128</v>
      </c>
      <c r="U679" s="434" t="s">
        <v>1124</v>
      </c>
      <c r="V679" s="434" t="s">
        <v>1125</v>
      </c>
      <c r="W679" s="437"/>
      <c r="X679" s="231"/>
      <c r="Y679" s="231"/>
      <c r="Z679" s="231"/>
      <c r="AA679" s="231"/>
      <c r="AB679" s="231"/>
      <c r="AC679" s="231"/>
    </row>
    <row r="680" ht="24.75" hidden="1" customHeight="1" outlineLevel="1">
      <c r="A680" s="292">
        <v>45654.0</v>
      </c>
      <c r="B680" s="338" t="s">
        <v>692</v>
      </c>
      <c r="C680" s="358" t="s">
        <v>1129</v>
      </c>
      <c r="D680" s="358" t="s">
        <v>1130</v>
      </c>
      <c r="E680" s="305" t="s">
        <v>717</v>
      </c>
      <c r="F680" s="237"/>
      <c r="G680" s="237"/>
      <c r="H680" s="237" t="s">
        <v>1131</v>
      </c>
      <c r="I680" s="237"/>
      <c r="J680" s="231"/>
      <c r="K680" s="231"/>
      <c r="L680" s="231"/>
      <c r="M680" s="231"/>
      <c r="N680" s="231"/>
      <c r="O680" s="231"/>
      <c r="P680" s="231"/>
      <c r="Q680" s="430" t="s">
        <v>1079</v>
      </c>
      <c r="R680" s="430" t="s">
        <v>1045</v>
      </c>
      <c r="S680" s="430" t="s">
        <v>1045</v>
      </c>
      <c r="T680" s="434" t="s">
        <v>1132</v>
      </c>
      <c r="U680" s="434" t="s">
        <v>1119</v>
      </c>
      <c r="V680" s="434" t="s">
        <v>1120</v>
      </c>
      <c r="W680" s="430" t="s">
        <v>1133</v>
      </c>
      <c r="X680" s="231"/>
      <c r="Y680" s="231"/>
      <c r="Z680" s="231"/>
      <c r="AA680" s="231"/>
      <c r="AB680" s="231"/>
      <c r="AC680" s="231"/>
    </row>
    <row r="681" ht="24.75" hidden="1" customHeight="1" outlineLevel="1">
      <c r="A681" s="292">
        <v>45654.0</v>
      </c>
      <c r="B681" s="338" t="s">
        <v>695</v>
      </c>
      <c r="C681" s="358" t="s">
        <v>1134</v>
      </c>
      <c r="D681" s="358" t="s">
        <v>662</v>
      </c>
      <c r="E681" s="305" t="s">
        <v>717</v>
      </c>
      <c r="F681" s="237"/>
      <c r="G681" s="237"/>
      <c r="H681" s="237" t="s">
        <v>1135</v>
      </c>
      <c r="I681" s="231"/>
      <c r="J681" s="231"/>
      <c r="K681" s="231"/>
      <c r="L681" s="231"/>
      <c r="M681" s="231"/>
      <c r="N681" s="231"/>
      <c r="O681" s="231"/>
      <c r="P681" s="231"/>
      <c r="Q681" s="430" t="s">
        <v>686</v>
      </c>
      <c r="R681" s="430" t="s">
        <v>1045</v>
      </c>
      <c r="S681" s="430" t="s">
        <v>1045</v>
      </c>
      <c r="T681" s="434" t="s">
        <v>1136</v>
      </c>
      <c r="U681" s="434" t="s">
        <v>1119</v>
      </c>
      <c r="V681" s="434" t="s">
        <v>1120</v>
      </c>
      <c r="W681" s="430" t="s">
        <v>1137</v>
      </c>
      <c r="X681" s="231"/>
      <c r="Y681" s="231"/>
      <c r="Z681" s="231"/>
      <c r="AA681" s="231"/>
      <c r="AB681" s="231"/>
      <c r="AC681" s="231"/>
    </row>
    <row r="682" hidden="1" outlineLevel="1">
      <c r="A682" s="292">
        <v>45655.0</v>
      </c>
      <c r="B682" s="438" t="s">
        <v>1138</v>
      </c>
      <c r="C682" s="358" t="s">
        <v>1139</v>
      </c>
      <c r="D682" s="358" t="s">
        <v>1140</v>
      </c>
      <c r="E682" s="305" t="s">
        <v>717</v>
      </c>
      <c r="F682" s="237"/>
      <c r="G682" s="237"/>
      <c r="H682" s="237" t="s">
        <v>1141</v>
      </c>
      <c r="I682" s="231"/>
      <c r="J682" s="231"/>
      <c r="K682" s="231"/>
      <c r="L682" s="231"/>
      <c r="M682" s="231"/>
      <c r="N682" s="231"/>
      <c r="O682" s="231"/>
      <c r="P682" s="231"/>
      <c r="Q682" s="430" t="s">
        <v>663</v>
      </c>
      <c r="R682" s="430" t="s">
        <v>1045</v>
      </c>
      <c r="S682" s="430" t="s">
        <v>1045</v>
      </c>
      <c r="T682" s="434" t="s">
        <v>1142</v>
      </c>
      <c r="U682" s="434" t="s">
        <v>1124</v>
      </c>
      <c r="V682" s="434" t="s">
        <v>1125</v>
      </c>
      <c r="W682" s="430" t="s">
        <v>1143</v>
      </c>
      <c r="X682" s="231"/>
      <c r="Y682" s="231"/>
      <c r="Z682" s="231"/>
      <c r="AA682" s="231"/>
      <c r="AB682" s="231"/>
      <c r="AC682" s="231"/>
    </row>
    <row r="683" ht="24.75" hidden="1" customHeight="1" outlineLevel="1">
      <c r="A683" s="292">
        <v>45655.0</v>
      </c>
      <c r="B683" s="439" t="s">
        <v>1144</v>
      </c>
      <c r="C683" s="440" t="s">
        <v>1145</v>
      </c>
      <c r="D683" s="440" t="s">
        <v>1146</v>
      </c>
      <c r="E683" s="441" t="s">
        <v>703</v>
      </c>
      <c r="F683" s="237"/>
      <c r="G683" s="237"/>
      <c r="H683" s="237"/>
      <c r="I683" s="231"/>
      <c r="J683" s="231"/>
      <c r="K683" s="231"/>
      <c r="L683" s="231"/>
      <c r="M683" s="231"/>
      <c r="N683" s="231"/>
      <c r="O683" s="231"/>
      <c r="P683" s="231"/>
      <c r="Q683" s="430" t="s">
        <v>1147</v>
      </c>
      <c r="R683" s="442" t="s">
        <v>1045</v>
      </c>
      <c r="S683" s="442" t="s">
        <v>1045</v>
      </c>
      <c r="T683" s="443" t="s">
        <v>1148</v>
      </c>
      <c r="U683" s="443" t="s">
        <v>1124</v>
      </c>
      <c r="V683" s="443" t="s">
        <v>1125</v>
      </c>
      <c r="W683" s="430" t="s">
        <v>1149</v>
      </c>
      <c r="X683" s="231"/>
      <c r="Y683" s="231"/>
      <c r="Z683" s="231"/>
      <c r="AA683" s="231"/>
      <c r="AB683" s="231"/>
      <c r="AC683" s="231"/>
    </row>
    <row r="684" ht="24.75" hidden="1" customHeight="1" outlineLevel="1">
      <c r="A684" s="292">
        <v>45655.0</v>
      </c>
      <c r="B684" s="444" t="str">
        <f>HYPERLINK("https://docs.google.com/spreadsheets/d/14VRt1DzygoL3ldywdTGi4p4-5N6W0OO9Ugf6GEHXv1k/edit#gid=351252924","☆TP部メルマガ")</f>
        <v>☆TP部メルマガ</v>
      </c>
      <c r="C684" s="358" t="s">
        <v>741</v>
      </c>
      <c r="D684" s="358" t="s">
        <v>662</v>
      </c>
      <c r="E684" s="305" t="s">
        <v>717</v>
      </c>
      <c r="F684" s="237"/>
      <c r="G684" s="237"/>
      <c r="H684" s="237" t="s">
        <v>1150</v>
      </c>
      <c r="I684" s="231"/>
      <c r="J684" s="231"/>
      <c r="K684" s="231"/>
      <c r="L684" s="231"/>
      <c r="M684" s="231"/>
      <c r="N684" s="231"/>
      <c r="O684" s="231"/>
      <c r="P684" s="231"/>
      <c r="Q684" s="430" t="s">
        <v>1151</v>
      </c>
      <c r="R684" s="445"/>
      <c r="S684" s="445"/>
      <c r="T684" s="445"/>
      <c r="U684" s="445"/>
      <c r="V684" s="445"/>
      <c r="W684" s="430" t="s">
        <v>1152</v>
      </c>
      <c r="X684" s="231"/>
      <c r="Y684" s="231"/>
      <c r="Z684" s="231"/>
      <c r="AA684" s="231"/>
      <c r="AB684" s="231"/>
      <c r="AC684" s="231"/>
    </row>
    <row r="685" ht="24.75" hidden="1" customHeight="1" outlineLevel="1">
      <c r="A685" s="292">
        <v>45656.0</v>
      </c>
      <c r="B685" s="446" t="s">
        <v>325</v>
      </c>
      <c r="C685" s="358" t="s">
        <v>1134</v>
      </c>
      <c r="D685" s="358" t="s">
        <v>662</v>
      </c>
      <c r="E685" s="305" t="s">
        <v>717</v>
      </c>
      <c r="F685" s="237"/>
      <c r="G685" s="237"/>
      <c r="H685" s="237" t="s">
        <v>1150</v>
      </c>
      <c r="I685" s="231"/>
      <c r="J685" s="231"/>
      <c r="K685" s="231"/>
      <c r="L685" s="231"/>
      <c r="M685" s="231"/>
      <c r="N685" s="231"/>
      <c r="O685" s="231"/>
      <c r="P685" s="231"/>
      <c r="Q685" s="237" t="s">
        <v>1153</v>
      </c>
      <c r="R685" s="231"/>
      <c r="S685" s="231"/>
      <c r="T685" s="231"/>
      <c r="U685" s="231"/>
      <c r="V685" s="231"/>
      <c r="W685" s="231"/>
      <c r="X685" s="231"/>
      <c r="Y685" s="231"/>
      <c r="Z685" s="231"/>
      <c r="AA685" s="231"/>
      <c r="AB685" s="231"/>
      <c r="AC685" s="231"/>
    </row>
    <row r="686" ht="24.75" hidden="1" customHeight="1" outlineLevel="1">
      <c r="A686" s="292">
        <v>45656.0</v>
      </c>
      <c r="B686" s="446" t="s">
        <v>330</v>
      </c>
      <c r="C686" s="358" t="s">
        <v>741</v>
      </c>
      <c r="D686" s="358" t="s">
        <v>662</v>
      </c>
      <c r="E686" s="305" t="s">
        <v>717</v>
      </c>
      <c r="F686" s="237"/>
      <c r="G686" s="237"/>
      <c r="H686" s="237" t="s">
        <v>1154</v>
      </c>
      <c r="I686" s="237"/>
      <c r="J686" s="231"/>
      <c r="K686" s="231"/>
      <c r="L686" s="231"/>
      <c r="M686" s="231"/>
      <c r="N686" s="231"/>
      <c r="O686" s="231"/>
      <c r="P686" s="231"/>
      <c r="Q686" s="231"/>
      <c r="R686" s="231"/>
      <c r="S686" s="231"/>
      <c r="T686" s="231"/>
      <c r="U686" s="231"/>
      <c r="V686" s="231"/>
      <c r="W686" s="231"/>
      <c r="X686" s="231"/>
      <c r="Y686" s="231"/>
      <c r="Z686" s="231"/>
      <c r="AA686" s="231"/>
      <c r="AB686" s="231"/>
      <c r="AC686" s="231"/>
    </row>
    <row r="687" ht="24.75" hidden="1" customHeight="1" outlineLevel="1">
      <c r="A687" s="292">
        <v>45656.0</v>
      </c>
      <c r="B687" s="235" t="s">
        <v>801</v>
      </c>
      <c r="C687" s="235" t="s">
        <v>715</v>
      </c>
      <c r="D687" s="358" t="s">
        <v>662</v>
      </c>
      <c r="E687" s="305" t="s">
        <v>717</v>
      </c>
      <c r="F687" s="237"/>
      <c r="G687" s="237"/>
      <c r="H687" s="237" t="s">
        <v>1155</v>
      </c>
      <c r="I687" s="231"/>
      <c r="J687" s="231"/>
      <c r="K687" s="231"/>
      <c r="L687" s="231"/>
      <c r="M687" s="231"/>
      <c r="N687" s="231"/>
      <c r="O687" s="231"/>
      <c r="P687" s="231"/>
      <c r="Q687" s="231"/>
      <c r="R687" s="231"/>
      <c r="S687" s="231"/>
      <c r="T687" s="231"/>
      <c r="U687" s="231"/>
      <c r="V687" s="231"/>
      <c r="W687" s="231"/>
      <c r="X687" s="231"/>
      <c r="Y687" s="231"/>
      <c r="Z687" s="231"/>
      <c r="AA687" s="231"/>
      <c r="AB687" s="231"/>
      <c r="AC687" s="231"/>
    </row>
    <row r="688" ht="24.75" hidden="1" customHeight="1" outlineLevel="1">
      <c r="A688" s="292">
        <v>45656.0</v>
      </c>
      <c r="B688" s="235" t="s">
        <v>753</v>
      </c>
      <c r="C688" s="261" t="s">
        <v>1156</v>
      </c>
      <c r="D688" s="358" t="s">
        <v>1130</v>
      </c>
      <c r="E688" s="305" t="s">
        <v>717</v>
      </c>
      <c r="F688" s="237"/>
      <c r="G688" s="237"/>
      <c r="H688" s="237" t="s">
        <v>1157</v>
      </c>
      <c r="I688" s="237" t="s">
        <v>1158</v>
      </c>
      <c r="J688" s="231"/>
      <c r="K688" s="231"/>
      <c r="L688" s="231"/>
      <c r="M688" s="231"/>
      <c r="N688" s="231"/>
      <c r="O688" s="231"/>
      <c r="P688" s="231"/>
      <c r="Q688" s="231"/>
      <c r="R688" s="231"/>
      <c r="S688" s="231"/>
      <c r="T688" s="231"/>
      <c r="U688" s="231"/>
      <c r="V688" s="231"/>
      <c r="W688" s="231"/>
      <c r="X688" s="231"/>
      <c r="Y688" s="231"/>
      <c r="Z688" s="231"/>
      <c r="AA688" s="231"/>
      <c r="AB688" s="231"/>
      <c r="AC688" s="231"/>
    </row>
    <row r="689" ht="24.75" hidden="1" customHeight="1" outlineLevel="1">
      <c r="A689" s="292">
        <v>45656.0</v>
      </c>
      <c r="B689" s="235" t="s">
        <v>756</v>
      </c>
      <c r="C689" s="261" t="s">
        <v>1156</v>
      </c>
      <c r="D689" s="358" t="s">
        <v>1130</v>
      </c>
      <c r="E689" s="305" t="s">
        <v>717</v>
      </c>
      <c r="F689" s="237"/>
      <c r="G689" s="237"/>
      <c r="H689" s="237" t="s">
        <v>1157</v>
      </c>
      <c r="I689" s="237" t="s">
        <v>1159</v>
      </c>
      <c r="J689" s="231"/>
      <c r="K689" s="231"/>
      <c r="L689" s="231"/>
      <c r="M689" s="231"/>
      <c r="N689" s="231"/>
      <c r="O689" s="231"/>
      <c r="P689" s="231"/>
      <c r="Q689" s="231"/>
      <c r="R689" s="231"/>
      <c r="S689" s="231"/>
      <c r="T689" s="231"/>
      <c r="U689" s="231"/>
      <c r="V689" s="231"/>
      <c r="W689" s="231"/>
      <c r="X689" s="231"/>
      <c r="Y689" s="231"/>
      <c r="Z689" s="231"/>
      <c r="AA689" s="231"/>
      <c r="AB689" s="231"/>
      <c r="AC689" s="231"/>
    </row>
    <row r="690" ht="24.75" hidden="1" customHeight="1" outlineLevel="1">
      <c r="A690" s="339">
        <v>45657.0</v>
      </c>
      <c r="B690" s="235" t="s">
        <v>35</v>
      </c>
      <c r="C690" s="235" t="s">
        <v>715</v>
      </c>
      <c r="D690" s="358" t="s">
        <v>662</v>
      </c>
      <c r="E690" s="305" t="s">
        <v>717</v>
      </c>
      <c r="F690" s="237"/>
      <c r="G690" s="237"/>
      <c r="H690" s="237" t="s">
        <v>1160</v>
      </c>
      <c r="I690" s="231"/>
      <c r="J690" s="231"/>
      <c r="K690" s="231"/>
      <c r="L690" s="231"/>
      <c r="M690" s="231"/>
      <c r="N690" s="231"/>
      <c r="O690" s="231"/>
      <c r="P690" s="231"/>
      <c r="Q690" s="231"/>
      <c r="R690" s="231"/>
      <c r="S690" s="231"/>
      <c r="T690" s="231"/>
      <c r="U690" s="231"/>
      <c r="V690" s="231"/>
      <c r="W690" s="231"/>
      <c r="X690" s="231"/>
      <c r="Y690" s="231"/>
      <c r="Z690" s="231"/>
      <c r="AA690" s="231"/>
      <c r="AB690" s="231"/>
      <c r="AC690" s="231"/>
    </row>
    <row r="691" ht="24.75" hidden="1" customHeight="1" outlineLevel="1">
      <c r="A691" s="339">
        <v>45657.0</v>
      </c>
      <c r="B691" s="235" t="s">
        <v>714</v>
      </c>
      <c r="C691" s="358" t="s">
        <v>715</v>
      </c>
      <c r="D691" s="297" t="s">
        <v>778</v>
      </c>
      <c r="E691" s="305" t="s">
        <v>717</v>
      </c>
      <c r="F691" s="237"/>
      <c r="G691" s="237"/>
      <c r="H691" s="237" t="s">
        <v>1067</v>
      </c>
      <c r="I691" s="237" t="s">
        <v>922</v>
      </c>
      <c r="J691" s="231"/>
      <c r="K691" s="231"/>
      <c r="L691" s="231"/>
      <c r="M691" s="231"/>
      <c r="N691" s="231"/>
      <c r="O691" s="231"/>
      <c r="P691" s="231"/>
      <c r="Q691" s="231"/>
      <c r="R691" s="231"/>
      <c r="S691" s="231"/>
      <c r="T691" s="231"/>
      <c r="U691" s="231"/>
      <c r="V691" s="231"/>
      <c r="W691" s="231"/>
      <c r="X691" s="231"/>
      <c r="Y691" s="231"/>
      <c r="Z691" s="231"/>
      <c r="AA691" s="231"/>
      <c r="AB691" s="231"/>
      <c r="AC691" s="231"/>
    </row>
    <row r="692" ht="24.75" hidden="1" customHeight="1" outlineLevel="1">
      <c r="A692" s="339">
        <v>45657.0</v>
      </c>
      <c r="B692" s="235" t="s">
        <v>808</v>
      </c>
      <c r="C692" s="261" t="s">
        <v>715</v>
      </c>
      <c r="D692" s="337" t="s">
        <v>1161</v>
      </c>
      <c r="E692" s="305" t="s">
        <v>717</v>
      </c>
      <c r="F692" s="237"/>
      <c r="G692" s="237"/>
      <c r="H692" s="237" t="s">
        <v>809</v>
      </c>
      <c r="I692" s="231"/>
      <c r="J692" s="231"/>
      <c r="K692" s="231"/>
      <c r="L692" s="231"/>
      <c r="M692" s="231"/>
      <c r="N692" s="231"/>
      <c r="O692" s="231"/>
      <c r="P692" s="231"/>
      <c r="Q692" s="231"/>
      <c r="R692" s="231"/>
      <c r="S692" s="231"/>
      <c r="T692" s="231"/>
      <c r="U692" s="231"/>
      <c r="V692" s="231"/>
      <c r="W692" s="231"/>
      <c r="X692" s="231"/>
      <c r="Y692" s="231"/>
      <c r="Z692" s="231"/>
      <c r="AA692" s="231"/>
      <c r="AB692" s="231"/>
      <c r="AC692" s="231"/>
    </row>
    <row r="693" ht="24.75" hidden="1" customHeight="1" outlineLevel="1">
      <c r="A693" s="339">
        <v>45657.0</v>
      </c>
      <c r="B693" s="235" t="s">
        <v>736</v>
      </c>
      <c r="C693" s="358" t="s">
        <v>1139</v>
      </c>
      <c r="D693" s="337" t="s">
        <v>1162</v>
      </c>
      <c r="E693" s="305" t="s">
        <v>1045</v>
      </c>
      <c r="F693" s="231"/>
      <c r="G693" s="231"/>
      <c r="H693" s="231"/>
      <c r="I693" s="231"/>
      <c r="J693" s="231"/>
      <c r="K693" s="231"/>
      <c r="L693" s="231"/>
      <c r="M693" s="231"/>
      <c r="N693" s="231"/>
      <c r="O693" s="231"/>
      <c r="P693" s="231"/>
      <c r="Q693" s="231"/>
      <c r="R693" s="231"/>
      <c r="S693" s="231"/>
      <c r="T693" s="231"/>
      <c r="U693" s="231"/>
      <c r="V693" s="231"/>
      <c r="W693" s="231"/>
      <c r="X693" s="231"/>
      <c r="Y693" s="231"/>
      <c r="Z693" s="231"/>
      <c r="AA693" s="231"/>
      <c r="AB693" s="231"/>
      <c r="AC693" s="231"/>
    </row>
    <row r="694" ht="24.75" hidden="1" customHeight="1" outlineLevel="1">
      <c r="A694" s="339">
        <v>45658.0</v>
      </c>
      <c r="B694" s="235" t="s">
        <v>680</v>
      </c>
      <c r="C694" s="358" t="s">
        <v>715</v>
      </c>
      <c r="D694" s="337" t="s">
        <v>1163</v>
      </c>
      <c r="E694" s="305" t="s">
        <v>717</v>
      </c>
      <c r="F694" s="231"/>
      <c r="G694" s="231"/>
      <c r="H694" s="231"/>
      <c r="I694" s="231"/>
      <c r="J694" s="231"/>
      <c r="K694" s="231"/>
      <c r="L694" s="231"/>
      <c r="M694" s="231"/>
      <c r="N694" s="231"/>
      <c r="O694" s="231"/>
      <c r="P694" s="231"/>
      <c r="Q694" s="231"/>
      <c r="R694" s="231"/>
      <c r="S694" s="231"/>
      <c r="T694" s="231"/>
      <c r="U694" s="231"/>
      <c r="V694" s="231"/>
      <c r="W694" s="231"/>
      <c r="X694" s="231"/>
      <c r="Y694" s="231"/>
      <c r="Z694" s="231"/>
      <c r="AA694" s="231"/>
      <c r="AB694" s="231"/>
      <c r="AC694" s="231"/>
    </row>
    <row r="695" ht="24.75" hidden="1" customHeight="1" outlineLevel="1">
      <c r="A695" s="339">
        <v>45658.0</v>
      </c>
      <c r="B695" s="444" t="s">
        <v>708</v>
      </c>
      <c r="C695" s="358" t="s">
        <v>1134</v>
      </c>
      <c r="D695" s="337" t="s">
        <v>1164</v>
      </c>
      <c r="E695" s="305" t="s">
        <v>1045</v>
      </c>
      <c r="F695" s="237"/>
      <c r="G695" s="237"/>
      <c r="H695" s="237" t="s">
        <v>1165</v>
      </c>
      <c r="I695" s="231"/>
      <c r="J695" s="231"/>
      <c r="K695" s="231"/>
      <c r="L695" s="231"/>
      <c r="M695" s="231"/>
      <c r="N695" s="231"/>
      <c r="O695" s="231"/>
      <c r="P695" s="231"/>
      <c r="Q695" s="231"/>
      <c r="R695" s="231"/>
      <c r="S695" s="231"/>
      <c r="T695" s="231"/>
      <c r="U695" s="231"/>
      <c r="V695" s="231"/>
      <c r="W695" s="231"/>
      <c r="X695" s="231"/>
      <c r="Y695" s="231"/>
      <c r="Z695" s="231"/>
      <c r="AA695" s="231"/>
      <c r="AB695" s="231"/>
      <c r="AC695" s="231"/>
    </row>
    <row r="696" ht="24.75" hidden="1" customHeight="1" outlineLevel="1">
      <c r="A696" s="339">
        <v>45658.0</v>
      </c>
      <c r="B696" s="235" t="s">
        <v>686</v>
      </c>
      <c r="C696" s="235" t="s">
        <v>1166</v>
      </c>
      <c r="D696" s="337" t="s">
        <v>1167</v>
      </c>
      <c r="E696" s="305" t="s">
        <v>1045</v>
      </c>
      <c r="F696" s="237"/>
      <c r="G696" s="237"/>
      <c r="H696" s="237" t="s">
        <v>1168</v>
      </c>
      <c r="I696" s="237"/>
      <c r="J696" s="231"/>
      <c r="K696" s="231"/>
      <c r="L696" s="231"/>
      <c r="M696" s="231"/>
      <c r="N696" s="231"/>
      <c r="O696" s="231"/>
      <c r="P696" s="231"/>
      <c r="Q696" s="231"/>
      <c r="R696" s="231"/>
      <c r="S696" s="231"/>
      <c r="T696" s="231"/>
      <c r="U696" s="231"/>
      <c r="V696" s="231"/>
      <c r="W696" s="231"/>
      <c r="X696" s="231"/>
      <c r="Y696" s="231"/>
      <c r="Z696" s="231"/>
      <c r="AA696" s="231"/>
      <c r="AB696" s="231"/>
      <c r="AC696" s="231"/>
    </row>
    <row r="697" ht="24.75" hidden="1" customHeight="1" outlineLevel="1">
      <c r="A697" s="339">
        <v>45658.0</v>
      </c>
      <c r="B697" s="235" t="s">
        <v>743</v>
      </c>
      <c r="C697" s="358" t="s">
        <v>1139</v>
      </c>
      <c r="D697" s="337" t="s">
        <v>1169</v>
      </c>
      <c r="E697" s="305" t="s">
        <v>1045</v>
      </c>
      <c r="F697" s="348"/>
      <c r="G697" s="348"/>
      <c r="H697" s="348"/>
      <c r="I697" s="231"/>
      <c r="J697" s="231"/>
      <c r="K697" s="231"/>
      <c r="L697" s="231"/>
      <c r="M697" s="231"/>
      <c r="N697" s="231"/>
      <c r="O697" s="231"/>
      <c r="P697" s="231"/>
      <c r="Q697" s="231"/>
      <c r="R697" s="231"/>
      <c r="S697" s="231"/>
      <c r="T697" s="231"/>
      <c r="U697" s="231"/>
      <c r="V697" s="231"/>
      <c r="W697" s="231"/>
      <c r="X697" s="231"/>
      <c r="Y697" s="231"/>
      <c r="Z697" s="231"/>
      <c r="AA697" s="231"/>
      <c r="AB697" s="231"/>
      <c r="AC697" s="231"/>
    </row>
    <row r="698" ht="24.75" hidden="1" customHeight="1" outlineLevel="1">
      <c r="A698" s="339">
        <v>45659.0</v>
      </c>
      <c r="B698" s="447" t="s">
        <v>1020</v>
      </c>
      <c r="C698" s="358" t="s">
        <v>741</v>
      </c>
      <c r="D698" s="337" t="s">
        <v>1170</v>
      </c>
      <c r="E698" s="305" t="s">
        <v>1045</v>
      </c>
      <c r="F698" s="231"/>
      <c r="G698" s="231"/>
      <c r="H698" s="231"/>
      <c r="I698" s="231"/>
      <c r="J698" s="231"/>
      <c r="K698" s="231"/>
      <c r="L698" s="231"/>
      <c r="M698" s="231"/>
      <c r="N698" s="231"/>
      <c r="O698" s="231"/>
      <c r="P698" s="231"/>
      <c r="Q698" s="231"/>
      <c r="R698" s="231"/>
      <c r="S698" s="231"/>
      <c r="T698" s="231"/>
      <c r="U698" s="231"/>
      <c r="V698" s="231"/>
      <c r="W698" s="231"/>
      <c r="X698" s="231"/>
      <c r="Y698" s="231"/>
      <c r="Z698" s="231"/>
      <c r="AA698" s="231"/>
      <c r="AB698" s="231"/>
      <c r="AC698" s="231"/>
    </row>
    <row r="699" ht="24.75" hidden="1" customHeight="1" outlineLevel="1">
      <c r="A699" s="339">
        <v>45659.0</v>
      </c>
      <c r="B699" s="235" t="s">
        <v>745</v>
      </c>
      <c r="C699" s="358" t="s">
        <v>1139</v>
      </c>
      <c r="D699" s="337" t="s">
        <v>1171</v>
      </c>
      <c r="E699" s="305" t="s">
        <v>1045</v>
      </c>
      <c r="F699" s="231"/>
      <c r="G699" s="231"/>
      <c r="H699" s="231"/>
      <c r="I699" s="231"/>
      <c r="J699" s="231"/>
      <c r="K699" s="231"/>
      <c r="L699" s="231"/>
      <c r="M699" s="231"/>
      <c r="N699" s="231"/>
      <c r="O699" s="231"/>
      <c r="P699" s="231"/>
      <c r="Q699" s="231"/>
      <c r="R699" s="231"/>
      <c r="S699" s="231"/>
      <c r="T699" s="231"/>
      <c r="U699" s="231"/>
      <c r="V699" s="231"/>
      <c r="W699" s="231"/>
      <c r="X699" s="231"/>
      <c r="Y699" s="231"/>
      <c r="Z699" s="231"/>
      <c r="AA699" s="231"/>
      <c r="AB699" s="231"/>
      <c r="AC699" s="231"/>
    </row>
    <row r="700" ht="24.75" hidden="1" customHeight="1" outlineLevel="1">
      <c r="A700" s="339">
        <v>45660.0</v>
      </c>
      <c r="B700" s="235" t="s">
        <v>714</v>
      </c>
      <c r="C700" s="358" t="s">
        <v>715</v>
      </c>
      <c r="D700" s="297" t="s">
        <v>778</v>
      </c>
      <c r="E700" s="305" t="s">
        <v>717</v>
      </c>
      <c r="F700" s="237"/>
      <c r="G700" s="237"/>
      <c r="H700" s="237" t="s">
        <v>1067</v>
      </c>
      <c r="I700" s="237" t="s">
        <v>922</v>
      </c>
      <c r="J700" s="231"/>
      <c r="K700" s="231"/>
      <c r="L700" s="231"/>
      <c r="M700" s="231"/>
      <c r="N700" s="231"/>
      <c r="O700" s="231"/>
      <c r="P700" s="231"/>
      <c r="Q700" s="231"/>
      <c r="R700" s="231"/>
      <c r="S700" s="231"/>
      <c r="T700" s="231"/>
      <c r="U700" s="231"/>
      <c r="V700" s="231"/>
      <c r="W700" s="231"/>
      <c r="X700" s="231"/>
      <c r="Y700" s="231"/>
      <c r="Z700" s="231"/>
      <c r="AA700" s="231"/>
      <c r="AB700" s="231"/>
      <c r="AC700" s="231"/>
    </row>
    <row r="701" ht="24.75" hidden="1" customHeight="1" outlineLevel="1">
      <c r="A701" s="339">
        <v>45660.0</v>
      </c>
      <c r="B701" s="235" t="s">
        <v>35</v>
      </c>
      <c r="C701" s="235" t="s">
        <v>715</v>
      </c>
      <c r="D701" s="358" t="s">
        <v>662</v>
      </c>
      <c r="E701" s="305" t="s">
        <v>717</v>
      </c>
      <c r="F701" s="237"/>
      <c r="G701" s="237"/>
      <c r="H701" s="237" t="s">
        <v>1110</v>
      </c>
      <c r="I701" s="231"/>
      <c r="J701" s="231"/>
      <c r="K701" s="231"/>
      <c r="L701" s="231"/>
      <c r="M701" s="231"/>
      <c r="N701" s="231"/>
      <c r="O701" s="231"/>
      <c r="P701" s="231"/>
      <c r="Q701" s="231"/>
      <c r="R701" s="231"/>
      <c r="S701" s="231"/>
      <c r="T701" s="231"/>
      <c r="U701" s="231"/>
      <c r="V701" s="231"/>
      <c r="W701" s="231"/>
      <c r="X701" s="231"/>
      <c r="Y701" s="231"/>
      <c r="Z701" s="231"/>
      <c r="AA701" s="231"/>
      <c r="AB701" s="231"/>
      <c r="AC701" s="231"/>
    </row>
    <row r="702" ht="24.75" hidden="1" customHeight="1" outlineLevel="1">
      <c r="A702" s="339">
        <v>45660.0</v>
      </c>
      <c r="B702" s="235" t="s">
        <v>663</v>
      </c>
      <c r="C702" s="397" t="s">
        <v>911</v>
      </c>
      <c r="D702" s="337" t="s">
        <v>146</v>
      </c>
      <c r="E702" s="305" t="s">
        <v>1045</v>
      </c>
      <c r="F702" s="237"/>
      <c r="G702" s="237"/>
      <c r="H702" s="237"/>
      <c r="I702" s="237"/>
      <c r="J702" s="231"/>
      <c r="K702" s="231"/>
      <c r="L702" s="231"/>
      <c r="M702" s="231"/>
      <c r="N702" s="231"/>
      <c r="O702" s="231"/>
      <c r="P702" s="231"/>
      <c r="Q702" s="231"/>
      <c r="R702" s="231"/>
      <c r="S702" s="231"/>
      <c r="T702" s="231"/>
      <c r="U702" s="231"/>
      <c r="V702" s="231"/>
      <c r="W702" s="231"/>
      <c r="X702" s="231"/>
      <c r="Y702" s="231"/>
      <c r="Z702" s="231"/>
      <c r="AA702" s="231"/>
      <c r="AB702" s="231"/>
      <c r="AC702" s="231"/>
    </row>
    <row r="703" ht="24.75" hidden="1" customHeight="1" outlineLevel="1">
      <c r="A703" s="339">
        <v>45660.0</v>
      </c>
      <c r="B703" s="432" t="s">
        <v>179</v>
      </c>
      <c r="C703" s="433" t="s">
        <v>715</v>
      </c>
      <c r="D703" s="358" t="s">
        <v>662</v>
      </c>
      <c r="E703" s="305" t="s">
        <v>717</v>
      </c>
      <c r="F703" s="223"/>
      <c r="G703" s="223"/>
      <c r="H703" s="223" t="s">
        <v>1117</v>
      </c>
      <c r="I703" s="231"/>
      <c r="J703" s="231"/>
      <c r="K703" s="231"/>
      <c r="L703" s="231"/>
      <c r="M703" s="231"/>
      <c r="N703" s="231"/>
      <c r="O703" s="231"/>
      <c r="P703" s="231"/>
      <c r="Q703" s="231"/>
      <c r="R703" s="231"/>
      <c r="S703" s="231"/>
      <c r="T703" s="231"/>
      <c r="U703" s="231"/>
      <c r="V703" s="231"/>
      <c r="W703" s="231"/>
      <c r="X703" s="231"/>
      <c r="Y703" s="231"/>
      <c r="Z703" s="231"/>
      <c r="AA703" s="231"/>
      <c r="AB703" s="231"/>
      <c r="AC703" s="231"/>
    </row>
    <row r="704" ht="24.75" hidden="1" customHeight="1" outlineLevel="1">
      <c r="A704" s="339">
        <v>45660.0</v>
      </c>
      <c r="B704" s="435" t="s">
        <v>211</v>
      </c>
      <c r="C704" s="433" t="s">
        <v>715</v>
      </c>
      <c r="D704" s="358" t="s">
        <v>662</v>
      </c>
      <c r="E704" s="305" t="s">
        <v>717</v>
      </c>
      <c r="F704" s="223"/>
      <c r="G704" s="223"/>
      <c r="H704" s="223" t="s">
        <v>1117</v>
      </c>
      <c r="I704" s="231"/>
      <c r="J704" s="231"/>
      <c r="K704" s="231"/>
      <c r="L704" s="231"/>
      <c r="M704" s="231"/>
      <c r="N704" s="231"/>
      <c r="O704" s="231"/>
      <c r="P704" s="231"/>
      <c r="Q704" s="231"/>
      <c r="R704" s="231"/>
      <c r="S704" s="231"/>
      <c r="T704" s="231"/>
      <c r="U704" s="231"/>
      <c r="V704" s="231"/>
      <c r="W704" s="231"/>
      <c r="X704" s="231"/>
      <c r="Y704" s="231"/>
      <c r="Z704" s="231"/>
      <c r="AA704" s="231"/>
      <c r="AB704" s="231"/>
      <c r="AC704" s="231"/>
    </row>
    <row r="705" ht="24.75" hidden="1" customHeight="1" outlineLevel="1">
      <c r="A705" s="339">
        <v>45661.0</v>
      </c>
      <c r="B705" s="235" t="s">
        <v>691</v>
      </c>
      <c r="C705" s="358" t="s">
        <v>715</v>
      </c>
      <c r="D705" s="337" t="s">
        <v>146</v>
      </c>
      <c r="E705" s="305" t="s">
        <v>717</v>
      </c>
      <c r="F705" s="237"/>
      <c r="G705" s="237"/>
      <c r="H705" s="237" t="s">
        <v>1126</v>
      </c>
      <c r="I705" s="231"/>
      <c r="J705" s="231"/>
      <c r="K705" s="231"/>
      <c r="L705" s="231"/>
      <c r="M705" s="231"/>
      <c r="N705" s="231"/>
      <c r="O705" s="231"/>
      <c r="P705" s="231"/>
      <c r="Q705" s="231"/>
      <c r="R705" s="231"/>
      <c r="S705" s="231"/>
      <c r="T705" s="231"/>
      <c r="U705" s="231"/>
      <c r="V705" s="231"/>
      <c r="W705" s="231"/>
      <c r="X705" s="231"/>
      <c r="Y705" s="231"/>
      <c r="Z705" s="231"/>
      <c r="AA705" s="231"/>
      <c r="AB705" s="231"/>
      <c r="AC705" s="231"/>
    </row>
    <row r="706" ht="24.75" hidden="1" customHeight="1" outlineLevel="1">
      <c r="A706" s="339">
        <v>45661.0</v>
      </c>
      <c r="B706" s="338" t="s">
        <v>692</v>
      </c>
      <c r="C706" s="358" t="s">
        <v>1129</v>
      </c>
      <c r="D706" s="337" t="s">
        <v>146</v>
      </c>
      <c r="E706" s="305" t="s">
        <v>1045</v>
      </c>
      <c r="F706" s="237"/>
      <c r="G706" s="237"/>
      <c r="H706" s="237" t="s">
        <v>1131</v>
      </c>
      <c r="I706" s="237"/>
      <c r="J706" s="231"/>
      <c r="K706" s="231"/>
      <c r="L706" s="231"/>
      <c r="M706" s="231"/>
      <c r="N706" s="231"/>
      <c r="O706" s="231"/>
      <c r="P706" s="231"/>
      <c r="Q706" s="231"/>
      <c r="R706" s="231"/>
      <c r="S706" s="231"/>
      <c r="T706" s="231"/>
      <c r="U706" s="231"/>
      <c r="V706" s="231"/>
      <c r="W706" s="231"/>
      <c r="X706" s="231"/>
      <c r="Y706" s="231"/>
      <c r="Z706" s="231"/>
      <c r="AA706" s="231"/>
      <c r="AB706" s="231"/>
      <c r="AC706" s="231"/>
    </row>
    <row r="707" ht="24.75" hidden="1" customHeight="1" outlineLevel="1">
      <c r="A707" s="339">
        <v>45661.0</v>
      </c>
      <c r="B707" s="338" t="s">
        <v>695</v>
      </c>
      <c r="C707" s="358" t="s">
        <v>1134</v>
      </c>
      <c r="D707" s="337" t="s">
        <v>146</v>
      </c>
      <c r="E707" s="305" t="s">
        <v>1045</v>
      </c>
      <c r="F707" s="237"/>
      <c r="G707" s="237"/>
      <c r="H707" s="237" t="s">
        <v>1135</v>
      </c>
      <c r="I707" s="231"/>
      <c r="J707" s="231"/>
      <c r="K707" s="231"/>
      <c r="L707" s="231"/>
      <c r="M707" s="231"/>
      <c r="N707" s="231"/>
      <c r="O707" s="231"/>
      <c r="P707" s="231"/>
      <c r="Q707" s="231"/>
      <c r="R707" s="231"/>
      <c r="S707" s="231"/>
      <c r="T707" s="231"/>
      <c r="U707" s="231"/>
      <c r="V707" s="231"/>
      <c r="W707" s="231"/>
      <c r="X707" s="231"/>
      <c r="Y707" s="231"/>
      <c r="Z707" s="231"/>
      <c r="AA707" s="231"/>
      <c r="AB707" s="231"/>
      <c r="AC707" s="231"/>
    </row>
    <row r="708" ht="24.75" hidden="1" customHeight="1" outlineLevel="1">
      <c r="A708" s="339">
        <v>45662.0</v>
      </c>
      <c r="B708" s="438" t="s">
        <v>1138</v>
      </c>
      <c r="C708" s="358" t="s">
        <v>1139</v>
      </c>
      <c r="D708" s="337" t="s">
        <v>146</v>
      </c>
      <c r="E708" s="305" t="s">
        <v>1045</v>
      </c>
      <c r="F708" s="237"/>
      <c r="G708" s="237"/>
      <c r="H708" s="237" t="s">
        <v>1135</v>
      </c>
      <c r="I708" s="231"/>
      <c r="J708" s="231"/>
      <c r="K708" s="231"/>
      <c r="L708" s="231"/>
      <c r="M708" s="231"/>
      <c r="N708" s="231"/>
      <c r="O708" s="231"/>
      <c r="P708" s="231"/>
      <c r="Q708" s="231"/>
      <c r="R708" s="231"/>
      <c r="S708" s="231"/>
      <c r="T708" s="231"/>
      <c r="U708" s="231"/>
      <c r="V708" s="231"/>
      <c r="W708" s="231"/>
      <c r="X708" s="231"/>
      <c r="Y708" s="231"/>
      <c r="Z708" s="231"/>
      <c r="AA708" s="231"/>
      <c r="AB708" s="231"/>
      <c r="AC708" s="231"/>
    </row>
    <row r="709" ht="24.75" hidden="1" customHeight="1" outlineLevel="1">
      <c r="A709" s="339">
        <v>45662.0</v>
      </c>
      <c r="B709" s="439" t="s">
        <v>1144</v>
      </c>
      <c r="C709" s="440" t="s">
        <v>1145</v>
      </c>
      <c r="D709" s="440" t="s">
        <v>1146</v>
      </c>
      <c r="E709" s="441" t="s">
        <v>703</v>
      </c>
      <c r="F709" s="237"/>
      <c r="G709" s="237"/>
      <c r="H709" s="237"/>
      <c r="I709" s="231"/>
      <c r="J709" s="231"/>
      <c r="K709" s="231"/>
      <c r="L709" s="231"/>
      <c r="M709" s="231"/>
      <c r="N709" s="231"/>
      <c r="O709" s="231"/>
      <c r="P709" s="231"/>
      <c r="Q709" s="231"/>
      <c r="R709" s="231"/>
      <c r="S709" s="231"/>
      <c r="T709" s="231"/>
      <c r="U709" s="231"/>
      <c r="V709" s="231"/>
      <c r="W709" s="231"/>
      <c r="X709" s="231"/>
      <c r="Y709" s="231"/>
      <c r="Z709" s="231"/>
      <c r="AA709" s="231"/>
      <c r="AB709" s="231"/>
      <c r="AC709" s="231"/>
    </row>
    <row r="710" ht="24.75" hidden="1" customHeight="1" outlineLevel="1">
      <c r="A710" s="339">
        <v>45662.0</v>
      </c>
      <c r="B710" s="444" t="str">
        <f>HYPERLINK("https://docs.google.com/spreadsheets/d/14VRt1DzygoL3ldywdTGi4p4-5N6W0OO9Ugf6GEHXv1k/edit#gid=351252924","☆TP部メルマガ")</f>
        <v>☆TP部メルマガ</v>
      </c>
      <c r="C710" s="358" t="s">
        <v>741</v>
      </c>
      <c r="D710" s="337" t="s">
        <v>146</v>
      </c>
      <c r="E710" s="305" t="s">
        <v>1045</v>
      </c>
      <c r="F710" s="237"/>
      <c r="G710" s="237"/>
      <c r="H710" s="237" t="s">
        <v>1150</v>
      </c>
      <c r="I710" s="231"/>
      <c r="J710" s="231"/>
      <c r="K710" s="231"/>
      <c r="L710" s="231"/>
      <c r="M710" s="231"/>
      <c r="N710" s="231"/>
      <c r="O710" s="231"/>
      <c r="P710" s="231"/>
      <c r="Q710" s="231"/>
      <c r="R710" s="231"/>
      <c r="S710" s="231"/>
      <c r="T710" s="231"/>
      <c r="U710" s="231"/>
      <c r="V710" s="231"/>
      <c r="W710" s="231"/>
      <c r="X710" s="231"/>
      <c r="Y710" s="231"/>
      <c r="Z710" s="231"/>
      <c r="AA710" s="231"/>
      <c r="AB710" s="231"/>
      <c r="AC710" s="231"/>
    </row>
    <row r="711" ht="24.75" hidden="1" customHeight="1" outlineLevel="1">
      <c r="A711" s="339">
        <v>45663.0</v>
      </c>
      <c r="B711" s="446" t="s">
        <v>325</v>
      </c>
      <c r="C711" s="358" t="s">
        <v>1134</v>
      </c>
      <c r="D711" s="337" t="s">
        <v>146</v>
      </c>
      <c r="E711" s="305" t="s">
        <v>1045</v>
      </c>
      <c r="F711" s="237"/>
      <c r="G711" s="237"/>
      <c r="H711" s="237" t="s">
        <v>1150</v>
      </c>
      <c r="I711" s="231"/>
      <c r="J711" s="231"/>
      <c r="K711" s="231"/>
      <c r="L711" s="231"/>
      <c r="M711" s="231"/>
      <c r="N711" s="231"/>
      <c r="O711" s="231"/>
      <c r="P711" s="231"/>
      <c r="Q711" s="231"/>
      <c r="R711" s="231"/>
      <c r="S711" s="231"/>
      <c r="T711" s="231"/>
      <c r="U711" s="231"/>
      <c r="V711" s="231"/>
      <c r="W711" s="231"/>
      <c r="X711" s="231"/>
      <c r="Y711" s="231"/>
      <c r="Z711" s="231"/>
      <c r="AA711" s="231"/>
      <c r="AB711" s="231"/>
      <c r="AC711" s="231"/>
    </row>
    <row r="712" ht="24.75" hidden="1" customHeight="1" outlineLevel="1">
      <c r="A712" s="339">
        <v>45663.0</v>
      </c>
      <c r="B712" s="446" t="s">
        <v>330</v>
      </c>
      <c r="C712" s="358" t="s">
        <v>741</v>
      </c>
      <c r="D712" s="337" t="s">
        <v>1170</v>
      </c>
      <c r="E712" s="305" t="s">
        <v>1045</v>
      </c>
      <c r="F712" s="237"/>
      <c r="G712" s="237"/>
      <c r="H712" s="237" t="s">
        <v>1154</v>
      </c>
      <c r="I712" s="237"/>
      <c r="J712" s="231"/>
      <c r="K712" s="231"/>
      <c r="L712" s="231"/>
      <c r="M712" s="231"/>
      <c r="N712" s="231"/>
      <c r="O712" s="231"/>
      <c r="P712" s="231"/>
      <c r="Q712" s="231"/>
      <c r="R712" s="231"/>
      <c r="S712" s="231"/>
      <c r="T712" s="231"/>
      <c r="U712" s="231"/>
      <c r="V712" s="231"/>
      <c r="W712" s="231"/>
      <c r="X712" s="231"/>
      <c r="Y712" s="231"/>
      <c r="Z712" s="231"/>
      <c r="AA712" s="231"/>
      <c r="AB712" s="231"/>
      <c r="AC712" s="231"/>
    </row>
    <row r="713" ht="24.75" hidden="1" customHeight="1" outlineLevel="1">
      <c r="A713" s="339">
        <v>45663.0</v>
      </c>
      <c r="B713" s="235" t="s">
        <v>801</v>
      </c>
      <c r="C713" s="235" t="s">
        <v>715</v>
      </c>
      <c r="D713" s="358" t="s">
        <v>662</v>
      </c>
      <c r="E713" s="305" t="s">
        <v>717</v>
      </c>
      <c r="F713" s="237"/>
      <c r="G713" s="237"/>
      <c r="H713" s="237" t="s">
        <v>1155</v>
      </c>
      <c r="I713" s="231"/>
      <c r="J713" s="231"/>
      <c r="K713" s="231"/>
      <c r="L713" s="231"/>
      <c r="M713" s="231"/>
      <c r="N713" s="231"/>
      <c r="O713" s="231"/>
      <c r="P713" s="231"/>
      <c r="Q713" s="231"/>
      <c r="R713" s="231"/>
      <c r="S713" s="231"/>
      <c r="T713" s="231"/>
      <c r="U713" s="231"/>
      <c r="V713" s="231"/>
      <c r="W713" s="231"/>
      <c r="X713" s="231"/>
      <c r="Y713" s="231"/>
      <c r="Z713" s="231"/>
      <c r="AA713" s="231"/>
      <c r="AB713" s="231"/>
      <c r="AC713" s="231"/>
    </row>
    <row r="714" ht="24.75" hidden="1" customHeight="1" outlineLevel="1">
      <c r="A714" s="339">
        <v>45663.0</v>
      </c>
      <c r="B714" s="235" t="s">
        <v>753</v>
      </c>
      <c r="C714" s="261" t="s">
        <v>1156</v>
      </c>
      <c r="D714" s="337" t="s">
        <v>146</v>
      </c>
      <c r="E714" s="305" t="s">
        <v>1045</v>
      </c>
      <c r="F714" s="237"/>
      <c r="G714" s="237"/>
      <c r="H714" s="237" t="s">
        <v>1157</v>
      </c>
      <c r="I714" s="237" t="s">
        <v>1158</v>
      </c>
      <c r="J714" s="231"/>
      <c r="K714" s="231"/>
      <c r="L714" s="231"/>
      <c r="M714" s="231"/>
      <c r="N714" s="231"/>
      <c r="O714" s="231"/>
      <c r="P714" s="231"/>
      <c r="Q714" s="231"/>
      <c r="R714" s="231"/>
      <c r="S714" s="231"/>
      <c r="T714" s="231"/>
      <c r="U714" s="231"/>
      <c r="V714" s="231"/>
      <c r="W714" s="231"/>
      <c r="X714" s="231"/>
      <c r="Y714" s="231"/>
      <c r="Z714" s="231"/>
      <c r="AA714" s="231"/>
      <c r="AB714" s="231"/>
      <c r="AC714" s="231"/>
    </row>
    <row r="715" ht="24.75" hidden="1" customHeight="1" outlineLevel="1">
      <c r="A715" s="339">
        <v>45663.0</v>
      </c>
      <c r="B715" s="235" t="s">
        <v>756</v>
      </c>
      <c r="C715" s="261" t="s">
        <v>1156</v>
      </c>
      <c r="D715" s="337" t="s">
        <v>146</v>
      </c>
      <c r="E715" s="305" t="s">
        <v>1045</v>
      </c>
      <c r="F715" s="237"/>
      <c r="G715" s="237"/>
      <c r="H715" s="237" t="s">
        <v>1157</v>
      </c>
      <c r="I715" s="237" t="s">
        <v>1159</v>
      </c>
      <c r="J715" s="231"/>
      <c r="K715" s="231"/>
      <c r="L715" s="231"/>
      <c r="M715" s="231"/>
      <c r="N715" s="231"/>
      <c r="O715" s="231"/>
      <c r="P715" s="231"/>
      <c r="Q715" s="231"/>
      <c r="R715" s="231"/>
      <c r="S715" s="231"/>
      <c r="T715" s="231"/>
      <c r="U715" s="231"/>
      <c r="V715" s="231"/>
      <c r="W715" s="231"/>
      <c r="X715" s="231"/>
      <c r="Y715" s="231"/>
      <c r="Z715" s="231"/>
      <c r="AA715" s="231"/>
      <c r="AB715" s="231"/>
      <c r="AC715" s="231"/>
    </row>
    <row r="716" ht="24.75" hidden="1" customHeight="1" outlineLevel="1">
      <c r="A716" s="353">
        <v>45664.0</v>
      </c>
      <c r="B716" s="235" t="s">
        <v>35</v>
      </c>
      <c r="C716" s="235" t="s">
        <v>715</v>
      </c>
      <c r="D716" s="358" t="s">
        <v>662</v>
      </c>
      <c r="E716" s="305" t="s">
        <v>717</v>
      </c>
      <c r="F716" s="237"/>
      <c r="G716" s="237"/>
      <c r="H716" s="237" t="s">
        <v>1160</v>
      </c>
      <c r="I716" s="231"/>
      <c r="J716" s="231"/>
      <c r="K716" s="231"/>
      <c r="L716" s="231"/>
      <c r="M716" s="231"/>
      <c r="N716" s="231"/>
      <c r="O716" s="231"/>
      <c r="P716" s="231"/>
      <c r="Q716" s="231"/>
      <c r="R716" s="231"/>
      <c r="S716" s="231"/>
      <c r="T716" s="231"/>
      <c r="U716" s="231"/>
      <c r="V716" s="231"/>
      <c r="W716" s="231"/>
      <c r="X716" s="231"/>
      <c r="Y716" s="231"/>
      <c r="Z716" s="231"/>
      <c r="AA716" s="231"/>
      <c r="AB716" s="231"/>
      <c r="AC716" s="231"/>
    </row>
    <row r="717" ht="24.75" hidden="1" customHeight="1" outlineLevel="1">
      <c r="A717" s="353">
        <v>45664.0</v>
      </c>
      <c r="B717" s="235" t="s">
        <v>714</v>
      </c>
      <c r="C717" s="358" t="s">
        <v>715</v>
      </c>
      <c r="D717" s="358" t="s">
        <v>662</v>
      </c>
      <c r="E717" s="305" t="s">
        <v>717</v>
      </c>
      <c r="F717" s="237"/>
      <c r="G717" s="237"/>
      <c r="H717" s="237" t="s">
        <v>1067</v>
      </c>
      <c r="I717" s="237" t="s">
        <v>922</v>
      </c>
      <c r="J717" s="231"/>
      <c r="K717" s="231"/>
      <c r="L717" s="231"/>
      <c r="M717" s="231"/>
      <c r="N717" s="231"/>
      <c r="O717" s="231"/>
      <c r="P717" s="231"/>
      <c r="Q717" s="231"/>
      <c r="R717" s="231"/>
      <c r="S717" s="231"/>
      <c r="T717" s="231"/>
      <c r="U717" s="231"/>
      <c r="V717" s="231"/>
      <c r="W717" s="231"/>
      <c r="X717" s="231"/>
      <c r="Y717" s="231"/>
      <c r="Z717" s="231"/>
      <c r="AA717" s="231"/>
      <c r="AB717" s="231"/>
      <c r="AC717" s="231"/>
    </row>
    <row r="718" ht="24.75" hidden="1" customHeight="1" outlineLevel="1">
      <c r="A718" s="353">
        <v>45664.0</v>
      </c>
      <c r="B718" s="235" t="s">
        <v>808</v>
      </c>
      <c r="C718" s="261" t="s">
        <v>715</v>
      </c>
      <c r="D718" s="358" t="s">
        <v>662</v>
      </c>
      <c r="E718" s="305" t="s">
        <v>717</v>
      </c>
      <c r="F718" s="237"/>
      <c r="G718" s="237"/>
      <c r="H718" s="237" t="s">
        <v>809</v>
      </c>
      <c r="I718" s="231"/>
      <c r="J718" s="231"/>
      <c r="K718" s="231"/>
      <c r="L718" s="231"/>
      <c r="M718" s="231"/>
      <c r="N718" s="231"/>
      <c r="O718" s="231"/>
      <c r="P718" s="231"/>
      <c r="Q718" s="231"/>
      <c r="R718" s="231"/>
      <c r="S718" s="231"/>
      <c r="T718" s="231"/>
      <c r="U718" s="231"/>
      <c r="V718" s="231"/>
      <c r="W718" s="231"/>
      <c r="X718" s="231"/>
      <c r="Y718" s="231"/>
      <c r="Z718" s="231"/>
      <c r="AA718" s="231"/>
      <c r="AB718" s="231"/>
      <c r="AC718" s="231"/>
    </row>
    <row r="719" ht="24.75" hidden="1" customHeight="1" outlineLevel="1">
      <c r="A719" s="353">
        <v>45664.0</v>
      </c>
      <c r="B719" s="235" t="s">
        <v>736</v>
      </c>
      <c r="C719" s="358" t="s">
        <v>1139</v>
      </c>
      <c r="D719" s="337" t="s">
        <v>1172</v>
      </c>
      <c r="E719" s="305" t="s">
        <v>1045</v>
      </c>
      <c r="F719" s="231"/>
      <c r="G719" s="231"/>
      <c r="H719" s="231"/>
      <c r="I719" s="231"/>
      <c r="J719" s="231"/>
      <c r="K719" s="231"/>
      <c r="L719" s="231"/>
      <c r="M719" s="231"/>
      <c r="N719" s="231"/>
      <c r="O719" s="231"/>
      <c r="P719" s="231"/>
      <c r="Q719" s="231"/>
      <c r="R719" s="231"/>
      <c r="S719" s="231"/>
      <c r="T719" s="231"/>
      <c r="U719" s="231"/>
      <c r="V719" s="231"/>
      <c r="W719" s="231"/>
      <c r="X719" s="231"/>
      <c r="Y719" s="231"/>
      <c r="Z719" s="231"/>
      <c r="AA719" s="231"/>
      <c r="AB719" s="231"/>
      <c r="AC719" s="231"/>
    </row>
    <row r="720" ht="24.75" hidden="1" customHeight="1" outlineLevel="1">
      <c r="A720" s="353">
        <v>45665.0</v>
      </c>
      <c r="B720" s="411" t="s">
        <v>743</v>
      </c>
      <c r="C720" s="358" t="s">
        <v>1139</v>
      </c>
      <c r="D720" s="337" t="s">
        <v>1172</v>
      </c>
      <c r="E720" s="305" t="s">
        <v>1045</v>
      </c>
      <c r="F720" s="231"/>
      <c r="G720" s="231"/>
      <c r="H720" s="231"/>
      <c r="I720" s="231"/>
      <c r="J720" s="231"/>
      <c r="K720" s="231"/>
      <c r="L720" s="231"/>
      <c r="M720" s="231"/>
      <c r="N720" s="231"/>
      <c r="O720" s="231"/>
      <c r="P720" s="231"/>
      <c r="Q720" s="231"/>
      <c r="R720" s="231"/>
      <c r="S720" s="231"/>
      <c r="T720" s="231"/>
      <c r="U720" s="231"/>
      <c r="V720" s="231"/>
      <c r="W720" s="231"/>
      <c r="X720" s="231"/>
      <c r="Y720" s="231"/>
      <c r="Z720" s="231"/>
      <c r="AA720" s="231"/>
      <c r="AB720" s="231"/>
      <c r="AC720" s="231"/>
    </row>
    <row r="721" ht="24.75" hidden="1" customHeight="1" outlineLevel="1">
      <c r="A721" s="353">
        <v>45666.0</v>
      </c>
      <c r="B721" s="411" t="s">
        <v>745</v>
      </c>
      <c r="C721" s="358" t="s">
        <v>1139</v>
      </c>
      <c r="D721" s="337" t="s">
        <v>1172</v>
      </c>
      <c r="E721" s="305" t="s">
        <v>1045</v>
      </c>
      <c r="F721" s="231"/>
      <c r="G721" s="231"/>
      <c r="H721" s="231"/>
      <c r="I721" s="231"/>
      <c r="J721" s="231"/>
      <c r="K721" s="231"/>
      <c r="L721" s="231"/>
      <c r="M721" s="231"/>
      <c r="N721" s="231"/>
      <c r="O721" s="231"/>
      <c r="P721" s="231"/>
      <c r="Q721" s="231"/>
      <c r="R721" s="231"/>
      <c r="S721" s="231"/>
      <c r="T721" s="231"/>
      <c r="U721" s="231"/>
      <c r="V721" s="231"/>
      <c r="W721" s="231"/>
      <c r="X721" s="231"/>
      <c r="Y721" s="231"/>
      <c r="Z721" s="231"/>
      <c r="AA721" s="231"/>
      <c r="AB721" s="231"/>
      <c r="AC721" s="231"/>
    </row>
    <row r="722" ht="24.75" customHeight="1">
      <c r="A722" s="231"/>
      <c r="B722" s="231"/>
      <c r="C722" s="231"/>
      <c r="D722" s="231"/>
      <c r="E722" s="225"/>
      <c r="F722" s="231"/>
      <c r="G722" s="231"/>
      <c r="H722" s="231"/>
      <c r="I722" s="231"/>
      <c r="J722" s="231"/>
      <c r="K722" s="231"/>
      <c r="L722" s="231"/>
      <c r="M722" s="231"/>
      <c r="N722" s="231"/>
      <c r="O722" s="231"/>
      <c r="P722" s="231"/>
      <c r="Q722" s="231"/>
      <c r="R722" s="231"/>
      <c r="S722" s="231"/>
      <c r="T722" s="231"/>
      <c r="U722" s="231"/>
      <c r="V722" s="231"/>
      <c r="W722" s="231"/>
      <c r="X722" s="231"/>
      <c r="Y722" s="231"/>
      <c r="Z722" s="231"/>
      <c r="AA722" s="231"/>
      <c r="AB722" s="231"/>
      <c r="AC722" s="231"/>
    </row>
    <row r="723" ht="24.75" customHeight="1" collapsed="1">
      <c r="A723" s="237" t="s">
        <v>1173</v>
      </c>
      <c r="B723" s="231"/>
      <c r="C723" s="231"/>
      <c r="D723" s="231"/>
      <c r="E723" s="225"/>
      <c r="F723" s="231"/>
      <c r="G723" s="231"/>
      <c r="H723" s="231"/>
      <c r="I723" s="231"/>
      <c r="J723" s="231"/>
      <c r="K723" s="231"/>
      <c r="L723" s="231"/>
      <c r="M723" s="231"/>
      <c r="N723" s="231"/>
      <c r="O723" s="231"/>
      <c r="P723" s="231"/>
      <c r="Q723" s="231"/>
      <c r="R723" s="231"/>
      <c r="S723" s="231"/>
      <c r="T723" s="231"/>
      <c r="U723" s="231"/>
      <c r="V723" s="231"/>
      <c r="W723" s="231"/>
      <c r="X723" s="231"/>
      <c r="Y723" s="231"/>
      <c r="Z723" s="231"/>
      <c r="AA723" s="231"/>
      <c r="AB723" s="231"/>
      <c r="AC723" s="231"/>
    </row>
    <row r="724" ht="24.75" hidden="1" customHeight="1" outlineLevel="1">
      <c r="A724" s="329" t="s">
        <v>647</v>
      </c>
      <c r="B724" s="330" t="s">
        <v>648</v>
      </c>
      <c r="C724" s="330" t="s">
        <v>649</v>
      </c>
      <c r="D724" s="330" t="s">
        <v>650</v>
      </c>
      <c r="E724" s="330" t="s">
        <v>651</v>
      </c>
      <c r="F724" s="231"/>
      <c r="G724" s="231"/>
      <c r="H724" s="231"/>
      <c r="I724" s="231"/>
      <c r="J724" s="231"/>
      <c r="K724" s="231"/>
      <c r="L724" s="231"/>
      <c r="M724" s="231"/>
      <c r="N724" s="231"/>
      <c r="O724" s="231"/>
      <c r="P724" s="231"/>
      <c r="Q724" s="231"/>
      <c r="R724" s="231"/>
      <c r="S724" s="231"/>
      <c r="T724" s="231"/>
      <c r="U724" s="231"/>
      <c r="V724" s="231"/>
      <c r="W724" s="231"/>
      <c r="X724" s="231"/>
      <c r="Y724" s="231"/>
      <c r="Z724" s="231"/>
      <c r="AA724" s="231"/>
      <c r="AB724" s="231"/>
      <c r="AC724" s="231"/>
    </row>
    <row r="725" ht="24.75" hidden="1" customHeight="1" outlineLevel="1">
      <c r="A725" s="339">
        <v>45670.0</v>
      </c>
      <c r="B725" s="235" t="s">
        <v>731</v>
      </c>
      <c r="C725" s="256" t="s">
        <v>793</v>
      </c>
      <c r="D725" s="234" t="s">
        <v>1174</v>
      </c>
      <c r="E725" s="305" t="s">
        <v>717</v>
      </c>
      <c r="F725" s="237"/>
      <c r="G725" s="237"/>
      <c r="H725" s="237"/>
      <c r="I725" s="231"/>
      <c r="J725" s="231"/>
      <c r="K725" s="231"/>
      <c r="L725" s="231"/>
      <c r="M725" s="231"/>
      <c r="N725" s="231"/>
      <c r="O725" s="231"/>
      <c r="P725" s="231"/>
      <c r="Q725" s="231"/>
      <c r="R725" s="231"/>
      <c r="S725" s="231"/>
      <c r="T725" s="231"/>
      <c r="U725" s="231"/>
      <c r="V725" s="231"/>
      <c r="W725" s="231"/>
      <c r="X725" s="231"/>
      <c r="Y725" s="231"/>
      <c r="Z725" s="231"/>
      <c r="AA725" s="231"/>
      <c r="AB725" s="231"/>
      <c r="AC725" s="231"/>
    </row>
    <row r="726" ht="24.75" hidden="1" customHeight="1" outlineLevel="1">
      <c r="A726" s="339">
        <v>45670.0</v>
      </c>
      <c r="B726" s="235" t="s">
        <v>801</v>
      </c>
      <c r="C726" s="235" t="s">
        <v>715</v>
      </c>
      <c r="D726" s="333" t="s">
        <v>662</v>
      </c>
      <c r="E726" s="305" t="s">
        <v>717</v>
      </c>
      <c r="F726" s="237"/>
      <c r="G726" s="237"/>
      <c r="H726" s="237"/>
      <c r="I726" s="231"/>
      <c r="J726" s="231"/>
      <c r="K726" s="231"/>
      <c r="L726" s="231"/>
      <c r="M726" s="231"/>
      <c r="N726" s="231"/>
      <c r="O726" s="231"/>
      <c r="P726" s="231"/>
      <c r="Q726" s="231"/>
      <c r="R726" s="231"/>
      <c r="S726" s="231"/>
      <c r="T726" s="231"/>
      <c r="U726" s="231"/>
      <c r="V726" s="231"/>
      <c r="W726" s="231"/>
      <c r="X726" s="231"/>
      <c r="Y726" s="231"/>
      <c r="Z726" s="231"/>
      <c r="AA726" s="231"/>
      <c r="AB726" s="231"/>
      <c r="AC726" s="231"/>
    </row>
    <row r="727" ht="24.75" hidden="1" customHeight="1" outlineLevel="1">
      <c r="A727" s="339">
        <v>45670.0</v>
      </c>
      <c r="B727" s="253" t="s">
        <v>699</v>
      </c>
      <c r="C727" s="261" t="s">
        <v>934</v>
      </c>
      <c r="D727" s="234" t="s">
        <v>1175</v>
      </c>
      <c r="E727" s="305" t="s">
        <v>717</v>
      </c>
      <c r="F727" s="237"/>
      <c r="G727" s="237"/>
      <c r="H727" s="237"/>
      <c r="I727" s="231"/>
      <c r="J727" s="231"/>
      <c r="K727" s="231"/>
      <c r="L727" s="231"/>
      <c r="M727" s="231"/>
      <c r="N727" s="231"/>
      <c r="O727" s="231"/>
      <c r="P727" s="231"/>
      <c r="Q727" s="231"/>
      <c r="R727" s="231"/>
      <c r="S727" s="231"/>
      <c r="T727" s="231"/>
      <c r="U727" s="231"/>
      <c r="V727" s="231"/>
      <c r="W727" s="231"/>
      <c r="X727" s="231"/>
      <c r="Y727" s="231"/>
      <c r="Z727" s="231"/>
      <c r="AA727" s="231"/>
      <c r="AB727" s="231"/>
      <c r="AC727" s="231"/>
    </row>
    <row r="728" ht="24.75" hidden="1" customHeight="1" outlineLevel="1">
      <c r="A728" s="353">
        <v>45671.0</v>
      </c>
      <c r="B728" s="235" t="s">
        <v>35</v>
      </c>
      <c r="C728" s="235" t="s">
        <v>715</v>
      </c>
      <c r="D728" s="333" t="s">
        <v>662</v>
      </c>
      <c r="E728" s="305" t="s">
        <v>717</v>
      </c>
      <c r="F728" s="237"/>
      <c r="G728" s="237"/>
      <c r="H728" s="237"/>
      <c r="I728" s="231"/>
      <c r="J728" s="231"/>
      <c r="K728" s="231"/>
      <c r="L728" s="231"/>
      <c r="M728" s="231"/>
      <c r="N728" s="231"/>
      <c r="O728" s="231"/>
      <c r="P728" s="231"/>
      <c r="Q728" s="231"/>
      <c r="R728" s="231"/>
      <c r="S728" s="231"/>
      <c r="T728" s="231"/>
      <c r="U728" s="231"/>
      <c r="V728" s="231"/>
      <c r="W728" s="231"/>
      <c r="X728" s="231"/>
      <c r="Y728" s="231"/>
      <c r="Z728" s="231"/>
      <c r="AA728" s="231"/>
      <c r="AB728" s="231"/>
      <c r="AC728" s="231"/>
    </row>
    <row r="729" ht="24.75" hidden="1" customHeight="1" outlineLevel="1">
      <c r="A729" s="353">
        <v>45671.0</v>
      </c>
      <c r="B729" s="235" t="s">
        <v>714</v>
      </c>
      <c r="C729" s="240" t="s">
        <v>715</v>
      </c>
      <c r="D729" s="333" t="s">
        <v>662</v>
      </c>
      <c r="E729" s="305" t="s">
        <v>717</v>
      </c>
      <c r="F729" s="231"/>
      <c r="G729" s="231"/>
      <c r="H729" s="231"/>
      <c r="I729" s="237"/>
      <c r="J729" s="231"/>
      <c r="K729" s="231"/>
      <c r="L729" s="231"/>
      <c r="M729" s="231"/>
      <c r="N729" s="231"/>
      <c r="O729" s="231"/>
      <c r="P729" s="231"/>
      <c r="Q729" s="231"/>
      <c r="R729" s="231"/>
      <c r="S729" s="231"/>
      <c r="T729" s="231"/>
      <c r="U729" s="231"/>
      <c r="V729" s="231"/>
      <c r="W729" s="231"/>
      <c r="X729" s="231"/>
      <c r="Y729" s="231"/>
      <c r="Z729" s="231"/>
      <c r="AA729" s="231"/>
      <c r="AB729" s="231"/>
      <c r="AC729" s="231"/>
    </row>
    <row r="730" ht="24.75" hidden="1" customHeight="1" outlineLevel="1">
      <c r="A730" s="353">
        <v>45671.0</v>
      </c>
      <c r="B730" s="235" t="s">
        <v>736</v>
      </c>
      <c r="C730" s="240" t="s">
        <v>895</v>
      </c>
      <c r="D730" s="333" t="s">
        <v>662</v>
      </c>
      <c r="E730" s="305" t="s">
        <v>717</v>
      </c>
      <c r="F730" s="231"/>
      <c r="G730" s="231"/>
      <c r="H730" s="231"/>
      <c r="I730" s="231"/>
      <c r="J730" s="231"/>
      <c r="K730" s="231"/>
      <c r="L730" s="231"/>
      <c r="M730" s="231"/>
      <c r="N730" s="231"/>
      <c r="O730" s="231"/>
      <c r="P730" s="231"/>
      <c r="Q730" s="231"/>
      <c r="R730" s="231"/>
      <c r="S730" s="231"/>
      <c r="T730" s="231"/>
      <c r="U730" s="231"/>
      <c r="V730" s="231"/>
      <c r="W730" s="231"/>
      <c r="X730" s="231"/>
      <c r="Y730" s="231"/>
      <c r="Z730" s="231"/>
      <c r="AA730" s="231"/>
      <c r="AB730" s="231"/>
      <c r="AC730" s="231"/>
    </row>
    <row r="731" ht="24.75" hidden="1" customHeight="1" outlineLevel="1">
      <c r="A731" s="353">
        <v>45671.0</v>
      </c>
      <c r="B731" s="235" t="s">
        <v>808</v>
      </c>
      <c r="C731" s="261" t="s">
        <v>715</v>
      </c>
      <c r="D731" s="333" t="s">
        <v>662</v>
      </c>
      <c r="E731" s="323" t="s">
        <v>717</v>
      </c>
      <c r="F731" s="231"/>
      <c r="G731" s="231"/>
      <c r="H731" s="231"/>
      <c r="I731" s="231"/>
      <c r="J731" s="231"/>
      <c r="K731" s="231"/>
      <c r="L731" s="231"/>
      <c r="M731" s="231"/>
      <c r="N731" s="231"/>
      <c r="O731" s="231"/>
      <c r="P731" s="231"/>
      <c r="Q731" s="231"/>
      <c r="R731" s="231"/>
      <c r="S731" s="231"/>
      <c r="T731" s="231"/>
      <c r="U731" s="231"/>
      <c r="V731" s="231"/>
      <c r="W731" s="231"/>
      <c r="X731" s="231"/>
      <c r="Y731" s="231"/>
      <c r="Z731" s="231"/>
      <c r="AA731" s="231"/>
      <c r="AB731" s="231"/>
      <c r="AC731" s="231"/>
    </row>
    <row r="732" ht="24.75" customHeight="1">
      <c r="A732" s="231"/>
      <c r="B732" s="231"/>
      <c r="C732" s="231"/>
      <c r="D732" s="231"/>
      <c r="E732" s="225"/>
      <c r="F732" s="231"/>
      <c r="G732" s="231"/>
      <c r="H732" s="231"/>
      <c r="I732" s="231"/>
      <c r="J732" s="231"/>
      <c r="K732" s="231"/>
      <c r="L732" s="231"/>
      <c r="M732" s="231"/>
      <c r="N732" s="231"/>
      <c r="O732" s="231"/>
      <c r="P732" s="231"/>
      <c r="Q732" s="231"/>
      <c r="R732" s="231"/>
      <c r="S732" s="231"/>
      <c r="T732" s="231"/>
      <c r="U732" s="231"/>
      <c r="V732" s="231"/>
      <c r="W732" s="231"/>
      <c r="X732" s="231"/>
      <c r="Y732" s="231"/>
      <c r="Z732" s="231"/>
      <c r="AA732" s="231"/>
      <c r="AB732" s="231"/>
      <c r="AC732" s="231"/>
    </row>
    <row r="733" ht="24.75" customHeight="1" collapsed="1">
      <c r="A733" s="448" t="s">
        <v>1176</v>
      </c>
      <c r="B733" s="204"/>
      <c r="C733" s="204"/>
      <c r="D733" s="204"/>
      <c r="E733" s="204"/>
      <c r="F733" s="249"/>
      <c r="G733" s="249"/>
      <c r="H733" s="249"/>
      <c r="I733" s="231"/>
      <c r="J733" s="231"/>
      <c r="K733" s="231"/>
      <c r="L733" s="231"/>
      <c r="M733" s="231"/>
      <c r="N733" s="231"/>
      <c r="O733" s="231"/>
      <c r="P733" s="231"/>
      <c r="Q733" s="231"/>
      <c r="R733" s="231"/>
      <c r="S733" s="231"/>
      <c r="T733" s="231"/>
      <c r="U733" s="231"/>
      <c r="V733" s="231"/>
      <c r="W733" s="231"/>
      <c r="X733" s="231"/>
      <c r="Y733" s="231"/>
      <c r="Z733" s="231"/>
      <c r="AA733" s="231"/>
      <c r="AB733" s="231"/>
      <c r="AC733" s="231"/>
    </row>
    <row r="734" ht="24.75" hidden="1" customHeight="1" outlineLevel="1">
      <c r="A734" s="329" t="s">
        <v>647</v>
      </c>
      <c r="B734" s="330" t="s">
        <v>648</v>
      </c>
      <c r="C734" s="330" t="s">
        <v>649</v>
      </c>
      <c r="D734" s="330" t="s">
        <v>650</v>
      </c>
      <c r="E734" s="330" t="s">
        <v>651</v>
      </c>
      <c r="F734" s="249"/>
      <c r="G734" s="249"/>
      <c r="H734" s="249"/>
      <c r="I734" s="231"/>
      <c r="J734" s="231"/>
      <c r="K734" s="231"/>
      <c r="L734" s="231"/>
      <c r="M734" s="231"/>
      <c r="N734" s="231"/>
      <c r="O734" s="231"/>
      <c r="P734" s="231"/>
      <c r="Q734" s="231"/>
      <c r="R734" s="231"/>
      <c r="S734" s="231"/>
      <c r="T734" s="231"/>
      <c r="U734" s="231"/>
      <c r="V734" s="231"/>
      <c r="W734" s="231"/>
      <c r="X734" s="231"/>
      <c r="Y734" s="231"/>
      <c r="Z734" s="231"/>
      <c r="AA734" s="231"/>
      <c r="AB734" s="231"/>
      <c r="AC734" s="231"/>
    </row>
    <row r="735" ht="24.75" hidden="1" customHeight="1" outlineLevel="1">
      <c r="A735" s="449">
        <v>45699.0</v>
      </c>
      <c r="B735" s="450" t="s">
        <v>714</v>
      </c>
      <c r="C735" s="451" t="s">
        <v>715</v>
      </c>
      <c r="D735" s="452" t="s">
        <v>897</v>
      </c>
      <c r="E735" s="453" t="s">
        <v>717</v>
      </c>
      <c r="F735" s="237"/>
      <c r="G735" s="237"/>
      <c r="H735" s="237" t="s">
        <v>1067</v>
      </c>
      <c r="I735" s="237" t="s">
        <v>922</v>
      </c>
      <c r="J735" s="231"/>
      <c r="K735" s="231"/>
      <c r="L735" s="231"/>
      <c r="M735" s="231"/>
      <c r="N735" s="231"/>
      <c r="O735" s="231"/>
      <c r="P735" s="231"/>
      <c r="Q735" s="231"/>
      <c r="R735" s="231"/>
      <c r="S735" s="231"/>
      <c r="T735" s="231"/>
      <c r="U735" s="231"/>
      <c r="V735" s="231"/>
      <c r="W735" s="231"/>
      <c r="X735" s="231"/>
      <c r="Y735" s="231"/>
      <c r="Z735" s="231"/>
      <c r="AA735" s="231"/>
      <c r="AB735" s="231"/>
      <c r="AC735" s="231"/>
    </row>
    <row r="736" ht="24.75" hidden="1" customHeight="1" outlineLevel="1">
      <c r="A736" s="449">
        <v>45699.0</v>
      </c>
      <c r="B736" s="450" t="s">
        <v>35</v>
      </c>
      <c r="C736" s="450" t="s">
        <v>715</v>
      </c>
      <c r="D736" s="454" t="s">
        <v>662</v>
      </c>
      <c r="E736" s="455" t="s">
        <v>717</v>
      </c>
      <c r="F736" s="249"/>
      <c r="G736" s="249"/>
      <c r="H736" s="249"/>
      <c r="I736" s="231"/>
      <c r="J736" s="231"/>
      <c r="K736" s="231"/>
      <c r="L736" s="231"/>
      <c r="M736" s="231"/>
      <c r="N736" s="231"/>
      <c r="O736" s="231"/>
      <c r="P736" s="231"/>
      <c r="Q736" s="231"/>
      <c r="R736" s="231"/>
      <c r="S736" s="231"/>
      <c r="T736" s="231"/>
      <c r="U736" s="231"/>
      <c r="V736" s="231"/>
      <c r="W736" s="231"/>
      <c r="X736" s="231"/>
      <c r="Y736" s="231"/>
      <c r="Z736" s="231"/>
      <c r="AA736" s="231"/>
      <c r="AB736" s="231"/>
      <c r="AC736" s="231"/>
    </row>
    <row r="737" ht="24.75" hidden="1" customHeight="1" outlineLevel="1">
      <c r="A737" s="449">
        <v>45699.0</v>
      </c>
      <c r="B737" s="450" t="s">
        <v>898</v>
      </c>
      <c r="C737" s="451" t="s">
        <v>715</v>
      </c>
      <c r="D737" s="454" t="s">
        <v>662</v>
      </c>
      <c r="E737" s="455" t="s">
        <v>717</v>
      </c>
      <c r="F737" s="249"/>
      <c r="G737" s="249"/>
      <c r="H737" s="249"/>
      <c r="I737" s="231"/>
      <c r="J737" s="231"/>
      <c r="K737" s="231"/>
      <c r="L737" s="231"/>
      <c r="M737" s="231"/>
      <c r="N737" s="231"/>
      <c r="O737" s="231"/>
      <c r="P737" s="231"/>
      <c r="Q737" s="231"/>
      <c r="R737" s="231"/>
      <c r="S737" s="231"/>
      <c r="T737" s="231"/>
      <c r="U737" s="231"/>
      <c r="V737" s="231"/>
      <c r="W737" s="231"/>
      <c r="X737" s="231"/>
      <c r="Y737" s="231"/>
      <c r="Z737" s="231"/>
      <c r="AA737" s="231"/>
      <c r="AB737" s="231"/>
      <c r="AC737" s="231"/>
    </row>
    <row r="738" ht="24.75" hidden="1" customHeight="1" outlineLevel="1">
      <c r="A738" s="449">
        <v>45699.0</v>
      </c>
      <c r="B738" s="450" t="s">
        <v>736</v>
      </c>
      <c r="C738" s="451" t="s">
        <v>895</v>
      </c>
      <c r="D738" s="454" t="s">
        <v>662</v>
      </c>
      <c r="E738" s="455" t="s">
        <v>717</v>
      </c>
      <c r="F738" s="249"/>
      <c r="G738" s="249"/>
      <c r="H738" s="249"/>
      <c r="I738" s="231"/>
      <c r="J738" s="231"/>
      <c r="K738" s="231"/>
      <c r="L738" s="231"/>
      <c r="M738" s="231"/>
      <c r="N738" s="231"/>
      <c r="O738" s="231"/>
      <c r="P738" s="231"/>
      <c r="Q738" s="231"/>
      <c r="R738" s="231"/>
      <c r="S738" s="231"/>
      <c r="T738" s="231"/>
      <c r="U738" s="231"/>
      <c r="V738" s="231"/>
      <c r="W738" s="231"/>
      <c r="X738" s="231"/>
      <c r="Y738" s="231"/>
      <c r="Z738" s="231"/>
      <c r="AA738" s="231"/>
      <c r="AB738" s="231"/>
      <c r="AC738" s="231"/>
    </row>
    <row r="739" ht="24.75" hidden="1" customHeight="1" outlineLevel="1">
      <c r="A739" s="449">
        <v>45700.0</v>
      </c>
      <c r="B739" s="450" t="s">
        <v>708</v>
      </c>
      <c r="C739" s="358" t="s">
        <v>1134</v>
      </c>
      <c r="D739" s="456" t="s">
        <v>1177</v>
      </c>
      <c r="E739" s="457" t="s">
        <v>685</v>
      </c>
      <c r="F739" s="249"/>
      <c r="G739" s="249"/>
      <c r="H739" s="249"/>
      <c r="I739" s="231"/>
      <c r="J739" s="231"/>
      <c r="K739" s="231"/>
      <c r="L739" s="231"/>
      <c r="M739" s="231"/>
      <c r="N739" s="231"/>
      <c r="O739" s="231"/>
      <c r="P739" s="231"/>
      <c r="Q739" s="231"/>
      <c r="R739" s="231"/>
      <c r="S739" s="231"/>
      <c r="T739" s="231"/>
      <c r="U739" s="231"/>
      <c r="V739" s="231"/>
      <c r="W739" s="231"/>
      <c r="X739" s="231"/>
      <c r="Y739" s="231"/>
      <c r="Z739" s="231"/>
      <c r="AA739" s="231"/>
      <c r="AB739" s="231"/>
      <c r="AC739" s="231"/>
    </row>
    <row r="740" ht="24.75" hidden="1" customHeight="1" outlineLevel="1">
      <c r="A740" s="449">
        <v>45700.0</v>
      </c>
      <c r="B740" s="450" t="s">
        <v>686</v>
      </c>
      <c r="C740" s="451" t="s">
        <v>884</v>
      </c>
      <c r="D740" s="456" t="s">
        <v>1177</v>
      </c>
      <c r="E740" s="457" t="s">
        <v>685</v>
      </c>
      <c r="F740" s="249"/>
      <c r="G740" s="249"/>
      <c r="H740" s="249" t="s">
        <v>905</v>
      </c>
      <c r="I740" s="231"/>
      <c r="J740" s="231"/>
      <c r="K740" s="231"/>
      <c r="L740" s="231"/>
      <c r="M740" s="231"/>
      <c r="N740" s="231"/>
      <c r="O740" s="231"/>
      <c r="P740" s="231"/>
      <c r="Q740" s="231"/>
      <c r="R740" s="231"/>
      <c r="S740" s="231"/>
      <c r="T740" s="231"/>
      <c r="U740" s="231"/>
      <c r="V740" s="231"/>
      <c r="W740" s="231"/>
      <c r="X740" s="231"/>
      <c r="Y740" s="231"/>
      <c r="Z740" s="231"/>
      <c r="AA740" s="231"/>
      <c r="AB740" s="231"/>
      <c r="AC740" s="231"/>
    </row>
    <row r="741" ht="24.75" hidden="1" customHeight="1" outlineLevel="1">
      <c r="A741" s="449">
        <v>45700.0</v>
      </c>
      <c r="B741" s="450" t="s">
        <v>743</v>
      </c>
      <c r="C741" s="451" t="s">
        <v>895</v>
      </c>
      <c r="D741" s="454" t="s">
        <v>662</v>
      </c>
      <c r="E741" s="455" t="s">
        <v>717</v>
      </c>
      <c r="F741" s="249"/>
      <c r="G741" s="249"/>
      <c r="H741" s="249"/>
      <c r="I741" s="231"/>
      <c r="J741" s="231"/>
      <c r="K741" s="231"/>
      <c r="L741" s="231"/>
      <c r="M741" s="231"/>
      <c r="N741" s="231"/>
      <c r="O741" s="231"/>
      <c r="P741" s="231"/>
      <c r="Q741" s="231"/>
      <c r="R741" s="231"/>
      <c r="S741" s="231"/>
      <c r="T741" s="231"/>
      <c r="U741" s="231"/>
      <c r="V741" s="231"/>
      <c r="W741" s="231"/>
      <c r="X741" s="231"/>
      <c r="Y741" s="231"/>
      <c r="Z741" s="231"/>
      <c r="AA741" s="231"/>
      <c r="AB741" s="231"/>
      <c r="AC741" s="231"/>
    </row>
    <row r="742" ht="24.75" hidden="1" customHeight="1" outlineLevel="1">
      <c r="A742" s="449">
        <v>45700.0</v>
      </c>
      <c r="B742" s="456" t="s">
        <v>414</v>
      </c>
      <c r="C742" s="451"/>
      <c r="D742" s="458" t="s">
        <v>1178</v>
      </c>
      <c r="E742" s="457" t="s">
        <v>685</v>
      </c>
      <c r="F742" s="249"/>
      <c r="G742" s="249"/>
      <c r="H742" s="249"/>
      <c r="I742" s="231"/>
      <c r="J742" s="231"/>
      <c r="K742" s="231"/>
      <c r="L742" s="231"/>
      <c r="M742" s="231"/>
      <c r="N742" s="231"/>
      <c r="O742" s="231"/>
      <c r="P742" s="231"/>
      <c r="Q742" s="231"/>
      <c r="R742" s="231"/>
      <c r="S742" s="231"/>
      <c r="T742" s="231"/>
      <c r="U742" s="231"/>
      <c r="V742" s="231"/>
      <c r="W742" s="231"/>
      <c r="X742" s="231"/>
      <c r="Y742" s="231"/>
      <c r="Z742" s="231"/>
      <c r="AA742" s="231"/>
      <c r="AB742" s="231"/>
      <c r="AC742" s="231"/>
    </row>
    <row r="743" ht="24.75" hidden="1" customHeight="1" outlineLevel="1">
      <c r="A743" s="449">
        <v>45700.0</v>
      </c>
      <c r="B743" s="450" t="s">
        <v>680</v>
      </c>
      <c r="C743" s="451" t="s">
        <v>715</v>
      </c>
      <c r="D743" s="459" t="s">
        <v>739</v>
      </c>
      <c r="E743" s="455" t="s">
        <v>717</v>
      </c>
      <c r="F743" s="204"/>
      <c r="G743" s="204"/>
      <c r="H743" s="204"/>
      <c r="I743" s="231"/>
      <c r="J743" s="231"/>
      <c r="K743" s="231"/>
      <c r="L743" s="231"/>
      <c r="M743" s="231"/>
      <c r="N743" s="231"/>
      <c r="O743" s="231"/>
      <c r="P743" s="231"/>
      <c r="Q743" s="231"/>
      <c r="R743" s="231"/>
      <c r="S743" s="231"/>
      <c r="T743" s="231"/>
      <c r="U743" s="231"/>
      <c r="V743" s="231"/>
      <c r="W743" s="231"/>
      <c r="X743" s="231"/>
      <c r="Y743" s="231"/>
      <c r="Z743" s="231"/>
      <c r="AA743" s="231"/>
      <c r="AB743" s="231"/>
      <c r="AC743" s="231"/>
    </row>
    <row r="744" ht="24.75" customHeight="1">
      <c r="A744" s="231"/>
      <c r="B744" s="231"/>
      <c r="C744" s="231"/>
      <c r="D744" s="231"/>
      <c r="E744" s="225"/>
      <c r="F744" s="231"/>
      <c r="G744" s="231"/>
      <c r="H744" s="231"/>
      <c r="I744" s="231"/>
      <c r="J744" s="231"/>
      <c r="K744" s="231"/>
      <c r="L744" s="231"/>
      <c r="M744" s="231"/>
      <c r="N744" s="231"/>
      <c r="O744" s="231"/>
      <c r="P744" s="231"/>
      <c r="Q744" s="231"/>
      <c r="R744" s="231"/>
      <c r="S744" s="231"/>
      <c r="T744" s="231"/>
      <c r="U744" s="231"/>
      <c r="V744" s="231"/>
      <c r="W744" s="231"/>
      <c r="X744" s="231"/>
      <c r="Y744" s="231"/>
      <c r="Z744" s="231"/>
      <c r="AA744" s="231"/>
      <c r="AB744" s="231"/>
      <c r="AC744" s="231"/>
    </row>
    <row r="745" ht="24.75" customHeight="1" collapsed="1">
      <c r="A745" s="237" t="s">
        <v>1179</v>
      </c>
      <c r="B745" s="231"/>
      <c r="C745" s="231"/>
      <c r="D745" s="231"/>
      <c r="E745" s="225"/>
      <c r="F745" s="231"/>
      <c r="G745" s="231"/>
      <c r="H745" s="231"/>
      <c r="I745" s="231"/>
      <c r="J745" s="231"/>
      <c r="K745" s="231"/>
      <c r="L745" s="231"/>
      <c r="M745" s="231"/>
      <c r="N745" s="231"/>
      <c r="O745" s="231"/>
      <c r="P745" s="231"/>
      <c r="Q745" s="231"/>
      <c r="R745" s="231"/>
      <c r="S745" s="231"/>
      <c r="T745" s="231"/>
      <c r="U745" s="231"/>
      <c r="V745" s="231"/>
      <c r="W745" s="231"/>
      <c r="X745" s="231"/>
      <c r="Y745" s="231"/>
      <c r="Z745" s="231"/>
      <c r="AA745" s="231"/>
      <c r="AB745" s="231"/>
      <c r="AC745" s="231"/>
    </row>
    <row r="746" ht="24.75" hidden="1" customHeight="1" outlineLevel="1">
      <c r="A746" s="329" t="s">
        <v>647</v>
      </c>
      <c r="B746" s="330" t="s">
        <v>648</v>
      </c>
      <c r="C746" s="330" t="s">
        <v>649</v>
      </c>
      <c r="D746" s="330" t="s">
        <v>650</v>
      </c>
      <c r="E746" s="330" t="s">
        <v>651</v>
      </c>
      <c r="F746" s="231"/>
      <c r="G746" s="231"/>
      <c r="H746" s="231"/>
      <c r="I746" s="231"/>
      <c r="J746" s="231"/>
      <c r="K746" s="231"/>
      <c r="L746" s="231"/>
      <c r="M746" s="231"/>
      <c r="N746" s="231"/>
      <c r="O746" s="231"/>
      <c r="P746" s="231"/>
      <c r="Q746" s="231"/>
      <c r="R746" s="231"/>
      <c r="S746" s="231"/>
      <c r="T746" s="231"/>
      <c r="U746" s="231"/>
      <c r="V746" s="231"/>
      <c r="W746" s="231"/>
      <c r="X746" s="231"/>
      <c r="Y746" s="231"/>
      <c r="Z746" s="231"/>
      <c r="AA746" s="231"/>
      <c r="AB746" s="231"/>
      <c r="AC746" s="231"/>
    </row>
    <row r="747" ht="24.75" hidden="1" customHeight="1" outlineLevel="1">
      <c r="A747" s="339">
        <v>45712.0</v>
      </c>
      <c r="B747" s="235" t="s">
        <v>731</v>
      </c>
      <c r="C747" s="358" t="s">
        <v>1134</v>
      </c>
      <c r="D747" s="234" t="s">
        <v>1180</v>
      </c>
      <c r="E747" s="305" t="s">
        <v>717</v>
      </c>
      <c r="F747" s="231"/>
      <c r="G747" s="231"/>
      <c r="H747" s="231"/>
      <c r="I747" s="231"/>
      <c r="J747" s="231"/>
      <c r="K747" s="231"/>
      <c r="L747" s="231"/>
      <c r="M747" s="231"/>
      <c r="N747" s="231"/>
      <c r="O747" s="231"/>
      <c r="P747" s="231"/>
      <c r="Q747" s="231"/>
      <c r="R747" s="231"/>
      <c r="S747" s="231"/>
      <c r="T747" s="231"/>
      <c r="U747" s="231"/>
      <c r="V747" s="231"/>
      <c r="W747" s="231"/>
      <c r="X747" s="231"/>
      <c r="Y747" s="231"/>
      <c r="Z747" s="231"/>
      <c r="AA747" s="231"/>
      <c r="AB747" s="231"/>
      <c r="AC747" s="231"/>
    </row>
    <row r="748" ht="24.75" hidden="1" customHeight="1" outlineLevel="1">
      <c r="A748" s="339">
        <v>45712.0</v>
      </c>
      <c r="B748" s="235" t="s">
        <v>801</v>
      </c>
      <c r="C748" s="235" t="s">
        <v>715</v>
      </c>
      <c r="D748" s="333" t="s">
        <v>662</v>
      </c>
      <c r="E748" s="305" t="s">
        <v>717</v>
      </c>
      <c r="F748" s="231"/>
      <c r="G748" s="231"/>
      <c r="H748" s="231"/>
      <c r="I748" s="231"/>
      <c r="J748" s="231"/>
      <c r="K748" s="231"/>
      <c r="L748" s="231"/>
      <c r="M748" s="231"/>
      <c r="N748" s="231"/>
      <c r="O748" s="231"/>
      <c r="P748" s="231"/>
      <c r="Q748" s="231"/>
      <c r="R748" s="231"/>
      <c r="S748" s="231"/>
      <c r="T748" s="231"/>
      <c r="U748" s="231"/>
      <c r="V748" s="231"/>
      <c r="W748" s="231"/>
      <c r="X748" s="231"/>
      <c r="Y748" s="231"/>
      <c r="Z748" s="231"/>
      <c r="AA748" s="231"/>
      <c r="AB748" s="231"/>
      <c r="AC748" s="231"/>
    </row>
    <row r="749" ht="24.75" hidden="1" customHeight="1" outlineLevel="1">
      <c r="A749" s="339">
        <v>45712.0</v>
      </c>
      <c r="B749" s="253" t="s">
        <v>699</v>
      </c>
      <c r="C749" s="261" t="s">
        <v>934</v>
      </c>
      <c r="D749" s="234" t="s">
        <v>1181</v>
      </c>
      <c r="E749" s="305" t="s">
        <v>717</v>
      </c>
      <c r="F749" s="231"/>
      <c r="G749" s="231"/>
      <c r="H749" s="231"/>
      <c r="I749" s="231"/>
      <c r="J749" s="231"/>
      <c r="K749" s="231"/>
      <c r="L749" s="231"/>
      <c r="M749" s="231"/>
      <c r="N749" s="231"/>
      <c r="O749" s="231"/>
      <c r="P749" s="231"/>
      <c r="Q749" s="231"/>
      <c r="R749" s="231"/>
      <c r="S749" s="231"/>
      <c r="T749" s="231"/>
      <c r="U749" s="231"/>
      <c r="V749" s="231"/>
      <c r="W749" s="231"/>
      <c r="X749" s="231"/>
      <c r="Y749" s="231"/>
      <c r="Z749" s="231"/>
      <c r="AA749" s="231"/>
      <c r="AB749" s="231"/>
      <c r="AC749" s="231"/>
    </row>
    <row r="750" ht="24.75" hidden="1" customHeight="1" outlineLevel="1">
      <c r="A750" s="353">
        <v>45713.0</v>
      </c>
      <c r="B750" s="235" t="s">
        <v>35</v>
      </c>
      <c r="C750" s="235" t="s">
        <v>715</v>
      </c>
      <c r="D750" s="333" t="s">
        <v>662</v>
      </c>
      <c r="E750" s="305" t="s">
        <v>717</v>
      </c>
      <c r="F750" s="231"/>
      <c r="G750" s="231"/>
      <c r="H750" s="231"/>
      <c r="I750" s="231"/>
      <c r="J750" s="231"/>
      <c r="K750" s="231"/>
      <c r="L750" s="231"/>
      <c r="M750" s="231"/>
      <c r="N750" s="231"/>
      <c r="O750" s="231"/>
      <c r="P750" s="231"/>
      <c r="Q750" s="231"/>
      <c r="R750" s="231"/>
      <c r="S750" s="231"/>
      <c r="T750" s="231"/>
      <c r="U750" s="231"/>
      <c r="V750" s="231"/>
      <c r="W750" s="231"/>
      <c r="X750" s="231"/>
      <c r="Y750" s="231"/>
      <c r="Z750" s="231"/>
      <c r="AA750" s="231"/>
      <c r="AB750" s="231"/>
      <c r="AC750" s="231"/>
    </row>
    <row r="751" ht="24.75" hidden="1" customHeight="1" outlineLevel="1">
      <c r="A751" s="353">
        <v>45713.0</v>
      </c>
      <c r="B751" s="235" t="s">
        <v>714</v>
      </c>
      <c r="C751" s="240" t="s">
        <v>715</v>
      </c>
      <c r="D751" s="333" t="s">
        <v>662</v>
      </c>
      <c r="E751" s="305" t="s">
        <v>717</v>
      </c>
      <c r="F751" s="231"/>
      <c r="G751" s="231"/>
      <c r="H751" s="231"/>
      <c r="I751" s="231"/>
      <c r="J751" s="231"/>
      <c r="K751" s="231"/>
      <c r="L751" s="231"/>
      <c r="M751" s="231"/>
      <c r="N751" s="231"/>
      <c r="O751" s="231"/>
      <c r="P751" s="231"/>
      <c r="Q751" s="231"/>
      <c r="R751" s="231"/>
      <c r="S751" s="231"/>
      <c r="T751" s="231"/>
      <c r="U751" s="231"/>
      <c r="V751" s="231"/>
      <c r="W751" s="231"/>
      <c r="X751" s="231"/>
      <c r="Y751" s="231"/>
      <c r="Z751" s="231"/>
      <c r="AA751" s="231"/>
      <c r="AB751" s="231"/>
      <c r="AC751" s="231"/>
    </row>
    <row r="752" ht="24.75" hidden="1" customHeight="1" outlineLevel="1">
      <c r="A752" s="353">
        <v>45713.0</v>
      </c>
      <c r="B752" s="235" t="s">
        <v>736</v>
      </c>
      <c r="C752" s="240" t="s">
        <v>1182</v>
      </c>
      <c r="D752" s="333" t="s">
        <v>662</v>
      </c>
      <c r="E752" s="305" t="s">
        <v>717</v>
      </c>
      <c r="F752" s="231"/>
      <c r="G752" s="231"/>
      <c r="H752" s="231"/>
      <c r="I752" s="231"/>
      <c r="J752" s="231"/>
      <c r="K752" s="231"/>
      <c r="L752" s="231"/>
      <c r="M752" s="231"/>
      <c r="N752" s="231"/>
      <c r="O752" s="231"/>
      <c r="P752" s="231"/>
      <c r="Q752" s="231"/>
      <c r="R752" s="231"/>
      <c r="S752" s="231"/>
      <c r="T752" s="231"/>
      <c r="U752" s="231"/>
      <c r="V752" s="231"/>
      <c r="W752" s="231"/>
      <c r="X752" s="231"/>
      <c r="Y752" s="231"/>
      <c r="Z752" s="231"/>
      <c r="AA752" s="231"/>
      <c r="AB752" s="231"/>
      <c r="AC752" s="231"/>
    </row>
    <row r="753" ht="24.75" hidden="1" customHeight="1" outlineLevel="1">
      <c r="A753" s="353">
        <v>45713.0</v>
      </c>
      <c r="B753" s="235" t="s">
        <v>808</v>
      </c>
      <c r="C753" s="261" t="s">
        <v>715</v>
      </c>
      <c r="D753" s="333" t="s">
        <v>662</v>
      </c>
      <c r="E753" s="323" t="s">
        <v>717</v>
      </c>
      <c r="F753" s="231"/>
      <c r="G753" s="231"/>
      <c r="H753" s="231"/>
      <c r="I753" s="231"/>
      <c r="J753" s="231"/>
      <c r="K753" s="231"/>
      <c r="L753" s="231"/>
      <c r="M753" s="231"/>
      <c r="N753" s="231"/>
      <c r="O753" s="231"/>
      <c r="P753" s="231"/>
      <c r="Q753" s="231"/>
      <c r="R753" s="231"/>
      <c r="S753" s="231"/>
      <c r="T753" s="231"/>
      <c r="U753" s="231"/>
      <c r="V753" s="231"/>
      <c r="W753" s="231"/>
      <c r="X753" s="231"/>
      <c r="Y753" s="231"/>
      <c r="Z753" s="231"/>
      <c r="AA753" s="231"/>
      <c r="AB753" s="231"/>
      <c r="AC753" s="231"/>
    </row>
    <row r="754" ht="24.75" customHeight="1">
      <c r="A754" s="231"/>
      <c r="B754" s="231"/>
      <c r="C754" s="231"/>
      <c r="D754" s="231"/>
      <c r="E754" s="225"/>
      <c r="F754" s="231"/>
      <c r="G754" s="231"/>
      <c r="H754" s="231"/>
      <c r="I754" s="231"/>
      <c r="J754" s="231"/>
      <c r="K754" s="231"/>
      <c r="L754" s="231"/>
      <c r="M754" s="231"/>
      <c r="N754" s="231"/>
      <c r="O754" s="231"/>
      <c r="P754" s="231"/>
      <c r="Q754" s="231"/>
      <c r="R754" s="231"/>
      <c r="S754" s="231"/>
      <c r="T754" s="231"/>
      <c r="U754" s="231"/>
      <c r="V754" s="231"/>
      <c r="W754" s="231"/>
      <c r="X754" s="231"/>
      <c r="Y754" s="231"/>
      <c r="Z754" s="231"/>
      <c r="AA754" s="231"/>
      <c r="AB754" s="231"/>
      <c r="AC754" s="231"/>
    </row>
    <row r="755" ht="24.75" customHeight="1" collapsed="1">
      <c r="A755" s="237" t="s">
        <v>1183</v>
      </c>
      <c r="B755" s="231"/>
      <c r="C755" s="231"/>
      <c r="D755" s="231"/>
      <c r="E755" s="225"/>
      <c r="F755" s="231"/>
      <c r="G755" s="231"/>
      <c r="H755" s="231"/>
      <c r="I755" s="231"/>
      <c r="J755" s="231"/>
      <c r="K755" s="231"/>
      <c r="L755" s="231"/>
      <c r="M755" s="231"/>
      <c r="N755" s="231"/>
      <c r="O755" s="231"/>
      <c r="P755" s="231"/>
      <c r="Q755" s="231"/>
      <c r="R755" s="231"/>
      <c r="S755" s="231"/>
      <c r="T755" s="231"/>
      <c r="U755" s="231"/>
      <c r="V755" s="231"/>
      <c r="W755" s="231"/>
      <c r="X755" s="231"/>
      <c r="Y755" s="231"/>
      <c r="Z755" s="231"/>
      <c r="AA755" s="231"/>
      <c r="AB755" s="231"/>
      <c r="AC755" s="231"/>
    </row>
    <row r="756" ht="24.75" hidden="1" customHeight="1" outlineLevel="1">
      <c r="A756" s="329" t="s">
        <v>647</v>
      </c>
      <c r="B756" s="330" t="s">
        <v>648</v>
      </c>
      <c r="C756" s="330" t="s">
        <v>649</v>
      </c>
      <c r="D756" s="330" t="s">
        <v>650</v>
      </c>
      <c r="E756" s="330" t="s">
        <v>651</v>
      </c>
      <c r="F756" s="237"/>
      <c r="G756" s="237"/>
      <c r="H756" s="237" t="s">
        <v>1109</v>
      </c>
      <c r="I756" s="231"/>
      <c r="J756" s="231"/>
      <c r="K756" s="231"/>
      <c r="L756" s="231"/>
      <c r="M756" s="231"/>
      <c r="N756" s="231"/>
      <c r="O756" s="231"/>
      <c r="P756" s="231"/>
      <c r="Q756" s="231"/>
      <c r="R756" s="231"/>
      <c r="S756" s="231"/>
      <c r="T756" s="231"/>
      <c r="U756" s="231"/>
      <c r="V756" s="231"/>
      <c r="W756" s="231"/>
      <c r="X756" s="231"/>
      <c r="Y756" s="231"/>
      <c r="Z756" s="231"/>
      <c r="AA756" s="231"/>
      <c r="AB756" s="231"/>
      <c r="AC756" s="231"/>
    </row>
    <row r="757" ht="24.75" hidden="1" customHeight="1" outlineLevel="1">
      <c r="A757" s="282">
        <v>45737.0</v>
      </c>
      <c r="B757" s="235" t="s">
        <v>714</v>
      </c>
      <c r="C757" s="358" t="s">
        <v>715</v>
      </c>
      <c r="D757" s="397" t="s">
        <v>662</v>
      </c>
      <c r="E757" s="305" t="s">
        <v>717</v>
      </c>
      <c r="F757" s="237"/>
      <c r="G757" s="237"/>
      <c r="H757" s="237" t="s">
        <v>1067</v>
      </c>
      <c r="I757" s="237" t="s">
        <v>922</v>
      </c>
      <c r="K757" s="237" t="s">
        <v>1184</v>
      </c>
      <c r="L757" s="231"/>
      <c r="M757" s="231"/>
      <c r="N757" s="231"/>
      <c r="O757" s="231"/>
      <c r="P757" s="231"/>
      <c r="Q757" s="231"/>
      <c r="R757" s="231"/>
      <c r="S757" s="231"/>
      <c r="T757" s="231"/>
      <c r="U757" s="231"/>
      <c r="V757" s="231"/>
      <c r="W757" s="231"/>
      <c r="X757" s="231"/>
      <c r="Y757" s="231"/>
      <c r="Z757" s="231"/>
      <c r="AA757" s="231"/>
      <c r="AB757" s="231"/>
      <c r="AC757" s="231"/>
    </row>
    <row r="758" ht="24.75" hidden="1" customHeight="1" outlineLevel="1">
      <c r="A758" s="282">
        <v>45737.0</v>
      </c>
      <c r="B758" s="235" t="s">
        <v>35</v>
      </c>
      <c r="C758" s="235" t="s">
        <v>715</v>
      </c>
      <c r="D758" s="397" t="s">
        <v>662</v>
      </c>
      <c r="E758" s="305" t="s">
        <v>717</v>
      </c>
      <c r="F758" s="237"/>
      <c r="G758" s="237"/>
      <c r="H758" s="237" t="s">
        <v>1110</v>
      </c>
      <c r="I758" s="231"/>
      <c r="J758" s="231"/>
      <c r="K758" s="231"/>
      <c r="L758" s="231"/>
      <c r="M758" s="231"/>
      <c r="N758" s="231"/>
      <c r="O758" s="231"/>
      <c r="P758" s="231"/>
      <c r="Q758" s="231"/>
      <c r="R758" s="231"/>
      <c r="S758" s="231"/>
      <c r="T758" s="231"/>
      <c r="U758" s="231"/>
      <c r="V758" s="231"/>
      <c r="W758" s="231"/>
      <c r="X758" s="231"/>
      <c r="Y758" s="231"/>
      <c r="Z758" s="231"/>
      <c r="AA758" s="231"/>
      <c r="AB758" s="231"/>
      <c r="AC758" s="231"/>
    </row>
    <row r="759" ht="24.75" hidden="1" customHeight="1" outlineLevel="1">
      <c r="A759" s="282">
        <v>45737.0</v>
      </c>
      <c r="B759" s="235" t="s">
        <v>663</v>
      </c>
      <c r="C759" s="397" t="s">
        <v>911</v>
      </c>
      <c r="D759" s="397" t="s">
        <v>1185</v>
      </c>
      <c r="E759" s="460" t="s">
        <v>685</v>
      </c>
      <c r="F759" s="237"/>
      <c r="G759" s="237"/>
      <c r="H759" s="237"/>
      <c r="I759" s="237"/>
      <c r="J759" s="231"/>
      <c r="K759" s="231"/>
      <c r="L759" s="231"/>
      <c r="M759" s="231"/>
      <c r="N759" s="231"/>
      <c r="O759" s="231"/>
      <c r="P759" s="231"/>
      <c r="Q759" s="237"/>
      <c r="R759" s="224"/>
      <c r="S759" s="224"/>
      <c r="T759" s="224"/>
      <c r="U759" s="224"/>
      <c r="V759" s="224"/>
      <c r="W759" s="237"/>
      <c r="X759" s="231"/>
      <c r="Y759" s="231"/>
      <c r="Z759" s="231"/>
      <c r="AA759" s="231"/>
      <c r="AB759" s="231"/>
      <c r="AC759" s="231"/>
    </row>
    <row r="760" ht="24.75" hidden="1" customHeight="1" outlineLevel="1">
      <c r="A760" s="282">
        <v>45737.0</v>
      </c>
      <c r="B760" s="432" t="s">
        <v>179</v>
      </c>
      <c r="C760" s="433" t="s">
        <v>715</v>
      </c>
      <c r="D760" s="358" t="s">
        <v>662</v>
      </c>
      <c r="E760" s="305" t="s">
        <v>717</v>
      </c>
      <c r="F760" s="223"/>
      <c r="G760" s="223"/>
      <c r="H760" s="223" t="s">
        <v>1117</v>
      </c>
      <c r="I760" s="231"/>
      <c r="J760" s="231"/>
      <c r="K760" s="231"/>
      <c r="L760" s="231"/>
      <c r="M760" s="231"/>
      <c r="N760" s="231"/>
      <c r="O760" s="231"/>
      <c r="P760" s="231"/>
      <c r="Q760" s="237"/>
      <c r="R760" s="461"/>
      <c r="S760" s="461"/>
      <c r="T760" s="461"/>
      <c r="U760" s="461"/>
      <c r="V760" s="461"/>
      <c r="W760" s="237"/>
      <c r="X760" s="231"/>
      <c r="Y760" s="231"/>
      <c r="Z760" s="231"/>
      <c r="AA760" s="231"/>
      <c r="AB760" s="231"/>
      <c r="AC760" s="231"/>
    </row>
    <row r="761" ht="24.75" hidden="1" customHeight="1" outlineLevel="1">
      <c r="A761" s="282">
        <v>45737.0</v>
      </c>
      <c r="B761" s="435" t="s">
        <v>211</v>
      </c>
      <c r="C761" s="433"/>
      <c r="D761" s="358" t="s">
        <v>662</v>
      </c>
      <c r="E761" s="305" t="s">
        <v>717</v>
      </c>
      <c r="F761" s="223"/>
      <c r="G761" s="223"/>
      <c r="H761" s="223" t="s">
        <v>1117</v>
      </c>
      <c r="I761" s="231"/>
      <c r="J761" s="231"/>
      <c r="K761" s="231"/>
      <c r="L761" s="231"/>
      <c r="M761" s="231"/>
      <c r="N761" s="231"/>
      <c r="O761" s="231"/>
      <c r="P761" s="231"/>
      <c r="Q761" s="237"/>
      <c r="R761" s="461"/>
      <c r="S761" s="461"/>
      <c r="T761" s="461"/>
      <c r="U761" s="461"/>
      <c r="V761" s="461"/>
      <c r="W761" s="231"/>
      <c r="X761" s="231"/>
      <c r="Y761" s="231"/>
      <c r="Z761" s="231"/>
      <c r="AA761" s="231"/>
      <c r="AB761" s="231"/>
      <c r="AC761" s="231"/>
    </row>
    <row r="762" ht="24.75" hidden="1" customHeight="1" outlineLevel="1">
      <c r="A762" s="282">
        <v>45738.0</v>
      </c>
      <c r="B762" s="235" t="s">
        <v>691</v>
      </c>
      <c r="C762" s="358" t="s">
        <v>715</v>
      </c>
      <c r="D762" s="358" t="s">
        <v>662</v>
      </c>
      <c r="E762" s="305" t="s">
        <v>717</v>
      </c>
      <c r="F762" s="237"/>
      <c r="G762" s="237"/>
      <c r="H762" s="237" t="s">
        <v>1126</v>
      </c>
      <c r="I762" s="231"/>
      <c r="J762" s="231"/>
      <c r="K762" s="231"/>
      <c r="L762" s="231"/>
      <c r="M762" s="231"/>
      <c r="N762" s="231"/>
      <c r="O762" s="231"/>
      <c r="P762" s="231"/>
      <c r="Q762" s="237"/>
      <c r="R762" s="461"/>
      <c r="S762" s="461"/>
      <c r="T762" s="461"/>
      <c r="U762" s="461"/>
      <c r="V762" s="461"/>
      <c r="W762" s="462"/>
      <c r="X762" s="231"/>
      <c r="Y762" s="231"/>
      <c r="Z762" s="231"/>
      <c r="AA762" s="231"/>
      <c r="AB762" s="231"/>
      <c r="AC762" s="231"/>
    </row>
    <row r="763" ht="24.75" hidden="1" customHeight="1" outlineLevel="1">
      <c r="A763" s="282">
        <v>45738.0</v>
      </c>
      <c r="B763" s="338" t="s">
        <v>692</v>
      </c>
      <c r="C763" s="358" t="s">
        <v>1129</v>
      </c>
      <c r="D763" s="358" t="s">
        <v>662</v>
      </c>
      <c r="E763" s="305" t="s">
        <v>717</v>
      </c>
      <c r="F763" s="237"/>
      <c r="G763" s="237"/>
      <c r="H763" s="237" t="s">
        <v>1131</v>
      </c>
      <c r="I763" s="237"/>
      <c r="J763" s="231"/>
      <c r="K763" s="231"/>
      <c r="L763" s="231"/>
      <c r="M763" s="231"/>
      <c r="N763" s="231"/>
      <c r="O763" s="231"/>
      <c r="P763" s="231"/>
      <c r="Q763" s="237"/>
      <c r="R763" s="461"/>
      <c r="S763" s="461"/>
      <c r="T763" s="461"/>
      <c r="U763" s="461"/>
      <c r="V763" s="461"/>
      <c r="W763" s="237"/>
      <c r="X763" s="231"/>
      <c r="Y763" s="231"/>
      <c r="Z763" s="231"/>
      <c r="AA763" s="231"/>
      <c r="AB763" s="231"/>
      <c r="AC763" s="231"/>
    </row>
    <row r="764" ht="24.75" hidden="1" customHeight="1" outlineLevel="1">
      <c r="A764" s="282">
        <v>45738.0</v>
      </c>
      <c r="B764" s="338" t="s">
        <v>695</v>
      </c>
      <c r="C764" s="358" t="s">
        <v>1134</v>
      </c>
      <c r="D764" s="358" t="s">
        <v>1186</v>
      </c>
      <c r="E764" s="379" t="s">
        <v>685</v>
      </c>
      <c r="F764" s="237"/>
      <c r="G764" s="237"/>
      <c r="H764" s="237" t="s">
        <v>1135</v>
      </c>
      <c r="I764" s="231"/>
      <c r="J764" s="231"/>
      <c r="K764" s="231"/>
      <c r="L764" s="231"/>
      <c r="M764" s="231"/>
      <c r="N764" s="231"/>
      <c r="O764" s="231"/>
      <c r="P764" s="231"/>
      <c r="Q764" s="237"/>
      <c r="R764" s="461"/>
      <c r="S764" s="461"/>
      <c r="T764" s="461"/>
      <c r="U764" s="461"/>
      <c r="V764" s="461"/>
      <c r="W764" s="237"/>
      <c r="X764" s="231"/>
      <c r="Y764" s="231"/>
      <c r="Z764" s="231"/>
      <c r="AA764" s="231"/>
      <c r="AB764" s="231"/>
      <c r="AC764" s="231"/>
    </row>
    <row r="765" hidden="1" outlineLevel="1">
      <c r="A765" s="282">
        <v>45739.0</v>
      </c>
      <c r="B765" s="371" t="s">
        <v>1138</v>
      </c>
      <c r="C765" s="358" t="s">
        <v>1187</v>
      </c>
      <c r="D765" s="358" t="s">
        <v>1186</v>
      </c>
      <c r="E765" s="379" t="s">
        <v>685</v>
      </c>
      <c r="F765" s="237"/>
      <c r="G765" s="237"/>
      <c r="H765" s="237" t="s">
        <v>1188</v>
      </c>
      <c r="I765" s="231"/>
      <c r="J765" s="231"/>
      <c r="K765" s="231"/>
      <c r="L765" s="231"/>
      <c r="M765" s="231"/>
      <c r="N765" s="231"/>
      <c r="O765" s="231"/>
      <c r="P765" s="231"/>
      <c r="Q765" s="237"/>
      <c r="R765" s="461"/>
      <c r="S765" s="461"/>
      <c r="T765" s="461"/>
      <c r="U765" s="461"/>
      <c r="V765" s="461"/>
      <c r="W765" s="237"/>
      <c r="X765" s="231"/>
      <c r="Y765" s="231"/>
      <c r="Z765" s="231"/>
      <c r="AA765" s="231"/>
      <c r="AB765" s="231"/>
      <c r="AC765" s="231"/>
    </row>
    <row r="766" ht="24.75" hidden="1" customHeight="1" outlineLevel="1">
      <c r="A766" s="282">
        <v>45739.0</v>
      </c>
      <c r="B766" s="235" t="s">
        <v>1144</v>
      </c>
      <c r="C766" s="358" t="s">
        <v>1145</v>
      </c>
      <c r="D766" s="463" t="s">
        <v>1189</v>
      </c>
      <c r="E766" s="305" t="s">
        <v>717</v>
      </c>
      <c r="F766" s="237"/>
      <c r="G766" s="237"/>
      <c r="H766" s="237" t="s">
        <v>1190</v>
      </c>
      <c r="I766" s="231"/>
      <c r="J766" s="231"/>
      <c r="K766" s="231"/>
      <c r="L766" s="231"/>
      <c r="M766" s="231"/>
      <c r="N766" s="231"/>
      <c r="O766" s="231"/>
      <c r="P766" s="231"/>
      <c r="Q766" s="237"/>
      <c r="R766" s="461"/>
      <c r="S766" s="461"/>
      <c r="T766" s="461"/>
      <c r="U766" s="461"/>
      <c r="V766" s="461"/>
      <c r="W766" s="237"/>
      <c r="X766" s="231"/>
      <c r="Y766" s="231"/>
      <c r="Z766" s="231"/>
      <c r="AA766" s="231"/>
      <c r="AB766" s="231"/>
      <c r="AC766" s="231"/>
    </row>
    <row r="767" ht="24.75" hidden="1" customHeight="1" outlineLevel="1">
      <c r="A767" s="282">
        <v>45739.0</v>
      </c>
      <c r="B767" s="464" t="str">
        <f>HYPERLINK("https://docs.google.com/spreadsheets/d/14VRt1DzygoL3ldywdTGi4p4-5N6W0OO9Ugf6GEHXv1k/edit#gid=351252924","☆TP部メルマガ")</f>
        <v>☆TP部メルマガ</v>
      </c>
      <c r="C767" s="358" t="s">
        <v>741</v>
      </c>
      <c r="D767" s="358" t="s">
        <v>662</v>
      </c>
      <c r="E767" s="305" t="s">
        <v>717</v>
      </c>
      <c r="F767" s="237"/>
      <c r="G767" s="237"/>
      <c r="H767" s="237" t="s">
        <v>1150</v>
      </c>
      <c r="I767" s="231"/>
      <c r="J767" s="231"/>
      <c r="K767" s="231"/>
      <c r="L767" s="231"/>
      <c r="M767" s="231"/>
      <c r="N767" s="231"/>
      <c r="O767" s="231"/>
      <c r="P767" s="231"/>
      <c r="Q767" s="237"/>
      <c r="W767" s="237"/>
      <c r="X767" s="231"/>
      <c r="Y767" s="231"/>
      <c r="Z767" s="231"/>
      <c r="AA767" s="231"/>
      <c r="AB767" s="231"/>
      <c r="AC767" s="231"/>
    </row>
    <row r="768" ht="24.75" hidden="1" customHeight="1" outlineLevel="1">
      <c r="A768" s="282">
        <v>45740.0</v>
      </c>
      <c r="B768" s="465" t="s">
        <v>325</v>
      </c>
      <c r="C768" s="358" t="s">
        <v>1134</v>
      </c>
      <c r="D768" s="358" t="s">
        <v>662</v>
      </c>
      <c r="E768" s="305" t="s">
        <v>717</v>
      </c>
      <c r="F768" s="237"/>
      <c r="G768" s="237"/>
      <c r="H768" s="237" t="s">
        <v>1150</v>
      </c>
      <c r="I768" s="231"/>
      <c r="J768" s="231"/>
      <c r="K768" s="231"/>
      <c r="L768" s="231"/>
      <c r="M768" s="231"/>
      <c r="N768" s="231"/>
      <c r="O768" s="231"/>
      <c r="P768" s="231"/>
      <c r="Q768" s="237"/>
      <c r="R768" s="231"/>
      <c r="S768" s="231"/>
      <c r="T768" s="231"/>
      <c r="U768" s="231"/>
      <c r="V768" s="231"/>
      <c r="W768" s="231"/>
      <c r="X768" s="231"/>
      <c r="Y768" s="231"/>
      <c r="Z768" s="231"/>
      <c r="AA768" s="231"/>
      <c r="AB768" s="231"/>
      <c r="AC768" s="231"/>
    </row>
    <row r="769" ht="24.75" hidden="1" customHeight="1" outlineLevel="1">
      <c r="A769" s="282">
        <v>45740.0</v>
      </c>
      <c r="B769" s="465" t="s">
        <v>330</v>
      </c>
      <c r="C769" s="358" t="s">
        <v>741</v>
      </c>
      <c r="D769" s="358" t="s">
        <v>662</v>
      </c>
      <c r="E769" s="305" t="s">
        <v>717</v>
      </c>
      <c r="F769" s="237"/>
      <c r="G769" s="237"/>
      <c r="H769" s="237" t="s">
        <v>1154</v>
      </c>
      <c r="I769" s="237"/>
      <c r="J769" s="231"/>
      <c r="K769" s="231"/>
      <c r="L769" s="231"/>
      <c r="M769" s="231"/>
      <c r="N769" s="231"/>
      <c r="O769" s="231"/>
      <c r="P769" s="231"/>
      <c r="Q769" s="231"/>
      <c r="R769" s="231"/>
      <c r="S769" s="231"/>
      <c r="T769" s="231"/>
      <c r="U769" s="231"/>
      <c r="V769" s="231"/>
      <c r="W769" s="231"/>
      <c r="X769" s="231"/>
      <c r="Y769" s="231"/>
      <c r="Z769" s="231"/>
      <c r="AA769" s="231"/>
      <c r="AB769" s="231"/>
      <c r="AC769" s="231"/>
    </row>
    <row r="770" ht="24.75" hidden="1" customHeight="1" outlineLevel="1">
      <c r="A770" s="282">
        <v>45740.0</v>
      </c>
      <c r="B770" s="235" t="s">
        <v>801</v>
      </c>
      <c r="C770" s="235" t="s">
        <v>715</v>
      </c>
      <c r="D770" s="358" t="s">
        <v>662</v>
      </c>
      <c r="E770" s="305" t="s">
        <v>717</v>
      </c>
      <c r="F770" s="237"/>
      <c r="G770" s="237"/>
      <c r="H770" s="237" t="s">
        <v>1155</v>
      </c>
      <c r="I770" s="231"/>
      <c r="J770" s="231"/>
      <c r="K770" s="231"/>
      <c r="L770" s="231"/>
      <c r="M770" s="231"/>
      <c r="N770" s="231"/>
      <c r="O770" s="231"/>
      <c r="P770" s="231"/>
      <c r="Q770" s="231"/>
      <c r="R770" s="231"/>
      <c r="S770" s="231"/>
      <c r="T770" s="231"/>
      <c r="U770" s="231"/>
      <c r="V770" s="231"/>
      <c r="W770" s="231"/>
      <c r="X770" s="231"/>
      <c r="Y770" s="231"/>
      <c r="Z770" s="231"/>
      <c r="AA770" s="231"/>
      <c r="AB770" s="231"/>
      <c r="AC770" s="231"/>
    </row>
    <row r="771" ht="24.75" hidden="1" customHeight="1" outlineLevel="1">
      <c r="A771" s="282">
        <v>45740.0</v>
      </c>
      <c r="B771" s="235" t="s">
        <v>753</v>
      </c>
      <c r="C771" s="261" t="s">
        <v>1156</v>
      </c>
      <c r="D771" s="358" t="s">
        <v>1191</v>
      </c>
      <c r="E771" s="460" t="s">
        <v>685</v>
      </c>
      <c r="F771" s="237"/>
      <c r="G771" s="237"/>
      <c r="H771" s="237" t="s">
        <v>1157</v>
      </c>
      <c r="I771" s="237" t="s">
        <v>1158</v>
      </c>
      <c r="J771" s="231"/>
      <c r="K771" s="231"/>
      <c r="L771" s="231"/>
      <c r="M771" s="231"/>
      <c r="N771" s="231"/>
      <c r="O771" s="231"/>
      <c r="P771" s="231"/>
      <c r="Q771" s="231"/>
      <c r="R771" s="231"/>
      <c r="S771" s="231"/>
      <c r="T771" s="231"/>
      <c r="U771" s="231"/>
      <c r="V771" s="231"/>
      <c r="W771" s="231"/>
      <c r="X771" s="231"/>
      <c r="Y771" s="231"/>
      <c r="Z771" s="231"/>
      <c r="AA771" s="231"/>
      <c r="AB771" s="231"/>
      <c r="AC771" s="231"/>
    </row>
    <row r="772" ht="24.75" hidden="1" customHeight="1" outlineLevel="1">
      <c r="A772" s="282">
        <v>45740.0</v>
      </c>
      <c r="B772" s="235" t="s">
        <v>756</v>
      </c>
      <c r="C772" s="261" t="s">
        <v>1156</v>
      </c>
      <c r="D772" s="358" t="s">
        <v>1191</v>
      </c>
      <c r="E772" s="460" t="s">
        <v>685</v>
      </c>
      <c r="F772" s="237"/>
      <c r="G772" s="237"/>
      <c r="H772" s="237" t="s">
        <v>1157</v>
      </c>
      <c r="I772" s="237" t="s">
        <v>1192</v>
      </c>
      <c r="J772" s="231"/>
      <c r="K772" s="231"/>
      <c r="L772" s="231"/>
      <c r="M772" s="231"/>
      <c r="N772" s="231"/>
      <c r="O772" s="231"/>
      <c r="P772" s="231"/>
      <c r="Q772" s="231"/>
      <c r="R772" s="231"/>
      <c r="S772" s="231"/>
      <c r="T772" s="231"/>
      <c r="U772" s="231"/>
      <c r="V772" s="231"/>
      <c r="W772" s="231"/>
      <c r="X772" s="231"/>
      <c r="Y772" s="231"/>
      <c r="Z772" s="231"/>
      <c r="AA772" s="231"/>
      <c r="AB772" s="231"/>
      <c r="AC772" s="231"/>
    </row>
    <row r="773" ht="24.75" customHeight="1">
      <c r="A773" s="231"/>
      <c r="B773" s="231"/>
      <c r="C773" s="231"/>
      <c r="D773" s="231"/>
      <c r="E773" s="225"/>
      <c r="F773" s="231"/>
      <c r="G773" s="231"/>
      <c r="H773" s="231"/>
      <c r="I773" s="231"/>
      <c r="J773" s="231"/>
      <c r="K773" s="231"/>
      <c r="L773" s="231"/>
      <c r="M773" s="231"/>
      <c r="N773" s="231"/>
      <c r="O773" s="231"/>
      <c r="P773" s="231"/>
      <c r="Q773" s="231"/>
      <c r="R773" s="231"/>
      <c r="S773" s="231"/>
      <c r="T773" s="231"/>
      <c r="U773" s="231"/>
      <c r="V773" s="231"/>
      <c r="W773" s="231"/>
      <c r="X773" s="231"/>
      <c r="Y773" s="231"/>
      <c r="Z773" s="231"/>
      <c r="AA773" s="231"/>
      <c r="AB773" s="231"/>
      <c r="AC773" s="231"/>
    </row>
    <row r="774" ht="24.75" customHeight="1">
      <c r="A774" s="237" t="s">
        <v>1193</v>
      </c>
      <c r="B774" s="231"/>
      <c r="C774" s="231"/>
      <c r="D774" s="231"/>
      <c r="E774" s="225"/>
      <c r="F774" s="231"/>
      <c r="G774" s="231"/>
      <c r="H774" s="231"/>
      <c r="I774" s="231"/>
      <c r="J774" s="231"/>
      <c r="K774" s="231"/>
      <c r="L774" s="231"/>
      <c r="M774" s="231"/>
      <c r="N774" s="231"/>
      <c r="O774" s="231"/>
      <c r="P774" s="231"/>
      <c r="Q774" s="231"/>
      <c r="R774" s="231"/>
      <c r="S774" s="231"/>
      <c r="T774" s="231"/>
      <c r="U774" s="231"/>
      <c r="V774" s="231"/>
      <c r="W774" s="231"/>
      <c r="X774" s="231"/>
      <c r="Y774" s="231"/>
      <c r="Z774" s="231"/>
      <c r="AA774" s="231"/>
      <c r="AB774" s="231"/>
      <c r="AC774" s="231"/>
    </row>
    <row r="775" ht="24.75" customHeight="1" outlineLevel="1">
      <c r="A775" s="329" t="s">
        <v>647</v>
      </c>
      <c r="B775" s="330" t="s">
        <v>648</v>
      </c>
      <c r="C775" s="330" t="s">
        <v>649</v>
      </c>
      <c r="D775" s="330" t="s">
        <v>650</v>
      </c>
      <c r="E775" s="372" t="s">
        <v>1029</v>
      </c>
      <c r="F775" s="237"/>
      <c r="G775" s="237"/>
      <c r="H775" s="237"/>
      <c r="I775" s="231"/>
      <c r="J775" s="231"/>
      <c r="K775" s="231"/>
      <c r="L775" s="231"/>
      <c r="M775" s="231"/>
      <c r="N775" s="231"/>
      <c r="O775" s="231"/>
      <c r="P775" s="231"/>
      <c r="Q775" s="231"/>
      <c r="R775" s="231"/>
      <c r="S775" s="231"/>
      <c r="T775" s="231"/>
      <c r="U775" s="231"/>
      <c r="V775" s="231"/>
      <c r="W775" s="231"/>
      <c r="X775" s="231"/>
      <c r="Y775" s="231"/>
      <c r="Z775" s="231"/>
      <c r="AA775" s="231"/>
      <c r="AB775" s="231"/>
      <c r="AC775" s="231"/>
    </row>
    <row r="776" ht="24.75" customHeight="1" outlineLevel="1">
      <c r="A776" s="282">
        <v>45776.0</v>
      </c>
      <c r="B776" s="277" t="s">
        <v>35</v>
      </c>
      <c r="C776" s="358" t="s">
        <v>715</v>
      </c>
      <c r="D776" s="358" t="s">
        <v>662</v>
      </c>
      <c r="E776" s="466" t="s">
        <v>717</v>
      </c>
      <c r="F776" s="237"/>
      <c r="G776" s="237"/>
      <c r="H776" s="237"/>
      <c r="I776" s="237"/>
      <c r="J776" s="231"/>
      <c r="K776" s="231"/>
      <c r="L776" s="231"/>
      <c r="M776" s="231"/>
      <c r="N776" s="231"/>
      <c r="O776" s="231"/>
      <c r="P776" s="231"/>
      <c r="Q776" s="231"/>
      <c r="R776" s="231"/>
      <c r="S776" s="231"/>
      <c r="T776" s="231"/>
      <c r="U776" s="231"/>
      <c r="V776" s="231"/>
      <c r="W776" s="231"/>
      <c r="X776" s="231"/>
      <c r="Y776" s="231"/>
      <c r="Z776" s="231"/>
      <c r="AA776" s="231"/>
      <c r="AB776" s="231"/>
      <c r="AC776" s="231"/>
    </row>
    <row r="777" ht="24.75" customHeight="1" outlineLevel="1">
      <c r="A777" s="282">
        <v>45776.0</v>
      </c>
      <c r="B777" s="235" t="s">
        <v>714</v>
      </c>
      <c r="C777" s="358" t="s">
        <v>715</v>
      </c>
      <c r="D777" s="467" t="s">
        <v>1194</v>
      </c>
      <c r="E777" s="275" t="s">
        <v>717</v>
      </c>
      <c r="F777" s="237"/>
      <c r="G777" s="237"/>
      <c r="H777" s="237" t="s">
        <v>1067</v>
      </c>
      <c r="I777" s="237" t="s">
        <v>922</v>
      </c>
      <c r="J777" s="231"/>
      <c r="K777" s="231"/>
      <c r="L777" s="231"/>
      <c r="M777" s="231"/>
      <c r="N777" s="231"/>
      <c r="O777" s="231"/>
      <c r="P777" s="231"/>
      <c r="Q777" s="231"/>
      <c r="R777" s="231"/>
      <c r="S777" s="231"/>
      <c r="T777" s="231"/>
      <c r="U777" s="231"/>
      <c r="V777" s="231"/>
      <c r="W777" s="231"/>
      <c r="X777" s="231"/>
      <c r="Y777" s="231"/>
      <c r="Z777" s="231"/>
      <c r="AA777" s="231"/>
      <c r="AB777" s="231"/>
      <c r="AC777" s="231"/>
    </row>
    <row r="778" ht="24.75" customHeight="1" outlineLevel="1">
      <c r="A778" s="282">
        <v>45776.0</v>
      </c>
      <c r="B778" s="235" t="s">
        <v>808</v>
      </c>
      <c r="C778" s="261" t="s">
        <v>715</v>
      </c>
      <c r="D778" s="358" t="s">
        <v>662</v>
      </c>
      <c r="E778" s="275" t="s">
        <v>717</v>
      </c>
      <c r="F778" s="237"/>
      <c r="G778" s="237"/>
      <c r="H778" s="237"/>
      <c r="I778" s="231"/>
      <c r="J778" s="231"/>
      <c r="K778" s="231"/>
      <c r="L778" s="231"/>
      <c r="M778" s="231"/>
      <c r="N778" s="231"/>
      <c r="O778" s="231"/>
      <c r="P778" s="231"/>
      <c r="Q778" s="231"/>
      <c r="R778" s="231"/>
      <c r="S778" s="231"/>
      <c r="T778" s="231"/>
      <c r="U778" s="231"/>
      <c r="V778" s="231"/>
      <c r="W778" s="231"/>
      <c r="X778" s="231"/>
      <c r="Y778" s="231"/>
      <c r="Z778" s="231"/>
      <c r="AA778" s="231"/>
      <c r="AB778" s="231"/>
      <c r="AC778" s="231"/>
    </row>
    <row r="779" ht="24.75" customHeight="1" outlineLevel="1">
      <c r="A779" s="282">
        <v>45776.0</v>
      </c>
      <c r="B779" s="468" t="s">
        <v>736</v>
      </c>
      <c r="C779" s="469" t="s">
        <v>1195</v>
      </c>
      <c r="D779" s="469" t="s">
        <v>662</v>
      </c>
      <c r="E779" s="275" t="s">
        <v>717</v>
      </c>
      <c r="F779" s="237"/>
      <c r="G779" s="237"/>
      <c r="H779" s="237" t="s">
        <v>1196</v>
      </c>
      <c r="I779" s="231"/>
      <c r="J779" s="231"/>
      <c r="K779" s="231"/>
      <c r="L779" s="231"/>
      <c r="M779" s="231"/>
      <c r="N779" s="231"/>
      <c r="O779" s="231"/>
      <c r="P779" s="231"/>
      <c r="Q779" s="231"/>
      <c r="R779" s="231"/>
      <c r="S779" s="231"/>
      <c r="T779" s="231"/>
      <c r="U779" s="231"/>
      <c r="V779" s="231"/>
      <c r="W779" s="231"/>
      <c r="X779" s="231"/>
      <c r="Y779" s="231"/>
      <c r="Z779" s="231"/>
      <c r="AA779" s="231"/>
      <c r="AB779" s="231"/>
      <c r="AC779" s="231"/>
    </row>
    <row r="780" ht="24.75" customHeight="1" outlineLevel="1">
      <c r="A780" s="282">
        <v>45777.0</v>
      </c>
      <c r="B780" s="468" t="s">
        <v>680</v>
      </c>
      <c r="C780" s="469" t="s">
        <v>715</v>
      </c>
      <c r="D780" s="470" t="s">
        <v>739</v>
      </c>
      <c r="E780" s="275" t="s">
        <v>717</v>
      </c>
      <c r="F780" s="231"/>
      <c r="G780" s="231"/>
      <c r="H780" s="231"/>
      <c r="I780" s="231"/>
      <c r="J780" s="231"/>
      <c r="K780" s="231"/>
      <c r="L780" s="231"/>
      <c r="M780" s="231"/>
      <c r="N780" s="231"/>
      <c r="O780" s="231"/>
      <c r="P780" s="231"/>
      <c r="Q780" s="231"/>
      <c r="R780" s="231"/>
      <c r="S780" s="231"/>
      <c r="T780" s="231"/>
      <c r="U780" s="231"/>
      <c r="V780" s="231"/>
      <c r="W780" s="231"/>
      <c r="X780" s="231"/>
      <c r="Y780" s="231"/>
      <c r="Z780" s="231"/>
      <c r="AA780" s="231"/>
      <c r="AB780" s="231"/>
      <c r="AC780" s="231"/>
    </row>
    <row r="781" ht="24.75" customHeight="1" outlineLevel="1">
      <c r="A781" s="282">
        <v>45777.0</v>
      </c>
      <c r="B781" s="471" t="s">
        <v>708</v>
      </c>
      <c r="C781" s="469" t="s">
        <v>1134</v>
      </c>
      <c r="D781" s="472" t="s">
        <v>1197</v>
      </c>
      <c r="E781" s="305" t="s">
        <v>1045</v>
      </c>
      <c r="F781" s="237"/>
      <c r="G781" s="237"/>
      <c r="H781" s="237" t="s">
        <v>1165</v>
      </c>
      <c r="I781" s="231"/>
      <c r="J781" s="231"/>
      <c r="K781" s="231"/>
      <c r="L781" s="231"/>
      <c r="M781" s="231"/>
      <c r="N781" s="231"/>
      <c r="O781" s="231"/>
      <c r="P781" s="231"/>
      <c r="Q781" s="231"/>
      <c r="R781" s="231"/>
      <c r="S781" s="231"/>
      <c r="T781" s="231"/>
      <c r="U781" s="231"/>
      <c r="V781" s="231"/>
      <c r="W781" s="231"/>
      <c r="X781" s="231"/>
      <c r="Y781" s="231"/>
      <c r="Z781" s="231"/>
      <c r="AA781" s="231"/>
      <c r="AB781" s="231"/>
      <c r="AC781" s="231"/>
    </row>
    <row r="782" ht="24.75" customHeight="1" outlineLevel="1">
      <c r="A782" s="282">
        <v>45777.0</v>
      </c>
      <c r="B782" s="468" t="s">
        <v>686</v>
      </c>
      <c r="C782" s="473" t="s">
        <v>1198</v>
      </c>
      <c r="D782" s="472" t="s">
        <v>1199</v>
      </c>
      <c r="E782" s="305" t="s">
        <v>1045</v>
      </c>
      <c r="F782" s="328"/>
      <c r="G782" s="328"/>
      <c r="H782" s="328" t="s">
        <v>1168</v>
      </c>
      <c r="I782" s="237"/>
      <c r="J782" s="231"/>
      <c r="K782" s="231"/>
      <c r="L782" s="231"/>
      <c r="M782" s="231"/>
      <c r="N782" s="231"/>
      <c r="O782" s="231"/>
      <c r="P782" s="231"/>
      <c r="Q782" s="231"/>
      <c r="R782" s="231"/>
      <c r="S782" s="231"/>
      <c r="T782" s="231"/>
      <c r="U782" s="231"/>
      <c r="V782" s="231"/>
      <c r="W782" s="231"/>
      <c r="X782" s="231"/>
      <c r="Y782" s="231"/>
      <c r="Z782" s="231"/>
      <c r="AA782" s="231"/>
      <c r="AB782" s="231"/>
      <c r="AC782" s="231"/>
    </row>
    <row r="783" ht="24.75" customHeight="1" outlineLevel="1">
      <c r="A783" s="282">
        <v>45777.0</v>
      </c>
      <c r="B783" s="468" t="s">
        <v>743</v>
      </c>
      <c r="C783" s="469" t="s">
        <v>1195</v>
      </c>
      <c r="D783" s="469" t="s">
        <v>662</v>
      </c>
      <c r="E783" s="301" t="s">
        <v>717</v>
      </c>
      <c r="F783" s="237"/>
      <c r="G783" s="237"/>
      <c r="H783" s="237" t="s">
        <v>1196</v>
      </c>
      <c r="I783" s="231"/>
      <c r="J783" s="231"/>
      <c r="K783" s="231"/>
      <c r="L783" s="231"/>
      <c r="M783" s="231"/>
      <c r="N783" s="231"/>
      <c r="O783" s="231"/>
      <c r="P783" s="231"/>
      <c r="Q783" s="231"/>
      <c r="R783" s="231"/>
      <c r="S783" s="231"/>
      <c r="T783" s="231"/>
      <c r="U783" s="231"/>
      <c r="V783" s="231"/>
      <c r="W783" s="231"/>
      <c r="X783" s="231"/>
      <c r="Y783" s="231"/>
      <c r="Z783" s="231"/>
      <c r="AA783" s="231"/>
      <c r="AB783" s="231"/>
      <c r="AC783" s="231"/>
    </row>
    <row r="784" ht="24.75" customHeight="1" outlineLevel="1">
      <c r="A784" s="282">
        <v>45777.0</v>
      </c>
      <c r="B784" s="474" t="s">
        <v>414</v>
      </c>
      <c r="C784" s="473" t="s">
        <v>1200</v>
      </c>
      <c r="D784" s="475" t="s">
        <v>1201</v>
      </c>
      <c r="E784" s="305" t="s">
        <v>1045</v>
      </c>
      <c r="F784" s="237"/>
      <c r="G784" s="237"/>
      <c r="H784" s="237" t="s">
        <v>1202</v>
      </c>
      <c r="I784" s="231"/>
      <c r="J784" s="231"/>
      <c r="K784" s="231"/>
      <c r="L784" s="231"/>
      <c r="M784" s="231"/>
      <c r="N784" s="231"/>
      <c r="O784" s="231"/>
      <c r="P784" s="231"/>
      <c r="Q784" s="231"/>
      <c r="R784" s="231"/>
      <c r="S784" s="231"/>
      <c r="T784" s="231"/>
      <c r="U784" s="231"/>
      <c r="V784" s="231"/>
      <c r="W784" s="231"/>
      <c r="X784" s="231"/>
      <c r="Y784" s="231"/>
      <c r="Z784" s="231"/>
      <c r="AA784" s="231"/>
      <c r="AB784" s="231"/>
      <c r="AC784" s="231"/>
    </row>
    <row r="785" ht="24.75" customHeight="1" outlineLevel="1">
      <c r="A785" s="282">
        <v>45778.0</v>
      </c>
      <c r="B785" s="476" t="s">
        <v>1020</v>
      </c>
      <c r="C785" s="469" t="s">
        <v>741</v>
      </c>
      <c r="D785" s="477" t="s">
        <v>1203</v>
      </c>
      <c r="E785" s="305" t="s">
        <v>1045</v>
      </c>
      <c r="F785" s="237"/>
      <c r="G785" s="237"/>
      <c r="H785" s="237" t="s">
        <v>1165</v>
      </c>
      <c r="I785" s="231"/>
      <c r="J785" s="231"/>
      <c r="K785" s="231"/>
      <c r="L785" s="231"/>
      <c r="M785" s="231"/>
      <c r="N785" s="231"/>
      <c r="O785" s="231"/>
      <c r="P785" s="231"/>
      <c r="Q785" s="231"/>
      <c r="R785" s="231"/>
      <c r="S785" s="231"/>
      <c r="T785" s="231"/>
      <c r="U785" s="231"/>
      <c r="V785" s="231"/>
      <c r="W785" s="231"/>
      <c r="X785" s="231"/>
      <c r="Y785" s="231"/>
      <c r="Z785" s="231"/>
      <c r="AA785" s="231"/>
      <c r="AB785" s="231"/>
      <c r="AC785" s="231"/>
    </row>
    <row r="786" ht="14.25" customHeight="1" outlineLevel="1">
      <c r="A786" s="478" t="s">
        <v>1204</v>
      </c>
      <c r="B786" s="479"/>
      <c r="C786" s="480"/>
      <c r="D786" s="480"/>
      <c r="E786" s="224"/>
      <c r="F786" s="237"/>
      <c r="G786" s="237"/>
      <c r="H786" s="237"/>
      <c r="I786" s="231"/>
      <c r="J786" s="231"/>
      <c r="K786" s="231"/>
      <c r="L786" s="231"/>
      <c r="M786" s="231"/>
      <c r="N786" s="231"/>
      <c r="O786" s="231"/>
      <c r="P786" s="231"/>
      <c r="Q786" s="231"/>
      <c r="R786" s="231"/>
      <c r="S786" s="231"/>
      <c r="T786" s="231"/>
      <c r="U786" s="231"/>
      <c r="V786" s="231"/>
      <c r="W786" s="231"/>
      <c r="X786" s="231"/>
      <c r="Y786" s="231"/>
      <c r="Z786" s="231"/>
      <c r="AA786" s="231"/>
      <c r="AB786" s="231"/>
      <c r="AC786" s="231"/>
    </row>
    <row r="787" ht="24.75" customHeight="1" outlineLevel="1">
      <c r="A787" s="282">
        <v>45780.0</v>
      </c>
      <c r="B787" s="468" t="s">
        <v>691</v>
      </c>
      <c r="C787" s="469" t="s">
        <v>715</v>
      </c>
      <c r="D787" s="469" t="s">
        <v>662</v>
      </c>
      <c r="E787" s="301" t="s">
        <v>717</v>
      </c>
      <c r="F787" s="237"/>
      <c r="G787" s="237"/>
      <c r="H787" s="237" t="s">
        <v>1126</v>
      </c>
      <c r="I787" s="231"/>
      <c r="J787" s="231"/>
      <c r="K787" s="231"/>
      <c r="L787" s="231"/>
      <c r="M787" s="231"/>
      <c r="N787" s="231"/>
      <c r="O787" s="231"/>
      <c r="P787" s="231"/>
      <c r="Q787" s="231"/>
      <c r="R787" s="231"/>
      <c r="S787" s="231"/>
      <c r="T787" s="231"/>
      <c r="U787" s="231"/>
      <c r="V787" s="231"/>
      <c r="W787" s="231"/>
      <c r="X787" s="231"/>
      <c r="Y787" s="231"/>
      <c r="Z787" s="231"/>
      <c r="AA787" s="231"/>
      <c r="AB787" s="231"/>
      <c r="AC787" s="231"/>
    </row>
    <row r="788" outlineLevel="1">
      <c r="A788" s="282">
        <v>45780.0</v>
      </c>
      <c r="B788" s="481" t="s">
        <v>692</v>
      </c>
      <c r="C788" s="469" t="s">
        <v>1205</v>
      </c>
      <c r="D788" s="469" t="s">
        <v>662</v>
      </c>
      <c r="E788" s="301" t="s">
        <v>717</v>
      </c>
      <c r="F788" s="237"/>
      <c r="G788" s="237"/>
      <c r="H788" s="237" t="s">
        <v>1131</v>
      </c>
      <c r="I788" s="237"/>
      <c r="J788" s="231"/>
      <c r="K788" s="231"/>
      <c r="L788" s="231"/>
      <c r="M788" s="231"/>
      <c r="N788" s="231"/>
      <c r="O788" s="231"/>
      <c r="P788" s="231"/>
      <c r="Q788" s="231"/>
      <c r="R788" s="231"/>
      <c r="S788" s="231"/>
      <c r="T788" s="231"/>
      <c r="U788" s="231"/>
      <c r="V788" s="231"/>
      <c r="W788" s="231"/>
      <c r="X788" s="231"/>
      <c r="Y788" s="231"/>
      <c r="Z788" s="231"/>
      <c r="AA788" s="231"/>
      <c r="AB788" s="231"/>
      <c r="AC788" s="231"/>
    </row>
    <row r="789" ht="24.75" customHeight="1" outlineLevel="1">
      <c r="A789" s="282">
        <v>45780.0</v>
      </c>
      <c r="B789" s="481" t="s">
        <v>695</v>
      </c>
      <c r="C789" s="469" t="s">
        <v>1134</v>
      </c>
      <c r="D789" s="469" t="s">
        <v>1206</v>
      </c>
      <c r="E789" s="305" t="s">
        <v>1045</v>
      </c>
      <c r="F789" s="237"/>
      <c r="G789" s="237"/>
      <c r="H789" s="237" t="s">
        <v>1135</v>
      </c>
      <c r="I789" s="231"/>
      <c r="J789" s="231"/>
      <c r="K789" s="231"/>
      <c r="L789" s="231"/>
      <c r="M789" s="231"/>
      <c r="N789" s="231"/>
      <c r="O789" s="231"/>
      <c r="P789" s="231"/>
      <c r="Q789" s="231"/>
      <c r="R789" s="231"/>
      <c r="S789" s="231"/>
      <c r="T789" s="231"/>
      <c r="U789" s="231"/>
      <c r="V789" s="231"/>
      <c r="W789" s="231"/>
      <c r="X789" s="231"/>
      <c r="Y789" s="231"/>
      <c r="Z789" s="231"/>
      <c r="AA789" s="231"/>
      <c r="AB789" s="231"/>
      <c r="AC789" s="231"/>
    </row>
    <row r="790" ht="24.75" customHeight="1" outlineLevel="1">
      <c r="A790" s="282">
        <v>45781.0</v>
      </c>
      <c r="B790" s="482" t="s">
        <v>1138</v>
      </c>
      <c r="C790" s="469" t="s">
        <v>1195</v>
      </c>
      <c r="D790" s="469" t="s">
        <v>662</v>
      </c>
      <c r="E790" s="301" t="s">
        <v>717</v>
      </c>
      <c r="F790" s="237"/>
      <c r="G790" s="237"/>
      <c r="H790" s="237" t="s">
        <v>1135</v>
      </c>
      <c r="I790" s="231"/>
      <c r="J790" s="231"/>
      <c r="K790" s="231"/>
      <c r="L790" s="231"/>
      <c r="M790" s="231"/>
      <c r="N790" s="231"/>
      <c r="O790" s="231"/>
      <c r="P790" s="231"/>
      <c r="Q790" s="231"/>
      <c r="R790" s="231"/>
      <c r="S790" s="231"/>
      <c r="T790" s="231"/>
      <c r="U790" s="231"/>
      <c r="V790" s="231"/>
      <c r="W790" s="231"/>
      <c r="X790" s="231"/>
      <c r="Y790" s="231"/>
      <c r="Z790" s="231"/>
      <c r="AA790" s="231"/>
      <c r="AB790" s="231"/>
      <c r="AC790" s="231"/>
    </row>
    <row r="791" ht="24.75" customHeight="1" outlineLevel="1">
      <c r="A791" s="282">
        <v>45781.0</v>
      </c>
      <c r="B791" s="483" t="s">
        <v>1144</v>
      </c>
      <c r="C791" s="484" t="s">
        <v>1145</v>
      </c>
      <c r="D791" s="484" t="s">
        <v>1146</v>
      </c>
      <c r="E791" s="441" t="s">
        <v>703</v>
      </c>
      <c r="F791" s="237"/>
      <c r="G791" s="237"/>
      <c r="H791" s="237"/>
      <c r="I791" s="231"/>
      <c r="J791" s="231"/>
      <c r="K791" s="231"/>
      <c r="L791" s="231"/>
      <c r="M791" s="231"/>
      <c r="N791" s="231"/>
      <c r="O791" s="231"/>
      <c r="P791" s="231"/>
      <c r="Q791" s="231"/>
      <c r="R791" s="231"/>
      <c r="S791" s="231"/>
      <c r="T791" s="231"/>
      <c r="U791" s="231"/>
      <c r="V791" s="231"/>
      <c r="W791" s="231"/>
      <c r="X791" s="231"/>
      <c r="Y791" s="231"/>
      <c r="Z791" s="231"/>
      <c r="AA791" s="231"/>
      <c r="AB791" s="231"/>
      <c r="AC791" s="231"/>
    </row>
    <row r="792" ht="24.75" customHeight="1" outlineLevel="1">
      <c r="A792" s="282">
        <v>45781.0</v>
      </c>
      <c r="B792" s="485" t="str">
        <f>HYPERLINK("https://docs.google.com/spreadsheets/d/14VRt1DzygoL3ldywdTGi4p4-5N6W0OO9Ugf6GEHXv1k/edit#gid=351252924","☆TP部メルマガ")</f>
        <v>☆TP部メルマガ</v>
      </c>
      <c r="C792" s="469" t="s">
        <v>741</v>
      </c>
      <c r="D792" s="469" t="s">
        <v>662</v>
      </c>
      <c r="E792" s="301" t="s">
        <v>717</v>
      </c>
      <c r="F792" s="237"/>
      <c r="G792" s="237"/>
      <c r="H792" s="237" t="s">
        <v>1150</v>
      </c>
      <c r="I792" s="231"/>
      <c r="J792" s="231"/>
      <c r="K792" s="231"/>
      <c r="L792" s="231"/>
      <c r="M792" s="231"/>
      <c r="N792" s="231"/>
      <c r="O792" s="231"/>
      <c r="P792" s="231"/>
      <c r="Q792" s="231"/>
      <c r="R792" s="231"/>
      <c r="S792" s="231"/>
      <c r="T792" s="231"/>
      <c r="U792" s="231"/>
      <c r="V792" s="231"/>
      <c r="W792" s="231"/>
      <c r="X792" s="231"/>
      <c r="Y792" s="231"/>
      <c r="Z792" s="231"/>
      <c r="AA792" s="231"/>
      <c r="AB792" s="231"/>
      <c r="AC792" s="231"/>
    </row>
    <row r="793" ht="24.75" customHeight="1" outlineLevel="1">
      <c r="A793" s="282">
        <v>45782.0</v>
      </c>
      <c r="B793" s="486" t="s">
        <v>325</v>
      </c>
      <c r="C793" s="469" t="s">
        <v>1134</v>
      </c>
      <c r="D793" s="469" t="s">
        <v>1206</v>
      </c>
      <c r="E793" s="305" t="s">
        <v>1045</v>
      </c>
      <c r="F793" s="237"/>
      <c r="G793" s="237"/>
      <c r="H793" s="237" t="s">
        <v>1150</v>
      </c>
      <c r="I793" s="231"/>
      <c r="J793" s="231"/>
      <c r="K793" s="231"/>
      <c r="L793" s="231"/>
      <c r="M793" s="231"/>
      <c r="N793" s="231"/>
      <c r="O793" s="231"/>
      <c r="P793" s="231"/>
      <c r="Q793" s="231"/>
      <c r="R793" s="231"/>
      <c r="S793" s="231"/>
      <c r="T793" s="231"/>
      <c r="U793" s="231"/>
      <c r="V793" s="231"/>
      <c r="W793" s="231"/>
      <c r="X793" s="231"/>
      <c r="Y793" s="231"/>
      <c r="Z793" s="231"/>
      <c r="AA793" s="231"/>
      <c r="AB793" s="231"/>
      <c r="AC793" s="231"/>
    </row>
    <row r="794" ht="24.75" customHeight="1" outlineLevel="1">
      <c r="A794" s="282">
        <v>45782.0</v>
      </c>
      <c r="B794" s="486" t="s">
        <v>330</v>
      </c>
      <c r="C794" s="469" t="s">
        <v>741</v>
      </c>
      <c r="D794" s="477" t="s">
        <v>1203</v>
      </c>
      <c r="E794" s="305" t="s">
        <v>1045</v>
      </c>
      <c r="F794" s="237"/>
      <c r="G794" s="237"/>
      <c r="H794" s="237" t="s">
        <v>1154</v>
      </c>
      <c r="I794" s="237"/>
      <c r="J794" s="231"/>
      <c r="K794" s="231"/>
      <c r="L794" s="231"/>
      <c r="M794" s="231"/>
      <c r="N794" s="231"/>
      <c r="O794" s="231"/>
      <c r="P794" s="231"/>
      <c r="Q794" s="231"/>
      <c r="R794" s="231"/>
      <c r="S794" s="231"/>
      <c r="T794" s="231"/>
      <c r="U794" s="231"/>
      <c r="V794" s="231"/>
      <c r="W794" s="231"/>
      <c r="X794" s="231"/>
      <c r="Y794" s="231"/>
      <c r="Z794" s="231"/>
      <c r="AA794" s="231"/>
      <c r="AB794" s="231"/>
      <c r="AC794" s="231"/>
    </row>
    <row r="795" ht="24.75" customHeight="1" outlineLevel="1">
      <c r="A795" s="282">
        <v>45782.0</v>
      </c>
      <c r="B795" s="468" t="s">
        <v>801</v>
      </c>
      <c r="C795" s="468" t="s">
        <v>1207</v>
      </c>
      <c r="D795" s="487" t="s">
        <v>1033</v>
      </c>
      <c r="E795" s="301" t="s">
        <v>717</v>
      </c>
      <c r="F795" s="237"/>
      <c r="G795" s="237"/>
      <c r="H795" s="237" t="s">
        <v>1155</v>
      </c>
      <c r="I795" s="231"/>
      <c r="J795" s="231"/>
      <c r="K795" s="231"/>
      <c r="L795" s="231"/>
      <c r="M795" s="231"/>
      <c r="N795" s="231"/>
      <c r="O795" s="231"/>
      <c r="P795" s="231"/>
      <c r="Q795" s="231"/>
      <c r="R795" s="231"/>
      <c r="S795" s="231"/>
      <c r="T795" s="231"/>
      <c r="U795" s="231"/>
      <c r="V795" s="231"/>
      <c r="W795" s="231"/>
      <c r="X795" s="231"/>
      <c r="Y795" s="231"/>
      <c r="Z795" s="231"/>
      <c r="AA795" s="231"/>
      <c r="AB795" s="231"/>
      <c r="AC795" s="231"/>
    </row>
    <row r="796" ht="24.75" customHeight="1" outlineLevel="1">
      <c r="A796" s="282">
        <v>45782.0</v>
      </c>
      <c r="B796" s="468" t="s">
        <v>753</v>
      </c>
      <c r="C796" s="488" t="s">
        <v>1208</v>
      </c>
      <c r="D796" s="469" t="s">
        <v>662</v>
      </c>
      <c r="E796" s="301" t="s">
        <v>717</v>
      </c>
      <c r="F796" s="237"/>
      <c r="G796" s="237"/>
      <c r="H796" s="237" t="s">
        <v>1157</v>
      </c>
      <c r="I796" s="237" t="s">
        <v>1158</v>
      </c>
      <c r="J796" s="231"/>
      <c r="K796" s="231"/>
      <c r="L796" s="231"/>
      <c r="M796" s="231"/>
      <c r="N796" s="231"/>
      <c r="O796" s="231"/>
      <c r="P796" s="231"/>
      <c r="Q796" s="231"/>
      <c r="R796" s="231"/>
      <c r="S796" s="231"/>
      <c r="T796" s="231"/>
      <c r="U796" s="231"/>
      <c r="V796" s="231"/>
      <c r="W796" s="231"/>
      <c r="X796" s="231"/>
      <c r="Y796" s="231"/>
      <c r="Z796" s="231"/>
      <c r="AA796" s="231"/>
      <c r="AB796" s="231"/>
      <c r="AC796" s="231"/>
    </row>
    <row r="797" ht="24.75" customHeight="1" outlineLevel="1">
      <c r="A797" s="282">
        <v>45782.0</v>
      </c>
      <c r="B797" s="468" t="s">
        <v>756</v>
      </c>
      <c r="C797" s="488" t="s">
        <v>1208</v>
      </c>
      <c r="D797" s="469" t="s">
        <v>662</v>
      </c>
      <c r="E797" s="301" t="s">
        <v>717</v>
      </c>
      <c r="F797" s="237"/>
      <c r="G797" s="237"/>
      <c r="H797" s="237" t="s">
        <v>1157</v>
      </c>
      <c r="I797" s="237" t="s">
        <v>1192</v>
      </c>
      <c r="J797" s="231"/>
      <c r="K797" s="231"/>
      <c r="L797" s="231"/>
      <c r="M797" s="231"/>
      <c r="N797" s="231"/>
      <c r="O797" s="231"/>
      <c r="P797" s="231"/>
      <c r="Q797" s="231"/>
      <c r="R797" s="231"/>
      <c r="S797" s="231"/>
      <c r="T797" s="231"/>
      <c r="U797" s="231"/>
      <c r="V797" s="231"/>
      <c r="W797" s="231"/>
      <c r="X797" s="231"/>
      <c r="Y797" s="231"/>
      <c r="Z797" s="231"/>
      <c r="AA797" s="231"/>
      <c r="AB797" s="231"/>
      <c r="AC797" s="231"/>
    </row>
    <row r="798" ht="24.75" customHeight="1" outlineLevel="1">
      <c r="A798" s="282">
        <v>45783.0</v>
      </c>
      <c r="B798" s="489" t="s">
        <v>35</v>
      </c>
      <c r="C798" s="469" t="s">
        <v>715</v>
      </c>
      <c r="D798" s="469" t="s">
        <v>1209</v>
      </c>
      <c r="E798" s="301" t="s">
        <v>717</v>
      </c>
      <c r="F798" s="237"/>
      <c r="G798" s="237"/>
      <c r="H798" s="237"/>
      <c r="I798" s="237"/>
      <c r="J798" s="231"/>
      <c r="K798" s="231"/>
      <c r="L798" s="231"/>
      <c r="M798" s="231"/>
      <c r="N798" s="231"/>
      <c r="O798" s="231"/>
      <c r="P798" s="231"/>
      <c r="Q798" s="231"/>
      <c r="R798" s="231"/>
      <c r="S798" s="231"/>
      <c r="T798" s="231"/>
      <c r="U798" s="231"/>
      <c r="V798" s="231"/>
      <c r="W798" s="231"/>
      <c r="X798" s="231"/>
      <c r="Y798" s="231"/>
      <c r="Z798" s="231"/>
      <c r="AA798" s="231"/>
      <c r="AB798" s="231"/>
      <c r="AC798" s="231"/>
    </row>
    <row r="799" ht="24.75" customHeight="1" outlineLevel="1">
      <c r="A799" s="282">
        <v>45783.0</v>
      </c>
      <c r="B799" s="468" t="s">
        <v>714</v>
      </c>
      <c r="C799" s="469" t="s">
        <v>715</v>
      </c>
      <c r="D799" s="472" t="s">
        <v>1194</v>
      </c>
      <c r="E799" s="301" t="s">
        <v>717</v>
      </c>
      <c r="F799" s="237"/>
      <c r="G799" s="237"/>
      <c r="H799" s="237" t="s">
        <v>1067</v>
      </c>
      <c r="I799" s="237" t="s">
        <v>922</v>
      </c>
      <c r="J799" s="231"/>
      <c r="K799" s="231"/>
      <c r="L799" s="231"/>
      <c r="M799" s="231"/>
      <c r="N799" s="231"/>
      <c r="O799" s="231"/>
      <c r="P799" s="231"/>
      <c r="Q799" s="231"/>
      <c r="R799" s="231"/>
      <c r="S799" s="231"/>
      <c r="T799" s="231"/>
      <c r="U799" s="231"/>
      <c r="V799" s="231"/>
      <c r="W799" s="231"/>
      <c r="X799" s="231"/>
      <c r="Y799" s="231"/>
      <c r="Z799" s="231"/>
      <c r="AA799" s="231"/>
      <c r="AB799" s="231"/>
      <c r="AC799" s="231"/>
    </row>
    <row r="800" ht="24.75" customHeight="1" outlineLevel="1">
      <c r="A800" s="282">
        <v>45783.0</v>
      </c>
      <c r="B800" s="468" t="s">
        <v>808</v>
      </c>
      <c r="C800" s="488" t="s">
        <v>715</v>
      </c>
      <c r="D800" s="469" t="s">
        <v>1210</v>
      </c>
      <c r="E800" s="301" t="s">
        <v>717</v>
      </c>
      <c r="F800" s="237"/>
      <c r="G800" s="237"/>
      <c r="H800" s="237" t="s">
        <v>1211</v>
      </c>
      <c r="I800" s="231"/>
      <c r="J800" s="231"/>
      <c r="K800" s="231"/>
      <c r="L800" s="231"/>
      <c r="M800" s="231"/>
      <c r="N800" s="231"/>
      <c r="O800" s="231"/>
      <c r="P800" s="231"/>
      <c r="Q800" s="231"/>
      <c r="R800" s="231"/>
      <c r="S800" s="231"/>
      <c r="T800" s="231"/>
      <c r="U800" s="231"/>
      <c r="V800" s="231"/>
      <c r="W800" s="231"/>
      <c r="X800" s="231"/>
      <c r="Y800" s="231"/>
      <c r="Z800" s="231"/>
      <c r="AA800" s="231"/>
      <c r="AB800" s="231"/>
      <c r="AC800" s="231"/>
    </row>
    <row r="801" ht="24.75" customHeight="1" outlineLevel="1">
      <c r="A801" s="282">
        <v>45783.0</v>
      </c>
      <c r="B801" s="468" t="s">
        <v>736</v>
      </c>
      <c r="C801" s="469" t="s">
        <v>1195</v>
      </c>
      <c r="D801" s="469" t="s">
        <v>662</v>
      </c>
      <c r="E801" s="301" t="s">
        <v>717</v>
      </c>
      <c r="F801" s="237"/>
      <c r="G801" s="237"/>
      <c r="H801" s="237" t="s">
        <v>1196</v>
      </c>
      <c r="I801" s="231"/>
      <c r="J801" s="231"/>
      <c r="K801" s="231"/>
      <c r="L801" s="231"/>
      <c r="M801" s="231"/>
      <c r="N801" s="231"/>
      <c r="O801" s="231"/>
      <c r="P801" s="231"/>
      <c r="Q801" s="231"/>
      <c r="R801" s="231"/>
      <c r="S801" s="231"/>
      <c r="T801" s="231"/>
      <c r="U801" s="231"/>
      <c r="V801" s="231"/>
      <c r="W801" s="231"/>
      <c r="X801" s="231"/>
      <c r="Y801" s="231"/>
      <c r="Z801" s="231"/>
      <c r="AA801" s="231"/>
      <c r="AB801" s="231"/>
      <c r="AC801" s="231"/>
    </row>
    <row r="802" ht="24.75" customHeight="1" outlineLevel="1">
      <c r="A802" s="282">
        <v>45784.0</v>
      </c>
      <c r="B802" s="468" t="s">
        <v>680</v>
      </c>
      <c r="C802" s="469" t="s">
        <v>715</v>
      </c>
      <c r="D802" s="490" t="s">
        <v>739</v>
      </c>
      <c r="E802" s="301" t="s">
        <v>717</v>
      </c>
      <c r="F802" s="231"/>
      <c r="G802" s="231"/>
      <c r="H802" s="231"/>
      <c r="I802" s="231"/>
      <c r="J802" s="231"/>
      <c r="K802" s="231"/>
      <c r="L802" s="231"/>
      <c r="M802" s="231"/>
      <c r="N802" s="231"/>
      <c r="O802" s="231"/>
      <c r="P802" s="231"/>
      <c r="Q802" s="231"/>
      <c r="R802" s="231"/>
      <c r="S802" s="231"/>
      <c r="T802" s="231"/>
      <c r="U802" s="231"/>
      <c r="V802" s="231"/>
      <c r="W802" s="231"/>
      <c r="X802" s="231"/>
      <c r="Y802" s="231"/>
      <c r="Z802" s="231"/>
      <c r="AA802" s="231"/>
      <c r="AB802" s="231"/>
      <c r="AC802" s="231"/>
    </row>
    <row r="803" ht="24.75" customHeight="1" outlineLevel="1">
      <c r="A803" s="282">
        <v>45784.0</v>
      </c>
      <c r="B803" s="471" t="s">
        <v>708</v>
      </c>
      <c r="C803" s="469" t="s">
        <v>1134</v>
      </c>
      <c r="D803" s="472" t="s">
        <v>1007</v>
      </c>
      <c r="E803" s="305" t="s">
        <v>1045</v>
      </c>
      <c r="F803" s="237"/>
      <c r="G803" s="237"/>
      <c r="H803" s="237" t="s">
        <v>1165</v>
      </c>
      <c r="I803" s="231"/>
      <c r="J803" s="231"/>
      <c r="K803" s="231"/>
      <c r="L803" s="231"/>
      <c r="M803" s="231"/>
      <c r="N803" s="231"/>
      <c r="O803" s="231"/>
      <c r="P803" s="231"/>
      <c r="Q803" s="231"/>
      <c r="R803" s="231"/>
      <c r="S803" s="231"/>
      <c r="T803" s="231"/>
      <c r="U803" s="231"/>
      <c r="V803" s="231"/>
      <c r="W803" s="231"/>
      <c r="X803" s="231"/>
      <c r="Y803" s="231"/>
      <c r="Z803" s="231"/>
      <c r="AA803" s="231"/>
      <c r="AB803" s="231"/>
      <c r="AC803" s="231"/>
    </row>
    <row r="804" ht="24.75" customHeight="1" outlineLevel="1">
      <c r="A804" s="282">
        <v>45784.0</v>
      </c>
      <c r="B804" s="468" t="s">
        <v>686</v>
      </c>
      <c r="C804" s="473" t="s">
        <v>1198</v>
      </c>
      <c r="D804" s="472" t="s">
        <v>1212</v>
      </c>
      <c r="E804" s="305" t="s">
        <v>1045</v>
      </c>
      <c r="F804" s="328"/>
      <c r="G804" s="328"/>
      <c r="H804" s="328" t="s">
        <v>1168</v>
      </c>
      <c r="I804" s="237"/>
      <c r="J804" s="231"/>
      <c r="K804" s="231"/>
      <c r="L804" s="231"/>
      <c r="M804" s="231"/>
      <c r="N804" s="231"/>
      <c r="O804" s="231"/>
      <c r="P804" s="231"/>
      <c r="Q804" s="231"/>
      <c r="R804" s="231"/>
      <c r="S804" s="231"/>
      <c r="T804" s="231"/>
      <c r="U804" s="231"/>
      <c r="V804" s="231"/>
      <c r="W804" s="231"/>
      <c r="X804" s="231"/>
      <c r="Y804" s="231"/>
      <c r="Z804" s="231"/>
      <c r="AA804" s="231"/>
      <c r="AB804" s="231"/>
      <c r="AC804" s="231"/>
    </row>
    <row r="805" ht="24.75" customHeight="1" outlineLevel="1">
      <c r="A805" s="282">
        <v>45784.0</v>
      </c>
      <c r="B805" s="468" t="s">
        <v>743</v>
      </c>
      <c r="C805" s="469" t="s">
        <v>1195</v>
      </c>
      <c r="D805" s="469" t="s">
        <v>662</v>
      </c>
      <c r="E805" s="301" t="s">
        <v>717</v>
      </c>
      <c r="F805" s="237"/>
      <c r="G805" s="237"/>
      <c r="H805" s="237" t="s">
        <v>1196</v>
      </c>
      <c r="I805" s="231"/>
      <c r="J805" s="231"/>
      <c r="K805" s="231"/>
      <c r="L805" s="231"/>
      <c r="M805" s="231"/>
      <c r="N805" s="231"/>
      <c r="O805" s="231"/>
      <c r="P805" s="231"/>
      <c r="Q805" s="231"/>
      <c r="R805" s="231"/>
      <c r="S805" s="231"/>
      <c r="T805" s="231"/>
      <c r="U805" s="231"/>
      <c r="V805" s="231"/>
      <c r="W805" s="231"/>
      <c r="X805" s="231"/>
      <c r="Y805" s="231"/>
      <c r="Z805" s="231"/>
      <c r="AA805" s="231"/>
      <c r="AB805" s="231"/>
      <c r="AC805" s="231"/>
    </row>
    <row r="806" ht="24.75" customHeight="1" outlineLevel="1">
      <c r="A806" s="282">
        <v>45784.0</v>
      </c>
      <c r="B806" s="474" t="s">
        <v>414</v>
      </c>
      <c r="C806" s="473" t="s">
        <v>1200</v>
      </c>
      <c r="D806" s="475" t="s">
        <v>1213</v>
      </c>
      <c r="E806" s="305" t="s">
        <v>1045</v>
      </c>
      <c r="F806" s="237"/>
      <c r="G806" s="237"/>
      <c r="H806" s="237" t="s">
        <v>1202</v>
      </c>
      <c r="I806" s="231"/>
      <c r="J806" s="231"/>
      <c r="K806" s="231"/>
      <c r="L806" s="231"/>
      <c r="M806" s="231"/>
      <c r="N806" s="231"/>
      <c r="O806" s="231"/>
      <c r="P806" s="231"/>
      <c r="Q806" s="231"/>
      <c r="R806" s="231"/>
      <c r="S806" s="231"/>
      <c r="T806" s="231"/>
      <c r="U806" s="231"/>
      <c r="V806" s="231"/>
      <c r="W806" s="231"/>
      <c r="X806" s="231"/>
      <c r="Y806" s="231"/>
      <c r="Z806" s="231"/>
      <c r="AA806" s="231"/>
      <c r="AB806" s="231"/>
      <c r="AC806" s="231"/>
    </row>
    <row r="807" ht="24.75" customHeight="1" outlineLevel="1">
      <c r="A807" s="282">
        <v>45785.0</v>
      </c>
      <c r="B807" s="476" t="s">
        <v>1020</v>
      </c>
      <c r="C807" s="469" t="s">
        <v>741</v>
      </c>
      <c r="D807" s="477" t="s">
        <v>1214</v>
      </c>
      <c r="E807" s="305" t="s">
        <v>1045</v>
      </c>
      <c r="F807" s="237"/>
      <c r="G807" s="237"/>
      <c r="H807" s="237" t="s">
        <v>1165</v>
      </c>
      <c r="I807" s="231"/>
      <c r="J807" s="231"/>
      <c r="K807" s="231"/>
      <c r="L807" s="231"/>
      <c r="M807" s="231"/>
      <c r="N807" s="231"/>
      <c r="O807" s="231"/>
      <c r="P807" s="231"/>
      <c r="Q807" s="231"/>
      <c r="R807" s="231"/>
      <c r="S807" s="231"/>
      <c r="T807" s="231"/>
      <c r="U807" s="231"/>
      <c r="V807" s="231"/>
      <c r="W807" s="231"/>
      <c r="X807" s="231"/>
      <c r="Y807" s="231"/>
      <c r="Z807" s="231"/>
      <c r="AA807" s="231"/>
      <c r="AB807" s="231"/>
      <c r="AC807" s="231"/>
    </row>
    <row r="808" ht="24.75" customHeight="1" outlineLevel="1">
      <c r="A808" s="237" t="s">
        <v>1215</v>
      </c>
      <c r="B808" s="231"/>
      <c r="C808" s="231"/>
      <c r="D808" s="231"/>
      <c r="E808" s="225"/>
      <c r="F808" s="231"/>
      <c r="G808" s="231"/>
      <c r="H808" s="231"/>
      <c r="I808" s="231"/>
      <c r="J808" s="231"/>
      <c r="K808" s="231"/>
      <c r="L808" s="231"/>
      <c r="M808" s="231"/>
      <c r="N808" s="231"/>
      <c r="O808" s="231"/>
      <c r="P808" s="231"/>
      <c r="Q808" s="231"/>
      <c r="R808" s="231"/>
      <c r="S808" s="231"/>
      <c r="T808" s="231"/>
      <c r="U808" s="231"/>
      <c r="V808" s="231"/>
      <c r="W808" s="231"/>
      <c r="X808" s="231"/>
      <c r="Y808" s="231"/>
      <c r="Z808" s="231"/>
      <c r="AA808" s="231"/>
      <c r="AB808" s="231"/>
      <c r="AC808" s="231"/>
    </row>
    <row r="809" ht="24.75" customHeight="1">
      <c r="A809" s="231"/>
      <c r="B809" s="231"/>
      <c r="C809" s="231"/>
      <c r="D809" s="231"/>
      <c r="E809" s="225"/>
      <c r="F809" s="231"/>
      <c r="G809" s="231"/>
      <c r="H809" s="231"/>
      <c r="I809" s="231"/>
      <c r="J809" s="231"/>
      <c r="K809" s="231"/>
      <c r="L809" s="231"/>
      <c r="M809" s="231"/>
      <c r="N809" s="231"/>
      <c r="O809" s="231"/>
      <c r="P809" s="231"/>
      <c r="Q809" s="231"/>
      <c r="R809" s="231"/>
      <c r="S809" s="231"/>
      <c r="T809" s="231"/>
      <c r="U809" s="231"/>
      <c r="V809" s="231"/>
      <c r="W809" s="231"/>
      <c r="X809" s="231"/>
      <c r="Y809" s="231"/>
      <c r="Z809" s="231"/>
      <c r="AA809" s="231"/>
      <c r="AB809" s="231"/>
      <c r="AC809" s="231"/>
    </row>
    <row r="810" ht="24.75" customHeight="1" collapsed="1">
      <c r="A810" s="237" t="s">
        <v>1216</v>
      </c>
      <c r="B810" s="231"/>
      <c r="C810" s="231"/>
      <c r="D810" s="231"/>
      <c r="E810" s="225"/>
      <c r="F810" s="231"/>
      <c r="G810" s="231"/>
      <c r="H810" s="231"/>
      <c r="I810" s="231"/>
      <c r="J810" s="231"/>
      <c r="K810" s="231"/>
      <c r="L810" s="231"/>
      <c r="M810" s="231"/>
      <c r="N810" s="231"/>
      <c r="O810" s="231"/>
      <c r="P810" s="231"/>
      <c r="Q810" s="231"/>
      <c r="R810" s="231"/>
      <c r="S810" s="231"/>
      <c r="T810" s="231"/>
      <c r="U810" s="231"/>
      <c r="V810" s="231"/>
      <c r="W810" s="231"/>
      <c r="X810" s="231"/>
      <c r="Y810" s="231"/>
      <c r="Z810" s="231"/>
      <c r="AA810" s="231"/>
      <c r="AB810" s="231"/>
      <c r="AC810" s="231"/>
    </row>
    <row r="811" ht="24.75" hidden="1" customHeight="1" outlineLevel="1">
      <c r="A811" s="329" t="s">
        <v>647</v>
      </c>
      <c r="B811" s="330" t="s">
        <v>648</v>
      </c>
      <c r="C811" s="330" t="s">
        <v>649</v>
      </c>
      <c r="D811" s="330" t="s">
        <v>650</v>
      </c>
      <c r="E811" s="330" t="s">
        <v>651</v>
      </c>
      <c r="F811" s="231"/>
      <c r="G811" s="231"/>
      <c r="H811" s="231"/>
      <c r="I811" s="231"/>
      <c r="J811" s="231"/>
      <c r="K811" s="231"/>
      <c r="L811" s="231"/>
      <c r="M811" s="231"/>
      <c r="N811" s="231"/>
      <c r="O811" s="231"/>
      <c r="P811" s="231"/>
      <c r="Q811" s="231"/>
      <c r="R811" s="231"/>
      <c r="S811" s="231"/>
      <c r="T811" s="231"/>
      <c r="U811" s="231"/>
      <c r="V811" s="231"/>
      <c r="W811" s="231"/>
      <c r="X811" s="231"/>
      <c r="Y811" s="231"/>
      <c r="Z811" s="231"/>
      <c r="AA811" s="231"/>
      <c r="AB811" s="231"/>
      <c r="AC811" s="231"/>
    </row>
    <row r="812" ht="24.75" hidden="1" customHeight="1" outlineLevel="1">
      <c r="A812" s="282">
        <v>45859.0</v>
      </c>
      <c r="B812" s="486" t="s">
        <v>325</v>
      </c>
      <c r="C812" s="469" t="s">
        <v>1134</v>
      </c>
      <c r="D812" s="469" t="s">
        <v>662</v>
      </c>
      <c r="E812" s="305" t="s">
        <v>717</v>
      </c>
      <c r="F812" s="237"/>
      <c r="G812" s="237"/>
      <c r="H812" s="237" t="s">
        <v>1150</v>
      </c>
      <c r="I812" s="231"/>
      <c r="J812" s="231"/>
      <c r="K812" s="231"/>
      <c r="L812" s="231"/>
      <c r="M812" s="231"/>
      <c r="N812" s="231"/>
      <c r="O812" s="231"/>
      <c r="P812" s="231"/>
      <c r="Q812" s="231"/>
      <c r="R812" s="231"/>
      <c r="S812" s="231"/>
      <c r="T812" s="231"/>
      <c r="U812" s="231"/>
      <c r="V812" s="231"/>
      <c r="W812" s="231"/>
      <c r="X812" s="231"/>
      <c r="Y812" s="231"/>
      <c r="Z812" s="231"/>
      <c r="AA812" s="231"/>
      <c r="AB812" s="231"/>
      <c r="AC812" s="231"/>
    </row>
    <row r="813" ht="24.75" hidden="1" customHeight="1" outlineLevel="1">
      <c r="A813" s="282">
        <v>45859.0</v>
      </c>
      <c r="B813" s="486" t="s">
        <v>330</v>
      </c>
      <c r="C813" s="469" t="s">
        <v>741</v>
      </c>
      <c r="D813" s="469" t="s">
        <v>662</v>
      </c>
      <c r="E813" s="305" t="s">
        <v>717</v>
      </c>
      <c r="F813" s="237"/>
      <c r="G813" s="237"/>
      <c r="H813" s="237" t="s">
        <v>1154</v>
      </c>
      <c r="I813" s="237"/>
      <c r="J813" s="231"/>
      <c r="K813" s="231"/>
      <c r="L813" s="231"/>
      <c r="M813" s="231"/>
      <c r="N813" s="231"/>
      <c r="O813" s="231"/>
      <c r="P813" s="231"/>
      <c r="Q813" s="231"/>
      <c r="R813" s="231"/>
      <c r="S813" s="231"/>
      <c r="T813" s="231"/>
      <c r="U813" s="231"/>
      <c r="V813" s="231"/>
      <c r="W813" s="231"/>
      <c r="X813" s="231"/>
      <c r="Y813" s="231"/>
      <c r="Z813" s="231"/>
      <c r="AA813" s="231"/>
      <c r="AB813" s="231"/>
      <c r="AC813" s="231"/>
    </row>
    <row r="814" ht="24.75" hidden="1" customHeight="1" outlineLevel="1">
      <c r="A814" s="282">
        <v>45859.0</v>
      </c>
      <c r="B814" s="468" t="s">
        <v>801</v>
      </c>
      <c r="C814" s="468" t="s">
        <v>1207</v>
      </c>
      <c r="D814" s="487" t="s">
        <v>1033</v>
      </c>
      <c r="E814" s="305" t="s">
        <v>717</v>
      </c>
      <c r="F814" s="237"/>
      <c r="G814" s="237"/>
      <c r="H814" s="237" t="s">
        <v>1155</v>
      </c>
      <c r="I814" s="231"/>
      <c r="J814" s="231"/>
      <c r="K814" s="231"/>
      <c r="L814" s="231"/>
      <c r="M814" s="231"/>
      <c r="N814" s="231"/>
      <c r="O814" s="231"/>
      <c r="P814" s="231"/>
      <c r="Q814" s="231"/>
      <c r="R814" s="231"/>
      <c r="S814" s="231"/>
      <c r="T814" s="231"/>
      <c r="U814" s="231"/>
      <c r="V814" s="231"/>
      <c r="W814" s="231"/>
      <c r="X814" s="231"/>
      <c r="Y814" s="231"/>
      <c r="Z814" s="231"/>
      <c r="AA814" s="231"/>
      <c r="AB814" s="231"/>
      <c r="AC814" s="231"/>
    </row>
    <row r="815" ht="24.75" hidden="1" customHeight="1" outlineLevel="1">
      <c r="A815" s="282">
        <v>45859.0</v>
      </c>
      <c r="B815" s="468" t="s">
        <v>753</v>
      </c>
      <c r="C815" s="488" t="s">
        <v>1208</v>
      </c>
      <c r="D815" s="469" t="s">
        <v>662</v>
      </c>
      <c r="E815" s="305" t="s">
        <v>717</v>
      </c>
      <c r="F815" s="237"/>
      <c r="G815" s="237"/>
      <c r="H815" s="237" t="s">
        <v>1157</v>
      </c>
      <c r="I815" s="237" t="s">
        <v>1158</v>
      </c>
      <c r="J815" s="231"/>
      <c r="K815" s="231"/>
      <c r="L815" s="231"/>
      <c r="M815" s="231"/>
      <c r="N815" s="231"/>
      <c r="O815" s="231"/>
      <c r="P815" s="231"/>
      <c r="Q815" s="231"/>
      <c r="R815" s="231"/>
      <c r="S815" s="231"/>
      <c r="T815" s="231"/>
      <c r="U815" s="231"/>
      <c r="V815" s="231"/>
      <c r="W815" s="231"/>
      <c r="X815" s="231"/>
      <c r="Y815" s="231"/>
      <c r="Z815" s="231"/>
      <c r="AA815" s="231"/>
      <c r="AB815" s="231"/>
      <c r="AC815" s="231"/>
    </row>
    <row r="816" ht="24.75" hidden="1" customHeight="1" outlineLevel="1">
      <c r="A816" s="282">
        <v>45859.0</v>
      </c>
      <c r="B816" s="468" t="s">
        <v>756</v>
      </c>
      <c r="C816" s="488" t="s">
        <v>1208</v>
      </c>
      <c r="D816" s="469" t="s">
        <v>662</v>
      </c>
      <c r="E816" s="305" t="s">
        <v>717</v>
      </c>
      <c r="F816" s="237"/>
      <c r="G816" s="237"/>
      <c r="H816" s="237" t="s">
        <v>1157</v>
      </c>
      <c r="I816" s="237" t="s">
        <v>1192</v>
      </c>
      <c r="J816" s="231"/>
      <c r="K816" s="231"/>
      <c r="L816" s="231"/>
      <c r="M816" s="231"/>
      <c r="N816" s="231"/>
      <c r="O816" s="231"/>
      <c r="P816" s="231"/>
      <c r="Q816" s="231"/>
      <c r="R816" s="231"/>
      <c r="S816" s="231"/>
      <c r="T816" s="231"/>
      <c r="U816" s="231"/>
      <c r="V816" s="231"/>
      <c r="W816" s="231"/>
      <c r="X816" s="231"/>
      <c r="Y816" s="231"/>
      <c r="Z816" s="231"/>
      <c r="AA816" s="231"/>
      <c r="AB816" s="231"/>
      <c r="AC816" s="231"/>
    </row>
    <row r="817" ht="24.75" hidden="1" customHeight="1" outlineLevel="1">
      <c r="A817" s="282">
        <v>45860.0</v>
      </c>
      <c r="B817" s="489" t="s">
        <v>35</v>
      </c>
      <c r="C817" s="469" t="s">
        <v>715</v>
      </c>
      <c r="D817" s="469" t="s">
        <v>1217</v>
      </c>
      <c r="E817" s="305" t="s">
        <v>717</v>
      </c>
      <c r="F817" s="237"/>
      <c r="G817" s="237"/>
      <c r="H817" s="237"/>
      <c r="I817" s="237"/>
      <c r="J817" s="231"/>
      <c r="K817" s="231"/>
      <c r="L817" s="231"/>
      <c r="M817" s="231"/>
      <c r="N817" s="231"/>
      <c r="O817" s="231"/>
      <c r="P817" s="231"/>
      <c r="Q817" s="231"/>
      <c r="R817" s="231"/>
      <c r="S817" s="231"/>
      <c r="T817" s="231"/>
      <c r="U817" s="231"/>
      <c r="V817" s="231"/>
      <c r="W817" s="231"/>
      <c r="X817" s="231"/>
      <c r="Y817" s="231"/>
      <c r="Z817" s="231"/>
      <c r="AA817" s="231"/>
      <c r="AB817" s="231"/>
      <c r="AC817" s="231"/>
    </row>
    <row r="818" ht="24.75" hidden="1" customHeight="1" outlineLevel="1">
      <c r="A818" s="282">
        <v>45860.0</v>
      </c>
      <c r="B818" s="468" t="s">
        <v>714</v>
      </c>
      <c r="C818" s="469" t="s">
        <v>715</v>
      </c>
      <c r="D818" s="469" t="s">
        <v>662</v>
      </c>
      <c r="E818" s="305" t="s">
        <v>717</v>
      </c>
      <c r="F818" s="237"/>
      <c r="G818" s="237"/>
      <c r="H818" s="237" t="s">
        <v>1067</v>
      </c>
      <c r="I818" s="237" t="s">
        <v>922</v>
      </c>
      <c r="J818" s="231"/>
      <c r="K818" s="231"/>
      <c r="L818" s="231"/>
      <c r="M818" s="231"/>
      <c r="N818" s="231"/>
      <c r="O818" s="231"/>
      <c r="P818" s="231"/>
      <c r="Q818" s="231"/>
      <c r="R818" s="231"/>
      <c r="S818" s="231"/>
      <c r="T818" s="231"/>
      <c r="U818" s="231"/>
      <c r="V818" s="231"/>
      <c r="W818" s="231"/>
      <c r="X818" s="231"/>
      <c r="Y818" s="231"/>
      <c r="Z818" s="231"/>
      <c r="AA818" s="231"/>
      <c r="AB818" s="231"/>
      <c r="AC818" s="231"/>
    </row>
    <row r="819" ht="24.75" hidden="1" customHeight="1" outlineLevel="1">
      <c r="A819" s="282">
        <v>45860.0</v>
      </c>
      <c r="B819" s="468" t="s">
        <v>808</v>
      </c>
      <c r="C819" s="488" t="s">
        <v>715</v>
      </c>
      <c r="D819" s="469" t="s">
        <v>1218</v>
      </c>
      <c r="E819" s="305" t="s">
        <v>717</v>
      </c>
      <c r="F819" s="237"/>
      <c r="G819" s="237"/>
      <c r="H819" s="237" t="s">
        <v>1211</v>
      </c>
      <c r="I819" s="231"/>
      <c r="J819" s="231"/>
      <c r="K819" s="231"/>
      <c r="L819" s="231"/>
      <c r="M819" s="231"/>
      <c r="N819" s="231"/>
      <c r="O819" s="231"/>
      <c r="P819" s="231"/>
      <c r="Q819" s="231"/>
      <c r="R819" s="231"/>
      <c r="S819" s="231"/>
      <c r="T819" s="231"/>
      <c r="U819" s="231"/>
      <c r="V819" s="231"/>
      <c r="W819" s="231"/>
      <c r="X819" s="231"/>
      <c r="Y819" s="231"/>
      <c r="Z819" s="231"/>
      <c r="AA819" s="231"/>
      <c r="AB819" s="231"/>
      <c r="AC819" s="231"/>
    </row>
    <row r="820" ht="24.75" hidden="1" customHeight="1" outlineLevel="1">
      <c r="A820" s="282">
        <v>45860.0</v>
      </c>
      <c r="B820" s="468" t="s">
        <v>736</v>
      </c>
      <c r="C820" s="469" t="s">
        <v>1219</v>
      </c>
      <c r="D820" s="469" t="s">
        <v>662</v>
      </c>
      <c r="E820" s="305" t="s">
        <v>717</v>
      </c>
      <c r="F820" s="237"/>
      <c r="G820" s="237"/>
      <c r="H820" s="237" t="s">
        <v>1196</v>
      </c>
      <c r="I820" s="231"/>
      <c r="J820" s="231"/>
      <c r="K820" s="231"/>
      <c r="L820" s="231"/>
      <c r="M820" s="231"/>
      <c r="N820" s="231"/>
      <c r="O820" s="231"/>
      <c r="P820" s="231"/>
      <c r="Q820" s="231"/>
      <c r="R820" s="231"/>
      <c r="S820" s="231"/>
      <c r="T820" s="231"/>
      <c r="U820" s="231"/>
      <c r="V820" s="231"/>
      <c r="W820" s="231"/>
      <c r="X820" s="231"/>
      <c r="Y820" s="231"/>
      <c r="Z820" s="231"/>
      <c r="AA820" s="231"/>
      <c r="AB820" s="231"/>
      <c r="AC820" s="231"/>
    </row>
    <row r="821" ht="24.75" customHeight="1">
      <c r="A821" s="237"/>
      <c r="B821" s="231"/>
      <c r="C821" s="231"/>
      <c r="D821" s="231"/>
      <c r="E821" s="225"/>
      <c r="F821" s="231"/>
      <c r="G821" s="231"/>
      <c r="H821" s="231"/>
      <c r="I821" s="231"/>
      <c r="J821" s="231"/>
      <c r="K821" s="231"/>
      <c r="L821" s="231"/>
      <c r="M821" s="231"/>
      <c r="N821" s="231"/>
      <c r="O821" s="231"/>
      <c r="P821" s="231"/>
      <c r="Q821" s="231"/>
      <c r="R821" s="231"/>
      <c r="S821" s="231"/>
      <c r="T821" s="231"/>
      <c r="U821" s="231"/>
      <c r="V821" s="231"/>
      <c r="W821" s="231"/>
      <c r="X821" s="231"/>
      <c r="Y821" s="231"/>
      <c r="Z821" s="231"/>
      <c r="AA821" s="231"/>
      <c r="AB821" s="231"/>
      <c r="AC821" s="231"/>
    </row>
    <row r="822" ht="24.75" customHeight="1" collapsed="1">
      <c r="A822" s="491" t="s">
        <v>1220</v>
      </c>
      <c r="B822" s="492"/>
      <c r="C822" s="492"/>
      <c r="D822" s="492"/>
      <c r="E822" s="493"/>
      <c r="F822" s="492"/>
      <c r="G822" s="492"/>
      <c r="H822" s="492"/>
      <c r="I822" s="231"/>
      <c r="J822" s="231"/>
      <c r="K822" s="231"/>
      <c r="L822" s="231"/>
      <c r="M822" s="231"/>
      <c r="N822" s="231"/>
      <c r="O822" s="231"/>
      <c r="P822" s="231"/>
      <c r="Q822" s="231"/>
      <c r="R822" s="231"/>
      <c r="S822" s="231"/>
      <c r="T822" s="231"/>
      <c r="U822" s="231"/>
      <c r="V822" s="231"/>
      <c r="W822" s="231"/>
      <c r="X822" s="231"/>
      <c r="Y822" s="231"/>
      <c r="Z822" s="231"/>
      <c r="AA822" s="231"/>
      <c r="AB822" s="231"/>
      <c r="AC822" s="231"/>
    </row>
    <row r="823" ht="24.75" hidden="1" customHeight="1" outlineLevel="1">
      <c r="A823" s="494" t="s">
        <v>647</v>
      </c>
      <c r="B823" s="495" t="s">
        <v>648</v>
      </c>
      <c r="C823" s="495" t="s">
        <v>649</v>
      </c>
      <c r="D823" s="495" t="s">
        <v>650</v>
      </c>
      <c r="E823" s="496" t="s">
        <v>651</v>
      </c>
      <c r="F823" s="491" t="s">
        <v>1221</v>
      </c>
      <c r="G823" s="491" t="s">
        <v>1222</v>
      </c>
      <c r="H823" s="491" t="s">
        <v>145</v>
      </c>
      <c r="I823" s="231"/>
      <c r="J823" s="231"/>
      <c r="K823" s="231"/>
      <c r="L823" s="231"/>
      <c r="M823" s="231"/>
      <c r="N823" s="231"/>
      <c r="O823" s="231"/>
      <c r="P823" s="231"/>
      <c r="Q823" s="231"/>
      <c r="R823" s="231"/>
      <c r="S823" s="231"/>
      <c r="T823" s="231"/>
      <c r="U823" s="231"/>
      <c r="V823" s="231"/>
      <c r="W823" s="231"/>
      <c r="X823" s="231"/>
      <c r="Y823" s="231"/>
      <c r="Z823" s="231"/>
      <c r="AA823" s="231"/>
      <c r="AB823" s="231"/>
      <c r="AC823" s="231"/>
    </row>
    <row r="824" ht="24.75" hidden="1" customHeight="1" outlineLevel="1">
      <c r="A824" s="497">
        <v>45877.0</v>
      </c>
      <c r="B824" s="383" t="s">
        <v>714</v>
      </c>
      <c r="C824" s="375" t="s">
        <v>715</v>
      </c>
      <c r="D824" s="375" t="s">
        <v>662</v>
      </c>
      <c r="E824" s="498" t="s">
        <v>717</v>
      </c>
      <c r="F824" s="491" t="s">
        <v>1081</v>
      </c>
      <c r="G824" s="491"/>
      <c r="H824" s="491" t="s">
        <v>1067</v>
      </c>
      <c r="I824" s="231"/>
      <c r="J824" s="231"/>
      <c r="K824" s="231"/>
      <c r="L824" s="231"/>
      <c r="M824" s="231"/>
      <c r="N824" s="231"/>
      <c r="O824" s="231"/>
      <c r="P824" s="231"/>
      <c r="Q824" s="231"/>
      <c r="R824" s="231"/>
      <c r="S824" s="231"/>
      <c r="T824" s="231"/>
      <c r="U824" s="231"/>
      <c r="V824" s="231"/>
      <c r="W824" s="231"/>
      <c r="X824" s="231"/>
      <c r="Y824" s="231"/>
      <c r="Z824" s="231"/>
      <c r="AA824" s="231"/>
      <c r="AB824" s="231"/>
    </row>
    <row r="825" ht="24.75" hidden="1" customHeight="1" outlineLevel="1">
      <c r="A825" s="497">
        <v>45877.0</v>
      </c>
      <c r="B825" s="499" t="s">
        <v>1223</v>
      </c>
      <c r="C825" s="383" t="s">
        <v>715</v>
      </c>
      <c r="D825" s="375" t="s">
        <v>662</v>
      </c>
      <c r="E825" s="498" t="s">
        <v>717</v>
      </c>
      <c r="F825" s="491" t="s">
        <v>1081</v>
      </c>
      <c r="G825" s="491"/>
      <c r="H825" s="491" t="s">
        <v>1069</v>
      </c>
      <c r="I825" s="231"/>
      <c r="J825" s="231"/>
      <c r="K825" s="231"/>
      <c r="L825" s="231"/>
      <c r="M825" s="231"/>
      <c r="N825" s="231"/>
      <c r="O825" s="231"/>
      <c r="P825" s="231"/>
      <c r="Q825" s="231"/>
      <c r="R825" s="231"/>
      <c r="S825" s="231"/>
      <c r="T825" s="231"/>
      <c r="U825" s="231"/>
      <c r="V825" s="231"/>
      <c r="W825" s="231"/>
      <c r="X825" s="231"/>
      <c r="Y825" s="231"/>
      <c r="Z825" s="231"/>
      <c r="AA825" s="231"/>
      <c r="AB825" s="231"/>
    </row>
    <row r="826" ht="24.75" hidden="1" customHeight="1" outlineLevel="1">
      <c r="A826" s="497">
        <v>45877.0</v>
      </c>
      <c r="B826" s="383" t="s">
        <v>310</v>
      </c>
      <c r="C826" s="375" t="s">
        <v>911</v>
      </c>
      <c r="D826" s="375" t="s">
        <v>662</v>
      </c>
      <c r="E826" s="498" t="s">
        <v>717</v>
      </c>
      <c r="F826" s="491" t="s">
        <v>1081</v>
      </c>
      <c r="G826" s="491"/>
      <c r="H826" s="491" t="s">
        <v>1224</v>
      </c>
      <c r="I826" s="231"/>
      <c r="J826" s="231"/>
      <c r="K826" s="231"/>
      <c r="L826" s="231"/>
      <c r="M826" s="231"/>
      <c r="N826" s="231"/>
      <c r="O826" s="231"/>
      <c r="P826" s="231"/>
      <c r="Q826" s="231"/>
      <c r="R826" s="231"/>
      <c r="S826" s="231"/>
      <c r="T826" s="231"/>
      <c r="U826" s="231"/>
      <c r="V826" s="231"/>
      <c r="W826" s="231"/>
      <c r="X826" s="231"/>
      <c r="Y826" s="231"/>
      <c r="Z826" s="231"/>
      <c r="AA826" s="231"/>
      <c r="AB826" s="231"/>
    </row>
    <row r="827" ht="24.75" hidden="1" customHeight="1" outlineLevel="1">
      <c r="A827" s="497">
        <v>45878.0</v>
      </c>
      <c r="B827" s="383" t="s">
        <v>418</v>
      </c>
      <c r="C827" s="375" t="s">
        <v>715</v>
      </c>
      <c r="D827" s="375" t="s">
        <v>662</v>
      </c>
      <c r="E827" s="498" t="s">
        <v>717</v>
      </c>
      <c r="F827" s="491" t="s">
        <v>1081</v>
      </c>
      <c r="G827" s="491"/>
      <c r="H827" s="491" t="s">
        <v>1225</v>
      </c>
      <c r="I827" s="231"/>
      <c r="J827" s="231"/>
      <c r="K827" s="231"/>
      <c r="L827" s="231"/>
      <c r="M827" s="231"/>
      <c r="N827" s="231"/>
      <c r="O827" s="231"/>
      <c r="P827" s="231"/>
      <c r="Q827" s="231"/>
      <c r="R827" s="231"/>
      <c r="S827" s="231"/>
      <c r="T827" s="231"/>
      <c r="U827" s="231"/>
      <c r="V827" s="231"/>
      <c r="W827" s="231"/>
      <c r="X827" s="231"/>
      <c r="Y827" s="231"/>
      <c r="Z827" s="231"/>
      <c r="AA827" s="231"/>
      <c r="AB827" s="231"/>
    </row>
    <row r="828" ht="24.75" hidden="1" customHeight="1" outlineLevel="1">
      <c r="A828" s="497">
        <v>45878.0</v>
      </c>
      <c r="B828" s="500" t="str">
        <f>HYPERLINK("https://docs.google.com/spreadsheets/d/1v3B9E8Jeqx3_JGvRHJ2cXJ5OAGLvZiOXZru0niKH-QQ/edit?ts=56170761#gid=1991794180","☆横浜")</f>
        <v>☆横浜</v>
      </c>
      <c r="C828" s="469" t="s">
        <v>1205</v>
      </c>
      <c r="D828" s="469" t="s">
        <v>1226</v>
      </c>
      <c r="E828" s="498" t="s">
        <v>717</v>
      </c>
      <c r="F828" s="491" t="s">
        <v>1081</v>
      </c>
      <c r="G828" s="491" t="s">
        <v>1081</v>
      </c>
      <c r="H828" s="491" t="s">
        <v>1131</v>
      </c>
      <c r="I828" s="231"/>
      <c r="J828" s="231"/>
      <c r="K828" s="231"/>
      <c r="L828" s="231"/>
      <c r="M828" s="231"/>
      <c r="N828" s="231"/>
      <c r="O828" s="231"/>
      <c r="P828" s="231"/>
      <c r="Q828" s="231"/>
      <c r="R828" s="231"/>
      <c r="S828" s="231"/>
      <c r="T828" s="231"/>
      <c r="U828" s="231"/>
      <c r="V828" s="231"/>
      <c r="W828" s="231"/>
      <c r="X828" s="231"/>
      <c r="Y828" s="231"/>
      <c r="Z828" s="231"/>
      <c r="AA828" s="231"/>
      <c r="AB828" s="231"/>
    </row>
    <row r="829" ht="24.75" hidden="1" customHeight="1" outlineLevel="1">
      <c r="A829" s="497">
        <v>45878.0</v>
      </c>
      <c r="B829" s="438" t="str">
        <f>HYPERLINK("https://docs.google.com/spreadsheets/d/1xrfsiAjLwPhBlveDsLSsUUfMnNpOidnkNLqHJabwWYo/edit?ts=56ea7063#gid=1283986028","☆救済メルマガ(UP10)")</f>
        <v>☆救済メルマガ(UP10)</v>
      </c>
      <c r="C829" s="375" t="s">
        <v>1227</v>
      </c>
      <c r="D829" s="375" t="s">
        <v>1228</v>
      </c>
      <c r="E829" s="501" t="s">
        <v>1229</v>
      </c>
      <c r="F829" s="491" t="s">
        <v>1081</v>
      </c>
      <c r="G829" s="491"/>
      <c r="H829" s="491" t="s">
        <v>1135</v>
      </c>
      <c r="I829" s="231"/>
      <c r="J829" s="231"/>
      <c r="K829" s="231"/>
      <c r="L829" s="231"/>
      <c r="M829" s="231"/>
      <c r="N829" s="231"/>
      <c r="O829" s="231"/>
      <c r="P829" s="231"/>
      <c r="Q829" s="231"/>
      <c r="R829" s="231"/>
      <c r="S829" s="231"/>
      <c r="T829" s="231"/>
      <c r="U829" s="231"/>
      <c r="V829" s="231"/>
      <c r="W829" s="231"/>
      <c r="X829" s="231"/>
      <c r="Y829" s="231"/>
      <c r="Z829" s="231"/>
      <c r="AA829" s="231"/>
      <c r="AB829" s="231"/>
    </row>
    <row r="830" ht="24.75" hidden="1" customHeight="1" outlineLevel="1">
      <c r="A830" s="497">
        <v>45879.0</v>
      </c>
      <c r="B830" s="438" t="s">
        <v>456</v>
      </c>
      <c r="C830" s="469" t="s">
        <v>1219</v>
      </c>
      <c r="D830" s="373" t="s">
        <v>1230</v>
      </c>
      <c r="E830" s="502" t="s">
        <v>1231</v>
      </c>
      <c r="F830" s="491" t="s">
        <v>1081</v>
      </c>
      <c r="G830" s="491"/>
      <c r="H830" s="491" t="s">
        <v>1135</v>
      </c>
      <c r="I830" s="231"/>
      <c r="J830" s="231"/>
      <c r="K830" s="231"/>
      <c r="L830" s="231"/>
      <c r="M830" s="231"/>
      <c r="N830" s="231"/>
      <c r="O830" s="231"/>
      <c r="P830" s="231"/>
      <c r="Q830" s="231"/>
      <c r="R830" s="231"/>
      <c r="S830" s="231"/>
      <c r="T830" s="231"/>
      <c r="U830" s="231"/>
      <c r="V830" s="231"/>
      <c r="W830" s="231"/>
      <c r="X830" s="231"/>
      <c r="Y830" s="231"/>
      <c r="Z830" s="231"/>
      <c r="AA830" s="231"/>
      <c r="AB830" s="231"/>
    </row>
    <row r="831" ht="24.75" hidden="1" customHeight="1" outlineLevel="1">
      <c r="A831" s="497">
        <v>45879.0</v>
      </c>
      <c r="B831" s="383" t="s">
        <v>39</v>
      </c>
      <c r="C831" s="375" t="s">
        <v>1232</v>
      </c>
      <c r="D831" s="375" t="s">
        <v>662</v>
      </c>
      <c r="E831" s="498" t="s">
        <v>717</v>
      </c>
      <c r="F831" s="491" t="s">
        <v>1081</v>
      </c>
      <c r="G831" s="491"/>
      <c r="H831" s="491" t="s">
        <v>1233</v>
      </c>
      <c r="I831" s="231"/>
      <c r="J831" s="231"/>
      <c r="K831" s="231"/>
      <c r="L831" s="231"/>
      <c r="M831" s="231"/>
      <c r="N831" s="231"/>
      <c r="O831" s="231"/>
      <c r="P831" s="231"/>
      <c r="Q831" s="231"/>
      <c r="R831" s="231"/>
      <c r="S831" s="231"/>
      <c r="T831" s="231"/>
      <c r="U831" s="231"/>
      <c r="V831" s="231"/>
      <c r="W831" s="231"/>
      <c r="X831" s="231"/>
      <c r="Y831" s="231"/>
      <c r="Z831" s="231"/>
      <c r="AA831" s="231"/>
      <c r="AB831" s="231"/>
    </row>
    <row r="832" ht="24.75" hidden="1" customHeight="1" outlineLevel="1">
      <c r="A832" s="497">
        <v>45879.0</v>
      </c>
      <c r="B832" s="503" t="str">
        <f>HYPERLINK("https://docs.google.com/spreadsheets/d/14VRt1DzygoL3ldywdTGi4p4-5N6W0OO9Ugf6GEHXv1k/edit#gid=351252924","☆TP部メルマガ")</f>
        <v>☆TP部メルマガ</v>
      </c>
      <c r="C832" s="469" t="s">
        <v>741</v>
      </c>
      <c r="D832" s="375" t="s">
        <v>1234</v>
      </c>
      <c r="E832" s="504" t="s">
        <v>1235</v>
      </c>
      <c r="F832" s="491" t="s">
        <v>1081</v>
      </c>
      <c r="G832" s="491"/>
      <c r="H832" s="491" t="s">
        <v>1150</v>
      </c>
      <c r="I832" s="231"/>
      <c r="J832" s="231"/>
      <c r="K832" s="231"/>
      <c r="L832" s="231"/>
      <c r="M832" s="231"/>
      <c r="N832" s="231"/>
      <c r="O832" s="231"/>
      <c r="P832" s="231"/>
      <c r="Q832" s="231"/>
      <c r="R832" s="231"/>
      <c r="S832" s="231"/>
      <c r="T832" s="231"/>
      <c r="U832" s="231"/>
      <c r="V832" s="231"/>
      <c r="W832" s="231"/>
      <c r="X832" s="231"/>
      <c r="Y832" s="231"/>
      <c r="Z832" s="231"/>
      <c r="AA832" s="231"/>
      <c r="AB832" s="231"/>
    </row>
    <row r="833" ht="24.75" hidden="1" customHeight="1" outlineLevel="1">
      <c r="A833" s="497">
        <v>45880.0</v>
      </c>
      <c r="B833" s="505" t="s">
        <v>325</v>
      </c>
      <c r="C833" s="375" t="s">
        <v>1236</v>
      </c>
      <c r="D833" s="375" t="s">
        <v>1228</v>
      </c>
      <c r="E833" s="501" t="s">
        <v>1229</v>
      </c>
      <c r="F833" s="491" t="s">
        <v>1081</v>
      </c>
      <c r="G833" s="491"/>
      <c r="H833" s="491" t="s">
        <v>1237</v>
      </c>
      <c r="I833" s="401"/>
      <c r="J833" s="231"/>
      <c r="K833" s="231"/>
      <c r="L833" s="231"/>
      <c r="M833" s="231"/>
      <c r="N833" s="231"/>
      <c r="O833" s="231"/>
      <c r="P833" s="231"/>
      <c r="Q833" s="231"/>
      <c r="R833" s="231"/>
      <c r="S833" s="231"/>
      <c r="T833" s="231"/>
      <c r="U833" s="231"/>
      <c r="V833" s="231"/>
      <c r="W833" s="231"/>
      <c r="X833" s="231"/>
      <c r="Y833" s="231"/>
      <c r="Z833" s="231"/>
      <c r="AA833" s="231"/>
      <c r="AB833" s="231"/>
    </row>
    <row r="834" ht="24.75" hidden="1" customHeight="1" outlineLevel="1">
      <c r="A834" s="497">
        <v>45880.0</v>
      </c>
      <c r="B834" s="505" t="s">
        <v>330</v>
      </c>
      <c r="C834" s="375" t="s">
        <v>741</v>
      </c>
      <c r="D834" s="375" t="s">
        <v>1234</v>
      </c>
      <c r="E834" s="504" t="s">
        <v>1235</v>
      </c>
      <c r="F834" s="491" t="s">
        <v>1081</v>
      </c>
      <c r="G834" s="491"/>
      <c r="H834" s="491" t="s">
        <v>1154</v>
      </c>
      <c r="I834" s="401"/>
      <c r="J834" s="231"/>
      <c r="K834" s="231"/>
      <c r="L834" s="231"/>
      <c r="M834" s="231"/>
      <c r="N834" s="231"/>
      <c r="O834" s="231"/>
      <c r="P834" s="231"/>
      <c r="Q834" s="231"/>
      <c r="R834" s="231"/>
      <c r="S834" s="231"/>
      <c r="T834" s="231"/>
      <c r="U834" s="231"/>
      <c r="V834" s="231"/>
      <c r="W834" s="231"/>
      <c r="X834" s="231"/>
      <c r="Y834" s="231"/>
      <c r="Z834" s="231"/>
      <c r="AA834" s="231"/>
      <c r="AB834" s="231"/>
    </row>
    <row r="835" ht="24.75" hidden="1" customHeight="1" outlineLevel="1">
      <c r="A835" s="497">
        <v>45880.0</v>
      </c>
      <c r="B835" s="383" t="s">
        <v>753</v>
      </c>
      <c r="C835" s="488" t="s">
        <v>1208</v>
      </c>
      <c r="D835" s="469" t="s">
        <v>1226</v>
      </c>
      <c r="E835" s="498" t="s">
        <v>717</v>
      </c>
      <c r="F835" s="491" t="s">
        <v>1081</v>
      </c>
      <c r="G835" s="491" t="s">
        <v>1081</v>
      </c>
      <c r="H835" s="491" t="s">
        <v>1157</v>
      </c>
      <c r="I835" s="237" t="s">
        <v>1158</v>
      </c>
      <c r="J835" s="231"/>
      <c r="K835" s="231"/>
      <c r="L835" s="231"/>
      <c r="M835" s="231"/>
      <c r="N835" s="231"/>
      <c r="O835" s="231"/>
      <c r="P835" s="231"/>
      <c r="Q835" s="231"/>
      <c r="R835" s="231"/>
      <c r="S835" s="231"/>
      <c r="T835" s="231"/>
      <c r="U835" s="231"/>
      <c r="V835" s="231"/>
      <c r="W835" s="231"/>
      <c r="X835" s="231"/>
      <c r="Y835" s="231"/>
      <c r="Z835" s="231"/>
      <c r="AA835" s="231"/>
      <c r="AB835" s="231"/>
    </row>
    <row r="836" ht="24.75" hidden="1" customHeight="1" outlineLevel="1">
      <c r="A836" s="497">
        <v>45880.0</v>
      </c>
      <c r="B836" s="383" t="s">
        <v>756</v>
      </c>
      <c r="C836" s="488" t="s">
        <v>1208</v>
      </c>
      <c r="D836" s="469" t="s">
        <v>1226</v>
      </c>
      <c r="E836" s="498" t="s">
        <v>717</v>
      </c>
      <c r="F836" s="491" t="s">
        <v>1081</v>
      </c>
      <c r="G836" s="491" t="s">
        <v>1081</v>
      </c>
      <c r="H836" s="491" t="s">
        <v>1157</v>
      </c>
      <c r="I836" s="237" t="s">
        <v>1192</v>
      </c>
      <c r="J836" s="231"/>
      <c r="K836" s="231"/>
      <c r="L836" s="231"/>
      <c r="M836" s="231"/>
      <c r="N836" s="231"/>
      <c r="O836" s="231"/>
      <c r="P836" s="231"/>
      <c r="Q836" s="231"/>
      <c r="R836" s="231"/>
      <c r="S836" s="231"/>
      <c r="T836" s="231"/>
      <c r="U836" s="231"/>
      <c r="V836" s="231"/>
      <c r="W836" s="231"/>
      <c r="X836" s="231"/>
      <c r="Y836" s="231"/>
      <c r="Z836" s="231"/>
      <c r="AA836" s="231"/>
      <c r="AB836" s="231"/>
    </row>
    <row r="837" ht="24.75" hidden="1" customHeight="1" outlineLevel="1">
      <c r="A837" s="497">
        <v>45880.0</v>
      </c>
      <c r="B837" s="383" t="s">
        <v>801</v>
      </c>
      <c r="C837" s="383" t="s">
        <v>715</v>
      </c>
      <c r="D837" s="383" t="s">
        <v>802</v>
      </c>
      <c r="E837" s="498" t="s">
        <v>717</v>
      </c>
      <c r="F837" s="491" t="s">
        <v>1081</v>
      </c>
      <c r="G837" s="491"/>
      <c r="H837" s="506" t="s">
        <v>803</v>
      </c>
      <c r="I837" s="231"/>
      <c r="J837" s="231"/>
      <c r="K837" s="231"/>
      <c r="L837" s="231"/>
      <c r="M837" s="231"/>
      <c r="N837" s="237" t="s">
        <v>1079</v>
      </c>
      <c r="O837" s="231"/>
      <c r="P837" s="231"/>
      <c r="Q837" s="231"/>
      <c r="R837" s="231"/>
      <c r="S837" s="231"/>
      <c r="T837" s="231"/>
      <c r="U837" s="231"/>
      <c r="V837" s="231"/>
      <c r="W837" s="231"/>
      <c r="X837" s="231"/>
      <c r="Y837" s="231"/>
      <c r="Z837" s="231"/>
      <c r="AA837" s="231"/>
      <c r="AB837" s="231"/>
    </row>
    <row r="838" ht="24.75" hidden="1" customHeight="1" outlineLevel="1">
      <c r="A838" s="497">
        <v>45881.0</v>
      </c>
      <c r="B838" s="507" t="s">
        <v>1223</v>
      </c>
      <c r="C838" s="508" t="s">
        <v>715</v>
      </c>
      <c r="D838" s="373" t="s">
        <v>662</v>
      </c>
      <c r="E838" s="498" t="s">
        <v>717</v>
      </c>
      <c r="F838" s="491" t="s">
        <v>1081</v>
      </c>
      <c r="G838" s="491"/>
      <c r="H838" s="491" t="s">
        <v>1069</v>
      </c>
      <c r="I838" s="237"/>
      <c r="J838" s="231"/>
      <c r="K838" s="231"/>
      <c r="L838" s="231"/>
      <c r="M838" s="231"/>
      <c r="N838" s="237" t="s">
        <v>1082</v>
      </c>
      <c r="O838" s="231"/>
      <c r="P838" s="231"/>
      <c r="Q838" s="231"/>
      <c r="R838" s="231"/>
      <c r="S838" s="231"/>
      <c r="T838" s="231"/>
      <c r="U838" s="231"/>
      <c r="V838" s="231"/>
      <c r="W838" s="231"/>
      <c r="X838" s="231"/>
      <c r="Y838" s="231"/>
      <c r="Z838" s="231"/>
      <c r="AA838" s="231"/>
      <c r="AB838" s="231"/>
    </row>
    <row r="839" ht="24.75" hidden="1" customHeight="1" outlineLevel="1">
      <c r="A839" s="497">
        <v>45881.0</v>
      </c>
      <c r="B839" s="508" t="s">
        <v>714</v>
      </c>
      <c r="C839" s="373" t="s">
        <v>715</v>
      </c>
      <c r="D839" s="509" t="s">
        <v>1083</v>
      </c>
      <c r="E839" s="498" t="s">
        <v>717</v>
      </c>
      <c r="F839" s="491" t="s">
        <v>1081</v>
      </c>
      <c r="G839" s="491"/>
      <c r="H839" s="491" t="s">
        <v>1067</v>
      </c>
      <c r="I839" s="237"/>
      <c r="J839" s="231"/>
      <c r="K839" s="231"/>
      <c r="L839" s="231"/>
      <c r="M839" s="231"/>
      <c r="N839" s="231"/>
      <c r="O839" s="231"/>
      <c r="P839" s="231"/>
      <c r="Q839" s="231"/>
      <c r="R839" s="231"/>
      <c r="S839" s="231"/>
      <c r="T839" s="231"/>
      <c r="U839" s="231"/>
      <c r="V839" s="231"/>
      <c r="W839" s="231"/>
      <c r="X839" s="231"/>
      <c r="Y839" s="231"/>
      <c r="Z839" s="231"/>
      <c r="AA839" s="231"/>
      <c r="AB839" s="231"/>
    </row>
    <row r="840" ht="24.75" hidden="1" customHeight="1" outlineLevel="1">
      <c r="A840" s="497">
        <v>45881.0</v>
      </c>
      <c r="B840" s="508" t="s">
        <v>808</v>
      </c>
      <c r="C840" s="510" t="s">
        <v>715</v>
      </c>
      <c r="D840" s="508" t="s">
        <v>802</v>
      </c>
      <c r="E840" s="498" t="s">
        <v>717</v>
      </c>
      <c r="F840" s="491" t="s">
        <v>1081</v>
      </c>
      <c r="G840" s="491"/>
      <c r="H840" s="491" t="s">
        <v>1238</v>
      </c>
      <c r="I840" s="237"/>
      <c r="J840" s="231"/>
      <c r="K840" s="231"/>
      <c r="L840" s="231"/>
      <c r="M840" s="231"/>
      <c r="N840" s="231"/>
      <c r="O840" s="231"/>
      <c r="P840" s="231"/>
      <c r="Q840" s="231"/>
      <c r="R840" s="231"/>
      <c r="S840" s="231"/>
      <c r="T840" s="231"/>
      <c r="U840" s="231"/>
      <c r="V840" s="231"/>
      <c r="W840" s="231"/>
      <c r="X840" s="231"/>
      <c r="Y840" s="231"/>
      <c r="Z840" s="231"/>
      <c r="AA840" s="231"/>
      <c r="AB840" s="231"/>
    </row>
    <row r="841" ht="24.75" hidden="1" customHeight="1" outlineLevel="1">
      <c r="A841" s="497">
        <v>45881.0</v>
      </c>
      <c r="B841" s="508" t="s">
        <v>1239</v>
      </c>
      <c r="C841" s="469" t="s">
        <v>1219</v>
      </c>
      <c r="D841" s="373" t="s">
        <v>1230</v>
      </c>
      <c r="E841" s="502" t="s">
        <v>1231</v>
      </c>
      <c r="F841" s="491" t="s">
        <v>1081</v>
      </c>
      <c r="G841" s="491"/>
      <c r="H841" s="491" t="s">
        <v>1240</v>
      </c>
      <c r="I841" s="237"/>
      <c r="J841" s="231"/>
      <c r="K841" s="231"/>
      <c r="L841" s="231"/>
      <c r="M841" s="231"/>
      <c r="N841" s="231"/>
      <c r="O841" s="231"/>
      <c r="P841" s="231"/>
      <c r="Q841" s="231"/>
      <c r="R841" s="231"/>
      <c r="S841" s="231"/>
      <c r="T841" s="231"/>
      <c r="U841" s="231"/>
      <c r="V841" s="231"/>
      <c r="W841" s="231"/>
      <c r="X841" s="231"/>
      <c r="Y841" s="231"/>
      <c r="Z841" s="231"/>
      <c r="AA841" s="231"/>
      <c r="AB841" s="231"/>
    </row>
    <row r="842" ht="24.75" hidden="1" customHeight="1" outlineLevel="1">
      <c r="A842" s="497">
        <v>45882.0</v>
      </c>
      <c r="B842" s="508" t="s">
        <v>366</v>
      </c>
      <c r="C842" s="373" t="s">
        <v>715</v>
      </c>
      <c r="D842" s="511" t="s">
        <v>1241</v>
      </c>
      <c r="E842" s="498" t="s">
        <v>717</v>
      </c>
      <c r="F842" s="491" t="s">
        <v>1081</v>
      </c>
      <c r="G842" s="492"/>
      <c r="H842" s="491" t="s">
        <v>1242</v>
      </c>
      <c r="I842" s="237"/>
      <c r="J842" s="231"/>
      <c r="K842" s="231"/>
      <c r="L842" s="231"/>
      <c r="M842" s="231"/>
      <c r="N842" s="231"/>
      <c r="O842" s="231"/>
      <c r="P842" s="231"/>
      <c r="Q842" s="231"/>
      <c r="R842" s="231"/>
      <c r="S842" s="231"/>
      <c r="T842" s="231"/>
      <c r="U842" s="231"/>
      <c r="V842" s="231"/>
      <c r="W842" s="231"/>
      <c r="X842" s="231"/>
      <c r="Y842" s="231"/>
      <c r="Z842" s="231"/>
      <c r="AA842" s="231"/>
      <c r="AB842" s="231"/>
    </row>
    <row r="843" ht="24.75" hidden="1" customHeight="1" outlineLevel="1">
      <c r="A843" s="497">
        <v>45882.0</v>
      </c>
      <c r="B843" s="503" t="s">
        <v>389</v>
      </c>
      <c r="C843" s="373" t="s">
        <v>1227</v>
      </c>
      <c r="D843" s="512" t="s">
        <v>146</v>
      </c>
      <c r="E843" s="501" t="s">
        <v>1229</v>
      </c>
      <c r="F843" s="491" t="s">
        <v>1081</v>
      </c>
      <c r="G843" s="491"/>
      <c r="H843" s="491" t="s">
        <v>1086</v>
      </c>
      <c r="I843" s="237"/>
      <c r="J843" s="231"/>
      <c r="K843" s="231"/>
      <c r="L843" s="231"/>
      <c r="M843" s="231"/>
      <c r="N843" s="231"/>
      <c r="O843" s="231"/>
      <c r="P843" s="231"/>
      <c r="Q843" s="231"/>
      <c r="R843" s="231"/>
      <c r="S843" s="231"/>
      <c r="T843" s="231"/>
      <c r="U843" s="231"/>
      <c r="V843" s="231"/>
      <c r="W843" s="231"/>
      <c r="X843" s="231"/>
      <c r="Y843" s="231"/>
      <c r="Z843" s="231"/>
      <c r="AA843" s="231"/>
      <c r="AB843" s="231"/>
    </row>
    <row r="844" ht="24.75" hidden="1" customHeight="1" outlineLevel="1">
      <c r="A844" s="497">
        <v>45882.0</v>
      </c>
      <c r="B844" s="508" t="s">
        <v>1243</v>
      </c>
      <c r="C844" s="469" t="s">
        <v>1219</v>
      </c>
      <c r="D844" s="373" t="s">
        <v>1230</v>
      </c>
      <c r="E844" s="502" t="s">
        <v>1231</v>
      </c>
      <c r="F844" s="491" t="s">
        <v>1081</v>
      </c>
      <c r="G844" s="492"/>
      <c r="H844" s="491" t="s">
        <v>1240</v>
      </c>
      <c r="I844" s="237"/>
      <c r="J844" s="231"/>
      <c r="K844" s="231"/>
      <c r="L844" s="231"/>
      <c r="M844" s="231"/>
      <c r="N844" s="231"/>
      <c r="O844" s="231"/>
      <c r="P844" s="231"/>
      <c r="Q844" s="231"/>
      <c r="R844" s="231"/>
      <c r="S844" s="231"/>
      <c r="T844" s="231"/>
      <c r="U844" s="231"/>
      <c r="V844" s="231"/>
      <c r="W844" s="231"/>
      <c r="X844" s="231"/>
      <c r="Y844" s="231"/>
      <c r="Z844" s="231"/>
      <c r="AA844" s="231"/>
      <c r="AB844" s="231"/>
    </row>
    <row r="845" ht="24.75" hidden="1" customHeight="1" outlineLevel="1">
      <c r="A845" s="497">
        <v>45882.0</v>
      </c>
      <c r="B845" s="508" t="s">
        <v>398</v>
      </c>
      <c r="C845" s="473" t="s">
        <v>1198</v>
      </c>
      <c r="D845" s="512" t="s">
        <v>146</v>
      </c>
      <c r="E845" s="513" t="s">
        <v>1244</v>
      </c>
      <c r="F845" s="491" t="s">
        <v>1081</v>
      </c>
      <c r="G845" s="491" t="s">
        <v>1081</v>
      </c>
      <c r="H845" s="491" t="s">
        <v>1168</v>
      </c>
      <c r="I845" s="401"/>
      <c r="J845" s="231"/>
      <c r="K845" s="231"/>
      <c r="L845" s="231"/>
      <c r="M845" s="231"/>
      <c r="N845" s="231"/>
      <c r="O845" s="231"/>
      <c r="P845" s="231"/>
      <c r="Q845" s="231"/>
      <c r="R845" s="231"/>
      <c r="S845" s="231"/>
      <c r="T845" s="231"/>
      <c r="U845" s="231"/>
      <c r="V845" s="231"/>
      <c r="W845" s="231"/>
      <c r="X845" s="231"/>
      <c r="Y845" s="231"/>
      <c r="Z845" s="231"/>
      <c r="AA845" s="231"/>
      <c r="AB845" s="231"/>
    </row>
    <row r="846" ht="24.75" hidden="1" customHeight="1" outlineLevel="1">
      <c r="A846" s="497">
        <v>45882.0</v>
      </c>
      <c r="B846" s="474" t="s">
        <v>414</v>
      </c>
      <c r="C846" s="473" t="s">
        <v>1200</v>
      </c>
      <c r="D846" s="475" t="s">
        <v>146</v>
      </c>
      <c r="E846" s="514" t="s">
        <v>1245</v>
      </c>
      <c r="F846" s="491" t="s">
        <v>1081</v>
      </c>
      <c r="G846" s="491"/>
      <c r="H846" s="491" t="s">
        <v>1202</v>
      </c>
      <c r="I846" s="401"/>
      <c r="J846" s="231"/>
      <c r="K846" s="231"/>
      <c r="L846" s="231"/>
      <c r="M846" s="231"/>
      <c r="N846" s="231"/>
      <c r="O846" s="231"/>
      <c r="P846" s="231"/>
      <c r="Q846" s="231"/>
      <c r="R846" s="231"/>
      <c r="S846" s="231"/>
      <c r="T846" s="231"/>
      <c r="U846" s="231"/>
      <c r="V846" s="231"/>
      <c r="W846" s="231"/>
      <c r="X846" s="231"/>
      <c r="Y846" s="231"/>
      <c r="Z846" s="231"/>
      <c r="AA846" s="231"/>
      <c r="AB846" s="231"/>
    </row>
    <row r="847" ht="24.75" hidden="1" customHeight="1" outlineLevel="1">
      <c r="A847" s="497">
        <v>45883.0</v>
      </c>
      <c r="B847" s="438" t="s">
        <v>492</v>
      </c>
      <c r="C847" s="373" t="s">
        <v>741</v>
      </c>
      <c r="D847" s="475" t="s">
        <v>146</v>
      </c>
      <c r="E847" s="504" t="s">
        <v>1235</v>
      </c>
      <c r="F847" s="491" t="s">
        <v>1081</v>
      </c>
      <c r="G847" s="492"/>
      <c r="H847" s="491" t="s">
        <v>1154</v>
      </c>
      <c r="I847" s="401"/>
      <c r="J847" s="231"/>
      <c r="K847" s="231"/>
      <c r="L847" s="231"/>
      <c r="M847" s="231"/>
      <c r="N847" s="231"/>
      <c r="O847" s="231"/>
      <c r="P847" s="231"/>
      <c r="Q847" s="231"/>
      <c r="R847" s="231"/>
      <c r="S847" s="231"/>
      <c r="T847" s="231"/>
      <c r="U847" s="231"/>
      <c r="V847" s="231"/>
      <c r="W847" s="231"/>
      <c r="X847" s="231"/>
      <c r="Y847" s="231"/>
      <c r="Z847" s="231"/>
      <c r="AA847" s="231"/>
      <c r="AB847" s="231"/>
    </row>
    <row r="848" ht="24.75" hidden="1" customHeight="1" outlineLevel="1">
      <c r="A848" s="497">
        <v>45883.0</v>
      </c>
      <c r="B848" s="508" t="s">
        <v>1246</v>
      </c>
      <c r="C848" s="469" t="s">
        <v>1219</v>
      </c>
      <c r="D848" s="373" t="s">
        <v>1230</v>
      </c>
      <c r="E848" s="502" t="s">
        <v>1231</v>
      </c>
      <c r="F848" s="491" t="s">
        <v>1081</v>
      </c>
      <c r="G848" s="492"/>
      <c r="H848" s="491" t="s">
        <v>1240</v>
      </c>
      <c r="I848" s="237"/>
      <c r="J848" s="231"/>
      <c r="K848" s="231"/>
      <c r="L848" s="231"/>
      <c r="M848" s="231"/>
      <c r="N848" s="231"/>
      <c r="O848" s="231"/>
      <c r="P848" s="231"/>
      <c r="Q848" s="231"/>
      <c r="R848" s="231"/>
      <c r="S848" s="231"/>
      <c r="T848" s="231"/>
      <c r="U848" s="231"/>
      <c r="V848" s="231"/>
      <c r="W848" s="231"/>
      <c r="X848" s="231"/>
      <c r="Y848" s="231"/>
      <c r="Z848" s="231"/>
      <c r="AA848" s="231"/>
      <c r="AB848" s="231"/>
    </row>
    <row r="849" ht="24.75" hidden="1" customHeight="1" outlineLevel="1">
      <c r="A849" s="497">
        <v>45884.0</v>
      </c>
      <c r="B849" s="508" t="s">
        <v>714</v>
      </c>
      <c r="C849" s="373" t="s">
        <v>715</v>
      </c>
      <c r="D849" s="509" t="s">
        <v>1083</v>
      </c>
      <c r="E849" s="498" t="s">
        <v>717</v>
      </c>
      <c r="F849" s="491" t="s">
        <v>1081</v>
      </c>
      <c r="G849" s="491"/>
      <c r="H849" s="491" t="s">
        <v>1067</v>
      </c>
      <c r="I849" s="237"/>
      <c r="J849" s="231"/>
      <c r="K849" s="231"/>
      <c r="L849" s="231"/>
      <c r="M849" s="231"/>
      <c r="N849" s="231"/>
      <c r="O849" s="231"/>
      <c r="P849" s="231"/>
      <c r="Q849" s="231"/>
      <c r="R849" s="231"/>
      <c r="S849" s="231"/>
      <c r="T849" s="231"/>
      <c r="U849" s="231"/>
      <c r="V849" s="231"/>
      <c r="W849" s="231"/>
      <c r="X849" s="231"/>
      <c r="Y849" s="231"/>
      <c r="Z849" s="231"/>
      <c r="AA849" s="231"/>
      <c r="AB849" s="231"/>
    </row>
    <row r="850" ht="24.75" hidden="1" customHeight="1" outlineLevel="1">
      <c r="A850" s="497">
        <v>45884.0</v>
      </c>
      <c r="B850" s="499" t="s">
        <v>1223</v>
      </c>
      <c r="C850" s="383" t="s">
        <v>715</v>
      </c>
      <c r="D850" s="375" t="s">
        <v>662</v>
      </c>
      <c r="E850" s="498" t="s">
        <v>717</v>
      </c>
      <c r="F850" s="491" t="s">
        <v>1081</v>
      </c>
      <c r="G850" s="491"/>
      <c r="H850" s="491" t="s">
        <v>1069</v>
      </c>
      <c r="I850" s="237"/>
      <c r="J850" s="231"/>
      <c r="K850" s="231"/>
      <c r="L850" s="231"/>
      <c r="M850" s="231"/>
      <c r="N850" s="231"/>
      <c r="O850" s="231"/>
      <c r="P850" s="231"/>
      <c r="Q850" s="231"/>
      <c r="R850" s="231"/>
      <c r="S850" s="231"/>
      <c r="T850" s="231"/>
      <c r="U850" s="231"/>
      <c r="V850" s="231"/>
      <c r="W850" s="231"/>
      <c r="X850" s="231"/>
      <c r="Y850" s="231"/>
      <c r="Z850" s="231"/>
      <c r="AA850" s="231"/>
      <c r="AB850" s="231"/>
    </row>
    <row r="851" ht="24.75" hidden="1" customHeight="1" outlineLevel="1">
      <c r="A851" s="497">
        <v>45884.0</v>
      </c>
      <c r="B851" s="383" t="s">
        <v>310</v>
      </c>
      <c r="C851" s="375" t="s">
        <v>1247</v>
      </c>
      <c r="D851" s="475" t="s">
        <v>146</v>
      </c>
      <c r="E851" s="515" t="s">
        <v>1248</v>
      </c>
      <c r="F851" s="491" t="s">
        <v>1081</v>
      </c>
      <c r="G851" s="491"/>
      <c r="H851" s="491" t="s">
        <v>1224</v>
      </c>
      <c r="I851" s="237"/>
      <c r="J851" s="231"/>
      <c r="K851" s="231"/>
      <c r="L851" s="231"/>
      <c r="M851" s="231"/>
      <c r="N851" s="231"/>
      <c r="O851" s="231"/>
      <c r="P851" s="231"/>
      <c r="Q851" s="231"/>
      <c r="R851" s="231"/>
      <c r="S851" s="231"/>
      <c r="T851" s="231"/>
      <c r="U851" s="231"/>
      <c r="V851" s="231"/>
      <c r="W851" s="231"/>
      <c r="X851" s="231"/>
      <c r="Y851" s="231"/>
      <c r="Z851" s="231"/>
      <c r="AA851" s="231"/>
      <c r="AB851" s="231"/>
    </row>
    <row r="852" ht="24.75" hidden="1" customHeight="1" outlineLevel="1">
      <c r="A852" s="497">
        <v>45885.0</v>
      </c>
      <c r="B852" s="508" t="s">
        <v>418</v>
      </c>
      <c r="C852" s="373" t="s">
        <v>715</v>
      </c>
      <c r="D852" s="511" t="s">
        <v>1249</v>
      </c>
      <c r="E852" s="498" t="s">
        <v>717</v>
      </c>
      <c r="F852" s="491" t="s">
        <v>1081</v>
      </c>
      <c r="G852" s="492"/>
      <c r="H852" s="491" t="s">
        <v>1225</v>
      </c>
      <c r="I852" s="237"/>
      <c r="J852" s="231"/>
      <c r="K852" s="231"/>
      <c r="L852" s="231"/>
      <c r="M852" s="231"/>
      <c r="N852" s="231"/>
      <c r="O852" s="231"/>
      <c r="P852" s="231"/>
      <c r="Q852" s="231"/>
      <c r="R852" s="231"/>
      <c r="S852" s="231"/>
      <c r="T852" s="231"/>
      <c r="U852" s="231"/>
      <c r="V852" s="231"/>
      <c r="W852" s="231"/>
      <c r="X852" s="231"/>
      <c r="Y852" s="231"/>
      <c r="Z852" s="231"/>
      <c r="AA852" s="231"/>
      <c r="AB852" s="231"/>
    </row>
    <row r="853" ht="24.75" hidden="1" customHeight="1" outlineLevel="1">
      <c r="A853" s="497">
        <v>45885.0</v>
      </c>
      <c r="B853" s="500" t="str">
        <f>HYPERLINK("https://docs.google.com/spreadsheets/d/1v3B9E8Jeqx3_JGvRHJ2cXJ5OAGLvZiOXZru0niKH-QQ/edit?ts=56170761#gid=1991794180","☆横浜")</f>
        <v>☆横浜</v>
      </c>
      <c r="C853" s="469" t="s">
        <v>1205</v>
      </c>
      <c r="D853" s="475" t="s">
        <v>146</v>
      </c>
      <c r="E853" s="516" t="s">
        <v>1250</v>
      </c>
      <c r="F853" s="491" t="s">
        <v>1081</v>
      </c>
      <c r="G853" s="491" t="s">
        <v>1081</v>
      </c>
      <c r="H853" s="491" t="s">
        <v>1131</v>
      </c>
      <c r="I853" s="401"/>
      <c r="J853" s="231"/>
      <c r="K853" s="231"/>
      <c r="L853" s="231"/>
      <c r="M853" s="231"/>
      <c r="N853" s="231"/>
      <c r="O853" s="231"/>
      <c r="P853" s="231"/>
      <c r="Q853" s="231"/>
      <c r="R853" s="231"/>
      <c r="S853" s="231"/>
      <c r="T853" s="231"/>
      <c r="U853" s="231"/>
      <c r="V853" s="231"/>
      <c r="W853" s="231"/>
      <c r="X853" s="231"/>
      <c r="Y853" s="231"/>
      <c r="Z853" s="231"/>
      <c r="AA853" s="231"/>
      <c r="AB853" s="231"/>
    </row>
    <row r="854" ht="24.75" hidden="1" customHeight="1" outlineLevel="1">
      <c r="A854" s="497">
        <v>45885.0</v>
      </c>
      <c r="B854" s="438" t="str">
        <f>HYPERLINK("https://docs.google.com/spreadsheets/d/1xrfsiAjLwPhBlveDsLSsUUfMnNpOidnkNLqHJabwWYo/edit?ts=56ea7063#gid=1283986028","☆救済メルマガ(UP10)")</f>
        <v>☆救済メルマガ(UP10)</v>
      </c>
      <c r="C854" s="375" t="s">
        <v>1227</v>
      </c>
      <c r="D854" s="475" t="s">
        <v>146</v>
      </c>
      <c r="E854" s="501" t="s">
        <v>1229</v>
      </c>
      <c r="F854" s="491" t="s">
        <v>1081</v>
      </c>
      <c r="G854" s="491"/>
      <c r="H854" s="491" t="s">
        <v>1135</v>
      </c>
      <c r="I854" s="401"/>
      <c r="J854" s="231"/>
      <c r="K854" s="231"/>
      <c r="L854" s="231"/>
      <c r="M854" s="231"/>
      <c r="N854" s="231"/>
      <c r="O854" s="231"/>
      <c r="P854" s="231"/>
      <c r="Q854" s="231"/>
      <c r="R854" s="231"/>
      <c r="S854" s="231"/>
      <c r="T854" s="231"/>
      <c r="U854" s="231"/>
      <c r="V854" s="231"/>
      <c r="W854" s="231"/>
      <c r="X854" s="231"/>
      <c r="Y854" s="231"/>
      <c r="Z854" s="231"/>
      <c r="AA854" s="231"/>
      <c r="AB854" s="231"/>
    </row>
    <row r="855" ht="24.75" hidden="1" customHeight="1" outlineLevel="1">
      <c r="A855" s="497">
        <v>45886.0</v>
      </c>
      <c r="B855" s="438" t="s">
        <v>456</v>
      </c>
      <c r="C855" s="469" t="s">
        <v>1219</v>
      </c>
      <c r="D855" s="475" t="s">
        <v>146</v>
      </c>
      <c r="E855" s="502" t="s">
        <v>1231</v>
      </c>
      <c r="F855" s="491" t="s">
        <v>1081</v>
      </c>
      <c r="G855" s="491"/>
      <c r="H855" s="491" t="s">
        <v>1135</v>
      </c>
      <c r="I855" s="401"/>
      <c r="J855" s="231"/>
      <c r="K855" s="231"/>
      <c r="L855" s="231"/>
      <c r="M855" s="231"/>
      <c r="N855" s="231"/>
      <c r="O855" s="231"/>
      <c r="P855" s="231"/>
      <c r="Q855" s="231"/>
      <c r="R855" s="231"/>
      <c r="S855" s="231"/>
      <c r="T855" s="231"/>
      <c r="U855" s="231"/>
      <c r="V855" s="231"/>
      <c r="W855" s="231"/>
      <c r="X855" s="231"/>
      <c r="Y855" s="231"/>
      <c r="Z855" s="231"/>
      <c r="AA855" s="231"/>
      <c r="AB855" s="231"/>
    </row>
    <row r="856" ht="24.75" hidden="1" customHeight="1" outlineLevel="1">
      <c r="A856" s="517">
        <v>45886.0</v>
      </c>
      <c r="B856" s="508" t="s">
        <v>39</v>
      </c>
      <c r="C856" s="373" t="s">
        <v>1232</v>
      </c>
      <c r="D856" s="475" t="s">
        <v>146</v>
      </c>
      <c r="E856" s="518" t="s">
        <v>1251</v>
      </c>
      <c r="F856" s="519" t="s">
        <v>1081</v>
      </c>
      <c r="G856" s="519" t="s">
        <v>1081</v>
      </c>
      <c r="H856" s="519" t="s">
        <v>1233</v>
      </c>
      <c r="I856" s="401" t="s">
        <v>1252</v>
      </c>
      <c r="J856" s="520"/>
      <c r="K856" s="520"/>
      <c r="L856" s="520"/>
      <c r="M856" s="520"/>
      <c r="N856" s="520"/>
      <c r="O856" s="521"/>
      <c r="P856" s="521"/>
      <c r="Q856" s="521"/>
      <c r="R856" s="521"/>
      <c r="S856" s="521"/>
      <c r="T856" s="521"/>
      <c r="U856" s="521"/>
      <c r="V856" s="521"/>
      <c r="W856" s="521"/>
      <c r="X856" s="521"/>
      <c r="Y856" s="521"/>
      <c r="Z856" s="521"/>
      <c r="AA856" s="521"/>
      <c r="AB856" s="521"/>
      <c r="AC856" s="522"/>
    </row>
    <row r="857" ht="24.75" hidden="1" customHeight="1" outlineLevel="1">
      <c r="A857" s="497">
        <v>45886.0</v>
      </c>
      <c r="B857" s="503" t="str">
        <f>HYPERLINK("https://docs.google.com/spreadsheets/d/14VRt1DzygoL3ldywdTGi4p4-5N6W0OO9Ugf6GEHXv1k/edit#gid=351252924","☆TP部メルマガ")</f>
        <v>☆TP部メルマガ</v>
      </c>
      <c r="C857" s="469" t="s">
        <v>741</v>
      </c>
      <c r="D857" s="475" t="s">
        <v>146</v>
      </c>
      <c r="E857" s="504" t="s">
        <v>1235</v>
      </c>
      <c r="F857" s="491" t="s">
        <v>1081</v>
      </c>
      <c r="G857" s="491"/>
      <c r="H857" s="491" t="s">
        <v>1150</v>
      </c>
      <c r="I857" s="401"/>
      <c r="J857" s="231"/>
      <c r="K857" s="231"/>
      <c r="L857" s="231"/>
      <c r="M857" s="231"/>
      <c r="N857" s="231"/>
      <c r="O857" s="231"/>
      <c r="P857" s="231"/>
      <c r="Q857" s="231"/>
      <c r="R857" s="231"/>
      <c r="S857" s="231"/>
      <c r="T857" s="231"/>
      <c r="U857" s="231"/>
      <c r="V857" s="231"/>
      <c r="W857" s="231"/>
      <c r="X857" s="231"/>
      <c r="Y857" s="231"/>
      <c r="Z857" s="231"/>
      <c r="AA857" s="231"/>
      <c r="AB857" s="231"/>
    </row>
    <row r="858" ht="24.75" hidden="1" customHeight="1" outlineLevel="1">
      <c r="A858" s="497">
        <v>45887.0</v>
      </c>
      <c r="B858" s="505" t="s">
        <v>325</v>
      </c>
      <c r="C858" s="375" t="s">
        <v>1236</v>
      </c>
      <c r="D858" s="475" t="s">
        <v>146</v>
      </c>
      <c r="E858" s="501" t="s">
        <v>1229</v>
      </c>
      <c r="F858" s="491" t="s">
        <v>1081</v>
      </c>
      <c r="G858" s="491"/>
      <c r="H858" s="491" t="s">
        <v>1237</v>
      </c>
      <c r="I858" s="401"/>
      <c r="J858" s="231"/>
      <c r="K858" s="231"/>
      <c r="L858" s="231"/>
      <c r="M858" s="231"/>
      <c r="N858" s="231"/>
      <c r="O858" s="231"/>
      <c r="P858" s="231"/>
      <c r="Q858" s="231"/>
      <c r="R858" s="231"/>
      <c r="S858" s="231"/>
      <c r="T858" s="231"/>
      <c r="U858" s="231"/>
      <c r="V858" s="231"/>
      <c r="W858" s="231"/>
      <c r="X858" s="231"/>
      <c r="Y858" s="231"/>
      <c r="Z858" s="231"/>
      <c r="AA858" s="231"/>
      <c r="AB858" s="231"/>
    </row>
    <row r="859" ht="24.75" hidden="1" customHeight="1" outlineLevel="1">
      <c r="A859" s="497">
        <v>45887.0</v>
      </c>
      <c r="B859" s="505" t="s">
        <v>330</v>
      </c>
      <c r="C859" s="375" t="s">
        <v>741</v>
      </c>
      <c r="D859" s="475" t="s">
        <v>146</v>
      </c>
      <c r="E859" s="504" t="s">
        <v>1235</v>
      </c>
      <c r="F859" s="491" t="s">
        <v>1081</v>
      </c>
      <c r="G859" s="491"/>
      <c r="H859" s="491" t="s">
        <v>1154</v>
      </c>
      <c r="I859" s="401"/>
      <c r="J859" s="231"/>
      <c r="K859" s="231"/>
      <c r="L859" s="231"/>
      <c r="M859" s="231"/>
      <c r="N859" s="231"/>
      <c r="O859" s="231"/>
      <c r="P859" s="231"/>
      <c r="Q859" s="231"/>
      <c r="R859" s="231"/>
      <c r="S859" s="231"/>
      <c r="T859" s="231"/>
      <c r="U859" s="231"/>
      <c r="V859" s="231"/>
      <c r="W859" s="231"/>
      <c r="X859" s="231"/>
      <c r="Y859" s="231"/>
      <c r="Z859" s="231"/>
      <c r="AA859" s="231"/>
      <c r="AB859" s="231"/>
    </row>
    <row r="860" ht="24.75" hidden="1" customHeight="1" outlineLevel="1">
      <c r="A860" s="497">
        <v>45887.0</v>
      </c>
      <c r="B860" s="383" t="s">
        <v>753</v>
      </c>
      <c r="C860" s="488" t="s">
        <v>1208</v>
      </c>
      <c r="D860" s="475" t="s">
        <v>146</v>
      </c>
      <c r="E860" s="523" t="s">
        <v>1253</v>
      </c>
      <c r="F860" s="491" t="s">
        <v>1081</v>
      </c>
      <c r="G860" s="491" t="s">
        <v>1081</v>
      </c>
      <c r="H860" s="491" t="s">
        <v>1254</v>
      </c>
      <c r="I860" s="237" t="s">
        <v>1158</v>
      </c>
      <c r="J860" s="231"/>
      <c r="K860" s="231"/>
      <c r="L860" s="231"/>
      <c r="M860" s="231"/>
      <c r="N860" s="231"/>
      <c r="O860" s="231"/>
      <c r="P860" s="231"/>
      <c r="Q860" s="231"/>
      <c r="R860" s="231"/>
      <c r="S860" s="231"/>
      <c r="T860" s="231"/>
      <c r="U860" s="231"/>
      <c r="V860" s="231"/>
      <c r="W860" s="231"/>
      <c r="X860" s="231"/>
      <c r="Y860" s="231"/>
      <c r="Z860" s="231"/>
      <c r="AA860" s="231"/>
      <c r="AB860" s="231"/>
    </row>
    <row r="861" ht="24.75" hidden="1" customHeight="1" outlineLevel="1">
      <c r="A861" s="497">
        <v>45887.0</v>
      </c>
      <c r="B861" s="383" t="s">
        <v>756</v>
      </c>
      <c r="C861" s="488" t="s">
        <v>1208</v>
      </c>
      <c r="D861" s="475" t="s">
        <v>146</v>
      </c>
      <c r="E861" s="523" t="s">
        <v>1253</v>
      </c>
      <c r="F861" s="491" t="s">
        <v>1081</v>
      </c>
      <c r="G861" s="491" t="s">
        <v>1081</v>
      </c>
      <c r="H861" s="491" t="s">
        <v>1254</v>
      </c>
      <c r="I861" s="237" t="s">
        <v>1192</v>
      </c>
      <c r="J861" s="231"/>
      <c r="K861" s="231"/>
      <c r="L861" s="231"/>
      <c r="M861" s="231"/>
      <c r="N861" s="231"/>
      <c r="O861" s="231"/>
      <c r="P861" s="231"/>
      <c r="Q861" s="231"/>
      <c r="R861" s="231"/>
      <c r="S861" s="231"/>
      <c r="T861" s="231"/>
      <c r="U861" s="231"/>
      <c r="V861" s="231"/>
      <c r="W861" s="231"/>
      <c r="X861" s="231"/>
      <c r="Y861" s="231"/>
      <c r="Z861" s="231"/>
      <c r="AA861" s="231"/>
      <c r="AB861" s="231"/>
    </row>
    <row r="862" ht="24.75" hidden="1" customHeight="1" outlineLevel="1">
      <c r="A862" s="497">
        <v>45887.0</v>
      </c>
      <c r="B862" s="383" t="s">
        <v>801</v>
      </c>
      <c r="C862" s="383" t="s">
        <v>715</v>
      </c>
      <c r="D862" s="383" t="s">
        <v>802</v>
      </c>
      <c r="E862" s="498" t="s">
        <v>717</v>
      </c>
      <c r="F862" s="491" t="s">
        <v>1081</v>
      </c>
      <c r="G862" s="491"/>
      <c r="H862" s="506" t="s">
        <v>803</v>
      </c>
      <c r="I862" s="231"/>
      <c r="J862" s="231"/>
      <c r="K862" s="231"/>
      <c r="L862" s="231"/>
      <c r="M862" s="231"/>
      <c r="N862" s="237" t="s">
        <v>1079</v>
      </c>
      <c r="O862" s="231"/>
      <c r="P862" s="231"/>
      <c r="Q862" s="231"/>
      <c r="R862" s="231"/>
      <c r="S862" s="231"/>
      <c r="T862" s="231"/>
      <c r="U862" s="231"/>
      <c r="V862" s="231"/>
      <c r="W862" s="231"/>
      <c r="X862" s="231"/>
      <c r="Y862" s="231"/>
      <c r="Z862" s="231"/>
      <c r="AA862" s="231"/>
      <c r="AB862" s="231"/>
    </row>
    <row r="863" ht="24.75" hidden="1" customHeight="1" outlineLevel="1">
      <c r="A863" s="497">
        <v>45888.0</v>
      </c>
      <c r="B863" s="507" t="s">
        <v>1223</v>
      </c>
      <c r="C863" s="508" t="s">
        <v>715</v>
      </c>
      <c r="D863" s="373" t="s">
        <v>662</v>
      </c>
      <c r="E863" s="498" t="s">
        <v>717</v>
      </c>
      <c r="F863" s="491" t="s">
        <v>1081</v>
      </c>
      <c r="G863" s="491"/>
      <c r="H863" s="491" t="s">
        <v>1069</v>
      </c>
      <c r="I863" s="237"/>
      <c r="J863" s="231"/>
      <c r="K863" s="231"/>
      <c r="L863" s="231"/>
      <c r="M863" s="231"/>
      <c r="N863" s="237" t="s">
        <v>1082</v>
      </c>
      <c r="O863" s="231"/>
      <c r="P863" s="231"/>
      <c r="Q863" s="231"/>
      <c r="R863" s="231"/>
      <c r="S863" s="231"/>
      <c r="T863" s="231"/>
      <c r="U863" s="231"/>
      <c r="V863" s="231"/>
      <c r="W863" s="231"/>
      <c r="X863" s="231"/>
      <c r="Y863" s="231"/>
      <c r="Z863" s="231"/>
      <c r="AA863" s="231"/>
      <c r="AB863" s="231"/>
    </row>
    <row r="864" ht="24.75" hidden="1" customHeight="1" outlineLevel="1">
      <c r="A864" s="497">
        <v>45888.0</v>
      </c>
      <c r="B864" s="508" t="s">
        <v>714</v>
      </c>
      <c r="C864" s="373" t="s">
        <v>715</v>
      </c>
      <c r="D864" s="373" t="s">
        <v>662</v>
      </c>
      <c r="E864" s="498" t="s">
        <v>717</v>
      </c>
      <c r="F864" s="491" t="s">
        <v>1081</v>
      </c>
      <c r="G864" s="491"/>
      <c r="H864" s="491" t="s">
        <v>1067</v>
      </c>
      <c r="I864" s="237"/>
      <c r="J864" s="231"/>
      <c r="K864" s="231"/>
      <c r="L864" s="231"/>
      <c r="M864" s="231"/>
      <c r="N864" s="231"/>
      <c r="O864" s="231"/>
      <c r="P864" s="231"/>
      <c r="Q864" s="231"/>
      <c r="R864" s="231"/>
      <c r="S864" s="231"/>
      <c r="T864" s="231"/>
      <c r="U864" s="231"/>
      <c r="V864" s="231"/>
      <c r="W864" s="231"/>
      <c r="X864" s="231"/>
      <c r="Y864" s="231"/>
      <c r="Z864" s="231"/>
      <c r="AA864" s="231"/>
      <c r="AB864" s="231"/>
    </row>
    <row r="865" ht="24.75" hidden="1" customHeight="1" outlineLevel="1">
      <c r="A865" s="497">
        <v>45888.0</v>
      </c>
      <c r="B865" s="508" t="s">
        <v>808</v>
      </c>
      <c r="C865" s="510" t="s">
        <v>715</v>
      </c>
      <c r="D865" s="508" t="s">
        <v>802</v>
      </c>
      <c r="E865" s="498" t="s">
        <v>717</v>
      </c>
      <c r="F865" s="491" t="s">
        <v>1081</v>
      </c>
      <c r="G865" s="491"/>
      <c r="H865" s="491" t="s">
        <v>1238</v>
      </c>
      <c r="I865" s="237"/>
      <c r="J865" s="231"/>
      <c r="K865" s="231"/>
      <c r="L865" s="231"/>
      <c r="M865" s="231"/>
      <c r="N865" s="231"/>
      <c r="O865" s="231"/>
      <c r="P865" s="231"/>
      <c r="Q865" s="231"/>
      <c r="R865" s="231"/>
      <c r="S865" s="231"/>
      <c r="T865" s="231"/>
      <c r="U865" s="231"/>
      <c r="V865" s="231"/>
      <c r="W865" s="231"/>
      <c r="X865" s="231"/>
      <c r="Y865" s="231"/>
      <c r="Z865" s="231"/>
      <c r="AA865" s="231"/>
      <c r="AB865" s="231"/>
    </row>
    <row r="866" ht="24.75" hidden="1" customHeight="1" outlineLevel="1">
      <c r="A866" s="497">
        <v>45888.0</v>
      </c>
      <c r="B866" s="508" t="s">
        <v>1239</v>
      </c>
      <c r="C866" s="469" t="s">
        <v>1219</v>
      </c>
      <c r="D866" s="373" t="s">
        <v>1255</v>
      </c>
      <c r="E866" s="502" t="s">
        <v>1231</v>
      </c>
      <c r="F866" s="491" t="s">
        <v>1081</v>
      </c>
      <c r="G866" s="491"/>
      <c r="H866" s="491" t="s">
        <v>1240</v>
      </c>
      <c r="I866" s="237"/>
      <c r="J866" s="231"/>
      <c r="K866" s="231"/>
      <c r="L866" s="231"/>
      <c r="M866" s="231"/>
      <c r="N866" s="231"/>
      <c r="O866" s="231"/>
      <c r="P866" s="231"/>
      <c r="Q866" s="231"/>
      <c r="R866" s="231"/>
      <c r="S866" s="231"/>
      <c r="T866" s="231"/>
      <c r="U866" s="231"/>
      <c r="V866" s="231"/>
      <c r="W866" s="231"/>
      <c r="X866" s="231"/>
      <c r="Y866" s="231"/>
      <c r="Z866" s="231"/>
      <c r="AA866" s="231"/>
      <c r="AB866" s="231"/>
    </row>
    <row r="867" ht="24.75" hidden="1" customHeight="1" outlineLevel="1">
      <c r="A867" s="497">
        <v>45889.0</v>
      </c>
      <c r="B867" s="508" t="s">
        <v>1243</v>
      </c>
      <c r="C867" s="469" t="s">
        <v>1219</v>
      </c>
      <c r="D867" s="373" t="s">
        <v>1255</v>
      </c>
      <c r="E867" s="502" t="s">
        <v>1231</v>
      </c>
      <c r="F867" s="491" t="s">
        <v>1081</v>
      </c>
      <c r="G867" s="492"/>
      <c r="H867" s="491" t="s">
        <v>1240</v>
      </c>
      <c r="I867" s="401"/>
      <c r="J867" s="231"/>
      <c r="K867" s="231"/>
      <c r="L867" s="231"/>
      <c r="M867" s="231"/>
      <c r="N867" s="231"/>
      <c r="O867" s="231"/>
      <c r="P867" s="231"/>
      <c r="Q867" s="231"/>
      <c r="R867" s="231"/>
      <c r="S867" s="231"/>
      <c r="T867" s="231"/>
      <c r="U867" s="231"/>
      <c r="V867" s="231"/>
      <c r="W867" s="231"/>
      <c r="X867" s="231"/>
      <c r="Y867" s="231"/>
      <c r="Z867" s="231"/>
      <c r="AA867" s="231"/>
      <c r="AB867" s="231"/>
    </row>
    <row r="868" ht="24.75" hidden="1" customHeight="1" outlineLevel="1">
      <c r="A868" s="497">
        <v>45890.0</v>
      </c>
      <c r="B868" s="508" t="s">
        <v>1246</v>
      </c>
      <c r="C868" s="469" t="s">
        <v>1219</v>
      </c>
      <c r="D868" s="373" t="s">
        <v>1255</v>
      </c>
      <c r="E868" s="502" t="s">
        <v>1231</v>
      </c>
      <c r="F868" s="491" t="s">
        <v>1081</v>
      </c>
      <c r="G868" s="492"/>
      <c r="H868" s="491" t="s">
        <v>1240</v>
      </c>
      <c r="I868" s="401"/>
      <c r="J868" s="231"/>
      <c r="K868" s="231"/>
      <c r="L868" s="231"/>
      <c r="M868" s="231"/>
      <c r="N868" s="231"/>
      <c r="O868" s="231"/>
      <c r="P868" s="231"/>
      <c r="Q868" s="231"/>
      <c r="R868" s="231"/>
      <c r="S868" s="231"/>
      <c r="T868" s="231"/>
      <c r="U868" s="231"/>
      <c r="V868" s="231"/>
      <c r="W868" s="231"/>
      <c r="X868" s="231"/>
      <c r="Y868" s="231"/>
      <c r="Z868" s="231"/>
      <c r="AA868" s="231"/>
      <c r="AB868" s="231"/>
    </row>
    <row r="869" ht="24.75" customHeight="1">
      <c r="A869" s="237" t="s">
        <v>1256</v>
      </c>
      <c r="B869" s="231"/>
      <c r="C869" s="231"/>
      <c r="D869" s="231"/>
      <c r="E869" s="225"/>
      <c r="F869" s="231"/>
      <c r="G869" s="231"/>
      <c r="H869" s="231"/>
      <c r="I869" s="231"/>
      <c r="J869" s="231"/>
      <c r="K869" s="231"/>
      <c r="L869" s="231"/>
      <c r="M869" s="231"/>
      <c r="N869" s="231"/>
      <c r="O869" s="231"/>
      <c r="P869" s="231"/>
      <c r="Q869" s="231"/>
      <c r="R869" s="231"/>
      <c r="S869" s="231"/>
      <c r="T869" s="231"/>
      <c r="U869" s="231"/>
      <c r="V869" s="231"/>
      <c r="W869" s="231"/>
      <c r="X869" s="231"/>
      <c r="Y869" s="231"/>
      <c r="Z869" s="231"/>
      <c r="AA869" s="231"/>
      <c r="AB869" s="231"/>
      <c r="AC869" s="231"/>
    </row>
    <row r="870" ht="24.75" customHeight="1">
      <c r="A870" s="231"/>
      <c r="B870" s="231"/>
      <c r="C870" s="231"/>
      <c r="D870" s="231"/>
      <c r="E870" s="225"/>
      <c r="F870" s="231"/>
      <c r="G870" s="231"/>
      <c r="H870" s="231"/>
      <c r="I870" s="231"/>
      <c r="J870" s="231"/>
      <c r="K870" s="231"/>
      <c r="L870" s="231"/>
      <c r="M870" s="231"/>
      <c r="N870" s="231"/>
      <c r="O870" s="231"/>
      <c r="P870" s="231"/>
      <c r="Q870" s="231"/>
      <c r="R870" s="231"/>
      <c r="S870" s="231"/>
      <c r="T870" s="231"/>
      <c r="U870" s="231"/>
      <c r="V870" s="231"/>
      <c r="W870" s="231"/>
      <c r="X870" s="231"/>
      <c r="Y870" s="231"/>
      <c r="Z870" s="231"/>
      <c r="AA870" s="231"/>
      <c r="AB870" s="231"/>
      <c r="AC870" s="231"/>
    </row>
    <row r="871" ht="24.75" customHeight="1" collapsed="1">
      <c r="A871" s="237" t="s">
        <v>1257</v>
      </c>
      <c r="B871" s="231"/>
      <c r="C871" s="231"/>
      <c r="D871" s="231"/>
      <c r="E871" s="225"/>
      <c r="F871" s="231"/>
      <c r="G871" s="231"/>
      <c r="H871" s="231"/>
      <c r="I871" s="231"/>
      <c r="J871" s="231"/>
      <c r="K871" s="231"/>
      <c r="L871" s="231"/>
      <c r="M871" s="231"/>
      <c r="N871" s="231"/>
      <c r="O871" s="231"/>
      <c r="P871" s="231"/>
      <c r="Q871" s="231"/>
      <c r="R871" s="231"/>
      <c r="S871" s="231"/>
      <c r="T871" s="231"/>
      <c r="U871" s="231"/>
      <c r="V871" s="231"/>
      <c r="W871" s="231"/>
      <c r="X871" s="231"/>
      <c r="Y871" s="231"/>
      <c r="Z871" s="231"/>
      <c r="AA871" s="231"/>
      <c r="AB871" s="231"/>
      <c r="AC871" s="231"/>
    </row>
    <row r="872" ht="24.75" hidden="1" customHeight="1" outlineLevel="1">
      <c r="A872" s="263" t="s">
        <v>647</v>
      </c>
      <c r="B872" s="264" t="s">
        <v>648</v>
      </c>
      <c r="C872" s="264" t="s">
        <v>649</v>
      </c>
      <c r="D872" s="264" t="s">
        <v>650</v>
      </c>
      <c r="E872" s="264" t="s">
        <v>651</v>
      </c>
      <c r="F872" s="231"/>
      <c r="G872" s="231"/>
      <c r="H872" s="231"/>
      <c r="I872" s="231"/>
      <c r="J872" s="231"/>
      <c r="K872" s="231"/>
      <c r="L872" s="231"/>
      <c r="M872" s="231"/>
      <c r="N872" s="231"/>
      <c r="O872" s="231"/>
      <c r="P872" s="231"/>
      <c r="Q872" s="231"/>
      <c r="R872" s="231"/>
      <c r="S872" s="231"/>
      <c r="T872" s="231"/>
      <c r="U872" s="231"/>
      <c r="V872" s="231"/>
      <c r="W872" s="231"/>
      <c r="X872" s="231"/>
      <c r="Y872" s="231"/>
      <c r="Z872" s="231"/>
      <c r="AA872" s="231"/>
      <c r="AB872" s="231"/>
      <c r="AC872" s="231"/>
    </row>
    <row r="873" ht="24.75" hidden="1" customHeight="1" outlineLevel="1">
      <c r="A873" s="339">
        <v>45915.0</v>
      </c>
      <c r="B873" s="412" t="s">
        <v>731</v>
      </c>
      <c r="C873" s="256" t="s">
        <v>1061</v>
      </c>
      <c r="D873" s="413" t="s">
        <v>1098</v>
      </c>
      <c r="E873" s="414" t="s">
        <v>717</v>
      </c>
      <c r="F873" s="231"/>
      <c r="G873" s="231"/>
      <c r="H873" s="231"/>
      <c r="I873" s="231"/>
      <c r="J873" s="231"/>
      <c r="K873" s="231"/>
      <c r="L873" s="231"/>
      <c r="M873" s="231"/>
      <c r="N873" s="231"/>
      <c r="O873" s="231"/>
      <c r="P873" s="231"/>
      <c r="Q873" s="231"/>
      <c r="R873" s="231"/>
      <c r="S873" s="231"/>
      <c r="T873" s="231"/>
      <c r="U873" s="231"/>
      <c r="V873" s="231"/>
      <c r="W873" s="231"/>
      <c r="X873" s="231"/>
      <c r="Y873" s="231"/>
      <c r="Z873" s="231"/>
      <c r="AA873" s="231"/>
      <c r="AB873" s="231"/>
      <c r="AC873" s="231"/>
    </row>
    <row r="874" ht="24.75" hidden="1" customHeight="1" outlineLevel="1">
      <c r="A874" s="339">
        <v>45915.0</v>
      </c>
      <c r="B874" s="412" t="s">
        <v>1009</v>
      </c>
      <c r="C874" s="253" t="s">
        <v>721</v>
      </c>
      <c r="D874" s="420" t="s">
        <v>1063</v>
      </c>
      <c r="E874" s="414" t="s">
        <v>717</v>
      </c>
      <c r="F874" s="231"/>
      <c r="G874" s="231"/>
      <c r="H874" s="231"/>
      <c r="I874" s="231"/>
      <c r="J874" s="231"/>
      <c r="K874" s="231"/>
      <c r="L874" s="231"/>
      <c r="M874" s="231"/>
      <c r="N874" s="231"/>
      <c r="O874" s="231"/>
      <c r="P874" s="231"/>
      <c r="Q874" s="231"/>
      <c r="R874" s="231"/>
      <c r="S874" s="231"/>
      <c r="T874" s="231"/>
      <c r="U874" s="231"/>
      <c r="V874" s="231"/>
      <c r="W874" s="231"/>
      <c r="X874" s="231"/>
      <c r="Y874" s="231"/>
      <c r="Z874" s="231"/>
      <c r="AA874" s="231"/>
      <c r="AB874" s="231"/>
      <c r="AC874" s="231"/>
    </row>
    <row r="875" ht="24.75" hidden="1" customHeight="1" outlineLevel="1">
      <c r="A875" s="339">
        <v>45915.0</v>
      </c>
      <c r="B875" s="253" t="s">
        <v>801</v>
      </c>
      <c r="C875" s="253" t="s">
        <v>703</v>
      </c>
      <c r="D875" s="421" t="s">
        <v>1033</v>
      </c>
      <c r="E875" s="414" t="s">
        <v>717</v>
      </c>
      <c r="F875" s="231"/>
      <c r="G875" s="231"/>
      <c r="H875" s="231"/>
      <c r="I875" s="231"/>
      <c r="J875" s="231"/>
      <c r="K875" s="231"/>
      <c r="L875" s="231"/>
      <c r="M875" s="231"/>
      <c r="N875" s="231"/>
      <c r="O875" s="231"/>
      <c r="P875" s="231"/>
      <c r="Q875" s="231"/>
      <c r="R875" s="231"/>
      <c r="S875" s="231"/>
      <c r="T875" s="231"/>
      <c r="U875" s="231"/>
      <c r="V875" s="231"/>
      <c r="W875" s="231"/>
      <c r="X875" s="231"/>
      <c r="Y875" s="231"/>
      <c r="Z875" s="231"/>
      <c r="AA875" s="231"/>
      <c r="AB875" s="231"/>
      <c r="AC875" s="231"/>
    </row>
    <row r="876" ht="24.75" hidden="1" customHeight="1" outlineLevel="1">
      <c r="A876" s="339">
        <v>45915.0</v>
      </c>
      <c r="B876" s="253" t="s">
        <v>699</v>
      </c>
      <c r="C876" s="253" t="s">
        <v>934</v>
      </c>
      <c r="D876" s="413" t="s">
        <v>837</v>
      </c>
      <c r="E876" s="414" t="s">
        <v>717</v>
      </c>
      <c r="F876" s="231"/>
      <c r="G876" s="231"/>
      <c r="H876" s="231"/>
      <c r="I876" s="231"/>
      <c r="J876" s="231"/>
      <c r="K876" s="231"/>
      <c r="L876" s="231"/>
      <c r="M876" s="231"/>
      <c r="N876" s="231"/>
      <c r="O876" s="231"/>
      <c r="P876" s="231"/>
      <c r="Q876" s="231"/>
      <c r="R876" s="231"/>
      <c r="S876" s="231"/>
      <c r="T876" s="231"/>
      <c r="U876" s="231"/>
      <c r="V876" s="231"/>
      <c r="W876" s="231"/>
      <c r="X876" s="231"/>
      <c r="Y876" s="231"/>
      <c r="Z876" s="231"/>
      <c r="AA876" s="231"/>
      <c r="AB876" s="231"/>
      <c r="AC876" s="231"/>
    </row>
    <row r="877" ht="24.75" hidden="1" customHeight="1" outlineLevel="1">
      <c r="A877" s="353">
        <v>45916.0</v>
      </c>
      <c r="B877" s="412" t="s">
        <v>35</v>
      </c>
      <c r="C877" s="253" t="s">
        <v>703</v>
      </c>
      <c r="D877" s="421" t="s">
        <v>1035</v>
      </c>
      <c r="E877" s="414" t="s">
        <v>717</v>
      </c>
      <c r="F877" s="231"/>
      <c r="G877" s="231"/>
      <c r="H877" s="231"/>
      <c r="I877" s="231"/>
      <c r="J877" s="231"/>
      <c r="K877" s="231"/>
      <c r="L877" s="231"/>
      <c r="M877" s="231"/>
      <c r="N877" s="231"/>
      <c r="O877" s="231"/>
      <c r="P877" s="231"/>
      <c r="Q877" s="231"/>
      <c r="R877" s="231"/>
      <c r="S877" s="231"/>
      <c r="T877" s="231"/>
      <c r="U877" s="231"/>
      <c r="V877" s="231"/>
      <c r="W877" s="231"/>
      <c r="X877" s="231"/>
      <c r="Y877" s="231"/>
      <c r="Z877" s="231"/>
      <c r="AA877" s="231"/>
      <c r="AB877" s="231"/>
      <c r="AC877" s="231"/>
    </row>
    <row r="878" ht="24.75" hidden="1" customHeight="1" outlineLevel="1">
      <c r="A878" s="353">
        <v>45916.0</v>
      </c>
      <c r="B878" s="253" t="s">
        <v>714</v>
      </c>
      <c r="C878" s="423" t="s">
        <v>1258</v>
      </c>
      <c r="D878" s="421" t="s">
        <v>662</v>
      </c>
      <c r="E878" s="414" t="s">
        <v>717</v>
      </c>
      <c r="F878" s="231"/>
      <c r="G878" s="231"/>
      <c r="H878" s="231"/>
      <c r="I878" s="231"/>
      <c r="J878" s="231"/>
      <c r="K878" s="231"/>
      <c r="L878" s="231"/>
      <c r="M878" s="231"/>
      <c r="N878" s="231"/>
      <c r="O878" s="231"/>
      <c r="P878" s="231"/>
      <c r="Q878" s="231"/>
      <c r="R878" s="231"/>
      <c r="S878" s="231"/>
      <c r="T878" s="231"/>
      <c r="U878" s="231"/>
      <c r="V878" s="231"/>
      <c r="W878" s="231"/>
      <c r="X878" s="231"/>
      <c r="Y878" s="231"/>
      <c r="Z878" s="231"/>
      <c r="AA878" s="231"/>
      <c r="AB878" s="231"/>
      <c r="AC878" s="231"/>
    </row>
    <row r="879" ht="24.75" hidden="1" customHeight="1" outlineLevel="1">
      <c r="A879" s="353">
        <v>45916.0</v>
      </c>
      <c r="B879" s="253" t="s">
        <v>808</v>
      </c>
      <c r="C879" s="253" t="s">
        <v>703</v>
      </c>
      <c r="D879" s="421" t="s">
        <v>662</v>
      </c>
      <c r="E879" s="414" t="s">
        <v>717</v>
      </c>
      <c r="F879" s="231"/>
      <c r="G879" s="231"/>
      <c r="H879" s="231"/>
      <c r="I879" s="231"/>
      <c r="J879" s="231"/>
      <c r="K879" s="231"/>
      <c r="L879" s="231"/>
      <c r="M879" s="231"/>
      <c r="N879" s="231"/>
      <c r="O879" s="231"/>
      <c r="P879" s="231"/>
      <c r="Q879" s="231"/>
      <c r="R879" s="231"/>
      <c r="S879" s="231"/>
      <c r="T879" s="231"/>
      <c r="U879" s="231"/>
      <c r="V879" s="231"/>
      <c r="W879" s="231"/>
      <c r="X879" s="231"/>
      <c r="Y879" s="231"/>
      <c r="Z879" s="231"/>
      <c r="AA879" s="231"/>
      <c r="AB879" s="231"/>
      <c r="AC879" s="231"/>
    </row>
    <row r="880" ht="24.75" hidden="1" customHeight="1" outlineLevel="1">
      <c r="A880" s="353">
        <v>45916.0</v>
      </c>
      <c r="B880" s="412" t="s">
        <v>736</v>
      </c>
      <c r="C880" s="425" t="s">
        <v>1073</v>
      </c>
      <c r="D880" s="421" t="s">
        <v>1040</v>
      </c>
      <c r="E880" s="414" t="s">
        <v>717</v>
      </c>
      <c r="F880" s="231"/>
      <c r="G880" s="231"/>
      <c r="H880" s="231"/>
      <c r="I880" s="231"/>
      <c r="J880" s="231"/>
      <c r="K880" s="231"/>
      <c r="L880" s="231"/>
      <c r="M880" s="231"/>
      <c r="N880" s="231"/>
      <c r="O880" s="231"/>
      <c r="P880" s="231"/>
      <c r="Q880" s="231"/>
      <c r="R880" s="231"/>
      <c r="S880" s="231"/>
      <c r="T880" s="231"/>
      <c r="U880" s="231"/>
      <c r="V880" s="231"/>
      <c r="W880" s="231"/>
      <c r="X880" s="231"/>
      <c r="Y880" s="231"/>
      <c r="Z880" s="231"/>
      <c r="AA880" s="231"/>
      <c r="AB880" s="231"/>
      <c r="AC880" s="231"/>
    </row>
    <row r="881" ht="24.75" hidden="1" customHeight="1" outlineLevel="1">
      <c r="A881" s="353">
        <v>45916.0</v>
      </c>
      <c r="B881" s="253" t="s">
        <v>279</v>
      </c>
      <c r="C881" s="253" t="s">
        <v>703</v>
      </c>
      <c r="D881" s="421" t="s">
        <v>1041</v>
      </c>
      <c r="E881" s="414" t="s">
        <v>717</v>
      </c>
      <c r="F881" s="231"/>
      <c r="G881" s="231"/>
      <c r="H881" s="231"/>
      <c r="I881" s="231"/>
      <c r="J881" s="231"/>
      <c r="K881" s="231"/>
      <c r="L881" s="231"/>
      <c r="M881" s="231"/>
      <c r="N881" s="231"/>
      <c r="O881" s="231"/>
      <c r="P881" s="231"/>
      <c r="Q881" s="231"/>
      <c r="R881" s="231"/>
      <c r="S881" s="231"/>
      <c r="T881" s="231"/>
      <c r="U881" s="231"/>
      <c r="V881" s="231"/>
      <c r="W881" s="231"/>
      <c r="X881" s="231"/>
      <c r="Y881" s="231"/>
      <c r="Z881" s="231"/>
      <c r="AA881" s="231"/>
      <c r="AB881" s="231"/>
      <c r="AC881" s="231"/>
    </row>
    <row r="882" ht="24.75" customHeight="1">
      <c r="A882" s="231"/>
      <c r="B882" s="231"/>
      <c r="C882" s="231"/>
      <c r="D882" s="231"/>
      <c r="E882" s="225"/>
      <c r="F882" s="231"/>
      <c r="G882" s="231"/>
      <c r="H882" s="231"/>
      <c r="I882" s="231"/>
      <c r="J882" s="231"/>
      <c r="K882" s="231"/>
      <c r="L882" s="231"/>
      <c r="M882" s="231"/>
      <c r="N882" s="231"/>
      <c r="O882" s="231"/>
      <c r="P882" s="231"/>
      <c r="Q882" s="231"/>
      <c r="R882" s="231"/>
      <c r="S882" s="231"/>
      <c r="T882" s="231"/>
      <c r="U882" s="231"/>
      <c r="V882" s="231"/>
      <c r="W882" s="231"/>
      <c r="X882" s="231"/>
      <c r="Y882" s="231"/>
      <c r="Z882" s="231"/>
      <c r="AA882" s="231"/>
      <c r="AB882" s="231"/>
      <c r="AC882" s="231"/>
    </row>
    <row r="883" ht="24.75" customHeight="1" collapsed="1">
      <c r="A883" s="448" t="s">
        <v>1259</v>
      </c>
      <c r="B883" s="204"/>
      <c r="C883" s="204"/>
      <c r="D883" s="204"/>
      <c r="E883" s="204"/>
      <c r="F883" s="249"/>
      <c r="G883" s="249"/>
      <c r="H883" s="249"/>
      <c r="I883" s="231"/>
      <c r="J883" s="231"/>
      <c r="K883" s="231"/>
      <c r="L883" s="231"/>
      <c r="M883" s="231"/>
      <c r="N883" s="231"/>
      <c r="O883" s="231"/>
      <c r="P883" s="231"/>
      <c r="Q883" s="231"/>
      <c r="R883" s="231"/>
      <c r="S883" s="231"/>
      <c r="T883" s="231"/>
      <c r="U883" s="231"/>
      <c r="V883" s="231"/>
      <c r="W883" s="231"/>
      <c r="X883" s="231"/>
      <c r="Y883" s="231"/>
      <c r="Z883" s="231"/>
      <c r="AA883" s="231"/>
      <c r="AB883" s="231"/>
      <c r="AC883" s="231"/>
    </row>
    <row r="884" ht="24.75" hidden="1" customHeight="1" outlineLevel="1">
      <c r="A884" s="329" t="s">
        <v>647</v>
      </c>
      <c r="B884" s="330" t="s">
        <v>648</v>
      </c>
      <c r="C884" s="330" t="s">
        <v>649</v>
      </c>
      <c r="D884" s="330" t="s">
        <v>650</v>
      </c>
      <c r="E884" s="330" t="s">
        <v>651</v>
      </c>
      <c r="F884" s="249"/>
      <c r="G884" s="249"/>
      <c r="H884" s="249"/>
      <c r="I884" s="231"/>
      <c r="J884" s="231"/>
      <c r="K884" s="231"/>
      <c r="L884" s="231"/>
      <c r="M884" s="231"/>
      <c r="N884" s="231"/>
      <c r="O884" s="231"/>
      <c r="P884" s="231"/>
      <c r="Q884" s="231"/>
      <c r="R884" s="231"/>
      <c r="S884" s="231"/>
      <c r="T884" s="231"/>
      <c r="U884" s="231"/>
      <c r="V884" s="231"/>
      <c r="W884" s="231"/>
      <c r="X884" s="231"/>
      <c r="Y884" s="231"/>
      <c r="Z884" s="231"/>
      <c r="AA884" s="231"/>
      <c r="AB884" s="231"/>
      <c r="AC884" s="231"/>
    </row>
    <row r="885" ht="24.75" hidden="1" customHeight="1" outlineLevel="1">
      <c r="A885" s="449">
        <v>45923.0</v>
      </c>
      <c r="B885" s="450" t="s">
        <v>714</v>
      </c>
      <c r="C885" s="451" t="s">
        <v>715</v>
      </c>
      <c r="D885" s="452" t="s">
        <v>1260</v>
      </c>
      <c r="E885" s="453" t="s">
        <v>717</v>
      </c>
      <c r="F885" s="237"/>
      <c r="G885" s="237"/>
      <c r="H885" s="237" t="s">
        <v>1067</v>
      </c>
      <c r="I885" s="231"/>
      <c r="J885" s="231"/>
      <c r="K885" s="231"/>
      <c r="L885" s="231"/>
      <c r="M885" s="231"/>
      <c r="N885" s="231"/>
      <c r="O885" s="231"/>
      <c r="P885" s="231"/>
      <c r="Q885" s="231"/>
      <c r="R885" s="231"/>
      <c r="S885" s="231"/>
      <c r="T885" s="231"/>
      <c r="U885" s="231"/>
      <c r="V885" s="231"/>
      <c r="W885" s="231"/>
      <c r="X885" s="231"/>
      <c r="Y885" s="231"/>
      <c r="Z885" s="231"/>
      <c r="AA885" s="231"/>
      <c r="AB885" s="231"/>
      <c r="AC885" s="231"/>
    </row>
    <row r="886" ht="24.75" hidden="1" customHeight="1" outlineLevel="1">
      <c r="A886" s="449">
        <v>45923.0</v>
      </c>
      <c r="B886" s="450" t="s">
        <v>35</v>
      </c>
      <c r="C886" s="450" t="s">
        <v>715</v>
      </c>
      <c r="D886" s="454" t="s">
        <v>662</v>
      </c>
      <c r="E886" s="455" t="s">
        <v>717</v>
      </c>
      <c r="F886" s="249"/>
      <c r="G886" s="249"/>
      <c r="H886" s="249"/>
      <c r="I886" s="231"/>
      <c r="J886" s="231"/>
      <c r="K886" s="231"/>
      <c r="L886" s="231"/>
      <c r="M886" s="231"/>
      <c r="N886" s="231"/>
      <c r="O886" s="231"/>
      <c r="P886" s="231"/>
      <c r="Q886" s="231"/>
      <c r="R886" s="231"/>
      <c r="S886" s="231"/>
      <c r="T886" s="231"/>
      <c r="U886" s="231"/>
      <c r="V886" s="231"/>
      <c r="W886" s="231"/>
      <c r="X886" s="231"/>
      <c r="Y886" s="231"/>
      <c r="Z886" s="231"/>
      <c r="AA886" s="231"/>
      <c r="AB886" s="231"/>
      <c r="AC886" s="231"/>
    </row>
    <row r="887" ht="24.75" hidden="1" customHeight="1" outlineLevel="1">
      <c r="A887" s="449">
        <v>45923.0</v>
      </c>
      <c r="B887" s="450" t="s">
        <v>898</v>
      </c>
      <c r="C887" s="451" t="s">
        <v>715</v>
      </c>
      <c r="D887" s="454" t="s">
        <v>662</v>
      </c>
      <c r="E887" s="455" t="s">
        <v>717</v>
      </c>
      <c r="F887" s="249"/>
      <c r="G887" s="249"/>
      <c r="H887" s="249"/>
      <c r="I887" s="231"/>
      <c r="J887" s="231"/>
      <c r="K887" s="231"/>
      <c r="L887" s="231"/>
      <c r="M887" s="231"/>
      <c r="N887" s="231"/>
      <c r="O887" s="231"/>
      <c r="P887" s="231"/>
      <c r="Q887" s="231"/>
      <c r="R887" s="231"/>
      <c r="S887" s="231"/>
      <c r="T887" s="231"/>
      <c r="U887" s="231"/>
      <c r="V887" s="231"/>
      <c r="W887" s="231"/>
      <c r="X887" s="231"/>
      <c r="Y887" s="231"/>
      <c r="Z887" s="231"/>
      <c r="AA887" s="231"/>
      <c r="AB887" s="231"/>
      <c r="AC887" s="231"/>
    </row>
    <row r="888" ht="24.75" hidden="1" customHeight="1" outlineLevel="1">
      <c r="A888" s="449">
        <v>45923.0</v>
      </c>
      <c r="B888" s="450" t="s">
        <v>736</v>
      </c>
      <c r="C888" s="451" t="s">
        <v>895</v>
      </c>
      <c r="D888" s="454" t="s">
        <v>662</v>
      </c>
      <c r="E888" s="455" t="s">
        <v>717</v>
      </c>
      <c r="F888" s="249"/>
      <c r="G888" s="249"/>
      <c r="H888" s="249"/>
      <c r="I888" s="231"/>
      <c r="J888" s="231"/>
      <c r="K888" s="231"/>
      <c r="L888" s="231"/>
      <c r="M888" s="231"/>
      <c r="N888" s="231"/>
      <c r="O888" s="231"/>
      <c r="P888" s="231"/>
      <c r="Q888" s="231"/>
      <c r="R888" s="231"/>
      <c r="S888" s="231"/>
      <c r="T888" s="231"/>
      <c r="U888" s="231"/>
      <c r="V888" s="231"/>
      <c r="W888" s="231"/>
      <c r="X888" s="231"/>
      <c r="Y888" s="231"/>
      <c r="Z888" s="231"/>
      <c r="AA888" s="231"/>
      <c r="AB888" s="231"/>
      <c r="AC888" s="231"/>
    </row>
    <row r="889" ht="24.75" hidden="1" customHeight="1" outlineLevel="1">
      <c r="A889" s="449">
        <v>45924.0</v>
      </c>
      <c r="B889" s="450" t="s">
        <v>708</v>
      </c>
      <c r="C889" s="358" t="s">
        <v>1134</v>
      </c>
      <c r="D889" s="456" t="s">
        <v>1261</v>
      </c>
      <c r="E889" s="457" t="s">
        <v>685</v>
      </c>
      <c r="F889" s="249"/>
      <c r="G889" s="249"/>
      <c r="H889" s="249"/>
      <c r="I889" s="231"/>
      <c r="J889" s="231"/>
      <c r="K889" s="231"/>
      <c r="L889" s="231"/>
      <c r="M889" s="231"/>
      <c r="N889" s="231"/>
      <c r="O889" s="231"/>
      <c r="P889" s="231"/>
      <c r="Q889" s="231"/>
      <c r="R889" s="231"/>
      <c r="S889" s="231"/>
      <c r="T889" s="231"/>
      <c r="U889" s="231"/>
      <c r="V889" s="231"/>
      <c r="W889" s="231"/>
      <c r="X889" s="231"/>
      <c r="Y889" s="231"/>
      <c r="Z889" s="231"/>
      <c r="AA889" s="231"/>
      <c r="AB889" s="231"/>
      <c r="AC889" s="231"/>
    </row>
    <row r="890" ht="24.75" hidden="1" customHeight="1" outlineLevel="1">
      <c r="A890" s="449">
        <v>45924.0</v>
      </c>
      <c r="B890" s="450" t="s">
        <v>686</v>
      </c>
      <c r="C890" s="473" t="s">
        <v>1198</v>
      </c>
      <c r="D890" s="456" t="s">
        <v>1261</v>
      </c>
      <c r="E890" s="457" t="s">
        <v>685</v>
      </c>
      <c r="F890" s="249"/>
      <c r="G890" s="249"/>
      <c r="H890" s="249" t="s">
        <v>905</v>
      </c>
      <c r="I890" s="231"/>
      <c r="J890" s="231"/>
      <c r="K890" s="231"/>
      <c r="L890" s="231"/>
      <c r="M890" s="231"/>
      <c r="N890" s="231"/>
      <c r="O890" s="231"/>
      <c r="P890" s="231"/>
      <c r="Q890" s="231"/>
      <c r="R890" s="231"/>
      <c r="S890" s="231"/>
      <c r="T890" s="231"/>
      <c r="U890" s="231"/>
      <c r="V890" s="231"/>
      <c r="W890" s="231"/>
      <c r="X890" s="231"/>
      <c r="Y890" s="231"/>
      <c r="Z890" s="231"/>
      <c r="AA890" s="231"/>
      <c r="AB890" s="231"/>
      <c r="AC890" s="231"/>
    </row>
    <row r="891" ht="24.75" hidden="1" customHeight="1" outlineLevel="1">
      <c r="A891" s="449">
        <v>45924.0</v>
      </c>
      <c r="B891" s="450" t="s">
        <v>743</v>
      </c>
      <c r="C891" s="451" t="s">
        <v>895</v>
      </c>
      <c r="D891" s="454" t="s">
        <v>662</v>
      </c>
      <c r="E891" s="455" t="s">
        <v>717</v>
      </c>
      <c r="F891" s="249"/>
      <c r="G891" s="249"/>
      <c r="H891" s="249"/>
      <c r="I891" s="231"/>
      <c r="J891" s="231"/>
      <c r="K891" s="231"/>
      <c r="L891" s="231"/>
      <c r="M891" s="231"/>
      <c r="N891" s="231"/>
      <c r="O891" s="231"/>
      <c r="P891" s="231"/>
      <c r="Q891" s="231"/>
      <c r="R891" s="231"/>
      <c r="S891" s="231"/>
      <c r="T891" s="231"/>
      <c r="U891" s="231"/>
      <c r="V891" s="231"/>
      <c r="W891" s="231"/>
      <c r="X891" s="231"/>
      <c r="Y891" s="231"/>
      <c r="Z891" s="231"/>
      <c r="AA891" s="231"/>
      <c r="AB891" s="231"/>
      <c r="AC891" s="231"/>
    </row>
    <row r="892" ht="24.75" hidden="1" customHeight="1" outlineLevel="1">
      <c r="A892" s="449">
        <v>45924.0</v>
      </c>
      <c r="B892" s="456" t="s">
        <v>414</v>
      </c>
      <c r="C892" s="451"/>
      <c r="D892" s="458" t="s">
        <v>1262</v>
      </c>
      <c r="E892" s="457" t="s">
        <v>685</v>
      </c>
      <c r="F892" s="249"/>
      <c r="G892" s="249"/>
      <c r="H892" s="249"/>
      <c r="I892" s="231"/>
      <c r="J892" s="231"/>
      <c r="K892" s="231"/>
      <c r="L892" s="231"/>
      <c r="M892" s="231"/>
      <c r="N892" s="231"/>
      <c r="O892" s="231"/>
      <c r="P892" s="231"/>
      <c r="Q892" s="231"/>
      <c r="R892" s="231"/>
      <c r="S892" s="231"/>
      <c r="T892" s="231"/>
      <c r="U892" s="231"/>
      <c r="V892" s="231"/>
      <c r="W892" s="231"/>
      <c r="X892" s="231"/>
      <c r="Y892" s="231"/>
      <c r="Z892" s="231"/>
      <c r="AA892" s="231"/>
      <c r="AB892" s="231"/>
      <c r="AC892" s="231"/>
    </row>
    <row r="893" ht="24.75" hidden="1" customHeight="1" outlineLevel="1">
      <c r="A893" s="449">
        <v>45924.0</v>
      </c>
      <c r="B893" s="450" t="s">
        <v>680</v>
      </c>
      <c r="C893" s="451" t="s">
        <v>715</v>
      </c>
      <c r="D893" s="459" t="s">
        <v>739</v>
      </c>
      <c r="E893" s="455" t="s">
        <v>717</v>
      </c>
      <c r="F893" s="204"/>
      <c r="G893" s="204"/>
      <c r="H893" s="204"/>
      <c r="I893" s="231"/>
      <c r="J893" s="231"/>
      <c r="K893" s="231"/>
      <c r="L893" s="231"/>
      <c r="M893" s="231"/>
      <c r="N893" s="231"/>
      <c r="O893" s="231"/>
      <c r="P893" s="231"/>
      <c r="Q893" s="231"/>
      <c r="R893" s="231"/>
      <c r="S893" s="231"/>
      <c r="T893" s="231"/>
      <c r="U893" s="231"/>
      <c r="V893" s="231"/>
      <c r="W893" s="231"/>
      <c r="X893" s="231"/>
      <c r="Y893" s="231"/>
      <c r="Z893" s="231"/>
      <c r="AA893" s="231"/>
      <c r="AB893" s="231"/>
      <c r="AC893" s="231"/>
    </row>
    <row r="894" ht="24.75" customHeight="1">
      <c r="A894" s="231"/>
      <c r="B894" s="231"/>
      <c r="C894" s="231"/>
      <c r="D894" s="231"/>
      <c r="E894" s="225"/>
      <c r="F894" s="231"/>
      <c r="G894" s="231"/>
      <c r="H894" s="231"/>
      <c r="I894" s="231"/>
      <c r="J894" s="231"/>
      <c r="K894" s="231"/>
      <c r="L894" s="231"/>
      <c r="M894" s="231"/>
      <c r="N894" s="231"/>
      <c r="O894" s="231"/>
      <c r="P894" s="231"/>
      <c r="Q894" s="231"/>
      <c r="R894" s="231"/>
      <c r="S894" s="231"/>
      <c r="T894" s="231"/>
      <c r="U894" s="231"/>
      <c r="V894" s="231"/>
      <c r="W894" s="231"/>
      <c r="X894" s="231"/>
      <c r="Y894" s="231"/>
      <c r="Z894" s="231"/>
      <c r="AA894" s="231"/>
      <c r="AB894" s="231"/>
      <c r="AC894" s="231"/>
    </row>
    <row r="895" ht="24.75" customHeight="1" collapsed="1">
      <c r="A895" s="237" t="s">
        <v>1263</v>
      </c>
      <c r="B895" s="231"/>
      <c r="C895" s="231"/>
      <c r="D895" s="231"/>
      <c r="E895" s="225"/>
      <c r="F895" s="231"/>
      <c r="G895" s="231"/>
      <c r="H895" s="231"/>
      <c r="I895" s="231"/>
      <c r="J895" s="231"/>
      <c r="K895" s="231"/>
      <c r="L895" s="231"/>
      <c r="M895" s="231"/>
      <c r="N895" s="231"/>
      <c r="O895" s="231"/>
      <c r="P895" s="231"/>
      <c r="Q895" s="231"/>
      <c r="R895" s="231"/>
      <c r="S895" s="231"/>
      <c r="T895" s="231"/>
      <c r="U895" s="231"/>
      <c r="V895" s="231"/>
      <c r="W895" s="231"/>
      <c r="X895" s="231"/>
      <c r="Y895" s="231"/>
      <c r="Z895" s="231"/>
      <c r="AA895" s="231"/>
      <c r="AB895" s="231"/>
      <c r="AC895" s="231"/>
    </row>
    <row r="896" ht="24.75" hidden="1" customHeight="1" outlineLevel="1">
      <c r="A896" s="263" t="s">
        <v>647</v>
      </c>
      <c r="B896" s="264" t="s">
        <v>648</v>
      </c>
      <c r="C896" s="264" t="s">
        <v>649</v>
      </c>
      <c r="D896" s="264" t="s">
        <v>650</v>
      </c>
      <c r="E896" s="264" t="s">
        <v>651</v>
      </c>
      <c r="F896" s="231"/>
      <c r="G896" s="231"/>
      <c r="H896" s="231"/>
      <c r="I896" s="231"/>
      <c r="J896" s="231"/>
      <c r="K896" s="231"/>
      <c r="L896" s="231"/>
      <c r="M896" s="231"/>
      <c r="N896" s="231"/>
      <c r="O896" s="231"/>
      <c r="P896" s="231"/>
      <c r="Q896" s="231"/>
      <c r="R896" s="231"/>
      <c r="S896" s="231"/>
      <c r="T896" s="231"/>
      <c r="U896" s="231"/>
      <c r="V896" s="231"/>
      <c r="W896" s="231"/>
      <c r="X896" s="231"/>
      <c r="Y896" s="231"/>
      <c r="Z896" s="231"/>
      <c r="AA896" s="231"/>
      <c r="AB896" s="231"/>
      <c r="AC896" s="231"/>
    </row>
    <row r="897" ht="24.75" hidden="1" customHeight="1" outlineLevel="1">
      <c r="A897" s="339">
        <v>45943.0</v>
      </c>
      <c r="B897" s="412" t="s">
        <v>731</v>
      </c>
      <c r="C897" s="256" t="s">
        <v>1061</v>
      </c>
      <c r="D897" s="413" t="s">
        <v>1098</v>
      </c>
      <c r="E897" s="414" t="s">
        <v>717</v>
      </c>
      <c r="F897" s="231"/>
      <c r="G897" s="231"/>
      <c r="H897" s="231"/>
      <c r="I897" s="231"/>
      <c r="J897" s="231"/>
      <c r="K897" s="231"/>
      <c r="L897" s="231"/>
      <c r="M897" s="231"/>
      <c r="N897" s="231"/>
      <c r="O897" s="231"/>
      <c r="P897" s="231"/>
      <c r="Q897" s="231"/>
      <c r="R897" s="231"/>
      <c r="S897" s="231"/>
      <c r="T897" s="231"/>
      <c r="U897" s="231"/>
      <c r="V897" s="231"/>
      <c r="W897" s="231"/>
      <c r="X897" s="231"/>
      <c r="Y897" s="231"/>
      <c r="Z897" s="231"/>
      <c r="AA897" s="231"/>
      <c r="AB897" s="231"/>
      <c r="AC897" s="231"/>
    </row>
    <row r="898" ht="24.75" hidden="1" customHeight="1" outlineLevel="1">
      <c r="A898" s="339">
        <v>45943.0</v>
      </c>
      <c r="B898" s="412" t="s">
        <v>1009</v>
      </c>
      <c r="C898" s="253" t="s">
        <v>721</v>
      </c>
      <c r="D898" s="420" t="s">
        <v>1063</v>
      </c>
      <c r="E898" s="414" t="s">
        <v>717</v>
      </c>
      <c r="F898" s="231"/>
      <c r="G898" s="231"/>
      <c r="H898" s="231"/>
      <c r="I898" s="231"/>
      <c r="J898" s="231"/>
      <c r="K898" s="231"/>
      <c r="L898" s="231"/>
      <c r="M898" s="231"/>
      <c r="N898" s="231"/>
      <c r="O898" s="231"/>
      <c r="P898" s="231"/>
      <c r="Q898" s="231"/>
      <c r="R898" s="231"/>
      <c r="S898" s="231"/>
      <c r="T898" s="231"/>
      <c r="U898" s="231"/>
      <c r="V898" s="231"/>
      <c r="W898" s="231"/>
      <c r="X898" s="231"/>
      <c r="Y898" s="231"/>
      <c r="Z898" s="231"/>
      <c r="AA898" s="231"/>
      <c r="AB898" s="231"/>
      <c r="AC898" s="231"/>
    </row>
    <row r="899" ht="24.75" hidden="1" customHeight="1" outlineLevel="1">
      <c r="A899" s="339">
        <v>45943.0</v>
      </c>
      <c r="B899" s="253" t="s">
        <v>801</v>
      </c>
      <c r="C899" s="253" t="s">
        <v>703</v>
      </c>
      <c r="D899" s="421" t="s">
        <v>1033</v>
      </c>
      <c r="E899" s="414" t="s">
        <v>717</v>
      </c>
      <c r="F899" s="231"/>
      <c r="G899" s="231"/>
      <c r="H899" s="231"/>
      <c r="I899" s="231"/>
      <c r="J899" s="231"/>
      <c r="K899" s="231"/>
      <c r="L899" s="231"/>
      <c r="M899" s="231"/>
      <c r="N899" s="231"/>
      <c r="O899" s="231"/>
      <c r="P899" s="231"/>
      <c r="Q899" s="231"/>
      <c r="R899" s="231"/>
      <c r="S899" s="231"/>
      <c r="T899" s="231"/>
      <c r="U899" s="231"/>
      <c r="V899" s="231"/>
      <c r="W899" s="231"/>
      <c r="X899" s="231"/>
      <c r="Y899" s="231"/>
      <c r="Z899" s="231"/>
      <c r="AA899" s="231"/>
      <c r="AB899" s="231"/>
      <c r="AC899" s="231"/>
    </row>
    <row r="900" ht="24.75" hidden="1" customHeight="1" outlineLevel="1">
      <c r="A900" s="339">
        <v>45943.0</v>
      </c>
      <c r="B900" s="253" t="s">
        <v>699</v>
      </c>
      <c r="C900" s="253" t="s">
        <v>934</v>
      </c>
      <c r="D900" s="413" t="s">
        <v>837</v>
      </c>
      <c r="E900" s="414" t="s">
        <v>717</v>
      </c>
      <c r="F900" s="231"/>
      <c r="G900" s="231"/>
      <c r="H900" s="231"/>
      <c r="I900" s="231"/>
      <c r="J900" s="231"/>
      <c r="K900" s="231"/>
      <c r="L900" s="231"/>
      <c r="M900" s="231"/>
      <c r="N900" s="231"/>
      <c r="O900" s="231"/>
      <c r="P900" s="231"/>
      <c r="Q900" s="231"/>
      <c r="R900" s="231"/>
      <c r="S900" s="231"/>
      <c r="T900" s="231"/>
      <c r="U900" s="231"/>
      <c r="V900" s="231"/>
      <c r="W900" s="231"/>
      <c r="X900" s="231"/>
      <c r="Y900" s="231"/>
      <c r="Z900" s="231"/>
      <c r="AA900" s="231"/>
      <c r="AB900" s="231"/>
      <c r="AC900" s="231"/>
    </row>
    <row r="901" ht="24.75" hidden="1" customHeight="1" outlineLevel="1">
      <c r="A901" s="353">
        <v>45944.0</v>
      </c>
      <c r="B901" s="412" t="s">
        <v>35</v>
      </c>
      <c r="C901" s="253" t="s">
        <v>703</v>
      </c>
      <c r="D901" s="421" t="s">
        <v>1035</v>
      </c>
      <c r="E901" s="414" t="s">
        <v>717</v>
      </c>
      <c r="F901" s="231"/>
      <c r="G901" s="231"/>
      <c r="H901" s="231"/>
      <c r="I901" s="231"/>
      <c r="J901" s="231"/>
      <c r="K901" s="231"/>
      <c r="L901" s="231"/>
      <c r="M901" s="231"/>
      <c r="N901" s="231"/>
      <c r="O901" s="231"/>
      <c r="P901" s="231"/>
      <c r="Q901" s="231"/>
      <c r="R901" s="231"/>
      <c r="S901" s="231"/>
      <c r="T901" s="231"/>
      <c r="U901" s="231"/>
      <c r="V901" s="231"/>
      <c r="W901" s="231"/>
      <c r="X901" s="231"/>
      <c r="Y901" s="231"/>
      <c r="Z901" s="231"/>
      <c r="AA901" s="231"/>
      <c r="AB901" s="231"/>
      <c r="AC901" s="231"/>
    </row>
    <row r="902" ht="24.75" hidden="1" customHeight="1" outlineLevel="1">
      <c r="A902" s="353">
        <v>45944.0</v>
      </c>
      <c r="B902" s="253" t="s">
        <v>714</v>
      </c>
      <c r="C902" s="423" t="s">
        <v>1264</v>
      </c>
      <c r="D902" s="421" t="s">
        <v>662</v>
      </c>
      <c r="E902" s="414" t="s">
        <v>717</v>
      </c>
      <c r="F902" s="231"/>
      <c r="G902" s="231"/>
      <c r="H902" s="231"/>
      <c r="I902" s="231"/>
      <c r="J902" s="231"/>
      <c r="K902" s="231"/>
      <c r="L902" s="231"/>
      <c r="M902" s="231"/>
      <c r="N902" s="231"/>
      <c r="O902" s="231"/>
      <c r="P902" s="231"/>
      <c r="Q902" s="231"/>
      <c r="R902" s="231"/>
      <c r="S902" s="231"/>
      <c r="T902" s="231"/>
      <c r="U902" s="231"/>
      <c r="V902" s="231"/>
      <c r="W902" s="231"/>
      <c r="X902" s="231"/>
      <c r="Y902" s="231"/>
      <c r="Z902" s="231"/>
      <c r="AA902" s="231"/>
      <c r="AB902" s="231"/>
      <c r="AC902" s="231"/>
    </row>
    <row r="903" ht="24.75" hidden="1" customHeight="1" outlineLevel="1">
      <c r="A903" s="353">
        <v>45944.0</v>
      </c>
      <c r="B903" s="253" t="s">
        <v>808</v>
      </c>
      <c r="C903" s="253" t="s">
        <v>703</v>
      </c>
      <c r="D903" s="421" t="s">
        <v>662</v>
      </c>
      <c r="E903" s="414" t="s">
        <v>717</v>
      </c>
      <c r="F903" s="231"/>
      <c r="G903" s="231"/>
      <c r="H903" s="231"/>
      <c r="I903" s="231"/>
      <c r="J903" s="231"/>
      <c r="K903" s="231"/>
      <c r="L903" s="231"/>
      <c r="M903" s="231"/>
      <c r="N903" s="231"/>
      <c r="O903" s="231"/>
      <c r="P903" s="231"/>
      <c r="Q903" s="231"/>
      <c r="R903" s="231"/>
      <c r="S903" s="231"/>
      <c r="T903" s="231"/>
      <c r="U903" s="231"/>
      <c r="V903" s="231"/>
      <c r="W903" s="231"/>
      <c r="X903" s="231"/>
      <c r="Y903" s="231"/>
      <c r="Z903" s="231"/>
      <c r="AA903" s="231"/>
      <c r="AB903" s="231"/>
      <c r="AC903" s="231"/>
    </row>
    <row r="904" ht="24.75" hidden="1" customHeight="1" outlineLevel="1">
      <c r="A904" s="353">
        <v>45944.0</v>
      </c>
      <c r="B904" s="412" t="s">
        <v>736</v>
      </c>
      <c r="C904" s="425" t="s">
        <v>1073</v>
      </c>
      <c r="D904" s="421" t="s">
        <v>1040</v>
      </c>
      <c r="E904" s="414" t="s">
        <v>717</v>
      </c>
      <c r="F904" s="231"/>
      <c r="G904" s="231"/>
      <c r="H904" s="231"/>
      <c r="I904" s="231"/>
      <c r="J904" s="231"/>
      <c r="K904" s="231"/>
      <c r="L904" s="231"/>
      <c r="M904" s="231"/>
      <c r="N904" s="231"/>
      <c r="O904" s="231"/>
      <c r="P904" s="231"/>
      <c r="Q904" s="231"/>
      <c r="R904" s="231"/>
      <c r="S904" s="231"/>
      <c r="T904" s="231"/>
      <c r="U904" s="231"/>
      <c r="V904" s="231"/>
      <c r="W904" s="231"/>
      <c r="X904" s="231"/>
      <c r="Y904" s="231"/>
      <c r="Z904" s="231"/>
      <c r="AA904" s="231"/>
      <c r="AB904" s="231"/>
      <c r="AC904" s="231"/>
    </row>
    <row r="905" ht="24.75" hidden="1" customHeight="1" outlineLevel="1">
      <c r="A905" s="353">
        <v>45944.0</v>
      </c>
      <c r="B905" s="253" t="s">
        <v>279</v>
      </c>
      <c r="C905" s="253" t="s">
        <v>703</v>
      </c>
      <c r="D905" s="421" t="s">
        <v>1041</v>
      </c>
      <c r="E905" s="414" t="s">
        <v>717</v>
      </c>
      <c r="F905" s="231"/>
      <c r="G905" s="231"/>
      <c r="H905" s="231"/>
      <c r="I905" s="231"/>
      <c r="J905" s="231"/>
      <c r="K905" s="231"/>
      <c r="L905" s="231"/>
      <c r="M905" s="231"/>
      <c r="N905" s="231"/>
      <c r="O905" s="231"/>
      <c r="P905" s="231"/>
      <c r="Q905" s="231"/>
      <c r="R905" s="231"/>
      <c r="S905" s="231"/>
      <c r="T905" s="231"/>
      <c r="U905" s="231"/>
      <c r="V905" s="231"/>
      <c r="W905" s="231"/>
      <c r="X905" s="231"/>
      <c r="Y905" s="231"/>
      <c r="Z905" s="231"/>
      <c r="AA905" s="231"/>
      <c r="AB905" s="231"/>
      <c r="AC905" s="231"/>
    </row>
    <row r="906" ht="24.75" customHeight="1">
      <c r="A906" s="231"/>
      <c r="B906" s="231"/>
      <c r="C906" s="231"/>
      <c r="D906" s="231"/>
      <c r="E906" s="225"/>
      <c r="F906" s="231"/>
      <c r="G906" s="231"/>
      <c r="H906" s="231"/>
      <c r="I906" s="231"/>
      <c r="J906" s="231"/>
      <c r="K906" s="231"/>
      <c r="L906" s="231"/>
      <c r="M906" s="231"/>
      <c r="N906" s="231"/>
      <c r="O906" s="231"/>
      <c r="P906" s="231"/>
      <c r="Q906" s="231"/>
      <c r="R906" s="231"/>
      <c r="S906" s="231"/>
      <c r="T906" s="231"/>
      <c r="U906" s="231"/>
      <c r="V906" s="231"/>
      <c r="W906" s="231"/>
      <c r="X906" s="231"/>
      <c r="Y906" s="231"/>
      <c r="Z906" s="231"/>
      <c r="AA906" s="231"/>
      <c r="AB906" s="231"/>
      <c r="AC906" s="231"/>
    </row>
    <row r="907" ht="24.75" customHeight="1" collapsed="1">
      <c r="A907" s="237" t="s">
        <v>1265</v>
      </c>
      <c r="B907" s="231"/>
      <c r="C907" s="231"/>
      <c r="D907" s="231"/>
      <c r="E907" s="225"/>
      <c r="F907" s="231"/>
      <c r="G907" s="231"/>
      <c r="H907" s="231"/>
      <c r="I907" s="231"/>
      <c r="J907" s="231"/>
      <c r="K907" s="231"/>
      <c r="L907" s="231"/>
      <c r="M907" s="231"/>
      <c r="N907" s="231"/>
      <c r="O907" s="231"/>
      <c r="P907" s="231"/>
      <c r="Q907" s="231"/>
      <c r="R907" s="231"/>
      <c r="S907" s="231"/>
      <c r="T907" s="231"/>
      <c r="U907" s="231"/>
      <c r="V907" s="231"/>
      <c r="W907" s="231"/>
      <c r="X907" s="231"/>
      <c r="Y907" s="231"/>
      <c r="Z907" s="231"/>
      <c r="AA907" s="231"/>
      <c r="AB907" s="231"/>
      <c r="AC907" s="231"/>
    </row>
    <row r="908" ht="24.75" hidden="1" customHeight="1" outlineLevel="1">
      <c r="A908" s="263" t="s">
        <v>647</v>
      </c>
      <c r="B908" s="264" t="s">
        <v>648</v>
      </c>
      <c r="C908" s="264" t="s">
        <v>649</v>
      </c>
      <c r="D908" s="264" t="s">
        <v>650</v>
      </c>
      <c r="E908" s="264" t="s">
        <v>651</v>
      </c>
      <c r="F908" s="231"/>
      <c r="G908" s="231"/>
      <c r="H908" s="231"/>
      <c r="I908" s="231"/>
      <c r="J908" s="231"/>
      <c r="K908" s="231"/>
      <c r="L908" s="231"/>
      <c r="M908" s="231"/>
      <c r="N908" s="231"/>
      <c r="O908" s="231"/>
      <c r="P908" s="231"/>
      <c r="Q908" s="231"/>
      <c r="R908" s="231"/>
      <c r="S908" s="231"/>
      <c r="T908" s="231"/>
      <c r="U908" s="231"/>
      <c r="V908" s="231"/>
      <c r="W908" s="231"/>
      <c r="X908" s="231"/>
      <c r="Y908" s="231"/>
      <c r="Z908" s="231"/>
      <c r="AA908" s="231"/>
      <c r="AB908" s="231"/>
      <c r="AC908" s="231"/>
    </row>
    <row r="909" ht="24.75" hidden="1" customHeight="1" outlineLevel="1">
      <c r="A909" s="339">
        <v>45964.0</v>
      </c>
      <c r="B909" s="412" t="s">
        <v>731</v>
      </c>
      <c r="C909" s="256" t="s">
        <v>1061</v>
      </c>
      <c r="D909" s="413" t="s">
        <v>1098</v>
      </c>
      <c r="E909" s="414" t="s">
        <v>717</v>
      </c>
      <c r="F909" s="231"/>
      <c r="G909" s="231"/>
      <c r="H909" s="231"/>
      <c r="I909" s="231"/>
      <c r="J909" s="231"/>
      <c r="K909" s="231"/>
      <c r="L909" s="231"/>
      <c r="M909" s="231"/>
      <c r="N909" s="231"/>
      <c r="O909" s="231"/>
      <c r="P909" s="231"/>
      <c r="Q909" s="231"/>
      <c r="R909" s="231"/>
      <c r="S909" s="231"/>
      <c r="T909" s="231"/>
      <c r="U909" s="231"/>
      <c r="V909" s="231"/>
      <c r="W909" s="231"/>
      <c r="X909" s="231"/>
      <c r="Y909" s="231"/>
      <c r="Z909" s="231"/>
      <c r="AA909" s="231"/>
      <c r="AB909" s="231"/>
      <c r="AC909" s="231"/>
    </row>
    <row r="910" ht="24.75" hidden="1" customHeight="1" outlineLevel="1">
      <c r="A910" s="339">
        <v>45964.0</v>
      </c>
      <c r="B910" s="412" t="s">
        <v>1009</v>
      </c>
      <c r="C910" s="253" t="s">
        <v>721</v>
      </c>
      <c r="D910" s="420" t="s">
        <v>1063</v>
      </c>
      <c r="E910" s="414" t="s">
        <v>717</v>
      </c>
      <c r="F910" s="231"/>
      <c r="G910" s="231"/>
      <c r="H910" s="231"/>
      <c r="I910" s="231"/>
      <c r="J910" s="231"/>
      <c r="K910" s="231"/>
      <c r="L910" s="231"/>
      <c r="M910" s="231"/>
      <c r="N910" s="231"/>
      <c r="O910" s="231"/>
      <c r="P910" s="231"/>
      <c r="Q910" s="231"/>
      <c r="R910" s="231"/>
      <c r="S910" s="231"/>
      <c r="T910" s="231"/>
      <c r="U910" s="231"/>
      <c r="V910" s="231"/>
      <c r="W910" s="231"/>
      <c r="X910" s="231"/>
      <c r="Y910" s="231"/>
      <c r="Z910" s="231"/>
      <c r="AA910" s="231"/>
      <c r="AB910" s="231"/>
      <c r="AC910" s="231"/>
    </row>
    <row r="911" ht="24.75" hidden="1" customHeight="1" outlineLevel="1">
      <c r="A911" s="339">
        <v>45964.0</v>
      </c>
      <c r="B911" s="253" t="s">
        <v>801</v>
      </c>
      <c r="C911" s="253" t="s">
        <v>703</v>
      </c>
      <c r="D911" s="421" t="s">
        <v>1033</v>
      </c>
      <c r="E911" s="414" t="s">
        <v>717</v>
      </c>
      <c r="F911" s="231"/>
      <c r="G911" s="231"/>
      <c r="H911" s="231"/>
      <c r="I911" s="231"/>
      <c r="J911" s="231"/>
      <c r="K911" s="231"/>
      <c r="L911" s="231"/>
      <c r="M911" s="231"/>
      <c r="N911" s="231"/>
      <c r="O911" s="231"/>
      <c r="P911" s="231"/>
      <c r="Q911" s="231"/>
      <c r="R911" s="231"/>
      <c r="S911" s="231"/>
      <c r="T911" s="231"/>
      <c r="U911" s="231"/>
      <c r="V911" s="231"/>
      <c r="W911" s="231"/>
      <c r="X911" s="231"/>
      <c r="Y911" s="231"/>
      <c r="Z911" s="231"/>
      <c r="AA911" s="231"/>
      <c r="AB911" s="231"/>
      <c r="AC911" s="231"/>
    </row>
    <row r="912" ht="24.75" hidden="1" customHeight="1" outlineLevel="1">
      <c r="A912" s="339">
        <v>45964.0</v>
      </c>
      <c r="B912" s="253" t="s">
        <v>699</v>
      </c>
      <c r="C912" s="253" t="s">
        <v>934</v>
      </c>
      <c r="D912" s="413" t="s">
        <v>837</v>
      </c>
      <c r="E912" s="414" t="s">
        <v>717</v>
      </c>
      <c r="F912" s="231"/>
      <c r="G912" s="231"/>
      <c r="H912" s="231"/>
      <c r="I912" s="231"/>
      <c r="J912" s="231"/>
      <c r="K912" s="231"/>
      <c r="L912" s="231"/>
      <c r="M912" s="231"/>
      <c r="N912" s="231"/>
      <c r="O912" s="231"/>
      <c r="P912" s="231"/>
      <c r="Q912" s="231"/>
      <c r="R912" s="231"/>
      <c r="S912" s="231"/>
      <c r="T912" s="231"/>
      <c r="U912" s="231"/>
      <c r="V912" s="231"/>
      <c r="W912" s="231"/>
      <c r="X912" s="231"/>
      <c r="Y912" s="231"/>
      <c r="Z912" s="231"/>
      <c r="AA912" s="231"/>
      <c r="AB912" s="231"/>
      <c r="AC912" s="231"/>
    </row>
    <row r="913" ht="24.75" hidden="1" customHeight="1" outlineLevel="1">
      <c r="A913" s="353">
        <v>45965.0</v>
      </c>
      <c r="B913" s="412" t="s">
        <v>35</v>
      </c>
      <c r="C913" s="253" t="s">
        <v>703</v>
      </c>
      <c r="D913" s="421" t="s">
        <v>1035</v>
      </c>
      <c r="E913" s="414" t="s">
        <v>717</v>
      </c>
      <c r="F913" s="231"/>
      <c r="G913" s="231"/>
      <c r="H913" s="231"/>
      <c r="I913" s="231"/>
      <c r="J913" s="231"/>
      <c r="K913" s="231"/>
      <c r="L913" s="231"/>
      <c r="M913" s="231"/>
      <c r="N913" s="231"/>
      <c r="O913" s="231"/>
      <c r="P913" s="231"/>
      <c r="Q913" s="231"/>
      <c r="R913" s="231"/>
      <c r="S913" s="231"/>
      <c r="T913" s="231"/>
      <c r="U913" s="231"/>
      <c r="V913" s="231"/>
      <c r="W913" s="231"/>
      <c r="X913" s="231"/>
      <c r="Y913" s="231"/>
      <c r="Z913" s="231"/>
      <c r="AA913" s="231"/>
      <c r="AB913" s="231"/>
      <c r="AC913" s="231"/>
    </row>
    <row r="914" ht="24.75" hidden="1" customHeight="1" outlineLevel="1">
      <c r="A914" s="353">
        <v>45965.0</v>
      </c>
      <c r="B914" s="253" t="s">
        <v>714</v>
      </c>
      <c r="C914" s="423" t="s">
        <v>1266</v>
      </c>
      <c r="D914" s="421" t="s">
        <v>662</v>
      </c>
      <c r="E914" s="414" t="s">
        <v>717</v>
      </c>
      <c r="F914" s="231"/>
      <c r="G914" s="231"/>
      <c r="H914" s="231"/>
      <c r="I914" s="231"/>
      <c r="J914" s="231"/>
      <c r="K914" s="231"/>
      <c r="L914" s="231"/>
      <c r="M914" s="231"/>
      <c r="N914" s="231"/>
      <c r="O914" s="231"/>
      <c r="P914" s="231"/>
      <c r="Q914" s="231"/>
      <c r="R914" s="231"/>
      <c r="S914" s="231"/>
      <c r="T914" s="231"/>
      <c r="U914" s="231"/>
      <c r="V914" s="231"/>
      <c r="W914" s="231"/>
      <c r="X914" s="231"/>
      <c r="Y914" s="231"/>
      <c r="Z914" s="231"/>
      <c r="AA914" s="231"/>
      <c r="AB914" s="231"/>
      <c r="AC914" s="231"/>
    </row>
    <row r="915" ht="24.75" hidden="1" customHeight="1" outlineLevel="1">
      <c r="A915" s="353">
        <v>45965.0</v>
      </c>
      <c r="B915" s="253" t="s">
        <v>808</v>
      </c>
      <c r="C915" s="253" t="s">
        <v>703</v>
      </c>
      <c r="D915" s="421" t="s">
        <v>662</v>
      </c>
      <c r="E915" s="414" t="s">
        <v>717</v>
      </c>
      <c r="F915" s="231"/>
      <c r="G915" s="231"/>
      <c r="H915" s="231"/>
      <c r="I915" s="231"/>
      <c r="J915" s="231"/>
      <c r="K915" s="231"/>
      <c r="L915" s="231"/>
      <c r="M915" s="231"/>
      <c r="N915" s="231"/>
      <c r="O915" s="231"/>
      <c r="P915" s="231"/>
      <c r="Q915" s="231"/>
      <c r="R915" s="231"/>
      <c r="S915" s="231"/>
      <c r="T915" s="231"/>
      <c r="U915" s="231"/>
      <c r="V915" s="231"/>
      <c r="W915" s="231"/>
      <c r="X915" s="231"/>
      <c r="Y915" s="231"/>
      <c r="Z915" s="231"/>
      <c r="AA915" s="231"/>
      <c r="AB915" s="231"/>
      <c r="AC915" s="231"/>
    </row>
    <row r="916" ht="24.75" hidden="1" customHeight="1" outlineLevel="1">
      <c r="A916" s="353">
        <v>45965.0</v>
      </c>
      <c r="B916" s="412" t="s">
        <v>736</v>
      </c>
      <c r="C916" s="425" t="s">
        <v>1073</v>
      </c>
      <c r="D916" s="421" t="s">
        <v>1040</v>
      </c>
      <c r="E916" s="414" t="s">
        <v>717</v>
      </c>
      <c r="F916" s="231"/>
      <c r="G916" s="231"/>
      <c r="H916" s="231"/>
      <c r="I916" s="231"/>
      <c r="J916" s="231"/>
      <c r="K916" s="231"/>
      <c r="L916" s="231"/>
      <c r="M916" s="231"/>
      <c r="N916" s="231"/>
      <c r="O916" s="231"/>
      <c r="P916" s="231"/>
      <c r="Q916" s="231"/>
      <c r="R916" s="231"/>
      <c r="S916" s="231"/>
      <c r="T916" s="231"/>
      <c r="U916" s="231"/>
      <c r="V916" s="231"/>
      <c r="W916" s="231"/>
      <c r="X916" s="231"/>
      <c r="Y916" s="231"/>
      <c r="Z916" s="231"/>
      <c r="AA916" s="231"/>
      <c r="AB916" s="231"/>
      <c r="AC916" s="231"/>
    </row>
    <row r="917" ht="24.75" hidden="1" customHeight="1" outlineLevel="1">
      <c r="A917" s="353">
        <v>45965.0</v>
      </c>
      <c r="B917" s="253" t="s">
        <v>279</v>
      </c>
      <c r="C917" s="253" t="s">
        <v>703</v>
      </c>
      <c r="D917" s="421" t="s">
        <v>1041</v>
      </c>
      <c r="E917" s="414" t="s">
        <v>717</v>
      </c>
      <c r="F917" s="231"/>
      <c r="G917" s="231"/>
      <c r="H917" s="231"/>
      <c r="I917" s="231"/>
      <c r="J917" s="231"/>
      <c r="K917" s="231"/>
      <c r="L917" s="231"/>
      <c r="M917" s="231"/>
      <c r="N917" s="231"/>
      <c r="O917" s="231"/>
      <c r="P917" s="231"/>
      <c r="Q917" s="231"/>
      <c r="R917" s="231"/>
      <c r="S917" s="231"/>
      <c r="T917" s="231"/>
      <c r="U917" s="231"/>
      <c r="V917" s="231"/>
      <c r="W917" s="231"/>
      <c r="X917" s="231"/>
      <c r="Y917" s="231"/>
      <c r="Z917" s="231"/>
      <c r="AA917" s="231"/>
      <c r="AB917" s="231"/>
      <c r="AC917" s="231"/>
    </row>
    <row r="918" ht="24.75" customHeight="1">
      <c r="A918" s="231"/>
      <c r="B918" s="231"/>
      <c r="C918" s="231"/>
      <c r="D918" s="231"/>
      <c r="E918" s="225"/>
      <c r="F918" s="231"/>
      <c r="G918" s="231"/>
      <c r="H918" s="231"/>
      <c r="I918" s="231"/>
      <c r="J918" s="231"/>
      <c r="K918" s="231"/>
      <c r="L918" s="231"/>
      <c r="M918" s="231"/>
      <c r="N918" s="231"/>
      <c r="O918" s="231"/>
      <c r="P918" s="231"/>
      <c r="Q918" s="231"/>
      <c r="R918" s="231"/>
      <c r="S918" s="231"/>
      <c r="T918" s="231"/>
      <c r="U918" s="231"/>
      <c r="V918" s="231"/>
      <c r="W918" s="231"/>
      <c r="X918" s="231"/>
      <c r="Y918" s="231"/>
      <c r="Z918" s="231"/>
      <c r="AA918" s="231"/>
      <c r="AB918" s="231"/>
      <c r="AC918" s="231"/>
    </row>
    <row r="919" ht="24.75" customHeight="1" collapsed="1">
      <c r="A919" s="331" t="s">
        <v>1267</v>
      </c>
      <c r="B919" s="231"/>
      <c r="C919" s="231"/>
      <c r="D919" s="231"/>
      <c r="E919" s="225"/>
      <c r="F919" s="231"/>
      <c r="G919" s="231"/>
      <c r="H919" s="231"/>
      <c r="I919" s="231"/>
      <c r="J919" s="231"/>
      <c r="K919" s="231"/>
      <c r="L919" s="231"/>
      <c r="M919" s="231"/>
      <c r="N919" s="231"/>
      <c r="O919" s="231"/>
      <c r="P919" s="231"/>
      <c r="Q919" s="231"/>
      <c r="R919" s="231"/>
      <c r="S919" s="231"/>
      <c r="T919" s="231"/>
      <c r="U919" s="231"/>
      <c r="V919" s="231"/>
      <c r="W919" s="231"/>
      <c r="X919" s="231"/>
      <c r="Y919" s="231"/>
      <c r="Z919" s="231"/>
      <c r="AA919" s="231"/>
      <c r="AB919" s="231"/>
      <c r="AC919" s="231"/>
    </row>
    <row r="920" ht="24.75" hidden="1" customHeight="1" outlineLevel="1">
      <c r="A920" s="263" t="s">
        <v>647</v>
      </c>
      <c r="B920" s="264" t="s">
        <v>648</v>
      </c>
      <c r="C920" s="264" t="s">
        <v>649</v>
      </c>
      <c r="D920" s="264" t="s">
        <v>650</v>
      </c>
      <c r="E920" s="264" t="s">
        <v>651</v>
      </c>
      <c r="F920" s="231"/>
      <c r="G920" s="231"/>
      <c r="H920" s="231"/>
      <c r="I920" s="231"/>
      <c r="J920" s="231"/>
      <c r="K920" s="231"/>
      <c r="L920" s="231"/>
      <c r="M920" s="231"/>
      <c r="N920" s="231"/>
      <c r="O920" s="231"/>
      <c r="P920" s="231"/>
      <c r="Q920" s="231"/>
      <c r="R920" s="231"/>
      <c r="S920" s="231"/>
      <c r="T920" s="231"/>
      <c r="U920" s="231"/>
      <c r="V920" s="231"/>
      <c r="W920" s="231"/>
      <c r="X920" s="231"/>
      <c r="Y920" s="231"/>
      <c r="Z920" s="231"/>
      <c r="AA920" s="231"/>
      <c r="AB920" s="231"/>
      <c r="AC920" s="231"/>
    </row>
    <row r="921" ht="24.75" hidden="1" customHeight="1" outlineLevel="1">
      <c r="A921" s="524">
        <v>45985.0</v>
      </c>
      <c r="B921" s="412" t="s">
        <v>731</v>
      </c>
      <c r="C921" s="256" t="s">
        <v>1061</v>
      </c>
      <c r="D921" s="413" t="s">
        <v>1098</v>
      </c>
      <c r="E921" s="414" t="s">
        <v>717</v>
      </c>
      <c r="F921" s="231"/>
      <c r="G921" s="231"/>
      <c r="H921" s="231"/>
      <c r="I921" s="231"/>
      <c r="J921" s="231"/>
      <c r="K921" s="231"/>
      <c r="L921" s="231"/>
      <c r="M921" s="231"/>
      <c r="N921" s="231"/>
      <c r="O921" s="231"/>
      <c r="P921" s="231"/>
      <c r="Q921" s="231"/>
      <c r="R921" s="231"/>
      <c r="S921" s="231"/>
      <c r="T921" s="231"/>
      <c r="U921" s="231"/>
      <c r="V921" s="231"/>
      <c r="W921" s="231"/>
      <c r="X921" s="231"/>
      <c r="Y921" s="231"/>
      <c r="Z921" s="231"/>
      <c r="AA921" s="231"/>
      <c r="AB921" s="231"/>
      <c r="AC921" s="231"/>
    </row>
    <row r="922" ht="24.75" hidden="1" customHeight="1" outlineLevel="1">
      <c r="A922" s="524">
        <v>45985.0</v>
      </c>
      <c r="B922" s="412" t="s">
        <v>1009</v>
      </c>
      <c r="C922" s="253" t="s">
        <v>721</v>
      </c>
      <c r="D922" s="420" t="s">
        <v>1063</v>
      </c>
      <c r="E922" s="414" t="s">
        <v>717</v>
      </c>
      <c r="F922" s="231"/>
      <c r="G922" s="231"/>
      <c r="H922" s="231"/>
      <c r="I922" s="231"/>
      <c r="J922" s="231"/>
      <c r="K922" s="231"/>
      <c r="L922" s="231"/>
      <c r="M922" s="231"/>
      <c r="N922" s="231"/>
      <c r="O922" s="231"/>
      <c r="P922" s="231"/>
      <c r="Q922" s="231"/>
      <c r="R922" s="231"/>
      <c r="S922" s="231"/>
      <c r="T922" s="231"/>
      <c r="U922" s="231"/>
      <c r="V922" s="231"/>
      <c r="W922" s="231"/>
      <c r="X922" s="231"/>
      <c r="Y922" s="231"/>
      <c r="Z922" s="231"/>
      <c r="AA922" s="231"/>
      <c r="AB922" s="231"/>
      <c r="AC922" s="231"/>
    </row>
    <row r="923" ht="24.75" hidden="1" customHeight="1" outlineLevel="1">
      <c r="A923" s="524">
        <v>45985.0</v>
      </c>
      <c r="B923" s="253" t="s">
        <v>801</v>
      </c>
      <c r="C923" s="253" t="s">
        <v>703</v>
      </c>
      <c r="D923" s="421" t="s">
        <v>1033</v>
      </c>
      <c r="E923" s="414" t="s">
        <v>717</v>
      </c>
      <c r="F923" s="231"/>
      <c r="G923" s="231"/>
      <c r="H923" s="231"/>
      <c r="I923" s="231"/>
      <c r="J923" s="231"/>
      <c r="K923" s="231"/>
      <c r="L923" s="231"/>
      <c r="M923" s="231"/>
      <c r="N923" s="231"/>
      <c r="O923" s="231"/>
      <c r="P923" s="231"/>
      <c r="Q923" s="231"/>
      <c r="R923" s="231"/>
      <c r="S923" s="231"/>
      <c r="T923" s="231"/>
      <c r="U923" s="231"/>
      <c r="V923" s="231"/>
      <c r="W923" s="231"/>
      <c r="X923" s="231"/>
      <c r="Y923" s="231"/>
      <c r="Z923" s="231"/>
      <c r="AA923" s="231"/>
      <c r="AB923" s="231"/>
      <c r="AC923" s="231"/>
    </row>
    <row r="924" ht="24.75" hidden="1" customHeight="1" outlineLevel="1">
      <c r="A924" s="524">
        <v>45985.0</v>
      </c>
      <c r="B924" s="253" t="s">
        <v>699</v>
      </c>
      <c r="C924" s="253" t="s">
        <v>934</v>
      </c>
      <c r="D924" s="413" t="s">
        <v>837</v>
      </c>
      <c r="E924" s="414" t="s">
        <v>717</v>
      </c>
      <c r="F924" s="231"/>
      <c r="G924" s="231"/>
      <c r="H924" s="231"/>
      <c r="I924" s="231"/>
      <c r="J924" s="231"/>
      <c r="K924" s="231"/>
      <c r="L924" s="231"/>
      <c r="M924" s="231"/>
      <c r="N924" s="231"/>
      <c r="O924" s="231"/>
      <c r="P924" s="231"/>
      <c r="Q924" s="231"/>
      <c r="R924" s="231"/>
      <c r="S924" s="231"/>
      <c r="T924" s="231"/>
      <c r="U924" s="231"/>
      <c r="V924" s="231"/>
      <c r="W924" s="231"/>
      <c r="X924" s="231"/>
      <c r="Y924" s="231"/>
      <c r="Z924" s="231"/>
      <c r="AA924" s="231"/>
      <c r="AB924" s="231"/>
      <c r="AC924" s="231"/>
    </row>
    <row r="925" ht="24.75" hidden="1" customHeight="1" outlineLevel="1">
      <c r="A925" s="525">
        <v>45986.0</v>
      </c>
      <c r="B925" s="412" t="s">
        <v>35</v>
      </c>
      <c r="C925" s="253" t="s">
        <v>703</v>
      </c>
      <c r="D925" s="421" t="s">
        <v>1035</v>
      </c>
      <c r="E925" s="414" t="s">
        <v>717</v>
      </c>
      <c r="F925" s="231"/>
      <c r="G925" s="231"/>
      <c r="H925" s="231"/>
      <c r="I925" s="231"/>
      <c r="J925" s="231"/>
      <c r="K925" s="231"/>
      <c r="L925" s="231"/>
      <c r="M925" s="231"/>
      <c r="N925" s="231"/>
      <c r="O925" s="231"/>
      <c r="P925" s="231"/>
      <c r="Q925" s="231"/>
      <c r="R925" s="231"/>
      <c r="S925" s="231"/>
      <c r="T925" s="231"/>
      <c r="U925" s="231"/>
      <c r="V925" s="231"/>
      <c r="W925" s="231"/>
      <c r="X925" s="231"/>
      <c r="Y925" s="231"/>
      <c r="Z925" s="231"/>
      <c r="AA925" s="231"/>
      <c r="AB925" s="231"/>
      <c r="AC925" s="231"/>
    </row>
    <row r="926" ht="24.75" hidden="1" customHeight="1" outlineLevel="1">
      <c r="A926" s="525">
        <v>45986.0</v>
      </c>
      <c r="B926" s="253" t="s">
        <v>714</v>
      </c>
      <c r="C926" s="423" t="s">
        <v>1268</v>
      </c>
      <c r="D926" s="421" t="s">
        <v>662</v>
      </c>
      <c r="E926" s="414" t="s">
        <v>717</v>
      </c>
      <c r="F926" s="231"/>
      <c r="G926" s="231"/>
      <c r="H926" s="231"/>
      <c r="I926" s="231"/>
      <c r="J926" s="231"/>
      <c r="K926" s="231"/>
      <c r="L926" s="231"/>
      <c r="M926" s="231"/>
      <c r="N926" s="231"/>
      <c r="O926" s="231"/>
      <c r="P926" s="231"/>
      <c r="Q926" s="231"/>
      <c r="R926" s="231"/>
      <c r="S926" s="231"/>
      <c r="T926" s="231"/>
      <c r="U926" s="231"/>
      <c r="V926" s="231"/>
      <c r="W926" s="231"/>
      <c r="X926" s="231"/>
      <c r="Y926" s="231"/>
      <c r="Z926" s="231"/>
      <c r="AA926" s="231"/>
      <c r="AB926" s="231"/>
      <c r="AC926" s="231"/>
    </row>
    <row r="927" ht="24.75" hidden="1" customHeight="1" outlineLevel="1">
      <c r="A927" s="525">
        <v>45986.0</v>
      </c>
      <c r="B927" s="253" t="s">
        <v>808</v>
      </c>
      <c r="C927" s="253" t="s">
        <v>703</v>
      </c>
      <c r="D927" s="421" t="s">
        <v>662</v>
      </c>
      <c r="E927" s="414" t="s">
        <v>717</v>
      </c>
      <c r="F927" s="231"/>
      <c r="G927" s="231"/>
      <c r="H927" s="231"/>
      <c r="I927" s="231"/>
      <c r="J927" s="231"/>
      <c r="K927" s="231"/>
      <c r="L927" s="231"/>
      <c r="M927" s="231"/>
      <c r="N927" s="231"/>
      <c r="O927" s="231"/>
      <c r="P927" s="231"/>
      <c r="Q927" s="231"/>
      <c r="R927" s="231"/>
      <c r="S927" s="231"/>
      <c r="T927" s="231"/>
      <c r="U927" s="231"/>
      <c r="V927" s="231"/>
      <c r="W927" s="231"/>
      <c r="X927" s="231"/>
      <c r="Y927" s="231"/>
      <c r="Z927" s="231"/>
      <c r="AA927" s="231"/>
      <c r="AB927" s="231"/>
      <c r="AC927" s="231"/>
    </row>
    <row r="928" ht="24.75" hidden="1" customHeight="1" outlineLevel="1">
      <c r="A928" s="525">
        <v>45986.0</v>
      </c>
      <c r="B928" s="412" t="s">
        <v>736</v>
      </c>
      <c r="C928" s="425" t="s">
        <v>1073</v>
      </c>
      <c r="D928" s="421" t="s">
        <v>1040</v>
      </c>
      <c r="E928" s="414" t="s">
        <v>717</v>
      </c>
      <c r="F928" s="231"/>
      <c r="G928" s="231"/>
      <c r="H928" s="231"/>
      <c r="I928" s="231"/>
      <c r="J928" s="231"/>
      <c r="K928" s="231"/>
      <c r="L928" s="231"/>
      <c r="M928" s="231"/>
      <c r="N928" s="231"/>
      <c r="O928" s="231"/>
      <c r="P928" s="231"/>
      <c r="Q928" s="231"/>
      <c r="R928" s="231"/>
      <c r="S928" s="231"/>
      <c r="T928" s="231"/>
      <c r="U928" s="231"/>
      <c r="V928" s="231"/>
      <c r="W928" s="231"/>
      <c r="X928" s="231"/>
      <c r="Y928" s="231"/>
      <c r="Z928" s="231"/>
      <c r="AA928" s="231"/>
      <c r="AB928" s="231"/>
      <c r="AC928" s="231"/>
    </row>
    <row r="929" ht="24.75" hidden="1" customHeight="1" outlineLevel="1">
      <c r="A929" s="525">
        <v>45986.0</v>
      </c>
      <c r="B929" s="253" t="s">
        <v>279</v>
      </c>
      <c r="C929" s="253" t="s">
        <v>703</v>
      </c>
      <c r="D929" s="421" t="s">
        <v>1041</v>
      </c>
      <c r="E929" s="414" t="s">
        <v>717</v>
      </c>
      <c r="F929" s="231"/>
      <c r="G929" s="231"/>
      <c r="H929" s="231"/>
      <c r="I929" s="231"/>
      <c r="J929" s="231"/>
      <c r="K929" s="231"/>
      <c r="L929" s="231"/>
      <c r="M929" s="231"/>
      <c r="N929" s="231"/>
      <c r="O929" s="231"/>
      <c r="P929" s="231"/>
      <c r="Q929" s="231"/>
      <c r="R929" s="231"/>
      <c r="S929" s="231"/>
      <c r="T929" s="231"/>
      <c r="U929" s="231"/>
      <c r="V929" s="231"/>
      <c r="W929" s="231"/>
      <c r="X929" s="231"/>
      <c r="Y929" s="231"/>
      <c r="Z929" s="231"/>
      <c r="AA929" s="231"/>
      <c r="AB929" s="231"/>
      <c r="AC929" s="231"/>
    </row>
    <row r="930" ht="24.75" customHeight="1">
      <c r="A930" s="231"/>
      <c r="B930" s="231"/>
      <c r="C930" s="231"/>
      <c r="D930" s="231"/>
      <c r="E930" s="225"/>
      <c r="F930" s="231"/>
      <c r="G930" s="231"/>
      <c r="H930" s="231"/>
      <c r="I930" s="231"/>
      <c r="J930" s="231"/>
      <c r="K930" s="231"/>
      <c r="L930" s="231"/>
      <c r="M930" s="231"/>
      <c r="N930" s="231"/>
      <c r="O930" s="231"/>
      <c r="P930" s="231"/>
      <c r="Q930" s="231"/>
      <c r="R930" s="231"/>
      <c r="S930" s="231"/>
      <c r="T930" s="231"/>
      <c r="U930" s="231"/>
      <c r="V930" s="231"/>
      <c r="W930" s="231"/>
      <c r="X930" s="231"/>
      <c r="Y930" s="231"/>
      <c r="Z930" s="231"/>
      <c r="AA930" s="231"/>
      <c r="AB930" s="231"/>
      <c r="AC930" s="231"/>
    </row>
    <row r="931" ht="24.75" customHeight="1">
      <c r="A931" s="491" t="s">
        <v>1269</v>
      </c>
      <c r="B931" s="492"/>
      <c r="C931" s="492"/>
      <c r="D931" s="492"/>
      <c r="E931" s="493"/>
      <c r="F931" s="492"/>
      <c r="G931" s="492"/>
      <c r="H931" s="492"/>
      <c r="I931" s="231"/>
      <c r="J931" s="231"/>
      <c r="K931" s="231"/>
      <c r="L931" s="231"/>
      <c r="M931" s="231"/>
      <c r="N931" s="231"/>
      <c r="O931" s="231"/>
      <c r="P931" s="231"/>
      <c r="Q931" s="231"/>
      <c r="R931" s="231"/>
      <c r="S931" s="231"/>
      <c r="T931" s="231"/>
      <c r="U931" s="231"/>
      <c r="V931" s="231"/>
      <c r="W931" s="231"/>
      <c r="X931" s="231"/>
      <c r="Y931" s="231"/>
      <c r="Z931" s="231"/>
      <c r="AA931" s="231"/>
      <c r="AB931" s="231"/>
      <c r="AC931" s="231"/>
    </row>
    <row r="932" ht="24.75" customHeight="1" outlineLevel="1">
      <c r="A932" s="494" t="s">
        <v>647</v>
      </c>
      <c r="B932" s="495" t="s">
        <v>648</v>
      </c>
      <c r="C932" s="495" t="s">
        <v>649</v>
      </c>
      <c r="D932" s="495" t="s">
        <v>650</v>
      </c>
      <c r="E932" s="496" t="s">
        <v>651</v>
      </c>
      <c r="F932" s="491" t="s">
        <v>1221</v>
      </c>
      <c r="G932" s="491" t="s">
        <v>1222</v>
      </c>
      <c r="H932" s="491" t="s">
        <v>145</v>
      </c>
      <c r="I932" s="231"/>
      <c r="J932" s="231"/>
      <c r="K932" s="231"/>
      <c r="L932" s="231"/>
      <c r="M932" s="231"/>
      <c r="N932" s="231"/>
      <c r="O932" s="231"/>
      <c r="P932" s="231"/>
      <c r="Q932" s="231"/>
      <c r="R932" s="231"/>
      <c r="S932" s="231"/>
      <c r="T932" s="231"/>
      <c r="U932" s="231"/>
      <c r="V932" s="231"/>
      <c r="W932" s="231"/>
      <c r="X932" s="231"/>
      <c r="Y932" s="231"/>
      <c r="Z932" s="231"/>
      <c r="AA932" s="231"/>
      <c r="AB932" s="231"/>
      <c r="AC932" s="231"/>
    </row>
    <row r="933" ht="24.75" customHeight="1" outlineLevel="1">
      <c r="A933" s="497">
        <v>46017.0</v>
      </c>
      <c r="B933" s="383" t="s">
        <v>714</v>
      </c>
      <c r="C933" s="375" t="s">
        <v>715</v>
      </c>
      <c r="D933" s="375" t="s">
        <v>662</v>
      </c>
      <c r="E933" s="498" t="s">
        <v>717</v>
      </c>
      <c r="F933" s="491" t="s">
        <v>1081</v>
      </c>
      <c r="G933" s="491"/>
      <c r="H933" s="491" t="s">
        <v>1067</v>
      </c>
      <c r="I933" s="231"/>
      <c r="J933" s="231"/>
      <c r="K933" s="231"/>
      <c r="L933" s="231"/>
      <c r="M933" s="231"/>
      <c r="N933" s="231"/>
      <c r="O933" s="231"/>
      <c r="P933" s="231"/>
      <c r="Q933" s="231"/>
      <c r="R933" s="231"/>
      <c r="S933" s="231"/>
      <c r="T933" s="231"/>
      <c r="U933" s="231"/>
      <c r="V933" s="231"/>
      <c r="W933" s="231"/>
      <c r="X933" s="231"/>
      <c r="Y933" s="231"/>
      <c r="Z933" s="231"/>
      <c r="AA933" s="231"/>
      <c r="AB933" s="231"/>
    </row>
    <row r="934" ht="24.75" customHeight="1" outlineLevel="1">
      <c r="A934" s="497">
        <v>46017.0</v>
      </c>
      <c r="B934" s="499" t="s">
        <v>1223</v>
      </c>
      <c r="C934" s="383" t="s">
        <v>715</v>
      </c>
      <c r="D934" s="375" t="s">
        <v>662</v>
      </c>
      <c r="E934" s="498" t="s">
        <v>717</v>
      </c>
      <c r="F934" s="491" t="s">
        <v>1081</v>
      </c>
      <c r="G934" s="491"/>
      <c r="H934" s="491" t="s">
        <v>1069</v>
      </c>
      <c r="I934" s="231"/>
      <c r="J934" s="231"/>
      <c r="K934" s="231"/>
      <c r="L934" s="231"/>
      <c r="M934" s="231"/>
      <c r="N934" s="231"/>
      <c r="O934" s="231"/>
      <c r="P934" s="231"/>
      <c r="Q934" s="231"/>
      <c r="R934" s="231"/>
      <c r="S934" s="231"/>
      <c r="T934" s="231"/>
      <c r="U934" s="231"/>
      <c r="V934" s="231"/>
      <c r="W934" s="231"/>
      <c r="X934" s="231"/>
      <c r="Y934" s="231"/>
      <c r="Z934" s="231"/>
      <c r="AA934" s="231"/>
      <c r="AB934" s="231"/>
    </row>
    <row r="935" ht="24.75" customHeight="1" outlineLevel="1">
      <c r="A935" s="497">
        <v>46017.0</v>
      </c>
      <c r="B935" s="383" t="s">
        <v>310</v>
      </c>
      <c r="C935" s="375" t="s">
        <v>1270</v>
      </c>
      <c r="D935" s="375" t="s">
        <v>662</v>
      </c>
      <c r="E935" s="498" t="s">
        <v>717</v>
      </c>
      <c r="F935" s="491" t="s">
        <v>1081</v>
      </c>
      <c r="G935" s="491"/>
      <c r="H935" s="491" t="s">
        <v>1224</v>
      </c>
      <c r="I935" s="231"/>
      <c r="J935" s="231"/>
      <c r="K935" s="231"/>
      <c r="L935" s="231"/>
      <c r="M935" s="231"/>
      <c r="N935" s="231"/>
      <c r="O935" s="231"/>
      <c r="P935" s="231"/>
      <c r="Q935" s="231"/>
      <c r="R935" s="231"/>
      <c r="S935" s="231"/>
      <c r="T935" s="231"/>
      <c r="U935" s="231"/>
      <c r="V935" s="231"/>
      <c r="W935" s="231"/>
      <c r="X935" s="231"/>
      <c r="Y935" s="231"/>
      <c r="Z935" s="231"/>
      <c r="AA935" s="231"/>
      <c r="AB935" s="231"/>
    </row>
    <row r="936" ht="24.75" customHeight="1" outlineLevel="1">
      <c r="A936" s="497">
        <v>46018.0</v>
      </c>
      <c r="B936" s="383" t="s">
        <v>418</v>
      </c>
      <c r="C936" s="375" t="s">
        <v>715</v>
      </c>
      <c r="D936" s="375" t="s">
        <v>662</v>
      </c>
      <c r="E936" s="498" t="s">
        <v>717</v>
      </c>
      <c r="F936" s="491" t="s">
        <v>1081</v>
      </c>
      <c r="G936" s="491"/>
      <c r="H936" s="491" t="s">
        <v>1225</v>
      </c>
      <c r="I936" s="231"/>
      <c r="J936" s="231"/>
      <c r="K936" s="231"/>
      <c r="L936" s="231"/>
      <c r="M936" s="231"/>
      <c r="N936" s="231"/>
      <c r="O936" s="231"/>
      <c r="P936" s="231"/>
      <c r="Q936" s="231"/>
      <c r="R936" s="231"/>
      <c r="S936" s="231"/>
      <c r="T936" s="231"/>
      <c r="U936" s="231"/>
      <c r="V936" s="231"/>
      <c r="W936" s="231"/>
      <c r="X936" s="231"/>
      <c r="Y936" s="231"/>
      <c r="Z936" s="231"/>
      <c r="AA936" s="231"/>
      <c r="AB936" s="231"/>
    </row>
    <row r="937" ht="24.75" customHeight="1" outlineLevel="1">
      <c r="A937" s="497">
        <v>46018.0</v>
      </c>
      <c r="B937" s="500" t="str">
        <f>HYPERLINK("https://docs.google.com/spreadsheets/d/1v3B9E8Jeqx3_JGvRHJ2cXJ5OAGLvZiOXZru0niKH-QQ/edit?ts=56170761#gid=1991794180","☆横浜")</f>
        <v>☆横浜</v>
      </c>
      <c r="C937" s="469" t="s">
        <v>1205</v>
      </c>
      <c r="D937" s="526" t="s">
        <v>1271</v>
      </c>
      <c r="E937" s="516" t="s">
        <v>1272</v>
      </c>
      <c r="F937" s="491" t="s">
        <v>1081</v>
      </c>
      <c r="G937" s="491" t="s">
        <v>1081</v>
      </c>
      <c r="H937" s="491" t="s">
        <v>1131</v>
      </c>
      <c r="I937" s="231"/>
      <c r="J937" s="231"/>
      <c r="K937" s="231"/>
      <c r="L937" s="231"/>
      <c r="M937" s="231"/>
      <c r="N937" s="231"/>
      <c r="O937" s="231"/>
      <c r="P937" s="231"/>
      <c r="Q937" s="231"/>
      <c r="R937" s="231"/>
      <c r="S937" s="231"/>
      <c r="T937" s="231"/>
      <c r="U937" s="231"/>
      <c r="V937" s="231"/>
      <c r="W937" s="231"/>
      <c r="X937" s="231"/>
      <c r="Y937" s="231"/>
      <c r="Z937" s="231"/>
      <c r="AA937" s="231"/>
      <c r="AB937" s="231"/>
    </row>
    <row r="938" ht="24.75" customHeight="1" outlineLevel="1">
      <c r="A938" s="497">
        <v>46018.0</v>
      </c>
      <c r="B938" s="438" t="str">
        <f>HYPERLINK("https://docs.google.com/spreadsheets/d/1xrfsiAjLwPhBlveDsLSsUUfMnNpOidnkNLqHJabwWYo/edit?ts=56ea7063#gid=1283986028","☆救済メルマガ(UP10)")</f>
        <v>☆救済メルマガ(UP10)</v>
      </c>
      <c r="C938" s="375" t="s">
        <v>1227</v>
      </c>
      <c r="D938" s="375" t="s">
        <v>1228</v>
      </c>
      <c r="E938" s="501" t="s">
        <v>1273</v>
      </c>
      <c r="F938" s="491" t="s">
        <v>1081</v>
      </c>
      <c r="G938" s="491"/>
      <c r="H938" s="491" t="s">
        <v>1135</v>
      </c>
      <c r="I938" s="231"/>
      <c r="J938" s="231"/>
      <c r="K938" s="231"/>
      <c r="L938" s="231"/>
      <c r="M938" s="231"/>
      <c r="N938" s="231"/>
      <c r="O938" s="231"/>
      <c r="P938" s="231"/>
      <c r="Q938" s="231"/>
      <c r="R938" s="231"/>
      <c r="S938" s="231"/>
      <c r="T938" s="231"/>
      <c r="U938" s="231"/>
      <c r="V938" s="231"/>
      <c r="W938" s="231"/>
      <c r="X938" s="231"/>
      <c r="Y938" s="231"/>
      <c r="Z938" s="231"/>
      <c r="AA938" s="231"/>
      <c r="AB938" s="231"/>
    </row>
    <row r="939" ht="24.75" customHeight="1" outlineLevel="1">
      <c r="A939" s="497">
        <v>46019.0</v>
      </c>
      <c r="B939" s="438" t="s">
        <v>456</v>
      </c>
      <c r="C939" s="469" t="s">
        <v>1274</v>
      </c>
      <c r="D939" s="373" t="s">
        <v>1230</v>
      </c>
      <c r="E939" s="502" t="s">
        <v>1275</v>
      </c>
      <c r="F939" s="491" t="s">
        <v>1081</v>
      </c>
      <c r="G939" s="491"/>
      <c r="H939" s="491" t="s">
        <v>1135</v>
      </c>
      <c r="I939" s="231"/>
      <c r="J939" s="231"/>
      <c r="K939" s="231"/>
      <c r="L939" s="231"/>
      <c r="M939" s="231"/>
      <c r="N939" s="231"/>
      <c r="O939" s="231"/>
      <c r="P939" s="231"/>
      <c r="Q939" s="231"/>
      <c r="R939" s="231"/>
      <c r="S939" s="231"/>
      <c r="T939" s="231"/>
      <c r="U939" s="231"/>
      <c r="V939" s="231"/>
      <c r="W939" s="231"/>
      <c r="X939" s="231"/>
      <c r="Y939" s="231"/>
      <c r="Z939" s="231"/>
      <c r="AA939" s="231"/>
      <c r="AB939" s="231"/>
    </row>
    <row r="940" ht="24.75" customHeight="1" outlineLevel="1">
      <c r="A940" s="497">
        <v>46019.0</v>
      </c>
      <c r="B940" s="383" t="s">
        <v>39</v>
      </c>
      <c r="C940" s="375" t="s">
        <v>1276</v>
      </c>
      <c r="D940" s="375" t="s">
        <v>1277</v>
      </c>
      <c r="E940" s="518" t="s">
        <v>1278</v>
      </c>
      <c r="F940" s="491" t="s">
        <v>1081</v>
      </c>
      <c r="G940" s="491"/>
      <c r="H940" s="491" t="s">
        <v>1233</v>
      </c>
      <c r="I940" s="231"/>
      <c r="J940" s="231"/>
      <c r="K940" s="231"/>
      <c r="L940" s="231"/>
      <c r="M940" s="231"/>
      <c r="N940" s="231"/>
      <c r="O940" s="231"/>
      <c r="P940" s="231"/>
      <c r="Q940" s="231"/>
      <c r="R940" s="231"/>
      <c r="S940" s="231"/>
      <c r="T940" s="231"/>
      <c r="U940" s="231"/>
      <c r="V940" s="231"/>
      <c r="W940" s="231"/>
      <c r="X940" s="231"/>
      <c r="Y940" s="231"/>
      <c r="Z940" s="231"/>
      <c r="AA940" s="231"/>
      <c r="AB940" s="231"/>
    </row>
    <row r="941" ht="24.75" customHeight="1" outlineLevel="1">
      <c r="A941" s="497">
        <v>46019.0</v>
      </c>
      <c r="B941" s="503" t="str">
        <f>HYPERLINK("https://docs.google.com/spreadsheets/d/14VRt1DzygoL3ldywdTGi4p4-5N6W0OO9Ugf6GEHXv1k/edit#gid=351252924","☆TP部メルマガ")</f>
        <v>☆TP部メルマガ</v>
      </c>
      <c r="C941" s="469" t="s">
        <v>741</v>
      </c>
      <c r="D941" s="375" t="s">
        <v>1234</v>
      </c>
      <c r="E941" s="504" t="s">
        <v>1279</v>
      </c>
      <c r="F941" s="491" t="s">
        <v>1081</v>
      </c>
      <c r="G941" s="491"/>
      <c r="H941" s="491" t="s">
        <v>1150</v>
      </c>
      <c r="I941" s="231"/>
      <c r="J941" s="231"/>
      <c r="K941" s="231"/>
      <c r="L941" s="231"/>
      <c r="M941" s="231"/>
      <c r="N941" s="231"/>
      <c r="O941" s="231"/>
      <c r="P941" s="231"/>
      <c r="Q941" s="231"/>
      <c r="R941" s="231"/>
      <c r="S941" s="231"/>
      <c r="T941" s="231"/>
      <c r="U941" s="231"/>
      <c r="V941" s="231"/>
      <c r="W941" s="231"/>
      <c r="X941" s="231"/>
      <c r="Y941" s="231"/>
      <c r="Z941" s="231"/>
      <c r="AA941" s="231"/>
      <c r="AB941" s="231"/>
    </row>
    <row r="942" ht="24.75" customHeight="1" outlineLevel="1">
      <c r="A942" s="497">
        <v>46020.0</v>
      </c>
      <c r="B942" s="505" t="s">
        <v>325</v>
      </c>
      <c r="C942" s="375" t="s">
        <v>1236</v>
      </c>
      <c r="D942" s="375" t="s">
        <v>1228</v>
      </c>
      <c r="E942" s="501" t="s">
        <v>1273</v>
      </c>
      <c r="F942" s="491" t="s">
        <v>1081</v>
      </c>
      <c r="G942" s="491"/>
      <c r="H942" s="491" t="s">
        <v>1237</v>
      </c>
      <c r="I942" s="401"/>
      <c r="J942" s="231"/>
      <c r="K942" s="231"/>
      <c r="L942" s="231"/>
      <c r="M942" s="231"/>
      <c r="N942" s="231"/>
      <c r="O942" s="231"/>
      <c r="P942" s="231"/>
      <c r="Q942" s="231"/>
      <c r="R942" s="231"/>
      <c r="S942" s="231"/>
      <c r="T942" s="231"/>
      <c r="U942" s="231"/>
      <c r="V942" s="231"/>
      <c r="W942" s="231"/>
      <c r="X942" s="231"/>
      <c r="Y942" s="231"/>
      <c r="Z942" s="231"/>
      <c r="AA942" s="231"/>
      <c r="AB942" s="231"/>
    </row>
    <row r="943" ht="24.75" customHeight="1" outlineLevel="1">
      <c r="A943" s="497">
        <v>46020.0</v>
      </c>
      <c r="B943" s="505" t="s">
        <v>330</v>
      </c>
      <c r="C943" s="375" t="s">
        <v>741</v>
      </c>
      <c r="D943" s="375" t="s">
        <v>1280</v>
      </c>
      <c r="E943" s="498" t="s">
        <v>717</v>
      </c>
      <c r="F943" s="491" t="s">
        <v>1081</v>
      </c>
      <c r="G943" s="491"/>
      <c r="H943" s="491" t="s">
        <v>1154</v>
      </c>
      <c r="I943" s="401"/>
      <c r="J943" s="231"/>
      <c r="K943" s="231"/>
      <c r="L943" s="231"/>
      <c r="M943" s="231"/>
      <c r="N943" s="231"/>
      <c r="O943" s="231"/>
      <c r="P943" s="231"/>
      <c r="Q943" s="231"/>
      <c r="R943" s="231"/>
      <c r="S943" s="231"/>
      <c r="T943" s="231"/>
      <c r="U943" s="231"/>
      <c r="V943" s="231"/>
      <c r="W943" s="231"/>
      <c r="X943" s="231"/>
      <c r="Y943" s="231"/>
      <c r="Z943" s="231"/>
      <c r="AA943" s="231"/>
      <c r="AB943" s="231"/>
    </row>
    <row r="944" ht="24.75" customHeight="1" outlineLevel="1">
      <c r="A944" s="497">
        <v>46020.0</v>
      </c>
      <c r="B944" s="383" t="s">
        <v>753</v>
      </c>
      <c r="C944" s="488" t="s">
        <v>1208</v>
      </c>
      <c r="D944" s="526" t="s">
        <v>1281</v>
      </c>
      <c r="E944" s="523" t="s">
        <v>1282</v>
      </c>
      <c r="F944" s="491" t="s">
        <v>1081</v>
      </c>
      <c r="G944" s="491" t="s">
        <v>1081</v>
      </c>
      <c r="H944" s="491" t="s">
        <v>1157</v>
      </c>
      <c r="I944" s="237" t="s">
        <v>1158</v>
      </c>
      <c r="J944" s="231"/>
      <c r="K944" s="231"/>
      <c r="L944" s="231"/>
      <c r="M944" s="231"/>
      <c r="N944" s="231"/>
      <c r="O944" s="231"/>
      <c r="P944" s="231"/>
      <c r="Q944" s="231"/>
      <c r="R944" s="231"/>
      <c r="S944" s="231"/>
      <c r="T944" s="231"/>
      <c r="U944" s="231"/>
      <c r="V944" s="231"/>
      <c r="W944" s="231"/>
      <c r="X944" s="231"/>
      <c r="Y944" s="231"/>
      <c r="Z944" s="231"/>
      <c r="AA944" s="231"/>
      <c r="AB944" s="231"/>
    </row>
    <row r="945" ht="24.75" customHeight="1" outlineLevel="1">
      <c r="A945" s="497">
        <v>46020.0</v>
      </c>
      <c r="B945" s="383" t="s">
        <v>756</v>
      </c>
      <c r="C945" s="488" t="s">
        <v>1208</v>
      </c>
      <c r="D945" s="526" t="s">
        <v>1281</v>
      </c>
      <c r="E945" s="523" t="s">
        <v>1282</v>
      </c>
      <c r="F945" s="491" t="s">
        <v>1081</v>
      </c>
      <c r="G945" s="491" t="s">
        <v>1081</v>
      </c>
      <c r="H945" s="491" t="s">
        <v>1157</v>
      </c>
      <c r="I945" s="237" t="s">
        <v>1192</v>
      </c>
      <c r="J945" s="231"/>
      <c r="K945" s="231"/>
      <c r="L945" s="231"/>
      <c r="M945" s="231"/>
      <c r="N945" s="231"/>
      <c r="O945" s="231"/>
      <c r="P945" s="231"/>
      <c r="Q945" s="231"/>
      <c r="R945" s="231"/>
      <c r="S945" s="231"/>
      <c r="T945" s="231"/>
      <c r="U945" s="231"/>
      <c r="V945" s="231"/>
      <c r="W945" s="231"/>
      <c r="X945" s="231"/>
      <c r="Y945" s="231"/>
      <c r="Z945" s="231"/>
      <c r="AA945" s="231"/>
      <c r="AB945" s="231"/>
    </row>
    <row r="946" ht="24.75" customHeight="1" outlineLevel="1">
      <c r="A946" s="497">
        <v>46020.0</v>
      </c>
      <c r="B946" s="383" t="s">
        <v>801</v>
      </c>
      <c r="C946" s="383" t="s">
        <v>715</v>
      </c>
      <c r="D946" s="383" t="s">
        <v>802</v>
      </c>
      <c r="E946" s="498" t="s">
        <v>717</v>
      </c>
      <c r="F946" s="491" t="s">
        <v>1081</v>
      </c>
      <c r="G946" s="491"/>
      <c r="H946" s="506" t="s">
        <v>803</v>
      </c>
      <c r="I946" s="231"/>
      <c r="J946" s="231"/>
      <c r="K946" s="231"/>
      <c r="L946" s="231"/>
      <c r="M946" s="231"/>
      <c r="N946" s="237" t="s">
        <v>1079</v>
      </c>
      <c r="O946" s="231"/>
      <c r="P946" s="231"/>
      <c r="Q946" s="231"/>
      <c r="R946" s="231"/>
      <c r="S946" s="231"/>
      <c r="T946" s="231"/>
      <c r="U946" s="231"/>
      <c r="V946" s="231"/>
      <c r="W946" s="231"/>
      <c r="X946" s="231"/>
      <c r="Y946" s="231"/>
      <c r="Z946" s="231"/>
      <c r="AA946" s="231"/>
      <c r="AB946" s="231"/>
    </row>
    <row r="947" ht="24.75" customHeight="1" outlineLevel="1">
      <c r="A947" s="497">
        <v>46021.0</v>
      </c>
      <c r="B947" s="507" t="s">
        <v>1223</v>
      </c>
      <c r="C947" s="508" t="s">
        <v>715</v>
      </c>
      <c r="D947" s="373" t="s">
        <v>662</v>
      </c>
      <c r="E947" s="498" t="s">
        <v>717</v>
      </c>
      <c r="F947" s="491" t="s">
        <v>1081</v>
      </c>
      <c r="G947" s="491"/>
      <c r="H947" s="491" t="s">
        <v>1069</v>
      </c>
      <c r="I947" s="237"/>
      <c r="J947" s="231"/>
      <c r="K947" s="231"/>
      <c r="L947" s="231"/>
      <c r="M947" s="231"/>
      <c r="N947" s="237" t="s">
        <v>1082</v>
      </c>
      <c r="O947" s="231"/>
      <c r="P947" s="231"/>
      <c r="Q947" s="231"/>
      <c r="R947" s="231"/>
      <c r="S947" s="231"/>
      <c r="T947" s="231"/>
      <c r="U947" s="231"/>
      <c r="V947" s="231"/>
      <c r="W947" s="231"/>
      <c r="X947" s="231"/>
      <c r="Y947" s="231"/>
      <c r="Z947" s="231"/>
      <c r="AA947" s="231"/>
      <c r="AB947" s="231"/>
    </row>
    <row r="948" ht="24.75" customHeight="1" outlineLevel="1">
      <c r="A948" s="497">
        <v>46021.0</v>
      </c>
      <c r="B948" s="508" t="s">
        <v>714</v>
      </c>
      <c r="C948" s="373" t="s">
        <v>715</v>
      </c>
      <c r="D948" s="509" t="s">
        <v>1083</v>
      </c>
      <c r="E948" s="498" t="s">
        <v>717</v>
      </c>
      <c r="F948" s="491" t="s">
        <v>1081</v>
      </c>
      <c r="G948" s="491"/>
      <c r="H948" s="491" t="s">
        <v>1067</v>
      </c>
      <c r="I948" s="237"/>
      <c r="J948" s="231"/>
      <c r="K948" s="231"/>
      <c r="L948" s="231"/>
      <c r="M948" s="231"/>
      <c r="N948" s="231"/>
      <c r="O948" s="231"/>
      <c r="P948" s="231"/>
      <c r="Q948" s="231"/>
      <c r="R948" s="231"/>
      <c r="S948" s="231"/>
      <c r="T948" s="231"/>
      <c r="U948" s="231"/>
      <c r="V948" s="231"/>
      <c r="W948" s="231"/>
      <c r="X948" s="231"/>
      <c r="Y948" s="231"/>
      <c r="Z948" s="231"/>
      <c r="AA948" s="231"/>
      <c r="AB948" s="231"/>
    </row>
    <row r="949" ht="24.75" customHeight="1" outlineLevel="1">
      <c r="A949" s="497">
        <v>46021.0</v>
      </c>
      <c r="B949" s="508" t="s">
        <v>808</v>
      </c>
      <c r="C949" s="510" t="s">
        <v>715</v>
      </c>
      <c r="D949" s="508" t="s">
        <v>802</v>
      </c>
      <c r="E949" s="498" t="s">
        <v>717</v>
      </c>
      <c r="F949" s="491" t="s">
        <v>1081</v>
      </c>
      <c r="G949" s="491"/>
      <c r="H949" s="491" t="s">
        <v>1238</v>
      </c>
      <c r="I949" s="237"/>
      <c r="J949" s="231"/>
      <c r="K949" s="231"/>
      <c r="L949" s="231"/>
      <c r="M949" s="231"/>
      <c r="N949" s="231"/>
      <c r="O949" s="231"/>
      <c r="P949" s="231"/>
      <c r="Q949" s="231"/>
      <c r="R949" s="231"/>
      <c r="S949" s="231"/>
      <c r="T949" s="231"/>
      <c r="U949" s="231"/>
      <c r="V949" s="231"/>
      <c r="W949" s="231"/>
      <c r="X949" s="231"/>
      <c r="Y949" s="231"/>
      <c r="Z949" s="231"/>
      <c r="AA949" s="231"/>
      <c r="AB949" s="231"/>
    </row>
    <row r="950" ht="24.75" customHeight="1" outlineLevel="1">
      <c r="A950" s="497">
        <v>46021.0</v>
      </c>
      <c r="B950" s="508" t="s">
        <v>1239</v>
      </c>
      <c r="C950" s="469" t="s">
        <v>1274</v>
      </c>
      <c r="D950" s="373" t="s">
        <v>1283</v>
      </c>
      <c r="E950" s="502" t="s">
        <v>1275</v>
      </c>
      <c r="F950" s="491" t="s">
        <v>1081</v>
      </c>
      <c r="G950" s="491"/>
      <c r="H950" s="491" t="s">
        <v>1240</v>
      </c>
      <c r="I950" s="237"/>
      <c r="J950" s="231"/>
      <c r="K950" s="231"/>
      <c r="L950" s="231"/>
      <c r="M950" s="231"/>
      <c r="N950" s="231"/>
      <c r="O950" s="231"/>
      <c r="P950" s="231"/>
      <c r="Q950" s="231"/>
      <c r="R950" s="231"/>
      <c r="S950" s="231"/>
      <c r="T950" s="231"/>
      <c r="U950" s="231"/>
      <c r="V950" s="231"/>
      <c r="W950" s="231"/>
      <c r="X950" s="231"/>
      <c r="Y950" s="231"/>
      <c r="Z950" s="231"/>
      <c r="AA950" s="231"/>
      <c r="AB950" s="231"/>
    </row>
    <row r="951" ht="24.75" customHeight="1" outlineLevel="1">
      <c r="A951" s="497">
        <v>46022.0</v>
      </c>
      <c r="B951" s="508" t="s">
        <v>366</v>
      </c>
      <c r="C951" s="373" t="s">
        <v>715</v>
      </c>
      <c r="D951" s="511" t="s">
        <v>1241</v>
      </c>
      <c r="E951" s="498" t="s">
        <v>717</v>
      </c>
      <c r="F951" s="491" t="s">
        <v>1081</v>
      </c>
      <c r="G951" s="492"/>
      <c r="H951" s="491" t="s">
        <v>1242</v>
      </c>
      <c r="I951" s="237"/>
      <c r="J951" s="231"/>
      <c r="K951" s="231"/>
      <c r="L951" s="231"/>
      <c r="M951" s="231"/>
      <c r="N951" s="231"/>
      <c r="O951" s="231"/>
      <c r="P951" s="231"/>
      <c r="Q951" s="231"/>
      <c r="R951" s="231"/>
      <c r="S951" s="231"/>
      <c r="T951" s="231"/>
      <c r="U951" s="231"/>
      <c r="V951" s="231"/>
      <c r="W951" s="231"/>
      <c r="X951" s="231"/>
      <c r="Y951" s="231"/>
      <c r="Z951" s="231"/>
      <c r="AA951" s="231"/>
      <c r="AB951" s="231"/>
    </row>
    <row r="952" ht="24.75" customHeight="1" outlineLevel="1">
      <c r="A952" s="497">
        <v>46022.0</v>
      </c>
      <c r="B952" s="503" t="s">
        <v>389</v>
      </c>
      <c r="C952" s="373" t="s">
        <v>1227</v>
      </c>
      <c r="D952" s="512" t="s">
        <v>1284</v>
      </c>
      <c r="E952" s="501" t="s">
        <v>1273</v>
      </c>
      <c r="F952" s="491" t="s">
        <v>1081</v>
      </c>
      <c r="G952" s="491"/>
      <c r="H952" s="491" t="s">
        <v>1086</v>
      </c>
      <c r="I952" s="237"/>
      <c r="J952" s="231"/>
      <c r="K952" s="231"/>
      <c r="L952" s="231"/>
      <c r="M952" s="231"/>
      <c r="N952" s="231"/>
      <c r="O952" s="231"/>
      <c r="P952" s="231"/>
      <c r="Q952" s="231"/>
      <c r="R952" s="231"/>
      <c r="S952" s="231"/>
      <c r="T952" s="231"/>
      <c r="U952" s="231"/>
      <c r="V952" s="231"/>
      <c r="W952" s="231"/>
      <c r="X952" s="231"/>
      <c r="Y952" s="231"/>
      <c r="Z952" s="231"/>
      <c r="AA952" s="231"/>
      <c r="AB952" s="231"/>
    </row>
    <row r="953" ht="24.75" customHeight="1" outlineLevel="1">
      <c r="A953" s="497">
        <v>46022.0</v>
      </c>
      <c r="B953" s="508" t="s">
        <v>1285</v>
      </c>
      <c r="C953" s="473"/>
      <c r="D953" s="337" t="s">
        <v>1286</v>
      </c>
      <c r="E953" s="498" t="s">
        <v>717</v>
      </c>
      <c r="F953" s="491"/>
      <c r="G953" s="491"/>
      <c r="H953" s="491" t="s">
        <v>1287</v>
      </c>
      <c r="I953" s="401"/>
      <c r="J953" s="231"/>
      <c r="K953" s="231"/>
      <c r="L953" s="231"/>
      <c r="M953" s="231"/>
      <c r="N953" s="231"/>
      <c r="O953" s="231"/>
      <c r="P953" s="231"/>
      <c r="Q953" s="231"/>
      <c r="R953" s="231"/>
      <c r="S953" s="231"/>
      <c r="T953" s="231"/>
      <c r="U953" s="231"/>
      <c r="V953" s="231"/>
      <c r="W953" s="231"/>
      <c r="X953" s="231"/>
      <c r="Y953" s="231"/>
      <c r="Z953" s="231"/>
      <c r="AA953" s="231"/>
      <c r="AB953" s="231"/>
    </row>
    <row r="954" ht="24.75" customHeight="1" outlineLevel="1">
      <c r="A954" s="497">
        <v>46022.0</v>
      </c>
      <c r="B954" s="508" t="s">
        <v>398</v>
      </c>
      <c r="C954" s="473" t="s">
        <v>1198</v>
      </c>
      <c r="D954" s="337" t="s">
        <v>1288</v>
      </c>
      <c r="E954" s="513" t="s">
        <v>1289</v>
      </c>
      <c r="F954" s="491" t="s">
        <v>1081</v>
      </c>
      <c r="G954" s="491" t="s">
        <v>1081</v>
      </c>
      <c r="H954" s="491" t="s">
        <v>1168</v>
      </c>
      <c r="I954" s="401"/>
      <c r="J954" s="231"/>
      <c r="K954" s="231"/>
      <c r="L954" s="231"/>
      <c r="M954" s="231"/>
      <c r="N954" s="231"/>
      <c r="O954" s="231"/>
      <c r="P954" s="231"/>
      <c r="Q954" s="231"/>
      <c r="R954" s="231"/>
      <c r="S954" s="231"/>
      <c r="T954" s="231"/>
      <c r="U954" s="231"/>
      <c r="V954" s="231"/>
      <c r="W954" s="231"/>
      <c r="X954" s="231"/>
      <c r="Y954" s="231"/>
      <c r="Z954" s="231"/>
      <c r="AA954" s="231"/>
      <c r="AB954" s="231"/>
    </row>
    <row r="955" ht="24.75" customHeight="1" outlineLevel="1">
      <c r="A955" s="497">
        <v>46022.0</v>
      </c>
      <c r="B955" s="508" t="s">
        <v>1243</v>
      </c>
      <c r="C955" s="469" t="s">
        <v>1274</v>
      </c>
      <c r="D955" s="337" t="s">
        <v>1290</v>
      </c>
      <c r="E955" s="502" t="s">
        <v>1275</v>
      </c>
      <c r="F955" s="491" t="s">
        <v>1081</v>
      </c>
      <c r="G955" s="492"/>
      <c r="H955" s="491" t="s">
        <v>1240</v>
      </c>
      <c r="I955" s="237"/>
      <c r="J955" s="231"/>
      <c r="K955" s="231"/>
      <c r="L955" s="231"/>
      <c r="M955" s="231"/>
      <c r="N955" s="231"/>
      <c r="O955" s="231"/>
      <c r="P955" s="231"/>
      <c r="Q955" s="231"/>
      <c r="R955" s="231"/>
      <c r="S955" s="231"/>
      <c r="T955" s="231"/>
      <c r="U955" s="231"/>
      <c r="V955" s="231"/>
      <c r="W955" s="231"/>
      <c r="X955" s="231"/>
      <c r="Y955" s="231"/>
      <c r="Z955" s="231"/>
      <c r="AA955" s="231"/>
      <c r="AB955" s="231"/>
    </row>
    <row r="956" ht="24.75" customHeight="1" outlineLevel="1">
      <c r="A956" s="497">
        <v>46022.0</v>
      </c>
      <c r="B956" s="474" t="s">
        <v>414</v>
      </c>
      <c r="C956" s="473" t="s">
        <v>1200</v>
      </c>
      <c r="D956" s="337" t="s">
        <v>1291</v>
      </c>
      <c r="E956" s="514" t="s">
        <v>1292</v>
      </c>
      <c r="F956" s="491" t="s">
        <v>1081</v>
      </c>
      <c r="G956" s="491"/>
      <c r="H956" s="491" t="s">
        <v>1202</v>
      </c>
      <c r="I956" s="401"/>
      <c r="J956" s="231"/>
      <c r="K956" s="231"/>
      <c r="L956" s="231"/>
      <c r="M956" s="231"/>
      <c r="N956" s="231"/>
      <c r="O956" s="231"/>
      <c r="P956" s="231"/>
      <c r="Q956" s="231"/>
      <c r="R956" s="231"/>
      <c r="S956" s="231"/>
      <c r="T956" s="231"/>
      <c r="U956" s="231"/>
      <c r="V956" s="231"/>
      <c r="W956" s="231"/>
      <c r="X956" s="231"/>
      <c r="Y956" s="231"/>
      <c r="Z956" s="231"/>
      <c r="AA956" s="231"/>
      <c r="AB956" s="231"/>
    </row>
    <row r="957" ht="24.75" customHeight="1" outlineLevel="1">
      <c r="A957" s="497">
        <v>46023.0</v>
      </c>
      <c r="B957" s="438" t="s">
        <v>492</v>
      </c>
      <c r="C957" s="373" t="s">
        <v>741</v>
      </c>
      <c r="D957" s="337" t="s">
        <v>1293</v>
      </c>
      <c r="E957" s="504" t="s">
        <v>1279</v>
      </c>
      <c r="F957" s="491" t="s">
        <v>1081</v>
      </c>
      <c r="G957" s="492"/>
      <c r="H957" s="491" t="s">
        <v>1154</v>
      </c>
      <c r="I957" s="401"/>
      <c r="J957" s="231"/>
      <c r="K957" s="231"/>
      <c r="L957" s="231"/>
      <c r="M957" s="231"/>
      <c r="N957" s="231"/>
      <c r="O957" s="231"/>
      <c r="P957" s="231"/>
      <c r="Q957" s="231"/>
      <c r="R957" s="231"/>
      <c r="S957" s="231"/>
      <c r="T957" s="231"/>
      <c r="U957" s="231"/>
      <c r="V957" s="231"/>
      <c r="W957" s="231"/>
      <c r="X957" s="231"/>
      <c r="Y957" s="231"/>
      <c r="Z957" s="231"/>
      <c r="AA957" s="231"/>
      <c r="AB957" s="231"/>
    </row>
    <row r="958" ht="24.75" customHeight="1" outlineLevel="1">
      <c r="A958" s="497">
        <v>46023.0</v>
      </c>
      <c r="B958" s="508" t="s">
        <v>1246</v>
      </c>
      <c r="C958" s="469" t="s">
        <v>1274</v>
      </c>
      <c r="D958" s="337" t="s">
        <v>1290</v>
      </c>
      <c r="E958" s="502" t="s">
        <v>1275</v>
      </c>
      <c r="F958" s="491" t="s">
        <v>1081</v>
      </c>
      <c r="G958" s="492"/>
      <c r="H958" s="491" t="s">
        <v>1240</v>
      </c>
      <c r="I958" s="237"/>
      <c r="J958" s="231"/>
      <c r="K958" s="231"/>
      <c r="L958" s="231"/>
      <c r="M958" s="231"/>
      <c r="N958" s="231"/>
      <c r="O958" s="231"/>
      <c r="P958" s="231"/>
      <c r="Q958" s="231"/>
      <c r="R958" s="231"/>
      <c r="S958" s="231"/>
      <c r="T958" s="231"/>
      <c r="U958" s="231"/>
      <c r="V958" s="231"/>
      <c r="W958" s="231"/>
      <c r="X958" s="231"/>
      <c r="Y958" s="231"/>
      <c r="Z958" s="231"/>
      <c r="AA958" s="231"/>
      <c r="AB958" s="231"/>
    </row>
    <row r="959" ht="24.75" customHeight="1" outlineLevel="1">
      <c r="A959" s="497">
        <v>46024.0</v>
      </c>
      <c r="B959" s="508" t="s">
        <v>714</v>
      </c>
      <c r="C959" s="373" t="s">
        <v>715</v>
      </c>
      <c r="D959" s="509" t="s">
        <v>1083</v>
      </c>
      <c r="E959" s="498" t="s">
        <v>717</v>
      </c>
      <c r="F959" s="491" t="s">
        <v>1081</v>
      </c>
      <c r="G959" s="491"/>
      <c r="H959" s="491" t="s">
        <v>1067</v>
      </c>
      <c r="I959" s="237"/>
      <c r="J959" s="231"/>
      <c r="K959" s="231"/>
      <c r="L959" s="231"/>
      <c r="M959" s="231"/>
      <c r="N959" s="231"/>
      <c r="O959" s="231"/>
      <c r="P959" s="231"/>
      <c r="Q959" s="231"/>
      <c r="R959" s="231"/>
      <c r="S959" s="231"/>
      <c r="T959" s="231"/>
      <c r="U959" s="231"/>
      <c r="V959" s="231"/>
      <c r="W959" s="231"/>
      <c r="X959" s="231"/>
      <c r="Y959" s="231"/>
      <c r="Z959" s="231"/>
      <c r="AA959" s="231"/>
      <c r="AB959" s="231"/>
    </row>
    <row r="960" ht="24.75" customHeight="1" outlineLevel="1">
      <c r="A960" s="497">
        <v>46024.0</v>
      </c>
      <c r="B960" s="499" t="s">
        <v>1223</v>
      </c>
      <c r="C960" s="383" t="s">
        <v>715</v>
      </c>
      <c r="D960" s="375" t="s">
        <v>662</v>
      </c>
      <c r="E960" s="498" t="s">
        <v>717</v>
      </c>
      <c r="F960" s="491" t="s">
        <v>1081</v>
      </c>
      <c r="G960" s="491"/>
      <c r="H960" s="491" t="s">
        <v>1069</v>
      </c>
      <c r="I960" s="237"/>
      <c r="J960" s="231"/>
      <c r="K960" s="231"/>
      <c r="L960" s="231"/>
      <c r="M960" s="231"/>
      <c r="N960" s="231"/>
      <c r="O960" s="231"/>
      <c r="P960" s="231"/>
      <c r="Q960" s="231"/>
      <c r="R960" s="231"/>
      <c r="S960" s="231"/>
      <c r="T960" s="231"/>
      <c r="U960" s="231"/>
      <c r="V960" s="231"/>
      <c r="W960" s="231"/>
      <c r="X960" s="231"/>
      <c r="Y960" s="231"/>
      <c r="Z960" s="231"/>
      <c r="AA960" s="231"/>
      <c r="AB960" s="231"/>
    </row>
    <row r="961" ht="24.75" customHeight="1" outlineLevel="1">
      <c r="A961" s="497">
        <v>46024.0</v>
      </c>
      <c r="B961" s="383" t="s">
        <v>310</v>
      </c>
      <c r="C961" s="375" t="s">
        <v>1270</v>
      </c>
      <c r="D961" s="475" t="s">
        <v>1294</v>
      </c>
      <c r="E961" s="515" t="s">
        <v>1295</v>
      </c>
      <c r="F961" s="491" t="s">
        <v>1081</v>
      </c>
      <c r="G961" s="491"/>
      <c r="H961" s="491" t="s">
        <v>1224</v>
      </c>
      <c r="I961" s="237"/>
      <c r="J961" s="231"/>
      <c r="K961" s="231"/>
      <c r="L961" s="231"/>
      <c r="M961" s="231"/>
      <c r="N961" s="231"/>
      <c r="O961" s="231"/>
      <c r="P961" s="231"/>
      <c r="Q961" s="231"/>
      <c r="R961" s="231"/>
      <c r="S961" s="231"/>
      <c r="T961" s="231"/>
      <c r="U961" s="231"/>
      <c r="V961" s="231"/>
      <c r="W961" s="231"/>
      <c r="X961" s="231"/>
      <c r="Y961" s="231"/>
      <c r="Z961" s="231"/>
      <c r="AA961" s="231"/>
      <c r="AB961" s="231"/>
    </row>
    <row r="962" ht="24.75" customHeight="1" outlineLevel="1">
      <c r="A962" s="497">
        <v>46025.0</v>
      </c>
      <c r="B962" s="508" t="s">
        <v>418</v>
      </c>
      <c r="C962" s="373" t="s">
        <v>715</v>
      </c>
      <c r="D962" s="511" t="s">
        <v>1249</v>
      </c>
      <c r="E962" s="498" t="s">
        <v>717</v>
      </c>
      <c r="F962" s="491" t="s">
        <v>1081</v>
      </c>
      <c r="G962" s="492"/>
      <c r="H962" s="491" t="s">
        <v>1225</v>
      </c>
      <c r="I962" s="237"/>
      <c r="J962" s="231"/>
      <c r="K962" s="231"/>
      <c r="L962" s="231"/>
      <c r="M962" s="231"/>
      <c r="N962" s="231"/>
      <c r="O962" s="231"/>
      <c r="P962" s="231"/>
      <c r="Q962" s="231"/>
      <c r="R962" s="231"/>
      <c r="S962" s="231"/>
      <c r="T962" s="231"/>
      <c r="U962" s="231"/>
      <c r="V962" s="231"/>
      <c r="W962" s="231"/>
      <c r="X962" s="231"/>
      <c r="Y962" s="231"/>
      <c r="Z962" s="231"/>
      <c r="AA962" s="231"/>
      <c r="AB962" s="231"/>
    </row>
    <row r="963" ht="24.75" customHeight="1" outlineLevel="1">
      <c r="A963" s="497">
        <v>46025.0</v>
      </c>
      <c r="B963" s="500" t="str">
        <f>HYPERLINK("https://docs.google.com/spreadsheets/d/1v3B9E8Jeqx3_JGvRHJ2cXJ5OAGLvZiOXZru0niKH-QQ/edit?ts=56170761#gid=1991794180","☆横浜")</f>
        <v>☆横浜</v>
      </c>
      <c r="C963" s="469" t="s">
        <v>1205</v>
      </c>
      <c r="D963" s="475" t="s">
        <v>1296</v>
      </c>
      <c r="E963" s="516" t="s">
        <v>1272</v>
      </c>
      <c r="F963" s="491" t="s">
        <v>1081</v>
      </c>
      <c r="G963" s="491" t="s">
        <v>1081</v>
      </c>
      <c r="H963" s="491" t="s">
        <v>1131</v>
      </c>
      <c r="I963" s="401"/>
      <c r="J963" s="231"/>
      <c r="K963" s="231"/>
      <c r="L963" s="231"/>
      <c r="M963" s="231"/>
      <c r="N963" s="231"/>
      <c r="O963" s="231"/>
      <c r="P963" s="231"/>
      <c r="Q963" s="231"/>
      <c r="R963" s="231"/>
      <c r="S963" s="231"/>
      <c r="T963" s="231"/>
      <c r="U963" s="231"/>
      <c r="V963" s="231"/>
      <c r="W963" s="231"/>
      <c r="X963" s="231"/>
      <c r="Y963" s="231"/>
      <c r="Z963" s="231"/>
      <c r="AA963" s="231"/>
      <c r="AB963" s="231"/>
    </row>
    <row r="964" ht="24.75" customHeight="1" outlineLevel="1">
      <c r="A964" s="497">
        <v>46025.0</v>
      </c>
      <c r="B964" s="438" t="str">
        <f>HYPERLINK("https://docs.google.com/spreadsheets/d/1xrfsiAjLwPhBlveDsLSsUUfMnNpOidnkNLqHJabwWYo/edit?ts=56ea7063#gid=1283986028","☆救済メルマガ(UP10)")</f>
        <v>☆救済メルマガ(UP10)</v>
      </c>
      <c r="C964" s="375" t="s">
        <v>1227</v>
      </c>
      <c r="D964" s="475" t="s">
        <v>1284</v>
      </c>
      <c r="E964" s="501" t="s">
        <v>1273</v>
      </c>
      <c r="F964" s="491" t="s">
        <v>1081</v>
      </c>
      <c r="G964" s="491"/>
      <c r="H964" s="491" t="s">
        <v>1135</v>
      </c>
      <c r="I964" s="401"/>
      <c r="J964" s="231"/>
      <c r="K964" s="231"/>
      <c r="L964" s="231"/>
      <c r="M964" s="231"/>
      <c r="N964" s="231"/>
      <c r="O964" s="231"/>
      <c r="P964" s="231"/>
      <c r="Q964" s="231"/>
      <c r="R964" s="231"/>
      <c r="S964" s="231"/>
      <c r="T964" s="231"/>
      <c r="U964" s="231"/>
      <c r="V964" s="231"/>
      <c r="W964" s="231"/>
      <c r="X964" s="231"/>
      <c r="Y964" s="231"/>
      <c r="Z964" s="231"/>
      <c r="AA964" s="231"/>
      <c r="AB964" s="231"/>
    </row>
    <row r="965" ht="24.75" customHeight="1" outlineLevel="1">
      <c r="A965" s="497">
        <v>46026.0</v>
      </c>
      <c r="B965" s="438" t="s">
        <v>456</v>
      </c>
      <c r="C965" s="469" t="s">
        <v>1274</v>
      </c>
      <c r="D965" s="475" t="s">
        <v>1297</v>
      </c>
      <c r="E965" s="502" t="s">
        <v>1275</v>
      </c>
      <c r="F965" s="491" t="s">
        <v>1081</v>
      </c>
      <c r="G965" s="491"/>
      <c r="H965" s="491" t="s">
        <v>1135</v>
      </c>
      <c r="I965" s="401"/>
      <c r="J965" s="231"/>
      <c r="K965" s="231"/>
      <c r="L965" s="231"/>
      <c r="M965" s="231"/>
      <c r="N965" s="231"/>
      <c r="O965" s="231"/>
      <c r="P965" s="231"/>
      <c r="Q965" s="231"/>
      <c r="R965" s="231"/>
      <c r="S965" s="231"/>
      <c r="T965" s="231"/>
      <c r="U965" s="231"/>
      <c r="V965" s="231"/>
      <c r="W965" s="231"/>
      <c r="X965" s="231"/>
      <c r="Y965" s="231"/>
      <c r="Z965" s="231"/>
      <c r="AA965" s="231"/>
      <c r="AB965" s="231"/>
    </row>
    <row r="966" ht="24.75" customHeight="1" outlineLevel="1">
      <c r="A966" s="497">
        <v>46026.0</v>
      </c>
      <c r="B966" s="508" t="s">
        <v>39</v>
      </c>
      <c r="C966" s="375" t="s">
        <v>1276</v>
      </c>
      <c r="D966" s="475" t="s">
        <v>1298</v>
      </c>
      <c r="E966" s="518" t="s">
        <v>1278</v>
      </c>
      <c r="F966" s="519" t="s">
        <v>1081</v>
      </c>
      <c r="G966" s="519"/>
      <c r="H966" s="519" t="s">
        <v>1233</v>
      </c>
      <c r="I966" s="401" t="s">
        <v>1252</v>
      </c>
      <c r="J966" s="520"/>
      <c r="K966" s="520"/>
      <c r="L966" s="520"/>
      <c r="M966" s="520"/>
      <c r="N966" s="520"/>
      <c r="O966" s="521"/>
      <c r="P966" s="521"/>
      <c r="Q966" s="521"/>
      <c r="R966" s="521"/>
      <c r="S966" s="521"/>
      <c r="T966" s="521"/>
      <c r="U966" s="521"/>
      <c r="V966" s="521"/>
      <c r="W966" s="521"/>
      <c r="X966" s="521"/>
      <c r="Y966" s="521"/>
      <c r="Z966" s="521"/>
      <c r="AA966" s="521"/>
      <c r="AB966" s="521"/>
      <c r="AC966" s="522"/>
    </row>
    <row r="967" ht="24.75" customHeight="1" outlineLevel="1">
      <c r="A967" s="497">
        <v>46026.0</v>
      </c>
      <c r="B967" s="503" t="str">
        <f>HYPERLINK("https://docs.google.com/spreadsheets/d/14VRt1DzygoL3ldywdTGi4p4-5N6W0OO9Ugf6GEHXv1k/edit#gid=351252924","☆TP部メルマガ")</f>
        <v>☆TP部メルマガ</v>
      </c>
      <c r="C967" s="469" t="s">
        <v>741</v>
      </c>
      <c r="D967" s="475" t="s">
        <v>1299</v>
      </c>
      <c r="E967" s="504" t="s">
        <v>1279</v>
      </c>
      <c r="F967" s="491" t="s">
        <v>1081</v>
      </c>
      <c r="G967" s="491"/>
      <c r="H967" s="491" t="s">
        <v>1150</v>
      </c>
      <c r="I967" s="401"/>
      <c r="J967" s="231"/>
      <c r="K967" s="231"/>
      <c r="L967" s="231"/>
      <c r="M967" s="231"/>
      <c r="N967" s="231"/>
      <c r="O967" s="231"/>
      <c r="P967" s="231"/>
      <c r="Q967" s="231"/>
      <c r="R967" s="231"/>
      <c r="S967" s="231"/>
      <c r="T967" s="231"/>
      <c r="U967" s="231"/>
      <c r="V967" s="231"/>
      <c r="W967" s="231"/>
      <c r="X967" s="231"/>
      <c r="Y967" s="231"/>
      <c r="Z967" s="231"/>
      <c r="AA967" s="231"/>
      <c r="AB967" s="231"/>
    </row>
    <row r="968" ht="24.75" customHeight="1" outlineLevel="1">
      <c r="A968" s="497">
        <v>46027.0</v>
      </c>
      <c r="B968" s="505" t="s">
        <v>325</v>
      </c>
      <c r="C968" s="375" t="s">
        <v>1236</v>
      </c>
      <c r="D968" s="475" t="s">
        <v>1284</v>
      </c>
      <c r="E968" s="501" t="s">
        <v>1273</v>
      </c>
      <c r="F968" s="491" t="s">
        <v>1081</v>
      </c>
      <c r="G968" s="491"/>
      <c r="H968" s="491" t="s">
        <v>1237</v>
      </c>
      <c r="I968" s="401"/>
      <c r="J968" s="231"/>
      <c r="K968" s="231"/>
      <c r="L968" s="231"/>
      <c r="M968" s="231"/>
      <c r="N968" s="231"/>
      <c r="O968" s="231"/>
      <c r="P968" s="231"/>
      <c r="Q968" s="231"/>
      <c r="R968" s="231"/>
      <c r="S968" s="231"/>
      <c r="T968" s="231"/>
      <c r="U968" s="231"/>
      <c r="V968" s="231"/>
      <c r="W968" s="231"/>
      <c r="X968" s="231"/>
      <c r="Y968" s="231"/>
      <c r="Z968" s="231"/>
      <c r="AA968" s="231"/>
      <c r="AB968" s="231"/>
    </row>
    <row r="969" ht="24.75" customHeight="1" outlineLevel="1">
      <c r="A969" s="497">
        <v>46027.0</v>
      </c>
      <c r="B969" s="505" t="s">
        <v>330</v>
      </c>
      <c r="C969" s="375" t="s">
        <v>741</v>
      </c>
      <c r="D969" s="475" t="s">
        <v>1299</v>
      </c>
      <c r="E969" s="504" t="s">
        <v>1279</v>
      </c>
      <c r="F969" s="491" t="s">
        <v>1081</v>
      </c>
      <c r="G969" s="491"/>
      <c r="H969" s="491" t="s">
        <v>1154</v>
      </c>
      <c r="I969" s="401"/>
      <c r="J969" s="231"/>
      <c r="K969" s="231"/>
      <c r="L969" s="231"/>
      <c r="M969" s="231"/>
      <c r="N969" s="231"/>
      <c r="O969" s="231"/>
      <c r="P969" s="231"/>
      <c r="Q969" s="231"/>
      <c r="R969" s="231"/>
      <c r="S969" s="231"/>
      <c r="T969" s="231"/>
      <c r="U969" s="231"/>
      <c r="V969" s="231"/>
      <c r="W969" s="231"/>
      <c r="X969" s="231"/>
      <c r="Y969" s="231"/>
      <c r="Z969" s="231"/>
      <c r="AA969" s="231"/>
      <c r="AB969" s="231"/>
    </row>
    <row r="970" ht="24.75" customHeight="1" outlineLevel="1">
      <c r="A970" s="497">
        <v>46027.0</v>
      </c>
      <c r="B970" s="383" t="s">
        <v>753</v>
      </c>
      <c r="C970" s="488" t="s">
        <v>1208</v>
      </c>
      <c r="D970" s="475" t="s">
        <v>1300</v>
      </c>
      <c r="E970" s="523" t="s">
        <v>1282</v>
      </c>
      <c r="F970" s="491" t="s">
        <v>1081</v>
      </c>
      <c r="G970" s="491" t="s">
        <v>1081</v>
      </c>
      <c r="H970" s="491" t="s">
        <v>1254</v>
      </c>
      <c r="I970" s="237" t="s">
        <v>1158</v>
      </c>
      <c r="J970" s="231"/>
      <c r="K970" s="231"/>
      <c r="L970" s="231"/>
      <c r="M970" s="231"/>
      <c r="N970" s="231"/>
      <c r="O970" s="231"/>
      <c r="P970" s="231"/>
      <c r="Q970" s="231"/>
      <c r="R970" s="231"/>
      <c r="S970" s="231"/>
      <c r="T970" s="231"/>
      <c r="U970" s="231"/>
      <c r="V970" s="231"/>
      <c r="W970" s="231"/>
      <c r="X970" s="231"/>
      <c r="Y970" s="231"/>
      <c r="Z970" s="231"/>
      <c r="AA970" s="231"/>
      <c r="AB970" s="231"/>
    </row>
    <row r="971" ht="24.75" customHeight="1" outlineLevel="1">
      <c r="A971" s="497">
        <v>46027.0</v>
      </c>
      <c r="B971" s="383" t="s">
        <v>756</v>
      </c>
      <c r="C971" s="488" t="s">
        <v>1208</v>
      </c>
      <c r="D971" s="475" t="s">
        <v>1300</v>
      </c>
      <c r="E971" s="523" t="s">
        <v>1282</v>
      </c>
      <c r="F971" s="491" t="s">
        <v>1081</v>
      </c>
      <c r="G971" s="491" t="s">
        <v>1081</v>
      </c>
      <c r="H971" s="491" t="s">
        <v>1254</v>
      </c>
      <c r="I971" s="237" t="s">
        <v>1192</v>
      </c>
      <c r="J971" s="231"/>
      <c r="K971" s="231"/>
      <c r="L971" s="231"/>
      <c r="M971" s="231"/>
      <c r="N971" s="231"/>
      <c r="O971" s="231"/>
      <c r="P971" s="231"/>
      <c r="Q971" s="231"/>
      <c r="R971" s="231"/>
      <c r="S971" s="231"/>
      <c r="T971" s="231"/>
      <c r="U971" s="231"/>
      <c r="V971" s="231"/>
      <c r="W971" s="231"/>
      <c r="X971" s="231"/>
      <c r="Y971" s="231"/>
      <c r="Z971" s="231"/>
      <c r="AA971" s="231"/>
      <c r="AB971" s="231"/>
    </row>
    <row r="972" ht="24.75" customHeight="1" outlineLevel="1">
      <c r="A972" s="497">
        <v>46027.0</v>
      </c>
      <c r="B972" s="383" t="s">
        <v>801</v>
      </c>
      <c r="C972" s="383" t="s">
        <v>715</v>
      </c>
      <c r="D972" s="383" t="s">
        <v>802</v>
      </c>
      <c r="E972" s="498" t="s">
        <v>717</v>
      </c>
      <c r="F972" s="491" t="s">
        <v>1081</v>
      </c>
      <c r="G972" s="491"/>
      <c r="H972" s="506" t="s">
        <v>803</v>
      </c>
      <c r="I972" s="231"/>
      <c r="J972" s="231"/>
      <c r="K972" s="231"/>
      <c r="L972" s="231"/>
      <c r="M972" s="231"/>
      <c r="N972" s="237" t="s">
        <v>1079</v>
      </c>
      <c r="O972" s="231"/>
      <c r="P972" s="231"/>
      <c r="Q972" s="231"/>
      <c r="R972" s="231"/>
      <c r="S972" s="231"/>
      <c r="T972" s="231"/>
      <c r="U972" s="231"/>
      <c r="V972" s="231"/>
      <c r="W972" s="231"/>
      <c r="X972" s="231"/>
      <c r="Y972" s="231"/>
      <c r="Z972" s="231"/>
      <c r="AA972" s="231"/>
      <c r="AB972" s="231"/>
    </row>
    <row r="973" ht="24.75" customHeight="1" outlineLevel="1">
      <c r="A973" s="497">
        <v>46028.0</v>
      </c>
      <c r="B973" s="507" t="s">
        <v>1223</v>
      </c>
      <c r="C973" s="508" t="s">
        <v>715</v>
      </c>
      <c r="D973" s="373" t="s">
        <v>662</v>
      </c>
      <c r="E973" s="498" t="s">
        <v>717</v>
      </c>
      <c r="F973" s="491" t="s">
        <v>1081</v>
      </c>
      <c r="G973" s="491"/>
      <c r="H973" s="491" t="s">
        <v>1069</v>
      </c>
      <c r="I973" s="237"/>
      <c r="J973" s="231"/>
      <c r="K973" s="231"/>
      <c r="L973" s="231"/>
      <c r="M973" s="231"/>
      <c r="N973" s="237" t="s">
        <v>1082</v>
      </c>
      <c r="O973" s="231"/>
      <c r="P973" s="231"/>
      <c r="Q973" s="231"/>
      <c r="R973" s="231"/>
      <c r="S973" s="231"/>
      <c r="T973" s="231"/>
      <c r="U973" s="231"/>
      <c r="V973" s="231"/>
      <c r="W973" s="231"/>
      <c r="X973" s="231"/>
      <c r="Y973" s="231"/>
      <c r="Z973" s="231"/>
      <c r="AA973" s="231"/>
      <c r="AB973" s="231"/>
    </row>
    <row r="974" ht="24.75" customHeight="1" outlineLevel="1">
      <c r="A974" s="497">
        <v>46028.0</v>
      </c>
      <c r="B974" s="508" t="s">
        <v>714</v>
      </c>
      <c r="C974" s="373" t="s">
        <v>715</v>
      </c>
      <c r="D974" s="373" t="s">
        <v>662</v>
      </c>
      <c r="E974" s="498" t="s">
        <v>717</v>
      </c>
      <c r="F974" s="491" t="s">
        <v>1081</v>
      </c>
      <c r="G974" s="491"/>
      <c r="H974" s="491" t="s">
        <v>1067</v>
      </c>
      <c r="I974" s="237"/>
      <c r="J974" s="231"/>
      <c r="K974" s="231"/>
      <c r="L974" s="231"/>
      <c r="M974" s="231"/>
      <c r="N974" s="231"/>
      <c r="O974" s="231"/>
      <c r="P974" s="231"/>
      <c r="Q974" s="231"/>
      <c r="R974" s="231"/>
      <c r="S974" s="231"/>
      <c r="T974" s="231"/>
      <c r="U974" s="231"/>
      <c r="V974" s="231"/>
      <c r="W974" s="231"/>
      <c r="X974" s="231"/>
      <c r="Y974" s="231"/>
      <c r="Z974" s="231"/>
      <c r="AA974" s="231"/>
      <c r="AB974" s="231"/>
    </row>
    <row r="975" ht="24.75" customHeight="1" outlineLevel="1">
      <c r="A975" s="497">
        <v>46028.0</v>
      </c>
      <c r="B975" s="508" t="s">
        <v>808</v>
      </c>
      <c r="C975" s="510" t="s">
        <v>715</v>
      </c>
      <c r="D975" s="508" t="s">
        <v>802</v>
      </c>
      <c r="E975" s="498" t="s">
        <v>717</v>
      </c>
      <c r="F975" s="491" t="s">
        <v>1081</v>
      </c>
      <c r="G975" s="491"/>
      <c r="H975" s="491" t="s">
        <v>1238</v>
      </c>
      <c r="I975" s="237"/>
      <c r="J975" s="231"/>
      <c r="K975" s="231"/>
      <c r="L975" s="231"/>
      <c r="M975" s="231"/>
      <c r="N975" s="231"/>
      <c r="O975" s="231"/>
      <c r="P975" s="231"/>
      <c r="Q975" s="231"/>
      <c r="R975" s="231"/>
      <c r="S975" s="231"/>
      <c r="T975" s="231"/>
      <c r="U975" s="231"/>
      <c r="V975" s="231"/>
      <c r="W975" s="231"/>
      <c r="X975" s="231"/>
      <c r="Y975" s="231"/>
      <c r="Z975" s="231"/>
      <c r="AA975" s="231"/>
      <c r="AB975" s="231"/>
    </row>
    <row r="976" ht="24.75" customHeight="1" outlineLevel="1">
      <c r="A976" s="497">
        <v>46028.0</v>
      </c>
      <c r="B976" s="508" t="s">
        <v>1239</v>
      </c>
      <c r="C976" s="469" t="s">
        <v>1274</v>
      </c>
      <c r="D976" s="527" t="s">
        <v>1301</v>
      </c>
      <c r="E976" s="502" t="s">
        <v>1275</v>
      </c>
      <c r="F976" s="491" t="s">
        <v>1081</v>
      </c>
      <c r="G976" s="491"/>
      <c r="H976" s="491" t="s">
        <v>1240</v>
      </c>
      <c r="I976" s="237"/>
      <c r="J976" s="231"/>
      <c r="K976" s="231"/>
      <c r="L976" s="231"/>
      <c r="M976" s="231"/>
      <c r="N976" s="231"/>
      <c r="O976" s="231"/>
      <c r="P976" s="231"/>
      <c r="Q976" s="231"/>
      <c r="R976" s="231"/>
      <c r="S976" s="231"/>
      <c r="T976" s="231"/>
      <c r="U976" s="231"/>
      <c r="V976" s="231"/>
      <c r="W976" s="231"/>
      <c r="X976" s="231"/>
      <c r="Y976" s="231"/>
      <c r="Z976" s="231"/>
      <c r="AA976" s="231"/>
      <c r="AB976" s="231"/>
    </row>
    <row r="977" ht="24.75" customHeight="1" outlineLevel="1">
      <c r="A977" s="497">
        <v>46029.0</v>
      </c>
      <c r="B977" s="508" t="s">
        <v>1243</v>
      </c>
      <c r="C977" s="469" t="s">
        <v>1274</v>
      </c>
      <c r="D977" s="527" t="s">
        <v>1301</v>
      </c>
      <c r="E977" s="502" t="s">
        <v>1275</v>
      </c>
      <c r="F977" s="491" t="s">
        <v>1081</v>
      </c>
      <c r="G977" s="492"/>
      <c r="H977" s="491" t="s">
        <v>1240</v>
      </c>
      <c r="I977" s="401"/>
      <c r="J977" s="231"/>
      <c r="K977" s="231"/>
      <c r="L977" s="231"/>
      <c r="M977" s="231"/>
      <c r="N977" s="231"/>
      <c r="O977" s="231"/>
      <c r="P977" s="231"/>
      <c r="Q977" s="231"/>
      <c r="R977" s="231"/>
      <c r="S977" s="231"/>
      <c r="T977" s="231"/>
      <c r="U977" s="231"/>
      <c r="V977" s="231"/>
      <c r="W977" s="231"/>
      <c r="X977" s="231"/>
      <c r="Y977" s="231"/>
      <c r="Z977" s="231"/>
      <c r="AA977" s="231"/>
      <c r="AB977" s="231"/>
    </row>
    <row r="978" ht="24.75" customHeight="1" outlineLevel="1">
      <c r="A978" s="497">
        <v>46030.0</v>
      </c>
      <c r="B978" s="508" t="s">
        <v>1246</v>
      </c>
      <c r="C978" s="469" t="s">
        <v>1274</v>
      </c>
      <c r="D978" s="527" t="s">
        <v>1301</v>
      </c>
      <c r="E978" s="502" t="s">
        <v>1275</v>
      </c>
      <c r="F978" s="491" t="s">
        <v>1081</v>
      </c>
      <c r="G978" s="492"/>
      <c r="H978" s="491" t="s">
        <v>1240</v>
      </c>
      <c r="I978" s="401"/>
      <c r="J978" s="231"/>
      <c r="K978" s="231"/>
      <c r="L978" s="231"/>
      <c r="M978" s="231"/>
      <c r="N978" s="231"/>
      <c r="O978" s="231"/>
      <c r="P978" s="231"/>
      <c r="Q978" s="231"/>
      <c r="R978" s="231"/>
      <c r="S978" s="231"/>
      <c r="T978" s="231"/>
      <c r="U978" s="231"/>
      <c r="V978" s="231"/>
      <c r="W978" s="231"/>
      <c r="X978" s="231"/>
      <c r="Y978" s="231"/>
      <c r="Z978" s="231"/>
      <c r="AA978" s="231"/>
      <c r="AB978" s="231"/>
    </row>
    <row r="979" ht="24.75" customHeight="1">
      <c r="A979" s="237" t="s">
        <v>1302</v>
      </c>
      <c r="B979" s="231"/>
      <c r="C979" s="231"/>
      <c r="D979" s="231"/>
      <c r="E979" s="225"/>
      <c r="F979" s="231"/>
      <c r="G979" s="231"/>
      <c r="H979" s="231"/>
      <c r="I979" s="231"/>
      <c r="J979" s="231"/>
      <c r="K979" s="231"/>
      <c r="L979" s="231"/>
      <c r="M979" s="231"/>
      <c r="N979" s="231"/>
      <c r="O979" s="231"/>
      <c r="P979" s="231"/>
      <c r="Q979" s="231"/>
      <c r="R979" s="231"/>
      <c r="S979" s="231"/>
      <c r="T979" s="231"/>
      <c r="U979" s="231"/>
      <c r="V979" s="231"/>
      <c r="W979" s="231"/>
      <c r="X979" s="231"/>
      <c r="Y979" s="231"/>
      <c r="Z979" s="231"/>
      <c r="AA979" s="231"/>
      <c r="AB979" s="231"/>
      <c r="AC979" s="231"/>
    </row>
    <row r="980" ht="24.75" customHeight="1">
      <c r="A980" s="231"/>
      <c r="B980" s="231"/>
      <c r="C980" s="231"/>
      <c r="D980" s="231"/>
      <c r="E980" s="225"/>
      <c r="F980" s="231"/>
      <c r="G980" s="231"/>
      <c r="H980" s="231"/>
      <c r="I980" s="231"/>
      <c r="J980" s="231"/>
      <c r="K980" s="231"/>
      <c r="L980" s="231"/>
      <c r="M980" s="231"/>
      <c r="N980" s="231"/>
      <c r="O980" s="231"/>
      <c r="P980" s="231"/>
      <c r="Q980" s="231"/>
      <c r="R980" s="231"/>
      <c r="S980" s="231"/>
      <c r="T980" s="231"/>
      <c r="U980" s="231"/>
      <c r="V980" s="231"/>
      <c r="W980" s="231"/>
      <c r="X980" s="231"/>
      <c r="Y980" s="231"/>
      <c r="Z980" s="231"/>
      <c r="AA980" s="231"/>
      <c r="AB980" s="231"/>
      <c r="AC980" s="231"/>
    </row>
    <row r="981" ht="24.75" customHeight="1" collapsed="1">
      <c r="A981" s="331" t="s">
        <v>1303</v>
      </c>
      <c r="B981" s="231"/>
      <c r="C981" s="231"/>
      <c r="D981" s="231"/>
      <c r="E981" s="225"/>
      <c r="F981" s="231"/>
      <c r="G981" s="231"/>
      <c r="H981" s="231"/>
      <c r="I981" s="231"/>
      <c r="J981" s="231"/>
      <c r="K981" s="231"/>
      <c r="L981" s="231"/>
      <c r="M981" s="231"/>
      <c r="N981" s="231"/>
      <c r="O981" s="231"/>
      <c r="P981" s="231"/>
      <c r="Q981" s="231"/>
      <c r="R981" s="231"/>
      <c r="S981" s="231"/>
      <c r="T981" s="231"/>
      <c r="U981" s="231"/>
      <c r="V981" s="231"/>
      <c r="W981" s="231"/>
      <c r="X981" s="231"/>
      <c r="Y981" s="231"/>
      <c r="Z981" s="231"/>
      <c r="AA981" s="231"/>
      <c r="AB981" s="231"/>
      <c r="AC981" s="231"/>
    </row>
    <row r="982" ht="24.75" hidden="1" customHeight="1" outlineLevel="1">
      <c r="A982" s="263" t="s">
        <v>647</v>
      </c>
      <c r="B982" s="264" t="s">
        <v>648</v>
      </c>
      <c r="C982" s="264" t="s">
        <v>649</v>
      </c>
      <c r="D982" s="264" t="s">
        <v>650</v>
      </c>
      <c r="E982" s="264" t="s">
        <v>651</v>
      </c>
      <c r="F982" s="231"/>
      <c r="G982" s="231"/>
      <c r="H982" s="231"/>
      <c r="I982" s="231"/>
      <c r="J982" s="231"/>
      <c r="K982" s="231"/>
      <c r="L982" s="231"/>
      <c r="M982" s="231"/>
      <c r="N982" s="231"/>
      <c r="O982" s="231"/>
      <c r="P982" s="231"/>
      <c r="Q982" s="231"/>
      <c r="R982" s="231"/>
      <c r="S982" s="231"/>
      <c r="T982" s="231"/>
      <c r="U982" s="231"/>
      <c r="V982" s="231"/>
      <c r="W982" s="231"/>
      <c r="X982" s="231"/>
      <c r="Y982" s="231"/>
      <c r="Z982" s="231"/>
      <c r="AA982" s="231"/>
      <c r="AB982" s="231"/>
      <c r="AC982" s="231"/>
    </row>
    <row r="983" ht="24.75" hidden="1" customHeight="1" outlineLevel="1">
      <c r="A983" s="524">
        <v>46034.0</v>
      </c>
      <c r="B983" s="412" t="s">
        <v>731</v>
      </c>
      <c r="C983" s="256" t="s">
        <v>1061</v>
      </c>
      <c r="D983" s="413" t="s">
        <v>1098</v>
      </c>
      <c r="E983" s="414" t="s">
        <v>717</v>
      </c>
      <c r="F983" s="231"/>
      <c r="G983" s="231"/>
      <c r="H983" s="231"/>
      <c r="I983" s="231"/>
      <c r="J983" s="231"/>
      <c r="K983" s="231"/>
      <c r="L983" s="231"/>
      <c r="M983" s="231"/>
      <c r="N983" s="231"/>
      <c r="O983" s="231"/>
      <c r="P983" s="231"/>
      <c r="Q983" s="231"/>
      <c r="R983" s="231"/>
      <c r="S983" s="231"/>
      <c r="T983" s="231"/>
      <c r="U983" s="231"/>
      <c r="V983" s="231"/>
      <c r="W983" s="231"/>
      <c r="X983" s="231"/>
      <c r="Y983" s="231"/>
      <c r="Z983" s="231"/>
      <c r="AA983" s="231"/>
      <c r="AB983" s="231"/>
      <c r="AC983" s="231"/>
    </row>
    <row r="984" ht="24.75" hidden="1" customHeight="1" outlineLevel="1">
      <c r="A984" s="524">
        <v>46034.0</v>
      </c>
      <c r="B984" s="412" t="s">
        <v>1009</v>
      </c>
      <c r="C984" s="253" t="s">
        <v>721</v>
      </c>
      <c r="D984" s="420" t="s">
        <v>1063</v>
      </c>
      <c r="E984" s="414" t="s">
        <v>717</v>
      </c>
      <c r="F984" s="231"/>
      <c r="G984" s="231"/>
      <c r="H984" s="231"/>
      <c r="I984" s="231"/>
      <c r="J984" s="231"/>
      <c r="K984" s="231"/>
      <c r="L984" s="231"/>
      <c r="M984" s="231"/>
      <c r="N984" s="231"/>
      <c r="O984" s="231"/>
      <c r="P984" s="231"/>
      <c r="Q984" s="231"/>
      <c r="R984" s="231"/>
      <c r="S984" s="231"/>
      <c r="T984" s="231"/>
      <c r="U984" s="231"/>
      <c r="V984" s="231"/>
      <c r="W984" s="231"/>
      <c r="X984" s="231"/>
      <c r="Y984" s="231"/>
      <c r="Z984" s="231"/>
      <c r="AA984" s="231"/>
      <c r="AB984" s="231"/>
      <c r="AC984" s="231"/>
    </row>
    <row r="985" ht="24.75" hidden="1" customHeight="1" outlineLevel="1">
      <c r="A985" s="524">
        <v>46034.0</v>
      </c>
      <c r="B985" s="253" t="s">
        <v>801</v>
      </c>
      <c r="C985" s="253" t="s">
        <v>703</v>
      </c>
      <c r="D985" s="421" t="s">
        <v>1033</v>
      </c>
      <c r="E985" s="414" t="s">
        <v>717</v>
      </c>
      <c r="F985" s="231"/>
      <c r="G985" s="231"/>
      <c r="H985" s="231"/>
      <c r="I985" s="231"/>
      <c r="J985" s="231"/>
      <c r="K985" s="231"/>
      <c r="L985" s="231"/>
      <c r="M985" s="231"/>
      <c r="N985" s="231"/>
      <c r="O985" s="231"/>
      <c r="P985" s="231"/>
      <c r="Q985" s="231"/>
      <c r="R985" s="231"/>
      <c r="S985" s="231"/>
      <c r="T985" s="231"/>
      <c r="U985" s="231"/>
      <c r="V985" s="231"/>
      <c r="W985" s="231"/>
      <c r="X985" s="231"/>
      <c r="Y985" s="231"/>
      <c r="Z985" s="231"/>
      <c r="AA985" s="231"/>
      <c r="AB985" s="231"/>
      <c r="AC985" s="231"/>
    </row>
    <row r="986" ht="24.75" hidden="1" customHeight="1" outlineLevel="1">
      <c r="A986" s="524">
        <v>46034.0</v>
      </c>
      <c r="B986" s="253" t="s">
        <v>699</v>
      </c>
      <c r="C986" s="253" t="s">
        <v>934</v>
      </c>
      <c r="D986" s="413" t="s">
        <v>837</v>
      </c>
      <c r="E986" s="414" t="s">
        <v>717</v>
      </c>
      <c r="F986" s="231"/>
      <c r="G986" s="231"/>
      <c r="H986" s="231"/>
      <c r="I986" s="231"/>
      <c r="J986" s="231"/>
      <c r="K986" s="231"/>
      <c r="L986" s="231"/>
      <c r="M986" s="231"/>
      <c r="N986" s="231"/>
      <c r="O986" s="231"/>
      <c r="P986" s="231"/>
      <c r="Q986" s="231"/>
      <c r="R986" s="231"/>
      <c r="S986" s="231"/>
      <c r="T986" s="231"/>
      <c r="U986" s="231"/>
      <c r="V986" s="231"/>
      <c r="W986" s="231"/>
      <c r="X986" s="231"/>
      <c r="Y986" s="231"/>
      <c r="Z986" s="231"/>
      <c r="AA986" s="231"/>
      <c r="AB986" s="231"/>
      <c r="AC986" s="231"/>
    </row>
    <row r="987" ht="24.75" hidden="1" customHeight="1" outlineLevel="1">
      <c r="A987" s="525">
        <v>46035.0</v>
      </c>
      <c r="B987" s="412" t="s">
        <v>35</v>
      </c>
      <c r="C987" s="253" t="s">
        <v>703</v>
      </c>
      <c r="D987" s="421" t="s">
        <v>1035</v>
      </c>
      <c r="E987" s="414" t="s">
        <v>717</v>
      </c>
      <c r="F987" s="231"/>
      <c r="G987" s="231"/>
      <c r="H987" s="231"/>
      <c r="I987" s="231"/>
      <c r="J987" s="231"/>
      <c r="K987" s="231"/>
      <c r="L987" s="231"/>
      <c r="M987" s="231"/>
      <c r="N987" s="231"/>
      <c r="O987" s="231"/>
      <c r="P987" s="231"/>
      <c r="Q987" s="231"/>
      <c r="R987" s="231"/>
      <c r="S987" s="231"/>
      <c r="T987" s="231"/>
      <c r="U987" s="231"/>
      <c r="V987" s="231"/>
      <c r="W987" s="231"/>
      <c r="X987" s="231"/>
      <c r="Y987" s="231"/>
      <c r="Z987" s="231"/>
      <c r="AA987" s="231"/>
      <c r="AB987" s="231"/>
      <c r="AC987" s="231"/>
    </row>
    <row r="988" ht="24.75" hidden="1" customHeight="1" outlineLevel="1">
      <c r="A988" s="525">
        <v>46035.0</v>
      </c>
      <c r="B988" s="253" t="s">
        <v>714</v>
      </c>
      <c r="C988" s="423" t="s">
        <v>1304</v>
      </c>
      <c r="D988" s="421" t="s">
        <v>662</v>
      </c>
      <c r="E988" s="414" t="s">
        <v>717</v>
      </c>
      <c r="F988" s="231"/>
      <c r="G988" s="231"/>
      <c r="H988" s="231"/>
      <c r="I988" s="231"/>
      <c r="J988" s="231"/>
      <c r="K988" s="231"/>
      <c r="L988" s="231"/>
      <c r="M988" s="231"/>
      <c r="N988" s="231"/>
      <c r="O988" s="231"/>
      <c r="P988" s="231"/>
      <c r="Q988" s="231"/>
      <c r="R988" s="231"/>
      <c r="S988" s="231"/>
      <c r="T988" s="231"/>
      <c r="U988" s="231"/>
      <c r="V988" s="231"/>
      <c r="W988" s="231"/>
      <c r="X988" s="231"/>
      <c r="Y988" s="231"/>
      <c r="Z988" s="231"/>
      <c r="AA988" s="231"/>
      <c r="AB988" s="231"/>
      <c r="AC988" s="231"/>
    </row>
    <row r="989" ht="24.75" hidden="1" customHeight="1" outlineLevel="1">
      <c r="A989" s="525">
        <v>46035.0</v>
      </c>
      <c r="B989" s="253" t="s">
        <v>808</v>
      </c>
      <c r="C989" s="253" t="s">
        <v>703</v>
      </c>
      <c r="D989" s="421" t="s">
        <v>662</v>
      </c>
      <c r="E989" s="414" t="s">
        <v>717</v>
      </c>
      <c r="F989" s="231"/>
      <c r="G989" s="231"/>
      <c r="H989" s="231"/>
      <c r="I989" s="231"/>
      <c r="J989" s="231"/>
      <c r="K989" s="231"/>
      <c r="L989" s="231"/>
      <c r="M989" s="231"/>
      <c r="N989" s="231"/>
      <c r="O989" s="231"/>
      <c r="P989" s="231"/>
      <c r="Q989" s="231"/>
      <c r="R989" s="231"/>
      <c r="S989" s="231"/>
      <c r="T989" s="231"/>
      <c r="U989" s="231"/>
      <c r="V989" s="231"/>
      <c r="W989" s="231"/>
      <c r="X989" s="231"/>
      <c r="Y989" s="231"/>
      <c r="Z989" s="231"/>
      <c r="AA989" s="231"/>
      <c r="AB989" s="231"/>
      <c r="AC989" s="231"/>
    </row>
    <row r="990" ht="24.75" hidden="1" customHeight="1" outlineLevel="1">
      <c r="A990" s="525">
        <v>46035.0</v>
      </c>
      <c r="B990" s="412" t="s">
        <v>736</v>
      </c>
      <c r="C990" s="425" t="s">
        <v>1073</v>
      </c>
      <c r="D990" s="421" t="s">
        <v>1040</v>
      </c>
      <c r="E990" s="414" t="s">
        <v>717</v>
      </c>
      <c r="F990" s="231"/>
      <c r="G990" s="231"/>
      <c r="H990" s="231"/>
      <c r="I990" s="231"/>
      <c r="J990" s="231"/>
      <c r="K990" s="231"/>
      <c r="L990" s="231"/>
      <c r="M990" s="231"/>
      <c r="N990" s="231"/>
      <c r="O990" s="231"/>
      <c r="P990" s="231"/>
      <c r="Q990" s="231"/>
      <c r="R990" s="231"/>
      <c r="S990" s="231"/>
      <c r="T990" s="231"/>
      <c r="U990" s="231"/>
      <c r="V990" s="231"/>
      <c r="W990" s="231"/>
      <c r="X990" s="231"/>
      <c r="Y990" s="231"/>
      <c r="Z990" s="231"/>
      <c r="AA990" s="231"/>
      <c r="AB990" s="231"/>
      <c r="AC990" s="231"/>
    </row>
    <row r="991" ht="24.75" hidden="1" customHeight="1" outlineLevel="1">
      <c r="A991" s="525">
        <v>46035.0</v>
      </c>
      <c r="B991" s="253" t="s">
        <v>279</v>
      </c>
      <c r="C991" s="253" t="s">
        <v>703</v>
      </c>
      <c r="D991" s="421" t="s">
        <v>1041</v>
      </c>
      <c r="E991" s="414" t="s">
        <v>717</v>
      </c>
      <c r="F991" s="231"/>
      <c r="G991" s="231"/>
      <c r="H991" s="231"/>
      <c r="I991" s="231"/>
      <c r="J991" s="231"/>
      <c r="K991" s="231"/>
      <c r="L991" s="231"/>
      <c r="M991" s="231"/>
      <c r="N991" s="231"/>
      <c r="O991" s="231"/>
      <c r="P991" s="231"/>
      <c r="Q991" s="231"/>
      <c r="R991" s="231"/>
      <c r="S991" s="231"/>
      <c r="T991" s="231"/>
      <c r="U991" s="231"/>
      <c r="V991" s="231"/>
      <c r="W991" s="231"/>
      <c r="X991" s="231"/>
      <c r="Y991" s="231"/>
      <c r="Z991" s="231"/>
      <c r="AA991" s="231"/>
      <c r="AB991" s="231"/>
      <c r="AC991" s="231"/>
    </row>
    <row r="992" ht="24.75" customHeight="1">
      <c r="A992" s="231"/>
      <c r="B992" s="231"/>
      <c r="C992" s="231"/>
      <c r="D992" s="231"/>
      <c r="E992" s="225"/>
      <c r="F992" s="231"/>
      <c r="G992" s="231"/>
      <c r="H992" s="231"/>
      <c r="I992" s="231"/>
      <c r="J992" s="231"/>
      <c r="K992" s="231"/>
      <c r="L992" s="231"/>
      <c r="M992" s="231"/>
      <c r="N992" s="231"/>
      <c r="O992" s="231"/>
      <c r="P992" s="231"/>
      <c r="Q992" s="231"/>
      <c r="R992" s="231"/>
      <c r="S992" s="231"/>
      <c r="T992" s="231"/>
      <c r="U992" s="231"/>
      <c r="V992" s="231"/>
      <c r="W992" s="231"/>
      <c r="X992" s="231"/>
      <c r="Y992" s="231"/>
      <c r="Z992" s="231"/>
      <c r="AA992" s="231"/>
      <c r="AB992" s="231"/>
      <c r="AC992" s="231"/>
    </row>
    <row r="993" ht="24.75" customHeight="1" collapsed="1">
      <c r="A993" s="331" t="s">
        <v>1305</v>
      </c>
      <c r="B993" s="231"/>
      <c r="C993" s="231"/>
      <c r="D993" s="231"/>
      <c r="E993" s="225"/>
      <c r="F993" s="231"/>
      <c r="G993" s="231"/>
      <c r="H993" s="231"/>
      <c r="I993" s="231"/>
      <c r="J993" s="231"/>
      <c r="K993" s="231"/>
      <c r="L993" s="231"/>
      <c r="M993" s="231"/>
      <c r="N993" s="231"/>
      <c r="O993" s="231"/>
      <c r="P993" s="231"/>
      <c r="Q993" s="231"/>
      <c r="R993" s="231"/>
      <c r="S993" s="231"/>
      <c r="T993" s="231"/>
      <c r="U993" s="231"/>
      <c r="V993" s="231"/>
      <c r="W993" s="231"/>
      <c r="X993" s="231"/>
      <c r="Y993" s="231"/>
      <c r="Z993" s="231"/>
      <c r="AA993" s="231"/>
      <c r="AB993" s="231"/>
      <c r="AC993" s="231"/>
    </row>
    <row r="994" ht="24.75" hidden="1" customHeight="1" outlineLevel="1">
      <c r="A994" s="347">
        <v>46064.0</v>
      </c>
      <c r="B994" s="508" t="s">
        <v>366</v>
      </c>
      <c r="C994" s="373" t="s">
        <v>715</v>
      </c>
      <c r="D994" s="373" t="s">
        <v>1306</v>
      </c>
      <c r="E994" s="498" t="s">
        <v>717</v>
      </c>
      <c r="F994" s="491"/>
      <c r="G994" s="492"/>
      <c r="H994" s="491" t="s">
        <v>1242</v>
      </c>
      <c r="I994" s="237"/>
      <c r="J994" s="231"/>
      <c r="K994" s="231"/>
      <c r="L994" s="231"/>
      <c r="M994" s="231"/>
      <c r="N994" s="231"/>
      <c r="O994" s="231"/>
      <c r="P994" s="231"/>
      <c r="Q994" s="231"/>
      <c r="R994" s="231"/>
      <c r="S994" s="231"/>
      <c r="T994" s="231"/>
      <c r="U994" s="231"/>
      <c r="V994" s="231"/>
      <c r="W994" s="231"/>
      <c r="X994" s="231"/>
      <c r="Y994" s="231"/>
      <c r="Z994" s="231"/>
      <c r="AA994" s="231"/>
      <c r="AB994" s="231"/>
    </row>
    <row r="995" ht="24.75" hidden="1" customHeight="1" outlineLevel="1">
      <c r="A995" s="347">
        <v>46064.0</v>
      </c>
      <c r="B995" s="503" t="s">
        <v>389</v>
      </c>
      <c r="C995" s="373" t="s">
        <v>1227</v>
      </c>
      <c r="D995" s="240" t="s">
        <v>1015</v>
      </c>
      <c r="E995" s="498" t="s">
        <v>717</v>
      </c>
      <c r="F995" s="491"/>
      <c r="G995" s="491"/>
      <c r="H995" s="491" t="s">
        <v>1086</v>
      </c>
      <c r="I995" s="237"/>
      <c r="J995" s="231"/>
      <c r="K995" s="231"/>
      <c r="L995" s="231"/>
      <c r="M995" s="231"/>
      <c r="N995" s="231"/>
      <c r="O995" s="231"/>
      <c r="P995" s="231"/>
      <c r="Q995" s="231"/>
      <c r="R995" s="231"/>
      <c r="S995" s="231"/>
      <c r="T995" s="231"/>
      <c r="U995" s="231"/>
      <c r="V995" s="231"/>
      <c r="W995" s="231"/>
      <c r="X995" s="231"/>
      <c r="Y995" s="231"/>
      <c r="Z995" s="231"/>
      <c r="AA995" s="231"/>
      <c r="AB995" s="231"/>
    </row>
    <row r="996" ht="24.75" hidden="1" customHeight="1" outlineLevel="1">
      <c r="A996" s="347">
        <v>46064.0</v>
      </c>
      <c r="B996" s="508" t="s">
        <v>398</v>
      </c>
      <c r="C996" s="473" t="s">
        <v>1198</v>
      </c>
      <c r="D996" s="358" t="s">
        <v>1307</v>
      </c>
      <c r="E996" s="498" t="s">
        <v>717</v>
      </c>
      <c r="F996" s="491"/>
      <c r="G996" s="491"/>
      <c r="H996" s="491" t="s">
        <v>1168</v>
      </c>
      <c r="I996" s="401"/>
      <c r="J996" s="231"/>
      <c r="K996" s="231"/>
      <c r="L996" s="231"/>
      <c r="M996" s="231"/>
      <c r="N996" s="231"/>
      <c r="O996" s="231"/>
      <c r="P996" s="231"/>
      <c r="Q996" s="231"/>
      <c r="R996" s="231"/>
      <c r="S996" s="231"/>
      <c r="T996" s="231"/>
      <c r="U996" s="231"/>
      <c r="V996" s="231"/>
      <c r="W996" s="231"/>
      <c r="X996" s="231"/>
      <c r="Y996" s="231"/>
      <c r="Z996" s="231"/>
      <c r="AA996" s="231"/>
      <c r="AB996" s="231"/>
    </row>
    <row r="997" ht="24.75" hidden="1" customHeight="1" outlineLevel="1">
      <c r="A997" s="347">
        <v>46064.0</v>
      </c>
      <c r="B997" s="508" t="s">
        <v>1243</v>
      </c>
      <c r="C997" s="469" t="s">
        <v>1274</v>
      </c>
      <c r="D997" s="491" t="s">
        <v>1308</v>
      </c>
      <c r="E997" s="498" t="s">
        <v>717</v>
      </c>
      <c r="F997" s="491"/>
      <c r="G997" s="492"/>
      <c r="H997" s="491" t="s">
        <v>1240</v>
      </c>
      <c r="I997" s="237"/>
      <c r="J997" s="231"/>
      <c r="K997" s="231"/>
      <c r="L997" s="231"/>
      <c r="M997" s="231"/>
      <c r="N997" s="231"/>
      <c r="O997" s="231"/>
      <c r="P997" s="231"/>
      <c r="Q997" s="231"/>
      <c r="R997" s="231"/>
      <c r="S997" s="231"/>
      <c r="T997" s="231"/>
      <c r="U997" s="231"/>
      <c r="V997" s="231"/>
      <c r="W997" s="231"/>
      <c r="X997" s="231"/>
      <c r="Y997" s="231"/>
      <c r="Z997" s="231"/>
      <c r="AA997" s="231"/>
      <c r="AB997" s="231"/>
    </row>
    <row r="998" ht="24.75" hidden="1" customHeight="1" outlineLevel="1">
      <c r="A998" s="347">
        <v>46064.0</v>
      </c>
      <c r="B998" s="474" t="s">
        <v>414</v>
      </c>
      <c r="C998" s="473" t="s">
        <v>1200</v>
      </c>
      <c r="D998" s="491" t="s">
        <v>1309</v>
      </c>
      <c r="E998" s="498" t="s">
        <v>717</v>
      </c>
      <c r="F998" s="491"/>
      <c r="G998" s="491"/>
      <c r="H998" s="491" t="s">
        <v>1202</v>
      </c>
      <c r="I998" s="401"/>
      <c r="J998" s="231"/>
      <c r="K998" s="231"/>
      <c r="L998" s="231"/>
      <c r="M998" s="231"/>
      <c r="N998" s="231"/>
      <c r="O998" s="231"/>
      <c r="P998" s="231"/>
      <c r="Q998" s="231"/>
      <c r="R998" s="231"/>
      <c r="S998" s="231"/>
      <c r="T998" s="231"/>
      <c r="U998" s="231"/>
      <c r="V998" s="231"/>
      <c r="W998" s="231"/>
      <c r="X998" s="231"/>
      <c r="Y998" s="231"/>
      <c r="Z998" s="231"/>
      <c r="AA998" s="231"/>
      <c r="AB998" s="231"/>
    </row>
    <row r="999" ht="24.75" hidden="1" customHeight="1" outlineLevel="1">
      <c r="A999" s="347">
        <v>46065.0</v>
      </c>
      <c r="B999" s="438" t="s">
        <v>492</v>
      </c>
      <c r="C999" s="373" t="s">
        <v>741</v>
      </c>
      <c r="D999" s="240" t="s">
        <v>1310</v>
      </c>
      <c r="E999" s="498" t="s">
        <v>717</v>
      </c>
      <c r="F999" s="491"/>
      <c r="G999" s="492"/>
      <c r="H999" s="491" t="s">
        <v>1154</v>
      </c>
      <c r="I999" s="401"/>
      <c r="J999" s="231"/>
      <c r="K999" s="231"/>
      <c r="L999" s="231"/>
      <c r="M999" s="231"/>
      <c r="N999" s="231"/>
      <c r="O999" s="231"/>
      <c r="P999" s="231"/>
      <c r="Q999" s="231"/>
      <c r="R999" s="231"/>
      <c r="S999" s="231"/>
      <c r="T999" s="231"/>
      <c r="U999" s="231"/>
      <c r="V999" s="231"/>
      <c r="W999" s="231"/>
      <c r="X999" s="231"/>
      <c r="Y999" s="231"/>
      <c r="Z999" s="231"/>
      <c r="AA999" s="231"/>
      <c r="AB999" s="231"/>
    </row>
    <row r="1000" ht="24.75" hidden="1" customHeight="1" outlineLevel="1">
      <c r="A1000" s="347">
        <v>46065.0</v>
      </c>
      <c r="B1000" s="508" t="s">
        <v>1246</v>
      </c>
      <c r="C1000" s="469" t="s">
        <v>1274</v>
      </c>
      <c r="D1000" s="491" t="s">
        <v>1308</v>
      </c>
      <c r="E1000" s="498" t="s">
        <v>717</v>
      </c>
      <c r="F1000" s="491"/>
      <c r="G1000" s="492"/>
      <c r="H1000" s="491" t="s">
        <v>1240</v>
      </c>
      <c r="I1000" s="237"/>
      <c r="J1000" s="231"/>
      <c r="K1000" s="231"/>
      <c r="L1000" s="231"/>
      <c r="M1000" s="231"/>
      <c r="N1000" s="231"/>
      <c r="O1000" s="231"/>
      <c r="P1000" s="231"/>
      <c r="Q1000" s="231"/>
      <c r="R1000" s="231"/>
      <c r="S1000" s="231"/>
      <c r="T1000" s="231"/>
      <c r="U1000" s="231"/>
      <c r="V1000" s="231"/>
      <c r="W1000" s="231"/>
      <c r="X1000" s="231"/>
      <c r="Y1000" s="231"/>
      <c r="Z1000" s="231"/>
      <c r="AA1000" s="231"/>
      <c r="AB1000" s="231"/>
    </row>
    <row r="1001" ht="24.75" hidden="1" customHeight="1" outlineLevel="1">
      <c r="A1001" s="347">
        <v>46066.0</v>
      </c>
      <c r="B1001" s="508" t="s">
        <v>714</v>
      </c>
      <c r="C1001" s="373" t="s">
        <v>715</v>
      </c>
      <c r="D1001" s="528" t="s">
        <v>1311</v>
      </c>
      <c r="E1001" s="498" t="s">
        <v>717</v>
      </c>
      <c r="F1001" s="491"/>
      <c r="G1001" s="491"/>
      <c r="H1001" s="491" t="s">
        <v>1067</v>
      </c>
      <c r="I1001" s="237"/>
      <c r="J1001" s="231"/>
      <c r="K1001" s="231"/>
      <c r="L1001" s="231"/>
      <c r="M1001" s="231"/>
      <c r="N1001" s="231"/>
      <c r="O1001" s="231"/>
      <c r="P1001" s="231"/>
      <c r="Q1001" s="231"/>
      <c r="R1001" s="231"/>
      <c r="S1001" s="231"/>
      <c r="T1001" s="231"/>
      <c r="U1001" s="231"/>
      <c r="V1001" s="231"/>
      <c r="W1001" s="231"/>
      <c r="X1001" s="231"/>
      <c r="Y1001" s="231"/>
      <c r="Z1001" s="231"/>
      <c r="AA1001" s="231"/>
      <c r="AB1001" s="231"/>
    </row>
    <row r="1002" ht="24.75" hidden="1" customHeight="1" outlineLevel="1">
      <c r="A1002" s="347">
        <v>46066.0</v>
      </c>
      <c r="B1002" s="499" t="s">
        <v>1223</v>
      </c>
      <c r="C1002" s="383" t="s">
        <v>715</v>
      </c>
      <c r="D1002" s="375" t="s">
        <v>662</v>
      </c>
      <c r="E1002" s="498" t="s">
        <v>717</v>
      </c>
      <c r="F1002" s="491"/>
      <c r="G1002" s="491"/>
      <c r="H1002" s="491" t="s">
        <v>1069</v>
      </c>
      <c r="I1002" s="237"/>
      <c r="J1002" s="231"/>
      <c r="K1002" s="231"/>
      <c r="L1002" s="231"/>
      <c r="M1002" s="231"/>
      <c r="N1002" s="231"/>
      <c r="O1002" s="231"/>
      <c r="P1002" s="231"/>
      <c r="Q1002" s="231"/>
      <c r="R1002" s="231"/>
      <c r="S1002" s="231"/>
      <c r="T1002" s="231"/>
      <c r="U1002" s="231"/>
      <c r="V1002" s="231"/>
      <c r="W1002" s="231"/>
      <c r="X1002" s="231"/>
      <c r="Y1002" s="231"/>
      <c r="Z1002" s="231"/>
      <c r="AA1002" s="231"/>
      <c r="AB1002" s="231"/>
    </row>
    <row r="1003" ht="24.75" hidden="1" customHeight="1" outlineLevel="1">
      <c r="A1003" s="347">
        <v>46066.0</v>
      </c>
      <c r="B1003" s="383" t="s">
        <v>310</v>
      </c>
      <c r="C1003" s="375" t="s">
        <v>1270</v>
      </c>
      <c r="D1003" s="491" t="s">
        <v>1312</v>
      </c>
      <c r="E1003" s="498" t="s">
        <v>717</v>
      </c>
      <c r="F1003" s="491"/>
      <c r="G1003" s="491"/>
      <c r="H1003" s="491" t="s">
        <v>1224</v>
      </c>
      <c r="I1003" s="237"/>
      <c r="J1003" s="231"/>
      <c r="K1003" s="231"/>
      <c r="L1003" s="231"/>
      <c r="M1003" s="231"/>
      <c r="N1003" s="231"/>
      <c r="O1003" s="231"/>
      <c r="P1003" s="231"/>
      <c r="Q1003" s="231"/>
      <c r="R1003" s="231"/>
      <c r="S1003" s="231"/>
      <c r="T1003" s="231"/>
      <c r="U1003" s="231"/>
      <c r="V1003" s="231"/>
      <c r="W1003" s="231"/>
      <c r="X1003" s="231"/>
      <c r="Y1003" s="231"/>
      <c r="Z1003" s="231"/>
      <c r="AA1003" s="231"/>
      <c r="AB1003" s="231"/>
    </row>
    <row r="1004" ht="24.75" hidden="1" customHeight="1" outlineLevel="1">
      <c r="A1004" s="347">
        <v>46067.0</v>
      </c>
      <c r="B1004" s="508" t="s">
        <v>418</v>
      </c>
      <c r="C1004" s="373" t="s">
        <v>715</v>
      </c>
      <c r="D1004" s="373" t="s">
        <v>1306</v>
      </c>
      <c r="E1004" s="498" t="s">
        <v>717</v>
      </c>
      <c r="F1004" s="491"/>
      <c r="G1004" s="492"/>
      <c r="H1004" s="491" t="s">
        <v>1225</v>
      </c>
      <c r="I1004" s="237"/>
      <c r="J1004" s="231"/>
      <c r="K1004" s="231"/>
      <c r="L1004" s="231"/>
      <c r="M1004" s="231"/>
      <c r="N1004" s="231"/>
      <c r="O1004" s="231"/>
      <c r="P1004" s="231"/>
      <c r="Q1004" s="231"/>
      <c r="R1004" s="231"/>
      <c r="S1004" s="231"/>
      <c r="T1004" s="231"/>
      <c r="U1004" s="231"/>
      <c r="V1004" s="231"/>
      <c r="W1004" s="231"/>
      <c r="X1004" s="231"/>
      <c r="Y1004" s="231"/>
      <c r="Z1004" s="231"/>
      <c r="AA1004" s="231"/>
      <c r="AB1004" s="231"/>
    </row>
    <row r="1005" ht="24.75" hidden="1" customHeight="1" outlineLevel="1">
      <c r="A1005" s="347">
        <v>46067.0</v>
      </c>
      <c r="B1005" s="529" t="str">
        <f>HYPERLINK("https://docs.google.com/spreadsheets/d/1v3B9E8Jeqx3_JGvRHJ2cXJ5OAGLvZiOXZru0niKH-QQ/edit?ts=56170761#gid=1991794180","☆横浜")</f>
        <v>☆横浜</v>
      </c>
      <c r="C1005" s="469" t="s">
        <v>1205</v>
      </c>
      <c r="D1005" s="240" t="s">
        <v>1026</v>
      </c>
      <c r="E1005" s="305" t="s">
        <v>1018</v>
      </c>
      <c r="F1005" s="491"/>
      <c r="G1005" s="491"/>
      <c r="H1005" s="491" t="s">
        <v>1131</v>
      </c>
      <c r="I1005" s="401"/>
      <c r="J1005" s="231"/>
      <c r="K1005" s="231"/>
      <c r="L1005" s="231"/>
      <c r="M1005" s="231"/>
      <c r="N1005" s="231"/>
      <c r="O1005" s="231"/>
      <c r="P1005" s="231"/>
      <c r="Q1005" s="231"/>
      <c r="R1005" s="231"/>
      <c r="S1005" s="231"/>
      <c r="T1005" s="231"/>
      <c r="U1005" s="231"/>
      <c r="V1005" s="231"/>
      <c r="W1005" s="231"/>
      <c r="X1005" s="231"/>
      <c r="Y1005" s="231"/>
      <c r="Z1005" s="231"/>
      <c r="AA1005" s="231"/>
      <c r="AB1005" s="231"/>
    </row>
    <row r="1006" ht="24.75" customHeight="1">
      <c r="A1006" s="231"/>
      <c r="B1006" s="231"/>
      <c r="C1006" s="231"/>
      <c r="D1006" s="231"/>
      <c r="E1006" s="225"/>
      <c r="F1006" s="231"/>
      <c r="G1006" s="231"/>
      <c r="H1006" s="231"/>
      <c r="I1006" s="231"/>
      <c r="J1006" s="231"/>
      <c r="K1006" s="231"/>
      <c r="L1006" s="231"/>
      <c r="M1006" s="231"/>
      <c r="N1006" s="231"/>
      <c r="O1006" s="231"/>
      <c r="P1006" s="231"/>
      <c r="Q1006" s="231"/>
      <c r="R1006" s="231"/>
      <c r="S1006" s="231"/>
      <c r="T1006" s="231"/>
      <c r="U1006" s="231"/>
      <c r="V1006" s="231"/>
      <c r="W1006" s="231"/>
      <c r="X1006" s="231"/>
      <c r="Y1006" s="231"/>
      <c r="Z1006" s="231"/>
      <c r="AA1006" s="231"/>
      <c r="AB1006" s="231"/>
      <c r="AC1006" s="231"/>
    </row>
    <row r="1007" ht="24.75" customHeight="1" collapsed="1">
      <c r="A1007" s="331" t="s">
        <v>1313</v>
      </c>
      <c r="B1007" s="231"/>
      <c r="C1007" s="231"/>
      <c r="D1007" s="231"/>
      <c r="E1007" s="225"/>
      <c r="F1007" s="231"/>
      <c r="G1007" s="231"/>
      <c r="H1007" s="231"/>
      <c r="I1007" s="231"/>
      <c r="J1007" s="231"/>
      <c r="K1007" s="231"/>
      <c r="L1007" s="231"/>
      <c r="M1007" s="231"/>
      <c r="N1007" s="231"/>
      <c r="O1007" s="231"/>
      <c r="P1007" s="231"/>
      <c r="Q1007" s="231"/>
      <c r="R1007" s="231"/>
      <c r="S1007" s="231"/>
      <c r="T1007" s="231"/>
      <c r="U1007" s="231"/>
      <c r="V1007" s="231"/>
      <c r="W1007" s="231"/>
      <c r="X1007" s="231"/>
      <c r="Y1007" s="231"/>
      <c r="Z1007" s="231"/>
      <c r="AA1007" s="231"/>
      <c r="AB1007" s="231"/>
      <c r="AC1007" s="231"/>
    </row>
    <row r="1008" ht="24.75" hidden="1" customHeight="1" outlineLevel="1">
      <c r="A1008" s="263" t="s">
        <v>647</v>
      </c>
      <c r="B1008" s="264" t="s">
        <v>648</v>
      </c>
      <c r="C1008" s="264" t="s">
        <v>649</v>
      </c>
      <c r="D1008" s="264" t="s">
        <v>650</v>
      </c>
      <c r="E1008" s="264" t="s">
        <v>651</v>
      </c>
      <c r="F1008" s="231"/>
      <c r="G1008" s="231"/>
      <c r="H1008" s="231"/>
      <c r="I1008" s="231"/>
      <c r="J1008" s="231"/>
      <c r="K1008" s="231"/>
      <c r="L1008" s="231"/>
      <c r="M1008" s="231"/>
      <c r="N1008" s="231"/>
      <c r="O1008" s="231"/>
      <c r="P1008" s="231"/>
      <c r="Q1008" s="231"/>
      <c r="R1008" s="231"/>
      <c r="S1008" s="231"/>
      <c r="T1008" s="231"/>
      <c r="U1008" s="231"/>
      <c r="V1008" s="231"/>
      <c r="W1008" s="231"/>
      <c r="X1008" s="231"/>
      <c r="Y1008" s="231"/>
      <c r="Z1008" s="231"/>
      <c r="AA1008" s="231"/>
      <c r="AB1008" s="231"/>
      <c r="AC1008" s="231"/>
    </row>
    <row r="1009" ht="24.75" hidden="1" customHeight="1" outlineLevel="1">
      <c r="A1009" s="524">
        <v>46076.0</v>
      </c>
      <c r="B1009" s="412" t="s">
        <v>731</v>
      </c>
      <c r="C1009" s="256" t="s">
        <v>1061</v>
      </c>
      <c r="D1009" s="413" t="s">
        <v>1098</v>
      </c>
      <c r="E1009" s="414" t="s">
        <v>717</v>
      </c>
      <c r="F1009" s="231"/>
      <c r="G1009" s="231"/>
      <c r="H1009" s="231"/>
      <c r="I1009" s="231"/>
      <c r="J1009" s="231"/>
      <c r="K1009" s="231"/>
      <c r="L1009" s="231"/>
      <c r="M1009" s="231"/>
      <c r="N1009" s="231"/>
      <c r="O1009" s="231"/>
      <c r="P1009" s="231"/>
      <c r="Q1009" s="231"/>
      <c r="R1009" s="231"/>
      <c r="S1009" s="231"/>
      <c r="T1009" s="231"/>
      <c r="U1009" s="231"/>
      <c r="V1009" s="231"/>
      <c r="W1009" s="231"/>
      <c r="X1009" s="231"/>
      <c r="Y1009" s="231"/>
      <c r="Z1009" s="231"/>
      <c r="AA1009" s="231"/>
      <c r="AB1009" s="231"/>
      <c r="AC1009" s="231"/>
    </row>
    <row r="1010" ht="24.75" hidden="1" customHeight="1" outlineLevel="1">
      <c r="A1010" s="524">
        <v>46076.0</v>
      </c>
      <c r="B1010" s="412" t="s">
        <v>1009</v>
      </c>
      <c r="C1010" s="253" t="s">
        <v>721</v>
      </c>
      <c r="D1010" s="420" t="s">
        <v>1063</v>
      </c>
      <c r="E1010" s="414" t="s">
        <v>717</v>
      </c>
      <c r="F1010" s="231"/>
      <c r="G1010" s="231"/>
      <c r="H1010" s="231"/>
      <c r="I1010" s="231"/>
      <c r="J1010" s="231"/>
      <c r="K1010" s="231"/>
      <c r="L1010" s="231"/>
      <c r="M1010" s="231"/>
      <c r="N1010" s="231"/>
      <c r="O1010" s="231"/>
      <c r="P1010" s="231"/>
      <c r="Q1010" s="231"/>
      <c r="R1010" s="231"/>
      <c r="S1010" s="231"/>
      <c r="T1010" s="231"/>
      <c r="U1010" s="231"/>
      <c r="V1010" s="231"/>
      <c r="W1010" s="231"/>
      <c r="X1010" s="231"/>
      <c r="Y1010" s="231"/>
      <c r="Z1010" s="231"/>
      <c r="AA1010" s="231"/>
      <c r="AB1010" s="231"/>
      <c r="AC1010" s="231"/>
    </row>
    <row r="1011" ht="24.75" hidden="1" customHeight="1" outlineLevel="1">
      <c r="A1011" s="524">
        <v>46076.0</v>
      </c>
      <c r="B1011" s="253" t="s">
        <v>801</v>
      </c>
      <c r="C1011" s="253" t="s">
        <v>703</v>
      </c>
      <c r="D1011" s="421" t="s">
        <v>1033</v>
      </c>
      <c r="E1011" s="414" t="s">
        <v>717</v>
      </c>
      <c r="F1011" s="231"/>
      <c r="G1011" s="231"/>
      <c r="H1011" s="231"/>
      <c r="I1011" s="231"/>
      <c r="J1011" s="231"/>
      <c r="K1011" s="231"/>
      <c r="L1011" s="231"/>
      <c r="M1011" s="231"/>
      <c r="N1011" s="231"/>
      <c r="O1011" s="231"/>
      <c r="P1011" s="231"/>
      <c r="Q1011" s="231"/>
      <c r="R1011" s="231"/>
      <c r="S1011" s="231"/>
      <c r="T1011" s="231"/>
      <c r="U1011" s="231"/>
      <c r="V1011" s="231"/>
      <c r="W1011" s="231"/>
      <c r="X1011" s="231"/>
      <c r="Y1011" s="231"/>
      <c r="Z1011" s="231"/>
      <c r="AA1011" s="231"/>
      <c r="AB1011" s="231"/>
      <c r="AC1011" s="231"/>
    </row>
    <row r="1012" ht="24.75" hidden="1" customHeight="1" outlineLevel="1">
      <c r="A1012" s="524">
        <v>46076.0</v>
      </c>
      <c r="B1012" s="253" t="s">
        <v>699</v>
      </c>
      <c r="C1012" s="253" t="s">
        <v>934</v>
      </c>
      <c r="D1012" s="413" t="s">
        <v>837</v>
      </c>
      <c r="E1012" s="414" t="s">
        <v>717</v>
      </c>
      <c r="F1012" s="231"/>
      <c r="G1012" s="231"/>
      <c r="H1012" s="231"/>
      <c r="I1012" s="231"/>
      <c r="J1012" s="231"/>
      <c r="K1012" s="231"/>
      <c r="L1012" s="231"/>
      <c r="M1012" s="231"/>
      <c r="N1012" s="231"/>
      <c r="O1012" s="231"/>
      <c r="P1012" s="231"/>
      <c r="Q1012" s="231"/>
      <c r="R1012" s="231"/>
      <c r="S1012" s="231"/>
      <c r="T1012" s="231"/>
      <c r="U1012" s="231"/>
      <c r="V1012" s="231"/>
      <c r="W1012" s="231"/>
      <c r="X1012" s="231"/>
      <c r="Y1012" s="231"/>
      <c r="Z1012" s="231"/>
      <c r="AA1012" s="231"/>
      <c r="AB1012" s="231"/>
      <c r="AC1012" s="231"/>
    </row>
    <row r="1013" ht="24.75" hidden="1" customHeight="1" outlineLevel="1">
      <c r="A1013" s="525">
        <v>46077.0</v>
      </c>
      <c r="B1013" s="412" t="s">
        <v>35</v>
      </c>
      <c r="C1013" s="253" t="s">
        <v>703</v>
      </c>
      <c r="D1013" s="421" t="s">
        <v>1035</v>
      </c>
      <c r="E1013" s="414" t="s">
        <v>717</v>
      </c>
      <c r="F1013" s="231"/>
      <c r="G1013" s="231"/>
      <c r="H1013" s="231"/>
      <c r="I1013" s="231"/>
      <c r="J1013" s="231"/>
      <c r="K1013" s="231"/>
      <c r="L1013" s="231"/>
      <c r="M1013" s="231"/>
      <c r="N1013" s="231"/>
      <c r="O1013" s="231"/>
      <c r="P1013" s="231"/>
      <c r="Q1013" s="231"/>
      <c r="R1013" s="231"/>
      <c r="S1013" s="231"/>
      <c r="T1013" s="231"/>
      <c r="U1013" s="231"/>
      <c r="V1013" s="231"/>
      <c r="W1013" s="231"/>
      <c r="X1013" s="231"/>
      <c r="Y1013" s="231"/>
      <c r="Z1013" s="231"/>
      <c r="AA1013" s="231"/>
      <c r="AB1013" s="231"/>
      <c r="AC1013" s="231"/>
    </row>
    <row r="1014" ht="24.75" hidden="1" customHeight="1" outlineLevel="1">
      <c r="A1014" s="525">
        <v>46077.0</v>
      </c>
      <c r="B1014" s="253" t="s">
        <v>714</v>
      </c>
      <c r="C1014" s="423" t="s">
        <v>1314</v>
      </c>
      <c r="D1014" s="421" t="s">
        <v>662</v>
      </c>
      <c r="E1014" s="414" t="s">
        <v>717</v>
      </c>
      <c r="F1014" s="231"/>
      <c r="G1014" s="231"/>
      <c r="H1014" s="231"/>
      <c r="I1014" s="231"/>
      <c r="J1014" s="231"/>
      <c r="K1014" s="231"/>
      <c r="L1014" s="231"/>
      <c r="M1014" s="231"/>
      <c r="N1014" s="231"/>
      <c r="O1014" s="231"/>
      <c r="P1014" s="231"/>
      <c r="Q1014" s="231"/>
      <c r="R1014" s="231"/>
      <c r="S1014" s="231"/>
      <c r="T1014" s="231"/>
      <c r="U1014" s="231"/>
      <c r="V1014" s="231"/>
      <c r="W1014" s="231"/>
      <c r="X1014" s="231"/>
      <c r="Y1014" s="231"/>
      <c r="Z1014" s="231"/>
      <c r="AA1014" s="231"/>
      <c r="AB1014" s="231"/>
      <c r="AC1014" s="231"/>
    </row>
    <row r="1015" ht="24.75" hidden="1" customHeight="1" outlineLevel="1">
      <c r="A1015" s="525">
        <v>46077.0</v>
      </c>
      <c r="B1015" s="253" t="s">
        <v>808</v>
      </c>
      <c r="C1015" s="253" t="s">
        <v>703</v>
      </c>
      <c r="D1015" s="421" t="s">
        <v>662</v>
      </c>
      <c r="E1015" s="414" t="s">
        <v>717</v>
      </c>
      <c r="F1015" s="231"/>
      <c r="G1015" s="231"/>
      <c r="H1015" s="231"/>
      <c r="I1015" s="231"/>
      <c r="J1015" s="231"/>
      <c r="K1015" s="231"/>
      <c r="L1015" s="231"/>
      <c r="M1015" s="231"/>
      <c r="N1015" s="231"/>
      <c r="O1015" s="231"/>
      <c r="P1015" s="231"/>
      <c r="Q1015" s="231"/>
      <c r="R1015" s="231"/>
      <c r="S1015" s="231"/>
      <c r="T1015" s="231"/>
      <c r="U1015" s="231"/>
      <c r="V1015" s="231"/>
      <c r="W1015" s="231"/>
      <c r="X1015" s="231"/>
      <c r="Y1015" s="231"/>
      <c r="Z1015" s="231"/>
      <c r="AA1015" s="231"/>
      <c r="AB1015" s="231"/>
      <c r="AC1015" s="231"/>
    </row>
    <row r="1016" ht="24.75" hidden="1" customHeight="1" outlineLevel="1">
      <c r="A1016" s="525">
        <v>46077.0</v>
      </c>
      <c r="B1016" s="412" t="s">
        <v>736</v>
      </c>
      <c r="C1016" s="425" t="s">
        <v>1073</v>
      </c>
      <c r="D1016" s="421" t="s">
        <v>1040</v>
      </c>
      <c r="E1016" s="414" t="s">
        <v>717</v>
      </c>
      <c r="F1016" s="231"/>
      <c r="G1016" s="231"/>
      <c r="H1016" s="231"/>
      <c r="I1016" s="231"/>
      <c r="J1016" s="231"/>
      <c r="K1016" s="231"/>
      <c r="L1016" s="231"/>
      <c r="M1016" s="231"/>
      <c r="N1016" s="231"/>
      <c r="O1016" s="231"/>
      <c r="P1016" s="231"/>
      <c r="Q1016" s="231"/>
      <c r="R1016" s="231"/>
      <c r="S1016" s="231"/>
      <c r="T1016" s="231"/>
      <c r="U1016" s="231"/>
      <c r="V1016" s="231"/>
      <c r="W1016" s="231"/>
      <c r="X1016" s="231"/>
      <c r="Y1016" s="231"/>
      <c r="Z1016" s="231"/>
      <c r="AA1016" s="231"/>
      <c r="AB1016" s="231"/>
      <c r="AC1016" s="231"/>
    </row>
    <row r="1017" ht="24.75" hidden="1" customHeight="1" outlineLevel="1">
      <c r="A1017" s="525">
        <v>46077.0</v>
      </c>
      <c r="B1017" s="253" t="s">
        <v>279</v>
      </c>
      <c r="C1017" s="253" t="s">
        <v>703</v>
      </c>
      <c r="D1017" s="421" t="s">
        <v>1041</v>
      </c>
      <c r="E1017" s="414" t="s">
        <v>717</v>
      </c>
      <c r="F1017" s="231"/>
      <c r="G1017" s="231"/>
      <c r="H1017" s="231"/>
      <c r="I1017" s="231"/>
      <c r="J1017" s="231"/>
      <c r="K1017" s="231"/>
      <c r="L1017" s="231"/>
      <c r="M1017" s="231"/>
      <c r="N1017" s="231"/>
      <c r="O1017" s="231"/>
      <c r="P1017" s="231"/>
      <c r="Q1017" s="231"/>
      <c r="R1017" s="231"/>
      <c r="S1017" s="231"/>
      <c r="T1017" s="231"/>
      <c r="U1017" s="231"/>
      <c r="V1017" s="231"/>
      <c r="W1017" s="231"/>
      <c r="X1017" s="231"/>
      <c r="Y1017" s="231"/>
      <c r="Z1017" s="231"/>
      <c r="AA1017" s="231"/>
      <c r="AB1017" s="231"/>
      <c r="AC1017" s="231"/>
    </row>
    <row r="1018" ht="24.75" customHeight="1">
      <c r="A1018" s="231"/>
      <c r="B1018" s="231"/>
      <c r="C1018" s="231"/>
      <c r="D1018" s="231"/>
      <c r="E1018" s="225"/>
      <c r="F1018" s="231"/>
      <c r="G1018" s="231"/>
      <c r="H1018" s="231"/>
      <c r="I1018" s="231"/>
      <c r="J1018" s="231"/>
      <c r="K1018" s="231"/>
      <c r="L1018" s="231"/>
      <c r="M1018" s="231"/>
      <c r="N1018" s="231"/>
      <c r="O1018" s="231"/>
      <c r="P1018" s="231"/>
      <c r="Q1018" s="231"/>
      <c r="R1018" s="231"/>
      <c r="S1018" s="231"/>
      <c r="T1018" s="231"/>
      <c r="U1018" s="231"/>
      <c r="V1018" s="231"/>
      <c r="W1018" s="231"/>
      <c r="X1018" s="231"/>
      <c r="Y1018" s="231"/>
      <c r="Z1018" s="231"/>
      <c r="AA1018" s="231"/>
      <c r="AB1018" s="231"/>
      <c r="AC1018" s="231"/>
    </row>
    <row r="1019" ht="24.75" customHeight="1" collapsed="1">
      <c r="A1019" s="331" t="s">
        <v>1315</v>
      </c>
      <c r="B1019" s="231"/>
      <c r="C1019" s="231"/>
      <c r="D1019" s="231"/>
      <c r="E1019" s="225"/>
      <c r="F1019" s="231"/>
      <c r="G1019" s="231"/>
      <c r="H1019" s="231"/>
      <c r="I1019" s="231"/>
      <c r="J1019" s="231"/>
      <c r="K1019" s="231"/>
      <c r="L1019" s="231"/>
      <c r="M1019" s="231"/>
      <c r="N1019" s="231"/>
      <c r="O1019" s="231"/>
      <c r="P1019" s="231"/>
      <c r="Q1019" s="231"/>
      <c r="R1019" s="231"/>
      <c r="S1019" s="231"/>
      <c r="T1019" s="231"/>
      <c r="U1019" s="231"/>
      <c r="V1019" s="231"/>
      <c r="W1019" s="231"/>
      <c r="X1019" s="231"/>
      <c r="Y1019" s="231"/>
      <c r="Z1019" s="231"/>
      <c r="AA1019" s="231"/>
      <c r="AB1019" s="231"/>
      <c r="AC1019" s="231"/>
    </row>
    <row r="1020" ht="24.75" hidden="1" customHeight="1" outlineLevel="1">
      <c r="A1020" s="329" t="s">
        <v>647</v>
      </c>
      <c r="B1020" s="330" t="s">
        <v>648</v>
      </c>
      <c r="C1020" s="330" t="s">
        <v>649</v>
      </c>
      <c r="D1020" s="330" t="s">
        <v>650</v>
      </c>
      <c r="E1020" s="330" t="s">
        <v>651</v>
      </c>
      <c r="F1020" s="237"/>
      <c r="G1020" s="237"/>
      <c r="H1020" s="237"/>
      <c r="I1020" s="231"/>
      <c r="J1020" s="231"/>
      <c r="K1020" s="231"/>
      <c r="L1020" s="231"/>
      <c r="M1020" s="231"/>
      <c r="N1020" s="231"/>
      <c r="O1020" s="231"/>
      <c r="P1020" s="231"/>
      <c r="Q1020" s="231"/>
      <c r="R1020" s="231"/>
      <c r="S1020" s="231"/>
      <c r="T1020" s="231"/>
      <c r="U1020" s="231"/>
      <c r="V1020" s="231"/>
      <c r="W1020" s="231"/>
      <c r="X1020" s="231"/>
      <c r="Y1020" s="231"/>
      <c r="Z1020" s="231"/>
      <c r="AA1020" s="231"/>
      <c r="AB1020" s="231"/>
      <c r="AC1020" s="231"/>
    </row>
    <row r="1021" ht="24.75" hidden="1" customHeight="1" outlineLevel="1">
      <c r="A1021" s="282">
        <v>46101.0</v>
      </c>
      <c r="B1021" s="235" t="s">
        <v>714</v>
      </c>
      <c r="C1021" s="358" t="s">
        <v>715</v>
      </c>
      <c r="D1021" s="364" t="s">
        <v>778</v>
      </c>
      <c r="E1021" s="30" t="s">
        <v>717</v>
      </c>
      <c r="F1021" s="231"/>
      <c r="G1021" s="231"/>
      <c r="H1021" s="231"/>
      <c r="I1021" s="237" t="s">
        <v>922</v>
      </c>
      <c r="J1021" s="231"/>
      <c r="K1021" s="231"/>
      <c r="L1021" s="231"/>
      <c r="M1021" s="231"/>
      <c r="N1021" s="231"/>
      <c r="O1021" s="231"/>
      <c r="P1021" s="231"/>
      <c r="Q1021" s="231"/>
      <c r="R1021" s="231"/>
      <c r="S1021" s="231"/>
      <c r="T1021" s="231"/>
      <c r="U1021" s="231"/>
      <c r="V1021" s="231"/>
      <c r="W1021" s="231"/>
      <c r="X1021" s="231"/>
      <c r="Y1021" s="231"/>
      <c r="Z1021" s="231"/>
      <c r="AA1021" s="231"/>
      <c r="AB1021" s="231"/>
      <c r="AC1021" s="231"/>
    </row>
    <row r="1022" ht="24.75" hidden="1" customHeight="1" outlineLevel="1">
      <c r="A1022" s="282">
        <v>46101.0</v>
      </c>
      <c r="B1022" s="383" t="s">
        <v>310</v>
      </c>
      <c r="C1022" s="375" t="s">
        <v>1270</v>
      </c>
      <c r="D1022" s="358" t="s">
        <v>662</v>
      </c>
      <c r="E1022" s="30" t="s">
        <v>717</v>
      </c>
      <c r="F1022" s="237"/>
      <c r="G1022" s="237"/>
      <c r="H1022" s="237"/>
      <c r="I1022" s="237"/>
      <c r="J1022" s="231"/>
      <c r="K1022" s="231"/>
      <c r="L1022" s="231"/>
      <c r="M1022" s="231"/>
      <c r="N1022" s="231"/>
      <c r="O1022" s="231"/>
      <c r="P1022" s="231"/>
      <c r="Q1022" s="231"/>
      <c r="R1022" s="231"/>
      <c r="S1022" s="231"/>
      <c r="T1022" s="231"/>
      <c r="U1022" s="231"/>
      <c r="V1022" s="231"/>
      <c r="W1022" s="231"/>
      <c r="X1022" s="231"/>
      <c r="Y1022" s="231"/>
      <c r="Z1022" s="231"/>
      <c r="AA1022" s="231"/>
      <c r="AB1022" s="231"/>
      <c r="AC1022" s="231"/>
    </row>
    <row r="1023" ht="24.75" hidden="1" customHeight="1" outlineLevel="1">
      <c r="A1023" s="282">
        <v>46101.0</v>
      </c>
      <c r="B1023" s="499" t="s">
        <v>1223</v>
      </c>
      <c r="C1023" s="235" t="s">
        <v>715</v>
      </c>
      <c r="D1023" s="358" t="s">
        <v>662</v>
      </c>
      <c r="E1023" s="30" t="s">
        <v>717</v>
      </c>
      <c r="F1023" s="237"/>
      <c r="G1023" s="237"/>
      <c r="H1023" s="237"/>
      <c r="I1023" s="231"/>
      <c r="J1023" s="231"/>
      <c r="K1023" s="231"/>
      <c r="L1023" s="231"/>
      <c r="M1023" s="231"/>
      <c r="N1023" s="231"/>
      <c r="O1023" s="231"/>
      <c r="P1023" s="231"/>
      <c r="Q1023" s="231"/>
      <c r="R1023" s="231"/>
      <c r="S1023" s="231"/>
      <c r="T1023" s="231"/>
      <c r="U1023" s="231"/>
      <c r="V1023" s="231"/>
      <c r="W1023" s="231"/>
      <c r="X1023" s="231"/>
      <c r="Y1023" s="231"/>
      <c r="Z1023" s="231"/>
      <c r="AA1023" s="231"/>
      <c r="AB1023" s="231"/>
      <c r="AC1023" s="231"/>
    </row>
    <row r="1024" ht="24.75" hidden="1" customHeight="1" outlineLevel="1">
      <c r="A1024" s="282">
        <v>46102.0</v>
      </c>
      <c r="B1024" s="383" t="s">
        <v>418</v>
      </c>
      <c r="C1024" s="375" t="s">
        <v>715</v>
      </c>
      <c r="D1024" s="511" t="s">
        <v>1249</v>
      </c>
      <c r="E1024" s="498" t="s">
        <v>717</v>
      </c>
      <c r="F1024" s="491"/>
      <c r="G1024" s="492"/>
      <c r="H1024" s="491" t="s">
        <v>1225</v>
      </c>
      <c r="I1024" s="231"/>
      <c r="J1024" s="231"/>
      <c r="K1024" s="231"/>
      <c r="L1024" s="231"/>
      <c r="M1024" s="231"/>
      <c r="N1024" s="231"/>
      <c r="O1024" s="231"/>
      <c r="P1024" s="231"/>
      <c r="Q1024" s="231"/>
      <c r="R1024" s="231"/>
      <c r="S1024" s="231"/>
      <c r="T1024" s="231"/>
      <c r="U1024" s="231"/>
      <c r="V1024" s="231"/>
      <c r="W1024" s="231"/>
      <c r="X1024" s="231"/>
      <c r="Y1024" s="231"/>
      <c r="Z1024" s="231"/>
      <c r="AA1024" s="231"/>
      <c r="AB1024" s="231"/>
      <c r="AC1024" s="231"/>
    </row>
    <row r="1025" ht="24.75" hidden="1" customHeight="1" outlineLevel="1">
      <c r="A1025" s="282">
        <v>46102.0</v>
      </c>
      <c r="B1025" s="338" t="s">
        <v>692</v>
      </c>
      <c r="C1025" s="358" t="s">
        <v>1316</v>
      </c>
      <c r="D1025" s="358" t="s">
        <v>1317</v>
      </c>
      <c r="E1025" s="30" t="s">
        <v>717</v>
      </c>
      <c r="F1025" s="237"/>
      <c r="G1025" s="237"/>
      <c r="H1025" s="237"/>
      <c r="I1025" s="237"/>
      <c r="J1025" s="231"/>
      <c r="K1025" s="231"/>
      <c r="L1025" s="231"/>
      <c r="M1025" s="231"/>
      <c r="N1025" s="231"/>
      <c r="O1025" s="231"/>
      <c r="P1025" s="231"/>
      <c r="Q1025" s="231"/>
      <c r="R1025" s="231"/>
      <c r="S1025" s="231"/>
      <c r="T1025" s="231"/>
      <c r="U1025" s="231"/>
      <c r="V1025" s="231"/>
      <c r="W1025" s="231"/>
      <c r="X1025" s="231"/>
      <c r="Y1025" s="231"/>
      <c r="Z1025" s="231"/>
      <c r="AA1025" s="231"/>
      <c r="AB1025" s="231"/>
      <c r="AC1025" s="231"/>
    </row>
    <row r="1026" ht="24.75" hidden="1" customHeight="1" outlineLevel="1">
      <c r="A1026" s="282">
        <v>46102.0</v>
      </c>
      <c r="B1026" s="338" t="s">
        <v>695</v>
      </c>
      <c r="C1026" s="375" t="s">
        <v>1227</v>
      </c>
      <c r="D1026" s="359" t="s">
        <v>1318</v>
      </c>
      <c r="E1026" s="305" t="s">
        <v>1319</v>
      </c>
      <c r="F1026" s="491" t="s">
        <v>1320</v>
      </c>
      <c r="G1026" s="368"/>
      <c r="H1026" s="491" t="s">
        <v>1135</v>
      </c>
      <c r="I1026" s="231"/>
      <c r="J1026" s="231"/>
      <c r="K1026" s="231"/>
      <c r="L1026" s="231"/>
      <c r="M1026" s="231"/>
      <c r="N1026" s="231"/>
      <c r="O1026" s="231"/>
      <c r="P1026" s="231"/>
      <c r="Q1026" s="231"/>
      <c r="R1026" s="231"/>
      <c r="S1026" s="231"/>
      <c r="T1026" s="231"/>
      <c r="U1026" s="231"/>
      <c r="V1026" s="231"/>
      <c r="W1026" s="231"/>
      <c r="X1026" s="231"/>
      <c r="Y1026" s="231"/>
      <c r="Z1026" s="231"/>
      <c r="AA1026" s="231"/>
      <c r="AB1026" s="231"/>
      <c r="AC1026" s="231"/>
    </row>
    <row r="1027" ht="24.75" hidden="1" customHeight="1" outlineLevel="1">
      <c r="A1027" s="282">
        <v>46103.0</v>
      </c>
      <c r="B1027" s="235" t="s">
        <v>669</v>
      </c>
      <c r="C1027" s="469" t="s">
        <v>1274</v>
      </c>
      <c r="D1027" s="359" t="s">
        <v>1321</v>
      </c>
      <c r="E1027" s="305" t="s">
        <v>1319</v>
      </c>
      <c r="F1027" s="491" t="s">
        <v>1320</v>
      </c>
      <c r="G1027" s="368"/>
      <c r="H1027" s="491" t="s">
        <v>1135</v>
      </c>
      <c r="I1027" s="231"/>
      <c r="J1027" s="231"/>
      <c r="K1027" s="231"/>
      <c r="L1027" s="231"/>
      <c r="M1027" s="231"/>
      <c r="N1027" s="231"/>
      <c r="O1027" s="231"/>
      <c r="P1027" s="231"/>
      <c r="Q1027" s="231"/>
      <c r="R1027" s="231"/>
      <c r="S1027" s="231"/>
      <c r="T1027" s="231"/>
      <c r="U1027" s="231"/>
      <c r="V1027" s="231"/>
      <c r="W1027" s="231"/>
      <c r="X1027" s="231"/>
      <c r="Y1027" s="231"/>
      <c r="Z1027" s="231"/>
      <c r="AA1027" s="231"/>
      <c r="AB1027" s="231"/>
      <c r="AC1027" s="231"/>
    </row>
    <row r="1028" ht="24.75" hidden="1" customHeight="1" outlineLevel="1">
      <c r="A1028" s="282">
        <v>46103.0</v>
      </c>
      <c r="B1028" s="235" t="s">
        <v>728</v>
      </c>
      <c r="C1028" s="358" t="s">
        <v>1005</v>
      </c>
      <c r="D1028" s="359" t="s">
        <v>1322</v>
      </c>
      <c r="E1028" s="305" t="s">
        <v>1319</v>
      </c>
      <c r="F1028" s="491" t="s">
        <v>1320</v>
      </c>
      <c r="G1028" s="368"/>
      <c r="H1028" s="491" t="s">
        <v>1233</v>
      </c>
      <c r="I1028" s="237"/>
      <c r="J1028" s="231"/>
      <c r="K1028" s="231"/>
      <c r="L1028" s="231"/>
      <c r="M1028" s="231"/>
      <c r="N1028" s="231"/>
      <c r="O1028" s="231"/>
      <c r="P1028" s="231"/>
      <c r="Q1028" s="231"/>
      <c r="R1028" s="231"/>
      <c r="S1028" s="231"/>
      <c r="T1028" s="231"/>
      <c r="U1028" s="231"/>
      <c r="V1028" s="231"/>
      <c r="W1028" s="231"/>
      <c r="X1028" s="231"/>
      <c r="Y1028" s="231"/>
      <c r="Z1028" s="231"/>
      <c r="AA1028" s="231"/>
      <c r="AB1028" s="231"/>
      <c r="AC1028" s="231"/>
    </row>
    <row r="1029" ht="24.75" hidden="1" customHeight="1" outlineLevel="1">
      <c r="A1029" s="282">
        <v>46103.0</v>
      </c>
      <c r="B1029" s="235" t="s">
        <v>671</v>
      </c>
      <c r="C1029" s="358" t="s">
        <v>741</v>
      </c>
      <c r="D1029" s="359" t="s">
        <v>1323</v>
      </c>
      <c r="E1029" s="305" t="s">
        <v>1319</v>
      </c>
      <c r="F1029" s="491" t="s">
        <v>1324</v>
      </c>
      <c r="G1029" s="368"/>
      <c r="H1029" s="491" t="s">
        <v>1150</v>
      </c>
      <c r="I1029" s="237"/>
      <c r="J1029" s="231"/>
      <c r="K1029" s="231"/>
      <c r="L1029" s="231"/>
      <c r="M1029" s="231"/>
      <c r="N1029" s="231"/>
      <c r="O1029" s="231"/>
      <c r="P1029" s="231"/>
      <c r="Q1029" s="231"/>
      <c r="R1029" s="231"/>
      <c r="S1029" s="231"/>
      <c r="T1029" s="231"/>
      <c r="U1029" s="231"/>
      <c r="V1029" s="231"/>
      <c r="W1029" s="231"/>
      <c r="X1029" s="231"/>
      <c r="Y1029" s="231"/>
      <c r="Z1029" s="231"/>
      <c r="AA1029" s="231"/>
      <c r="AB1029" s="231"/>
      <c r="AC1029" s="231"/>
    </row>
    <row r="1030" ht="24.75" hidden="1" customHeight="1" outlineLevel="1">
      <c r="A1030" s="282">
        <v>46104.0</v>
      </c>
      <c r="B1030" s="505" t="s">
        <v>325</v>
      </c>
      <c r="C1030" s="375" t="s">
        <v>1236</v>
      </c>
      <c r="D1030" s="359" t="s">
        <v>1318</v>
      </c>
      <c r="E1030" s="305" t="s">
        <v>1319</v>
      </c>
      <c r="F1030" s="491" t="s">
        <v>1320</v>
      </c>
      <c r="G1030" s="491"/>
      <c r="H1030" s="491" t="s">
        <v>1237</v>
      </c>
      <c r="I1030" s="231"/>
      <c r="J1030" s="231"/>
      <c r="K1030" s="231"/>
      <c r="L1030" s="231"/>
      <c r="M1030" s="231"/>
      <c r="N1030" s="231"/>
      <c r="O1030" s="231"/>
      <c r="P1030" s="231"/>
      <c r="Q1030" s="231"/>
      <c r="R1030" s="231"/>
      <c r="S1030" s="231"/>
      <c r="T1030" s="231"/>
      <c r="U1030" s="231"/>
      <c r="V1030" s="231"/>
      <c r="W1030" s="231"/>
      <c r="X1030" s="231"/>
      <c r="Y1030" s="231"/>
      <c r="Z1030" s="231"/>
      <c r="AA1030" s="231"/>
      <c r="AB1030" s="231"/>
      <c r="AC1030" s="231"/>
    </row>
    <row r="1031" ht="24.75" hidden="1" customHeight="1" outlineLevel="1">
      <c r="A1031" s="282">
        <v>46104.0</v>
      </c>
      <c r="B1031" s="505" t="s">
        <v>330</v>
      </c>
      <c r="C1031" s="375" t="s">
        <v>741</v>
      </c>
      <c r="D1031" s="375" t="s">
        <v>1325</v>
      </c>
      <c r="E1031" s="30" t="s">
        <v>717</v>
      </c>
      <c r="F1031" s="491"/>
      <c r="G1031" s="491"/>
      <c r="H1031" s="491" t="s">
        <v>1154</v>
      </c>
      <c r="I1031" s="231"/>
      <c r="J1031" s="231"/>
      <c r="K1031" s="231"/>
      <c r="L1031" s="231"/>
      <c r="M1031" s="231"/>
      <c r="N1031" s="231"/>
      <c r="O1031" s="231"/>
      <c r="P1031" s="231"/>
      <c r="Q1031" s="231"/>
      <c r="R1031" s="231"/>
      <c r="S1031" s="231"/>
      <c r="T1031" s="231"/>
      <c r="U1031" s="231"/>
      <c r="V1031" s="231"/>
      <c r="W1031" s="231"/>
      <c r="X1031" s="231"/>
      <c r="Y1031" s="231"/>
      <c r="Z1031" s="231"/>
      <c r="AA1031" s="231"/>
      <c r="AB1031" s="231"/>
      <c r="AC1031" s="231"/>
    </row>
    <row r="1032" ht="24.75" hidden="1" customHeight="1" outlineLevel="1">
      <c r="A1032" s="282">
        <v>46104.0</v>
      </c>
      <c r="B1032" s="383" t="s">
        <v>753</v>
      </c>
      <c r="C1032" s="488" t="s">
        <v>1208</v>
      </c>
      <c r="D1032" s="526" t="s">
        <v>1326</v>
      </c>
      <c r="E1032" s="305" t="s">
        <v>1319</v>
      </c>
      <c r="F1032" s="491" t="s">
        <v>1327</v>
      </c>
      <c r="G1032" s="491"/>
      <c r="H1032" s="491" t="s">
        <v>1157</v>
      </c>
      <c r="I1032" s="237" t="s">
        <v>957</v>
      </c>
      <c r="J1032" s="231"/>
      <c r="K1032" s="231"/>
      <c r="L1032" s="231"/>
      <c r="M1032" s="231"/>
      <c r="N1032" s="231"/>
      <c r="O1032" s="231"/>
      <c r="P1032" s="231"/>
      <c r="Q1032" s="231"/>
      <c r="R1032" s="231"/>
      <c r="S1032" s="231"/>
      <c r="T1032" s="231"/>
      <c r="U1032" s="231"/>
      <c r="V1032" s="231"/>
      <c r="W1032" s="231"/>
      <c r="X1032" s="231"/>
      <c r="Y1032" s="231"/>
      <c r="Z1032" s="231"/>
      <c r="AA1032" s="231"/>
      <c r="AB1032" s="231"/>
      <c r="AC1032" s="231"/>
    </row>
    <row r="1033" ht="24.75" hidden="1" customHeight="1" outlineLevel="1">
      <c r="A1033" s="282">
        <v>46104.0</v>
      </c>
      <c r="B1033" s="383" t="s">
        <v>756</v>
      </c>
      <c r="C1033" s="488" t="s">
        <v>1208</v>
      </c>
      <c r="D1033" s="526" t="s">
        <v>1328</v>
      </c>
      <c r="E1033" s="305" t="s">
        <v>1319</v>
      </c>
      <c r="F1033" s="491" t="s">
        <v>1327</v>
      </c>
      <c r="G1033" s="491"/>
      <c r="H1033" s="491" t="s">
        <v>1157</v>
      </c>
      <c r="I1033" s="237" t="s">
        <v>958</v>
      </c>
      <c r="J1033" s="231"/>
      <c r="K1033" s="231"/>
      <c r="L1033" s="231"/>
      <c r="M1033" s="231"/>
      <c r="N1033" s="231"/>
      <c r="O1033" s="231"/>
      <c r="P1033" s="231"/>
      <c r="Q1033" s="231"/>
      <c r="R1033" s="231"/>
      <c r="S1033" s="231"/>
      <c r="T1033" s="231"/>
      <c r="U1033" s="231"/>
      <c r="V1033" s="231"/>
      <c r="W1033" s="231"/>
      <c r="X1033" s="231"/>
      <c r="Y1033" s="231"/>
      <c r="Z1033" s="231"/>
      <c r="AA1033" s="231"/>
      <c r="AB1033" s="231"/>
      <c r="AC1033" s="231"/>
    </row>
    <row r="1034" ht="24.75" hidden="1" customHeight="1" outlineLevel="1">
      <c r="A1034" s="282">
        <v>46104.0</v>
      </c>
      <c r="B1034" s="383" t="s">
        <v>801</v>
      </c>
      <c r="C1034" s="383" t="s">
        <v>715</v>
      </c>
      <c r="D1034" s="383" t="s">
        <v>802</v>
      </c>
      <c r="E1034" s="30" t="s">
        <v>717</v>
      </c>
      <c r="F1034" s="491"/>
      <c r="G1034" s="491"/>
      <c r="H1034" s="506" t="s">
        <v>803</v>
      </c>
      <c r="I1034" s="231"/>
      <c r="J1034" s="231"/>
      <c r="K1034" s="231"/>
      <c r="L1034" s="231"/>
      <c r="M1034" s="231"/>
      <c r="N1034" s="231"/>
      <c r="O1034" s="231"/>
      <c r="P1034" s="231"/>
      <c r="Q1034" s="231"/>
      <c r="R1034" s="231"/>
      <c r="S1034" s="231"/>
      <c r="T1034" s="231"/>
      <c r="U1034" s="231"/>
      <c r="V1034" s="231"/>
      <c r="W1034" s="231"/>
      <c r="X1034" s="231"/>
      <c r="Y1034" s="231"/>
      <c r="Z1034" s="231"/>
      <c r="AA1034" s="231"/>
      <c r="AB1034" s="231"/>
      <c r="AC1034" s="231"/>
    </row>
    <row r="1035" ht="24.75" customHeight="1">
      <c r="A1035" s="530"/>
      <c r="B1035" s="531"/>
      <c r="C1035" s="531"/>
      <c r="D1035" s="531"/>
      <c r="E1035" s="224"/>
      <c r="F1035" s="491"/>
      <c r="G1035" s="491"/>
      <c r="H1035" s="506"/>
      <c r="I1035" s="231"/>
      <c r="J1035" s="231"/>
      <c r="K1035" s="231"/>
      <c r="L1035" s="231"/>
      <c r="M1035" s="231"/>
      <c r="N1035" s="231"/>
      <c r="O1035" s="231"/>
      <c r="P1035" s="231"/>
      <c r="Q1035" s="231"/>
      <c r="R1035" s="231"/>
      <c r="S1035" s="231"/>
      <c r="T1035" s="231"/>
      <c r="U1035" s="231"/>
      <c r="V1035" s="231"/>
      <c r="W1035" s="231"/>
      <c r="X1035" s="231"/>
      <c r="Y1035" s="231"/>
      <c r="Z1035" s="231"/>
      <c r="AA1035" s="231"/>
      <c r="AB1035" s="231"/>
      <c r="AC1035" s="231"/>
    </row>
    <row r="1036" ht="24.75" customHeight="1">
      <c r="A1036" s="331" t="s">
        <v>1329</v>
      </c>
      <c r="B1036" s="231"/>
      <c r="C1036" s="231"/>
      <c r="D1036" s="231"/>
      <c r="E1036" s="225"/>
      <c r="F1036" s="231"/>
      <c r="G1036" s="231"/>
      <c r="H1036" s="231"/>
      <c r="I1036" s="231"/>
      <c r="J1036" s="231"/>
      <c r="K1036" s="231"/>
      <c r="L1036" s="231"/>
      <c r="M1036" s="231"/>
      <c r="N1036" s="231"/>
      <c r="O1036" s="231"/>
      <c r="P1036" s="231"/>
      <c r="Q1036" s="231"/>
      <c r="R1036" s="231"/>
      <c r="S1036" s="231"/>
      <c r="T1036" s="231"/>
      <c r="U1036" s="231"/>
      <c r="V1036" s="231"/>
      <c r="W1036" s="231"/>
      <c r="X1036" s="231"/>
      <c r="Y1036" s="231"/>
      <c r="Z1036" s="231"/>
      <c r="AA1036" s="231"/>
      <c r="AB1036" s="231"/>
      <c r="AC1036" s="231"/>
    </row>
    <row r="1037" ht="24.75" customHeight="1" outlineLevel="1">
      <c r="A1037" s="494" t="s">
        <v>647</v>
      </c>
      <c r="B1037" s="495" t="s">
        <v>648</v>
      </c>
      <c r="C1037" s="495" t="s">
        <v>649</v>
      </c>
      <c r="D1037" s="495" t="s">
        <v>650</v>
      </c>
      <c r="E1037" s="496" t="s">
        <v>651</v>
      </c>
      <c r="F1037" s="491" t="s">
        <v>1221</v>
      </c>
      <c r="G1037" s="491" t="s">
        <v>1222</v>
      </c>
      <c r="H1037" s="491" t="s">
        <v>145</v>
      </c>
      <c r="I1037" s="231"/>
      <c r="J1037" s="231"/>
      <c r="K1037" s="231"/>
      <c r="L1037" s="231"/>
      <c r="M1037" s="231"/>
      <c r="N1037" s="231"/>
      <c r="O1037" s="231"/>
      <c r="P1037" s="231"/>
      <c r="Q1037" s="231"/>
      <c r="R1037" s="231"/>
      <c r="S1037" s="231"/>
      <c r="T1037" s="231"/>
      <c r="U1037" s="231"/>
      <c r="V1037" s="231"/>
      <c r="W1037" s="231"/>
      <c r="X1037" s="231"/>
      <c r="Y1037" s="231"/>
      <c r="Z1037" s="231"/>
      <c r="AA1037" s="231"/>
      <c r="AB1037" s="231"/>
      <c r="AC1037" s="231"/>
    </row>
    <row r="1038" ht="24.75" customHeight="1" outlineLevel="1">
      <c r="A1038" s="282">
        <v>46141.0</v>
      </c>
      <c r="B1038" s="508" t="s">
        <v>366</v>
      </c>
      <c r="C1038" s="373" t="s">
        <v>715</v>
      </c>
      <c r="D1038" s="373" t="s">
        <v>1306</v>
      </c>
      <c r="E1038" s="498" t="s">
        <v>717</v>
      </c>
      <c r="F1038" s="491" t="s">
        <v>1081</v>
      </c>
      <c r="G1038" s="492"/>
      <c r="H1038" s="491" t="s">
        <v>1242</v>
      </c>
      <c r="I1038" s="237"/>
      <c r="J1038" s="231"/>
      <c r="K1038" s="231"/>
      <c r="L1038" s="231"/>
      <c r="M1038" s="231"/>
      <c r="N1038" s="231"/>
      <c r="O1038" s="231"/>
      <c r="P1038" s="231"/>
      <c r="Q1038" s="231"/>
      <c r="R1038" s="231"/>
      <c r="S1038" s="231"/>
      <c r="T1038" s="231"/>
      <c r="U1038" s="231"/>
      <c r="V1038" s="231"/>
      <c r="W1038" s="231"/>
      <c r="X1038" s="231"/>
      <c r="Y1038" s="231"/>
      <c r="Z1038" s="231"/>
      <c r="AA1038" s="231"/>
      <c r="AB1038" s="231"/>
    </row>
    <row r="1039" ht="24.75" customHeight="1" outlineLevel="1">
      <c r="A1039" s="282">
        <v>46141.0</v>
      </c>
      <c r="B1039" s="503" t="s">
        <v>389</v>
      </c>
      <c r="C1039" s="373" t="s">
        <v>1227</v>
      </c>
      <c r="D1039" s="240" t="s">
        <v>1015</v>
      </c>
      <c r="E1039" s="498" t="s">
        <v>717</v>
      </c>
      <c r="F1039" s="491" t="s">
        <v>1081</v>
      </c>
      <c r="G1039" s="491"/>
      <c r="H1039" s="491" t="s">
        <v>1086</v>
      </c>
      <c r="I1039" s="237"/>
      <c r="J1039" s="231"/>
      <c r="K1039" s="231"/>
      <c r="L1039" s="231"/>
      <c r="M1039" s="231"/>
      <c r="N1039" s="231"/>
      <c r="O1039" s="231"/>
      <c r="P1039" s="231"/>
      <c r="Q1039" s="231"/>
      <c r="R1039" s="231"/>
      <c r="S1039" s="231"/>
      <c r="T1039" s="231"/>
      <c r="U1039" s="231"/>
      <c r="V1039" s="231"/>
      <c r="W1039" s="231"/>
      <c r="X1039" s="231"/>
      <c r="Y1039" s="231"/>
      <c r="Z1039" s="231"/>
      <c r="AA1039" s="231"/>
      <c r="AB1039" s="231"/>
    </row>
    <row r="1040" ht="24.75" customHeight="1" outlineLevel="1">
      <c r="A1040" s="282">
        <v>46141.0</v>
      </c>
      <c r="B1040" s="508" t="s">
        <v>398</v>
      </c>
      <c r="C1040" s="473" t="s">
        <v>1198</v>
      </c>
      <c r="D1040" s="358" t="s">
        <v>1307</v>
      </c>
      <c r="E1040" s="498" t="s">
        <v>717</v>
      </c>
      <c r="F1040" s="491" t="s">
        <v>1081</v>
      </c>
      <c r="G1040" s="491"/>
      <c r="H1040" s="491" t="s">
        <v>1168</v>
      </c>
      <c r="I1040" s="401"/>
      <c r="J1040" s="231"/>
      <c r="K1040" s="231"/>
      <c r="L1040" s="231"/>
      <c r="M1040" s="231"/>
      <c r="N1040" s="231"/>
      <c r="O1040" s="231"/>
      <c r="P1040" s="231"/>
      <c r="Q1040" s="231"/>
      <c r="R1040" s="231"/>
      <c r="S1040" s="231"/>
      <c r="T1040" s="231"/>
      <c r="U1040" s="231"/>
      <c r="V1040" s="231"/>
      <c r="W1040" s="231"/>
      <c r="X1040" s="231"/>
      <c r="Y1040" s="231"/>
      <c r="Z1040" s="231"/>
      <c r="AA1040" s="231"/>
      <c r="AB1040" s="231"/>
    </row>
    <row r="1041" ht="24.75" customHeight="1" outlineLevel="1">
      <c r="A1041" s="282">
        <v>46141.0</v>
      </c>
      <c r="B1041" s="508" t="s">
        <v>1243</v>
      </c>
      <c r="C1041" s="469" t="s">
        <v>1274</v>
      </c>
      <c r="D1041" s="491" t="s">
        <v>1308</v>
      </c>
      <c r="E1041" s="498" t="s">
        <v>717</v>
      </c>
      <c r="F1041" s="491" t="s">
        <v>1081</v>
      </c>
      <c r="G1041" s="492"/>
      <c r="H1041" s="491" t="s">
        <v>1240</v>
      </c>
      <c r="I1041" s="237"/>
      <c r="J1041" s="231"/>
      <c r="K1041" s="231"/>
      <c r="L1041" s="231"/>
      <c r="M1041" s="231"/>
      <c r="N1041" s="231"/>
      <c r="O1041" s="231"/>
      <c r="P1041" s="231"/>
      <c r="Q1041" s="231"/>
      <c r="R1041" s="231"/>
      <c r="S1041" s="231"/>
      <c r="T1041" s="231"/>
      <c r="U1041" s="231"/>
      <c r="V1041" s="231"/>
      <c r="W1041" s="231"/>
      <c r="X1041" s="231"/>
      <c r="Y1041" s="231"/>
      <c r="Z1041" s="231"/>
      <c r="AA1041" s="231"/>
      <c r="AB1041" s="231"/>
    </row>
    <row r="1042" ht="24.75" customHeight="1" outlineLevel="1">
      <c r="A1042" s="282">
        <v>46141.0</v>
      </c>
      <c r="B1042" s="474" t="s">
        <v>414</v>
      </c>
      <c r="C1042" s="473" t="s">
        <v>1200</v>
      </c>
      <c r="D1042" s="491" t="s">
        <v>1309</v>
      </c>
      <c r="E1042" s="498" t="s">
        <v>717</v>
      </c>
      <c r="F1042" s="491" t="s">
        <v>1081</v>
      </c>
      <c r="G1042" s="491"/>
      <c r="H1042" s="491" t="s">
        <v>1202</v>
      </c>
      <c r="I1042" s="401"/>
      <c r="J1042" s="231"/>
      <c r="K1042" s="231"/>
      <c r="L1042" s="231"/>
      <c r="M1042" s="231"/>
      <c r="N1042" s="231"/>
      <c r="O1042" s="231"/>
      <c r="P1042" s="231"/>
      <c r="Q1042" s="231"/>
      <c r="R1042" s="231"/>
      <c r="S1042" s="231"/>
      <c r="T1042" s="231"/>
      <c r="U1042" s="231"/>
      <c r="V1042" s="231"/>
      <c r="W1042" s="231"/>
      <c r="X1042" s="231"/>
      <c r="Y1042" s="231"/>
      <c r="Z1042" s="231"/>
      <c r="AA1042" s="231"/>
      <c r="AB1042" s="231"/>
    </row>
    <row r="1043" ht="24.75" customHeight="1" outlineLevel="1">
      <c r="A1043" s="282">
        <v>46142.0</v>
      </c>
      <c r="B1043" s="438" t="s">
        <v>492</v>
      </c>
      <c r="C1043" s="373" t="s">
        <v>741</v>
      </c>
      <c r="D1043" s="240" t="s">
        <v>1330</v>
      </c>
      <c r="E1043" s="504" t="s">
        <v>1279</v>
      </c>
      <c r="F1043" s="491" t="s">
        <v>1081</v>
      </c>
      <c r="G1043" s="492"/>
      <c r="H1043" s="491" t="s">
        <v>1154</v>
      </c>
      <c r="I1043" s="401"/>
      <c r="J1043" s="231"/>
      <c r="K1043" s="231"/>
      <c r="L1043" s="231"/>
      <c r="M1043" s="231"/>
      <c r="N1043" s="231"/>
      <c r="O1043" s="231"/>
      <c r="P1043" s="231"/>
      <c r="Q1043" s="231"/>
      <c r="R1043" s="231"/>
      <c r="S1043" s="231"/>
      <c r="T1043" s="231"/>
      <c r="U1043" s="231"/>
      <c r="V1043" s="231"/>
      <c r="W1043" s="231"/>
      <c r="X1043" s="231"/>
      <c r="Y1043" s="231"/>
      <c r="Z1043" s="231"/>
      <c r="AA1043" s="231"/>
      <c r="AB1043" s="231"/>
    </row>
    <row r="1044" ht="24.75" customHeight="1" outlineLevel="1">
      <c r="A1044" s="282">
        <v>46142.0</v>
      </c>
      <c r="B1044" s="508" t="s">
        <v>1246</v>
      </c>
      <c r="C1044" s="469" t="s">
        <v>1274</v>
      </c>
      <c r="D1044" s="491" t="s">
        <v>1308</v>
      </c>
      <c r="E1044" s="498" t="s">
        <v>717</v>
      </c>
      <c r="F1044" s="491" t="s">
        <v>1081</v>
      </c>
      <c r="G1044" s="492"/>
      <c r="H1044" s="491" t="s">
        <v>1240</v>
      </c>
      <c r="I1044" s="237"/>
      <c r="J1044" s="231"/>
      <c r="K1044" s="231"/>
      <c r="L1044" s="231"/>
      <c r="M1044" s="231"/>
      <c r="N1044" s="231"/>
      <c r="O1044" s="231"/>
      <c r="P1044" s="231"/>
      <c r="Q1044" s="231"/>
      <c r="R1044" s="231"/>
      <c r="S1044" s="231"/>
      <c r="T1044" s="231"/>
      <c r="U1044" s="231"/>
      <c r="V1044" s="231"/>
      <c r="W1044" s="231"/>
      <c r="X1044" s="231"/>
      <c r="Y1044" s="231"/>
      <c r="Z1044" s="231"/>
      <c r="AA1044" s="231"/>
      <c r="AB1044" s="231"/>
    </row>
    <row r="1045" ht="24.75" customHeight="1" outlineLevel="1">
      <c r="A1045" s="282">
        <v>46143.0</v>
      </c>
      <c r="B1045" s="508" t="s">
        <v>714</v>
      </c>
      <c r="C1045" s="373" t="s">
        <v>715</v>
      </c>
      <c r="D1045" s="528" t="s">
        <v>1311</v>
      </c>
      <c r="E1045" s="498" t="s">
        <v>717</v>
      </c>
      <c r="F1045" s="491" t="s">
        <v>1081</v>
      </c>
      <c r="G1045" s="491"/>
      <c r="H1045" s="491" t="s">
        <v>1067</v>
      </c>
      <c r="I1045" s="237"/>
      <c r="J1045" s="231"/>
      <c r="K1045" s="231"/>
      <c r="L1045" s="231"/>
      <c r="M1045" s="231"/>
      <c r="N1045" s="231"/>
      <c r="O1045" s="231"/>
      <c r="P1045" s="231"/>
      <c r="Q1045" s="231"/>
      <c r="R1045" s="231"/>
      <c r="S1045" s="231"/>
      <c r="T1045" s="231"/>
      <c r="U1045" s="231"/>
      <c r="V1045" s="231"/>
      <c r="W1045" s="231"/>
      <c r="X1045" s="231"/>
      <c r="Y1045" s="231"/>
      <c r="Z1045" s="231"/>
      <c r="AA1045" s="231"/>
      <c r="AB1045" s="231"/>
    </row>
    <row r="1046" ht="24.75" customHeight="1" outlineLevel="1">
      <c r="A1046" s="282">
        <v>46143.0</v>
      </c>
      <c r="B1046" s="499" t="s">
        <v>1223</v>
      </c>
      <c r="C1046" s="383" t="s">
        <v>715</v>
      </c>
      <c r="D1046" s="375" t="s">
        <v>662</v>
      </c>
      <c r="E1046" s="498" t="s">
        <v>717</v>
      </c>
      <c r="F1046" s="491" t="s">
        <v>1081</v>
      </c>
      <c r="G1046" s="491"/>
      <c r="H1046" s="491" t="s">
        <v>1069</v>
      </c>
      <c r="I1046" s="237"/>
      <c r="J1046" s="231"/>
      <c r="K1046" s="231"/>
      <c r="L1046" s="231"/>
      <c r="M1046" s="231"/>
      <c r="N1046" s="231"/>
      <c r="O1046" s="231"/>
      <c r="P1046" s="231"/>
      <c r="Q1046" s="231"/>
      <c r="R1046" s="231"/>
      <c r="S1046" s="231"/>
      <c r="T1046" s="231"/>
      <c r="U1046" s="231"/>
      <c r="V1046" s="231"/>
      <c r="W1046" s="231"/>
      <c r="X1046" s="231"/>
      <c r="Y1046" s="231"/>
      <c r="Z1046" s="231"/>
      <c r="AA1046" s="231"/>
      <c r="AB1046" s="231"/>
    </row>
    <row r="1047" ht="24.75" customHeight="1" outlineLevel="1">
      <c r="A1047" s="282">
        <v>46143.0</v>
      </c>
      <c r="B1047" s="383" t="s">
        <v>310</v>
      </c>
      <c r="C1047" s="375" t="s">
        <v>1270</v>
      </c>
      <c r="D1047" s="491" t="s">
        <v>1312</v>
      </c>
      <c r="E1047" s="498" t="s">
        <v>717</v>
      </c>
      <c r="F1047" s="491" t="s">
        <v>1081</v>
      </c>
      <c r="G1047" s="491"/>
      <c r="H1047" s="491" t="s">
        <v>1224</v>
      </c>
      <c r="I1047" s="237"/>
      <c r="J1047" s="231"/>
      <c r="K1047" s="231"/>
      <c r="L1047" s="231"/>
      <c r="M1047" s="231"/>
      <c r="N1047" s="231"/>
      <c r="O1047" s="231"/>
      <c r="P1047" s="231"/>
      <c r="Q1047" s="231"/>
      <c r="R1047" s="231"/>
      <c r="S1047" s="231"/>
      <c r="T1047" s="231"/>
      <c r="U1047" s="231"/>
      <c r="V1047" s="231"/>
      <c r="W1047" s="231"/>
      <c r="X1047" s="231"/>
      <c r="Y1047" s="231"/>
      <c r="Z1047" s="231"/>
      <c r="AA1047" s="231"/>
      <c r="AB1047" s="231"/>
    </row>
    <row r="1048" ht="24.75" customHeight="1" outlineLevel="1">
      <c r="A1048" s="282">
        <v>46144.0</v>
      </c>
      <c r="B1048" s="383" t="s">
        <v>418</v>
      </c>
      <c r="C1048" s="375" t="s">
        <v>715</v>
      </c>
      <c r="D1048" s="375" t="s">
        <v>662</v>
      </c>
      <c r="E1048" s="498" t="s">
        <v>717</v>
      </c>
      <c r="F1048" s="491" t="s">
        <v>1081</v>
      </c>
      <c r="G1048" s="491"/>
      <c r="H1048" s="491" t="s">
        <v>1225</v>
      </c>
      <c r="I1048" s="231"/>
      <c r="J1048" s="231"/>
      <c r="K1048" s="231"/>
      <c r="L1048" s="231"/>
      <c r="M1048" s="231"/>
      <c r="N1048" s="231"/>
      <c r="O1048" s="231"/>
      <c r="P1048" s="231"/>
      <c r="Q1048" s="231"/>
      <c r="R1048" s="231"/>
      <c r="S1048" s="231"/>
      <c r="T1048" s="231"/>
      <c r="U1048" s="231"/>
      <c r="V1048" s="231"/>
      <c r="W1048" s="231"/>
      <c r="X1048" s="231"/>
      <c r="Y1048" s="231"/>
      <c r="Z1048" s="231"/>
      <c r="AA1048" s="231"/>
      <c r="AB1048" s="231"/>
    </row>
    <row r="1049" ht="24.75" customHeight="1" outlineLevel="1">
      <c r="A1049" s="282">
        <v>46144.0</v>
      </c>
      <c r="B1049" s="500" t="str">
        <f>HYPERLINK("https://docs.google.com/spreadsheets/d/1v3B9E8Jeqx3_JGvRHJ2cXJ5OAGLvZiOXZru0niKH-QQ/edit?ts=56170761#gid=1991794180","☆横浜")</f>
        <v>☆横浜</v>
      </c>
      <c r="C1049" s="469" t="s">
        <v>1205</v>
      </c>
      <c r="D1049" s="526" t="s">
        <v>1331</v>
      </c>
      <c r="E1049" s="516" t="s">
        <v>1332</v>
      </c>
      <c r="F1049" s="491" t="s">
        <v>1081</v>
      </c>
      <c r="G1049" s="491"/>
      <c r="H1049" s="491" t="s">
        <v>1131</v>
      </c>
      <c r="I1049" s="231"/>
      <c r="J1049" s="231"/>
      <c r="K1049" s="231"/>
      <c r="L1049" s="231"/>
      <c r="M1049" s="231"/>
      <c r="N1049" s="231"/>
      <c r="O1049" s="231"/>
      <c r="P1049" s="231"/>
      <c r="Q1049" s="231"/>
      <c r="R1049" s="231"/>
      <c r="S1049" s="231"/>
      <c r="T1049" s="231"/>
      <c r="U1049" s="231"/>
      <c r="V1049" s="231"/>
      <c r="W1049" s="231"/>
      <c r="X1049" s="231"/>
      <c r="Y1049" s="231"/>
      <c r="Z1049" s="231"/>
      <c r="AA1049" s="231"/>
      <c r="AB1049" s="231"/>
    </row>
    <row r="1050" ht="24.75" customHeight="1" outlineLevel="1">
      <c r="A1050" s="282">
        <v>46144.0</v>
      </c>
      <c r="B1050" s="438" t="str">
        <f>HYPERLINK("https://docs.google.com/spreadsheets/d/1xrfsiAjLwPhBlveDsLSsUUfMnNpOidnkNLqHJabwWYo/edit?ts=56ea7063#gid=1283986028","☆救済メルマガ(UP10)")</f>
        <v>☆救済メルマガ(UP10)</v>
      </c>
      <c r="C1050" s="375" t="s">
        <v>1227</v>
      </c>
      <c r="D1050" s="375" t="s">
        <v>1228</v>
      </c>
      <c r="E1050" s="501" t="s">
        <v>1333</v>
      </c>
      <c r="F1050" s="491" t="s">
        <v>1081</v>
      </c>
      <c r="G1050" s="491"/>
      <c r="H1050" s="491" t="s">
        <v>1135</v>
      </c>
      <c r="I1050" s="231"/>
      <c r="J1050" s="231"/>
      <c r="K1050" s="231"/>
      <c r="L1050" s="231"/>
      <c r="M1050" s="231"/>
      <c r="N1050" s="231"/>
      <c r="O1050" s="231"/>
      <c r="P1050" s="231"/>
      <c r="Q1050" s="231"/>
      <c r="R1050" s="231"/>
      <c r="S1050" s="231"/>
      <c r="T1050" s="231"/>
      <c r="U1050" s="231"/>
      <c r="V1050" s="231"/>
      <c r="W1050" s="231"/>
      <c r="X1050" s="231"/>
      <c r="Y1050" s="231"/>
      <c r="Z1050" s="231"/>
      <c r="AA1050" s="231"/>
      <c r="AB1050" s="231"/>
    </row>
    <row r="1051" ht="24.75" customHeight="1" outlineLevel="1">
      <c r="A1051" s="282">
        <v>46145.0</v>
      </c>
      <c r="B1051" s="438" t="s">
        <v>456</v>
      </c>
      <c r="C1051" s="469" t="s">
        <v>1274</v>
      </c>
      <c r="D1051" s="373" t="s">
        <v>1230</v>
      </c>
      <c r="E1051" s="502" t="s">
        <v>1334</v>
      </c>
      <c r="F1051" s="491" t="s">
        <v>1081</v>
      </c>
      <c r="G1051" s="491"/>
      <c r="H1051" s="491" t="s">
        <v>1135</v>
      </c>
      <c r="I1051" s="231"/>
      <c r="J1051" s="231"/>
      <c r="K1051" s="231"/>
      <c r="L1051" s="231"/>
      <c r="M1051" s="231"/>
      <c r="N1051" s="231"/>
      <c r="O1051" s="231"/>
      <c r="P1051" s="231"/>
      <c r="Q1051" s="231"/>
      <c r="R1051" s="231"/>
      <c r="S1051" s="231"/>
      <c r="T1051" s="231"/>
      <c r="U1051" s="231"/>
      <c r="V1051" s="231"/>
      <c r="W1051" s="231"/>
      <c r="X1051" s="231"/>
      <c r="Y1051" s="231"/>
      <c r="Z1051" s="231"/>
      <c r="AA1051" s="231"/>
      <c r="AB1051" s="231"/>
    </row>
    <row r="1052" ht="24.75" customHeight="1" outlineLevel="1">
      <c r="A1052" s="282">
        <v>46145.0</v>
      </c>
      <c r="B1052" s="383" t="s">
        <v>39</v>
      </c>
      <c r="C1052" s="375" t="s">
        <v>1276</v>
      </c>
      <c r="D1052" s="375" t="s">
        <v>1277</v>
      </c>
      <c r="E1052" s="518" t="s">
        <v>1278</v>
      </c>
      <c r="F1052" s="491" t="s">
        <v>1081</v>
      </c>
      <c r="G1052" s="491"/>
      <c r="H1052" s="491" t="s">
        <v>1233</v>
      </c>
      <c r="I1052" s="231"/>
      <c r="J1052" s="231"/>
      <c r="K1052" s="231"/>
      <c r="L1052" s="231"/>
      <c r="M1052" s="231"/>
      <c r="N1052" s="231"/>
      <c r="O1052" s="231"/>
      <c r="P1052" s="231"/>
      <c r="Q1052" s="231"/>
      <c r="R1052" s="231"/>
      <c r="S1052" s="231"/>
      <c r="T1052" s="231"/>
      <c r="U1052" s="231"/>
      <c r="V1052" s="231"/>
      <c r="W1052" s="231"/>
      <c r="X1052" s="231"/>
      <c r="Y1052" s="231"/>
      <c r="Z1052" s="231"/>
      <c r="AA1052" s="231"/>
      <c r="AB1052" s="231"/>
    </row>
    <row r="1053" ht="24.75" customHeight="1" outlineLevel="1">
      <c r="A1053" s="282">
        <v>46145.0</v>
      </c>
      <c r="B1053" s="503" t="str">
        <f>HYPERLINK("https://docs.google.com/spreadsheets/d/14VRt1DzygoL3ldywdTGi4p4-5N6W0OO9Ugf6GEHXv1k/edit#gid=351252924","☆TP部メルマガ")</f>
        <v>☆TP部メルマガ</v>
      </c>
      <c r="C1053" s="469" t="s">
        <v>741</v>
      </c>
      <c r="D1053" s="375" t="s">
        <v>1234</v>
      </c>
      <c r="E1053" s="504" t="s">
        <v>1279</v>
      </c>
      <c r="F1053" s="491" t="s">
        <v>1081</v>
      </c>
      <c r="G1053" s="491"/>
      <c r="H1053" s="491" t="s">
        <v>1150</v>
      </c>
      <c r="I1053" s="231"/>
      <c r="J1053" s="231"/>
      <c r="K1053" s="231"/>
      <c r="L1053" s="231"/>
      <c r="M1053" s="231"/>
      <c r="N1053" s="231"/>
      <c r="O1053" s="231"/>
      <c r="P1053" s="231"/>
      <c r="Q1053" s="231"/>
      <c r="R1053" s="231"/>
      <c r="S1053" s="231"/>
      <c r="T1053" s="231"/>
      <c r="U1053" s="231"/>
      <c r="V1053" s="231"/>
      <c r="W1053" s="231"/>
      <c r="X1053" s="231"/>
      <c r="Y1053" s="231"/>
      <c r="Z1053" s="231"/>
      <c r="AA1053" s="231"/>
      <c r="AB1053" s="231"/>
    </row>
    <row r="1054" ht="24.75" customHeight="1" outlineLevel="1">
      <c r="A1054" s="282">
        <v>46146.0</v>
      </c>
      <c r="B1054" s="505" t="s">
        <v>325</v>
      </c>
      <c r="C1054" s="375" t="s">
        <v>1236</v>
      </c>
      <c r="D1054" s="375" t="s">
        <v>1228</v>
      </c>
      <c r="E1054" s="501" t="s">
        <v>1333</v>
      </c>
      <c r="F1054" s="491" t="s">
        <v>1081</v>
      </c>
      <c r="G1054" s="491"/>
      <c r="H1054" s="491" t="s">
        <v>1237</v>
      </c>
      <c r="I1054" s="401"/>
      <c r="J1054" s="231"/>
      <c r="K1054" s="231"/>
      <c r="L1054" s="231"/>
      <c r="M1054" s="231"/>
      <c r="N1054" s="231"/>
      <c r="O1054" s="231"/>
      <c r="P1054" s="231"/>
      <c r="Q1054" s="231"/>
      <c r="R1054" s="231"/>
      <c r="S1054" s="231"/>
      <c r="T1054" s="231"/>
      <c r="U1054" s="231"/>
      <c r="V1054" s="231"/>
      <c r="W1054" s="231"/>
      <c r="X1054" s="231"/>
      <c r="Y1054" s="231"/>
      <c r="Z1054" s="231"/>
      <c r="AA1054" s="231"/>
      <c r="AB1054" s="231"/>
    </row>
    <row r="1055" ht="24.75" customHeight="1" outlineLevel="1">
      <c r="A1055" s="282">
        <v>46146.0</v>
      </c>
      <c r="B1055" s="505" t="s">
        <v>330</v>
      </c>
      <c r="C1055" s="375" t="s">
        <v>741</v>
      </c>
      <c r="D1055" s="240" t="s">
        <v>1335</v>
      </c>
      <c r="E1055" s="504" t="s">
        <v>1279</v>
      </c>
      <c r="F1055" s="491" t="s">
        <v>1081</v>
      </c>
      <c r="G1055" s="491"/>
      <c r="H1055" s="491" t="s">
        <v>1154</v>
      </c>
      <c r="I1055" s="401"/>
      <c r="J1055" s="231"/>
      <c r="K1055" s="231"/>
      <c r="L1055" s="231"/>
      <c r="M1055" s="231"/>
      <c r="N1055" s="231"/>
      <c r="O1055" s="231"/>
      <c r="P1055" s="231"/>
      <c r="Q1055" s="231"/>
      <c r="R1055" s="231"/>
      <c r="S1055" s="231"/>
      <c r="T1055" s="231"/>
      <c r="U1055" s="231"/>
      <c r="V1055" s="231"/>
      <c r="W1055" s="231"/>
      <c r="X1055" s="231"/>
      <c r="Y1055" s="231"/>
      <c r="Z1055" s="231"/>
      <c r="AA1055" s="231"/>
      <c r="AB1055" s="231"/>
    </row>
    <row r="1056" ht="24.75" customHeight="1" outlineLevel="1">
      <c r="A1056" s="282">
        <v>46146.0</v>
      </c>
      <c r="B1056" s="383" t="s">
        <v>753</v>
      </c>
      <c r="C1056" s="488" t="s">
        <v>1208</v>
      </c>
      <c r="D1056" s="526" t="s">
        <v>1281</v>
      </c>
      <c r="E1056" s="523" t="s">
        <v>1282</v>
      </c>
      <c r="F1056" s="491"/>
      <c r="G1056" s="491"/>
      <c r="H1056" s="491" t="s">
        <v>1157</v>
      </c>
      <c r="I1056" s="237" t="s">
        <v>1158</v>
      </c>
      <c r="J1056" s="231"/>
      <c r="K1056" s="231"/>
      <c r="L1056" s="231"/>
      <c r="M1056" s="231"/>
      <c r="N1056" s="231"/>
      <c r="O1056" s="231"/>
      <c r="P1056" s="231"/>
      <c r="Q1056" s="231"/>
      <c r="R1056" s="231"/>
      <c r="S1056" s="231"/>
      <c r="T1056" s="231"/>
      <c r="U1056" s="231"/>
      <c r="V1056" s="231"/>
      <c r="W1056" s="231"/>
      <c r="X1056" s="231"/>
      <c r="Y1056" s="231"/>
      <c r="Z1056" s="231"/>
      <c r="AA1056" s="231"/>
      <c r="AB1056" s="231"/>
    </row>
    <row r="1057" ht="24.75" customHeight="1" outlineLevel="1">
      <c r="A1057" s="282">
        <v>46146.0</v>
      </c>
      <c r="B1057" s="383" t="s">
        <v>756</v>
      </c>
      <c r="C1057" s="488" t="s">
        <v>1208</v>
      </c>
      <c r="D1057" s="526" t="s">
        <v>1281</v>
      </c>
      <c r="E1057" s="523" t="s">
        <v>1282</v>
      </c>
      <c r="F1057" s="491"/>
      <c r="G1057" s="491"/>
      <c r="H1057" s="491" t="s">
        <v>1157</v>
      </c>
      <c r="I1057" s="237" t="s">
        <v>1192</v>
      </c>
      <c r="J1057" s="231"/>
      <c r="K1057" s="231"/>
      <c r="L1057" s="231"/>
      <c r="M1057" s="231"/>
      <c r="N1057" s="231"/>
      <c r="O1057" s="231"/>
      <c r="P1057" s="231"/>
      <c r="Q1057" s="231"/>
      <c r="R1057" s="231"/>
      <c r="S1057" s="231"/>
      <c r="T1057" s="231"/>
      <c r="U1057" s="231"/>
      <c r="V1057" s="231"/>
      <c r="W1057" s="231"/>
      <c r="X1057" s="231"/>
      <c r="Y1057" s="231"/>
      <c r="Z1057" s="231"/>
      <c r="AA1057" s="231"/>
      <c r="AB1057" s="231"/>
    </row>
    <row r="1058" ht="24.75" customHeight="1" outlineLevel="1">
      <c r="A1058" s="282">
        <v>46146.0</v>
      </c>
      <c r="B1058" s="383" t="s">
        <v>801</v>
      </c>
      <c r="C1058" s="383" t="s">
        <v>715</v>
      </c>
      <c r="D1058" s="383" t="s">
        <v>802</v>
      </c>
      <c r="E1058" s="498" t="s">
        <v>717</v>
      </c>
      <c r="F1058" s="491"/>
      <c r="G1058" s="491"/>
      <c r="H1058" s="506" t="s">
        <v>803</v>
      </c>
      <c r="I1058" s="231"/>
      <c r="J1058" s="231"/>
      <c r="K1058" s="231"/>
      <c r="L1058" s="231"/>
      <c r="M1058" s="231"/>
      <c r="N1058" s="237" t="s">
        <v>1079</v>
      </c>
      <c r="O1058" s="231"/>
      <c r="P1058" s="231"/>
      <c r="Q1058" s="231"/>
      <c r="R1058" s="231"/>
      <c r="S1058" s="231"/>
      <c r="T1058" s="231"/>
      <c r="U1058" s="231"/>
      <c r="V1058" s="231"/>
      <c r="W1058" s="231"/>
      <c r="X1058" s="231"/>
      <c r="Y1058" s="231"/>
      <c r="Z1058" s="231"/>
      <c r="AA1058" s="231"/>
      <c r="AB1058" s="231"/>
    </row>
    <row r="1059" ht="24.75" customHeight="1" outlineLevel="1">
      <c r="A1059" s="282">
        <v>46147.0</v>
      </c>
      <c r="B1059" s="507" t="s">
        <v>1223</v>
      </c>
      <c r="C1059" s="508" t="s">
        <v>715</v>
      </c>
      <c r="D1059" s="373" t="s">
        <v>662</v>
      </c>
      <c r="E1059" s="498" t="s">
        <v>717</v>
      </c>
      <c r="F1059" s="491"/>
      <c r="G1059" s="491"/>
      <c r="H1059" s="491" t="s">
        <v>1069</v>
      </c>
      <c r="I1059" s="237"/>
      <c r="J1059" s="231"/>
      <c r="K1059" s="231"/>
      <c r="L1059" s="231"/>
      <c r="M1059" s="231"/>
      <c r="N1059" s="237" t="s">
        <v>1082</v>
      </c>
      <c r="O1059" s="231"/>
      <c r="P1059" s="231"/>
      <c r="Q1059" s="231"/>
      <c r="R1059" s="231"/>
      <c r="S1059" s="231"/>
      <c r="T1059" s="231"/>
      <c r="U1059" s="231"/>
      <c r="V1059" s="231"/>
      <c r="W1059" s="231"/>
      <c r="X1059" s="231"/>
      <c r="Y1059" s="231"/>
      <c r="Z1059" s="231"/>
      <c r="AA1059" s="231"/>
      <c r="AB1059" s="231"/>
    </row>
    <row r="1060" ht="24.75" customHeight="1" outlineLevel="1">
      <c r="A1060" s="282">
        <v>46147.0</v>
      </c>
      <c r="B1060" s="508" t="s">
        <v>714</v>
      </c>
      <c r="C1060" s="373" t="s">
        <v>715</v>
      </c>
      <c r="D1060" s="509" t="s">
        <v>1083</v>
      </c>
      <c r="E1060" s="498" t="s">
        <v>717</v>
      </c>
      <c r="F1060" s="491"/>
      <c r="G1060" s="491"/>
      <c r="H1060" s="491" t="s">
        <v>1067</v>
      </c>
      <c r="I1060" s="237"/>
      <c r="J1060" s="231"/>
      <c r="K1060" s="231"/>
      <c r="L1060" s="231"/>
      <c r="M1060" s="231"/>
      <c r="N1060" s="231"/>
      <c r="O1060" s="231"/>
      <c r="P1060" s="231"/>
      <c r="Q1060" s="231"/>
      <c r="R1060" s="231"/>
      <c r="S1060" s="231"/>
      <c r="T1060" s="231"/>
      <c r="U1060" s="231"/>
      <c r="V1060" s="231"/>
      <c r="W1060" s="231"/>
      <c r="X1060" s="231"/>
      <c r="Y1060" s="231"/>
      <c r="Z1060" s="231"/>
      <c r="AA1060" s="231"/>
      <c r="AB1060" s="231"/>
    </row>
    <row r="1061" ht="24.75" customHeight="1" outlineLevel="1">
      <c r="A1061" s="282">
        <v>46147.0</v>
      </c>
      <c r="B1061" s="508" t="s">
        <v>808</v>
      </c>
      <c r="C1061" s="510" t="s">
        <v>715</v>
      </c>
      <c r="D1061" s="508" t="s">
        <v>802</v>
      </c>
      <c r="E1061" s="498" t="s">
        <v>717</v>
      </c>
      <c r="F1061" s="491"/>
      <c r="G1061" s="491"/>
      <c r="H1061" s="491" t="s">
        <v>1238</v>
      </c>
      <c r="I1061" s="237"/>
      <c r="J1061" s="231"/>
      <c r="K1061" s="231"/>
      <c r="L1061" s="231"/>
      <c r="M1061" s="231"/>
      <c r="N1061" s="231"/>
      <c r="O1061" s="231"/>
      <c r="P1061" s="231"/>
      <c r="Q1061" s="231"/>
      <c r="R1061" s="231"/>
      <c r="S1061" s="231"/>
      <c r="T1061" s="231"/>
      <c r="U1061" s="231"/>
      <c r="V1061" s="231"/>
      <c r="W1061" s="231"/>
      <c r="X1061" s="231"/>
      <c r="Y1061" s="231"/>
      <c r="Z1061" s="231"/>
      <c r="AA1061" s="231"/>
      <c r="AB1061" s="231"/>
    </row>
    <row r="1062" ht="24.75" customHeight="1" outlineLevel="1">
      <c r="A1062" s="282">
        <v>46147.0</v>
      </c>
      <c r="B1062" s="508" t="s">
        <v>1239</v>
      </c>
      <c r="C1062" s="469" t="s">
        <v>1274</v>
      </c>
      <c r="D1062" s="373" t="s">
        <v>1283</v>
      </c>
      <c r="E1062" s="502" t="s">
        <v>1275</v>
      </c>
      <c r="F1062" s="491"/>
      <c r="G1062" s="491"/>
      <c r="H1062" s="491" t="s">
        <v>1240</v>
      </c>
      <c r="I1062" s="237"/>
      <c r="J1062" s="231"/>
      <c r="K1062" s="231"/>
      <c r="L1062" s="231"/>
      <c r="M1062" s="231"/>
      <c r="N1062" s="231"/>
      <c r="O1062" s="231"/>
      <c r="P1062" s="231"/>
      <c r="Q1062" s="231"/>
      <c r="R1062" s="231"/>
      <c r="S1062" s="231"/>
      <c r="T1062" s="231"/>
      <c r="U1062" s="231"/>
      <c r="V1062" s="231"/>
      <c r="W1062" s="231"/>
      <c r="X1062" s="231"/>
      <c r="Y1062" s="231"/>
      <c r="Z1062" s="231"/>
      <c r="AA1062" s="231"/>
      <c r="AB1062" s="231"/>
    </row>
    <row r="1063" ht="24.75" customHeight="1" outlineLevel="1">
      <c r="A1063" s="282">
        <v>46148.0</v>
      </c>
      <c r="B1063" s="508" t="s">
        <v>366</v>
      </c>
      <c r="C1063" s="373" t="s">
        <v>715</v>
      </c>
      <c r="D1063" s="511" t="s">
        <v>1241</v>
      </c>
      <c r="E1063" s="498" t="s">
        <v>717</v>
      </c>
      <c r="F1063" s="491"/>
      <c r="G1063" s="492"/>
      <c r="H1063" s="491" t="s">
        <v>1242</v>
      </c>
      <c r="I1063" s="237"/>
      <c r="J1063" s="231"/>
      <c r="K1063" s="231"/>
      <c r="L1063" s="231"/>
      <c r="M1063" s="231"/>
      <c r="N1063" s="231"/>
      <c r="O1063" s="231"/>
      <c r="P1063" s="231"/>
      <c r="Q1063" s="231"/>
      <c r="R1063" s="231"/>
      <c r="S1063" s="231"/>
      <c r="T1063" s="231"/>
      <c r="U1063" s="231"/>
      <c r="V1063" s="231"/>
      <c r="W1063" s="231"/>
      <c r="X1063" s="231"/>
      <c r="Y1063" s="231"/>
      <c r="Z1063" s="231"/>
      <c r="AA1063" s="231"/>
      <c r="AB1063" s="231"/>
    </row>
    <row r="1064" ht="24.75" customHeight="1" outlineLevel="1">
      <c r="A1064" s="282">
        <v>46148.0</v>
      </c>
      <c r="B1064" s="503" t="s">
        <v>389</v>
      </c>
      <c r="C1064" s="373" t="s">
        <v>1227</v>
      </c>
      <c r="D1064" s="512" t="s">
        <v>1284</v>
      </c>
      <c r="E1064" s="501" t="s">
        <v>1273</v>
      </c>
      <c r="F1064" s="491"/>
      <c r="G1064" s="491"/>
      <c r="H1064" s="491" t="s">
        <v>1086</v>
      </c>
      <c r="I1064" s="237"/>
      <c r="J1064" s="231"/>
      <c r="K1064" s="231"/>
      <c r="L1064" s="231"/>
      <c r="M1064" s="231"/>
      <c r="N1064" s="231"/>
      <c r="O1064" s="231"/>
      <c r="P1064" s="231"/>
      <c r="Q1064" s="231"/>
      <c r="R1064" s="231"/>
      <c r="S1064" s="231"/>
      <c r="T1064" s="231"/>
      <c r="U1064" s="231"/>
      <c r="V1064" s="231"/>
      <c r="W1064" s="231"/>
      <c r="X1064" s="231"/>
      <c r="Y1064" s="231"/>
      <c r="Z1064" s="231"/>
      <c r="AA1064" s="231"/>
      <c r="AB1064" s="231"/>
    </row>
    <row r="1065" ht="24.75" customHeight="1" outlineLevel="1">
      <c r="A1065" s="282">
        <v>46148.0</v>
      </c>
      <c r="B1065" s="508" t="s">
        <v>1285</v>
      </c>
      <c r="C1065" s="473"/>
      <c r="D1065" s="337" t="s">
        <v>1286</v>
      </c>
      <c r="E1065" s="498" t="s">
        <v>717</v>
      </c>
      <c r="F1065" s="491"/>
      <c r="G1065" s="491"/>
      <c r="H1065" s="491" t="s">
        <v>1287</v>
      </c>
      <c r="I1065" s="401"/>
      <c r="J1065" s="231"/>
      <c r="K1065" s="231"/>
      <c r="L1065" s="231"/>
      <c r="M1065" s="231"/>
      <c r="N1065" s="231"/>
      <c r="O1065" s="231"/>
      <c r="P1065" s="231"/>
      <c r="Q1065" s="231"/>
      <c r="R1065" s="231"/>
      <c r="S1065" s="231"/>
      <c r="T1065" s="231"/>
      <c r="U1065" s="231"/>
      <c r="V1065" s="231"/>
      <c r="W1065" s="231"/>
      <c r="X1065" s="231"/>
      <c r="Y1065" s="231"/>
      <c r="Z1065" s="231"/>
      <c r="AA1065" s="231"/>
      <c r="AB1065" s="231"/>
    </row>
    <row r="1066" ht="24.75" customHeight="1" outlineLevel="1">
      <c r="A1066" s="282">
        <v>46148.0</v>
      </c>
      <c r="B1066" s="508" t="s">
        <v>398</v>
      </c>
      <c r="C1066" s="473" t="s">
        <v>1198</v>
      </c>
      <c r="D1066" s="337" t="s">
        <v>1288</v>
      </c>
      <c r="E1066" s="513" t="s">
        <v>1289</v>
      </c>
      <c r="F1066" s="491"/>
      <c r="G1066" s="491"/>
      <c r="H1066" s="491" t="s">
        <v>1168</v>
      </c>
      <c r="I1066" s="401"/>
      <c r="J1066" s="231"/>
      <c r="K1066" s="231"/>
      <c r="L1066" s="231"/>
      <c r="M1066" s="231"/>
      <c r="N1066" s="231"/>
      <c r="O1066" s="231"/>
      <c r="P1066" s="231"/>
      <c r="Q1066" s="231"/>
      <c r="R1066" s="231"/>
      <c r="S1066" s="231"/>
      <c r="T1066" s="231"/>
      <c r="U1066" s="231"/>
      <c r="V1066" s="231"/>
      <c r="W1066" s="231"/>
      <c r="X1066" s="231"/>
      <c r="Y1066" s="231"/>
      <c r="Z1066" s="231"/>
      <c r="AA1066" s="231"/>
      <c r="AB1066" s="231"/>
    </row>
    <row r="1067" ht="24.75" customHeight="1" outlineLevel="1">
      <c r="A1067" s="282">
        <v>46148.0</v>
      </c>
      <c r="B1067" s="508" t="s">
        <v>1243</v>
      </c>
      <c r="C1067" s="469" t="s">
        <v>1274</v>
      </c>
      <c r="D1067" s="337" t="s">
        <v>1290</v>
      </c>
      <c r="E1067" s="502" t="s">
        <v>1275</v>
      </c>
      <c r="F1067" s="491"/>
      <c r="G1067" s="492"/>
      <c r="H1067" s="491" t="s">
        <v>1240</v>
      </c>
      <c r="I1067" s="237"/>
      <c r="J1067" s="231"/>
      <c r="K1067" s="231"/>
      <c r="L1067" s="231"/>
      <c r="M1067" s="231"/>
      <c r="N1067" s="231"/>
      <c r="O1067" s="231"/>
      <c r="P1067" s="231"/>
      <c r="Q1067" s="231"/>
      <c r="R1067" s="231"/>
      <c r="S1067" s="231"/>
      <c r="T1067" s="231"/>
      <c r="U1067" s="231"/>
      <c r="V1067" s="231"/>
      <c r="W1067" s="231"/>
      <c r="X1067" s="231"/>
      <c r="Y1067" s="231"/>
      <c r="Z1067" s="231"/>
      <c r="AA1067" s="231"/>
      <c r="AB1067" s="231"/>
    </row>
    <row r="1068" ht="24.75" customHeight="1" outlineLevel="1">
      <c r="A1068" s="282">
        <v>46148.0</v>
      </c>
      <c r="B1068" s="474" t="s">
        <v>414</v>
      </c>
      <c r="C1068" s="473" t="s">
        <v>1200</v>
      </c>
      <c r="D1068" s="337" t="s">
        <v>1291</v>
      </c>
      <c r="E1068" s="514" t="s">
        <v>1292</v>
      </c>
      <c r="F1068" s="491"/>
      <c r="G1068" s="491"/>
      <c r="H1068" s="491" t="s">
        <v>1202</v>
      </c>
      <c r="I1068" s="401"/>
      <c r="J1068" s="231"/>
      <c r="K1068" s="231"/>
      <c r="L1068" s="231"/>
      <c r="M1068" s="231"/>
      <c r="N1068" s="231"/>
      <c r="O1068" s="231"/>
      <c r="P1068" s="231"/>
      <c r="Q1068" s="231"/>
      <c r="R1068" s="231"/>
      <c r="S1068" s="231"/>
      <c r="T1068" s="231"/>
      <c r="U1068" s="231"/>
      <c r="V1068" s="231"/>
      <c r="W1068" s="231"/>
      <c r="X1068" s="231"/>
      <c r="Y1068" s="231"/>
      <c r="Z1068" s="231"/>
      <c r="AA1068" s="231"/>
      <c r="AB1068" s="231"/>
    </row>
    <row r="1069" ht="24.75" customHeight="1" outlineLevel="1">
      <c r="A1069" s="282">
        <v>46149.0</v>
      </c>
      <c r="B1069" s="438" t="s">
        <v>492</v>
      </c>
      <c r="C1069" s="373" t="s">
        <v>741</v>
      </c>
      <c r="D1069" s="337" t="s">
        <v>1293</v>
      </c>
      <c r="E1069" s="504" t="s">
        <v>1279</v>
      </c>
      <c r="F1069" s="491"/>
      <c r="G1069" s="492"/>
      <c r="H1069" s="491" t="s">
        <v>1154</v>
      </c>
      <c r="I1069" s="401"/>
      <c r="J1069" s="231"/>
      <c r="K1069" s="231"/>
      <c r="L1069" s="231"/>
      <c r="M1069" s="231"/>
      <c r="N1069" s="231"/>
      <c r="O1069" s="231"/>
      <c r="P1069" s="231"/>
      <c r="Q1069" s="231"/>
      <c r="R1069" s="231"/>
      <c r="S1069" s="231"/>
      <c r="T1069" s="231"/>
      <c r="U1069" s="231"/>
      <c r="V1069" s="231"/>
      <c r="W1069" s="231"/>
      <c r="X1069" s="231"/>
      <c r="Y1069" s="231"/>
      <c r="Z1069" s="231"/>
      <c r="AA1069" s="231"/>
      <c r="AB1069" s="231"/>
    </row>
    <row r="1070" ht="24.75" customHeight="1" outlineLevel="1">
      <c r="A1070" s="282">
        <v>46149.0</v>
      </c>
      <c r="B1070" s="508" t="s">
        <v>1246</v>
      </c>
      <c r="C1070" s="469" t="s">
        <v>1274</v>
      </c>
      <c r="D1070" s="337" t="s">
        <v>1290</v>
      </c>
      <c r="E1070" s="502" t="s">
        <v>1275</v>
      </c>
      <c r="F1070" s="491"/>
      <c r="G1070" s="492"/>
      <c r="H1070" s="491" t="s">
        <v>1240</v>
      </c>
      <c r="I1070" s="237"/>
      <c r="J1070" s="231"/>
      <c r="K1070" s="231"/>
      <c r="L1070" s="231"/>
      <c r="M1070" s="231"/>
      <c r="N1070" s="231"/>
      <c r="O1070" s="231"/>
      <c r="P1070" s="231"/>
      <c r="Q1070" s="231"/>
      <c r="R1070" s="231"/>
      <c r="S1070" s="231"/>
      <c r="T1070" s="231"/>
      <c r="U1070" s="231"/>
      <c r="V1070" s="231"/>
      <c r="W1070" s="231"/>
      <c r="X1070" s="231"/>
      <c r="Y1070" s="231"/>
      <c r="Z1070" s="231"/>
      <c r="AA1070" s="231"/>
      <c r="AB1070" s="231"/>
    </row>
    <row r="1071" ht="24.75" customHeight="1" outlineLevel="1">
      <c r="A1071" s="282">
        <v>46150.0</v>
      </c>
      <c r="B1071" s="508" t="s">
        <v>714</v>
      </c>
      <c r="C1071" s="373" t="s">
        <v>715</v>
      </c>
      <c r="D1071" s="509" t="s">
        <v>1083</v>
      </c>
      <c r="E1071" s="498" t="s">
        <v>717</v>
      </c>
      <c r="F1071" s="491"/>
      <c r="G1071" s="491"/>
      <c r="H1071" s="491" t="s">
        <v>1067</v>
      </c>
      <c r="I1071" s="237"/>
      <c r="J1071" s="231"/>
      <c r="K1071" s="231"/>
      <c r="L1071" s="231"/>
      <c r="M1071" s="231"/>
      <c r="N1071" s="231"/>
      <c r="O1071" s="231"/>
      <c r="P1071" s="231"/>
      <c r="Q1071" s="231"/>
      <c r="R1071" s="231"/>
      <c r="S1071" s="231"/>
      <c r="T1071" s="231"/>
      <c r="U1071" s="231"/>
      <c r="V1071" s="231"/>
      <c r="W1071" s="231"/>
      <c r="X1071" s="231"/>
      <c r="Y1071" s="231"/>
      <c r="Z1071" s="231"/>
      <c r="AA1071" s="231"/>
      <c r="AB1071" s="231"/>
    </row>
    <row r="1072" ht="24.75" customHeight="1" outlineLevel="1">
      <c r="A1072" s="282">
        <v>46150.0</v>
      </c>
      <c r="B1072" s="499" t="s">
        <v>1223</v>
      </c>
      <c r="C1072" s="383" t="s">
        <v>715</v>
      </c>
      <c r="D1072" s="375" t="s">
        <v>662</v>
      </c>
      <c r="E1072" s="498" t="s">
        <v>717</v>
      </c>
      <c r="F1072" s="491"/>
      <c r="G1072" s="491"/>
      <c r="H1072" s="491" t="s">
        <v>1069</v>
      </c>
      <c r="I1072" s="237"/>
      <c r="J1072" s="231"/>
      <c r="K1072" s="231"/>
      <c r="L1072" s="231"/>
      <c r="M1072" s="231"/>
      <c r="N1072" s="231"/>
      <c r="O1072" s="231"/>
      <c r="P1072" s="231"/>
      <c r="Q1072" s="231"/>
      <c r="R1072" s="231"/>
      <c r="S1072" s="231"/>
      <c r="T1072" s="231"/>
      <c r="U1072" s="231"/>
      <c r="V1072" s="231"/>
      <c r="W1072" s="231"/>
      <c r="X1072" s="231"/>
      <c r="Y1072" s="231"/>
      <c r="Z1072" s="231"/>
      <c r="AA1072" s="231"/>
      <c r="AB1072" s="231"/>
    </row>
    <row r="1073" ht="24.75" customHeight="1" outlineLevel="1">
      <c r="A1073" s="282">
        <v>46150.0</v>
      </c>
      <c r="B1073" s="383" t="s">
        <v>310</v>
      </c>
      <c r="C1073" s="375" t="s">
        <v>1270</v>
      </c>
      <c r="D1073" s="475" t="s">
        <v>1294</v>
      </c>
      <c r="E1073" s="515" t="s">
        <v>1295</v>
      </c>
      <c r="F1073" s="491"/>
      <c r="G1073" s="491"/>
      <c r="H1073" s="491" t="s">
        <v>1224</v>
      </c>
      <c r="I1073" s="237"/>
      <c r="J1073" s="231"/>
      <c r="K1073" s="231"/>
      <c r="L1073" s="231"/>
      <c r="M1073" s="231"/>
      <c r="N1073" s="231"/>
      <c r="O1073" s="231"/>
      <c r="P1073" s="231"/>
      <c r="Q1073" s="231"/>
      <c r="R1073" s="231"/>
      <c r="S1073" s="231"/>
      <c r="T1073" s="231"/>
      <c r="U1073" s="231"/>
      <c r="V1073" s="231"/>
      <c r="W1073" s="231"/>
      <c r="X1073" s="231"/>
      <c r="Y1073" s="231"/>
      <c r="Z1073" s="231"/>
      <c r="AA1073" s="231"/>
      <c r="AB1073" s="231"/>
    </row>
    <row r="1074" ht="24.75" customHeight="1" outlineLevel="1">
      <c r="A1074" s="282">
        <v>46151.0</v>
      </c>
      <c r="B1074" s="508" t="s">
        <v>418</v>
      </c>
      <c r="C1074" s="373" t="s">
        <v>715</v>
      </c>
      <c r="D1074" s="511" t="s">
        <v>1249</v>
      </c>
      <c r="E1074" s="498" t="s">
        <v>717</v>
      </c>
      <c r="F1074" s="491"/>
      <c r="G1074" s="492"/>
      <c r="H1074" s="491" t="s">
        <v>1225</v>
      </c>
      <c r="I1074" s="237"/>
      <c r="J1074" s="231"/>
      <c r="K1074" s="231"/>
      <c r="L1074" s="231"/>
      <c r="M1074" s="231"/>
      <c r="N1074" s="231"/>
      <c r="O1074" s="231"/>
      <c r="P1074" s="231"/>
      <c r="Q1074" s="231"/>
      <c r="R1074" s="231"/>
      <c r="S1074" s="231"/>
      <c r="T1074" s="231"/>
      <c r="U1074" s="231"/>
      <c r="V1074" s="231"/>
      <c r="W1074" s="231"/>
      <c r="X1074" s="231"/>
      <c r="Y1074" s="231"/>
      <c r="Z1074" s="231"/>
      <c r="AA1074" s="231"/>
      <c r="AB1074" s="231"/>
    </row>
    <row r="1075" ht="24.75" customHeight="1" outlineLevel="1">
      <c r="A1075" s="282">
        <v>46151.0</v>
      </c>
      <c r="B1075" s="500" t="str">
        <f>HYPERLINK("https://docs.google.com/spreadsheets/d/1v3B9E8Jeqx3_JGvRHJ2cXJ5OAGLvZiOXZru0niKH-QQ/edit?ts=56170761#gid=1991794180","☆横浜")</f>
        <v>☆横浜</v>
      </c>
      <c r="C1075" s="469" t="s">
        <v>1205</v>
      </c>
      <c r="D1075" s="475" t="s">
        <v>1296</v>
      </c>
      <c r="E1075" s="516" t="s">
        <v>1272</v>
      </c>
      <c r="F1075" s="491"/>
      <c r="G1075" s="491"/>
      <c r="H1075" s="491" t="s">
        <v>1131</v>
      </c>
      <c r="I1075" s="401"/>
      <c r="J1075" s="231"/>
      <c r="K1075" s="231"/>
      <c r="L1075" s="231"/>
      <c r="M1075" s="231"/>
      <c r="N1075" s="231"/>
      <c r="O1075" s="231"/>
      <c r="P1075" s="231"/>
      <c r="Q1075" s="231"/>
      <c r="R1075" s="231"/>
      <c r="S1075" s="231"/>
      <c r="T1075" s="231"/>
      <c r="U1075" s="231"/>
      <c r="V1075" s="231"/>
      <c r="W1075" s="231"/>
      <c r="X1075" s="231"/>
      <c r="Y1075" s="231"/>
      <c r="Z1075" s="231"/>
      <c r="AA1075" s="231"/>
      <c r="AB1075" s="231"/>
    </row>
    <row r="1076" ht="24.75" customHeight="1" outlineLevel="1">
      <c r="A1076" s="282">
        <v>46151.0</v>
      </c>
      <c r="B1076" s="438" t="str">
        <f>HYPERLINK("https://docs.google.com/spreadsheets/d/1xrfsiAjLwPhBlveDsLSsUUfMnNpOidnkNLqHJabwWYo/edit?ts=56ea7063#gid=1283986028","☆救済メルマガ(UP10)")</f>
        <v>☆救済メルマガ(UP10)</v>
      </c>
      <c r="C1076" s="375" t="s">
        <v>1227</v>
      </c>
      <c r="D1076" s="475" t="s">
        <v>1284</v>
      </c>
      <c r="E1076" s="501" t="s">
        <v>1273</v>
      </c>
      <c r="F1076" s="491"/>
      <c r="G1076" s="491"/>
      <c r="H1076" s="491" t="s">
        <v>1135</v>
      </c>
      <c r="I1076" s="401"/>
      <c r="J1076" s="231"/>
      <c r="K1076" s="231"/>
      <c r="L1076" s="231"/>
      <c r="M1076" s="231"/>
      <c r="N1076" s="231"/>
      <c r="O1076" s="231"/>
      <c r="P1076" s="231"/>
      <c r="Q1076" s="231"/>
      <c r="R1076" s="231"/>
      <c r="S1076" s="231"/>
      <c r="T1076" s="231"/>
      <c r="U1076" s="231"/>
      <c r="V1076" s="231"/>
      <c r="W1076" s="231"/>
      <c r="X1076" s="231"/>
      <c r="Y1076" s="231"/>
      <c r="Z1076" s="231"/>
      <c r="AA1076" s="231"/>
      <c r="AB1076" s="231"/>
    </row>
    <row r="1077" ht="24.75" customHeight="1" outlineLevel="1">
      <c r="A1077" s="282">
        <v>46152.0</v>
      </c>
      <c r="B1077" s="438" t="s">
        <v>456</v>
      </c>
      <c r="C1077" s="469" t="s">
        <v>1274</v>
      </c>
      <c r="D1077" s="475" t="s">
        <v>1297</v>
      </c>
      <c r="E1077" s="502" t="s">
        <v>1275</v>
      </c>
      <c r="F1077" s="491"/>
      <c r="G1077" s="491"/>
      <c r="H1077" s="491" t="s">
        <v>1135</v>
      </c>
      <c r="I1077" s="401"/>
      <c r="J1077" s="231"/>
      <c r="K1077" s="231"/>
      <c r="L1077" s="231"/>
      <c r="M1077" s="231"/>
      <c r="N1077" s="231"/>
      <c r="O1077" s="231"/>
      <c r="P1077" s="231"/>
      <c r="Q1077" s="231"/>
      <c r="R1077" s="231"/>
      <c r="S1077" s="231"/>
      <c r="T1077" s="231"/>
      <c r="U1077" s="231"/>
      <c r="V1077" s="231"/>
      <c r="W1077" s="231"/>
      <c r="X1077" s="231"/>
      <c r="Y1077" s="231"/>
      <c r="Z1077" s="231"/>
      <c r="AA1077" s="231"/>
      <c r="AB1077" s="231"/>
    </row>
    <row r="1078" ht="24.75" customHeight="1" outlineLevel="1">
      <c r="A1078" s="282">
        <v>46152.0</v>
      </c>
      <c r="B1078" s="508" t="s">
        <v>39</v>
      </c>
      <c r="C1078" s="375" t="s">
        <v>1276</v>
      </c>
      <c r="D1078" s="475" t="s">
        <v>1298</v>
      </c>
      <c r="E1078" s="518" t="s">
        <v>1278</v>
      </c>
      <c r="F1078" s="519"/>
      <c r="G1078" s="519"/>
      <c r="H1078" s="519" t="s">
        <v>1233</v>
      </c>
      <c r="I1078" s="401" t="s">
        <v>1252</v>
      </c>
      <c r="J1078" s="520"/>
      <c r="K1078" s="520"/>
      <c r="L1078" s="520"/>
      <c r="M1078" s="520"/>
      <c r="N1078" s="520"/>
      <c r="O1078" s="521"/>
      <c r="P1078" s="521"/>
      <c r="Q1078" s="521"/>
      <c r="R1078" s="521"/>
      <c r="S1078" s="521"/>
      <c r="T1078" s="521"/>
      <c r="U1078" s="521"/>
      <c r="V1078" s="521"/>
      <c r="W1078" s="521"/>
      <c r="X1078" s="521"/>
      <c r="Y1078" s="521"/>
      <c r="Z1078" s="521"/>
      <c r="AA1078" s="521"/>
      <c r="AB1078" s="521"/>
      <c r="AC1078" s="522"/>
    </row>
    <row r="1079" ht="24.75" customHeight="1" outlineLevel="1">
      <c r="A1079" s="282">
        <v>46152.0</v>
      </c>
      <c r="B1079" s="503" t="str">
        <f>HYPERLINK("https://docs.google.com/spreadsheets/d/14VRt1DzygoL3ldywdTGi4p4-5N6W0OO9Ugf6GEHXv1k/edit#gid=351252924","☆TP部メルマガ")</f>
        <v>☆TP部メルマガ</v>
      </c>
      <c r="C1079" s="469" t="s">
        <v>741</v>
      </c>
      <c r="D1079" s="475" t="s">
        <v>1299</v>
      </c>
      <c r="E1079" s="504" t="s">
        <v>1279</v>
      </c>
      <c r="F1079" s="491"/>
      <c r="G1079" s="491"/>
      <c r="H1079" s="491" t="s">
        <v>1150</v>
      </c>
      <c r="I1079" s="401"/>
      <c r="J1079" s="231"/>
      <c r="K1079" s="231"/>
      <c r="L1079" s="231"/>
      <c r="M1079" s="231"/>
      <c r="N1079" s="231"/>
      <c r="O1079" s="231"/>
      <c r="P1079" s="231"/>
      <c r="Q1079" s="231"/>
      <c r="R1079" s="231"/>
      <c r="S1079" s="231"/>
      <c r="T1079" s="231"/>
      <c r="U1079" s="231"/>
      <c r="V1079" s="231"/>
      <c r="W1079" s="231"/>
      <c r="X1079" s="231"/>
      <c r="Y1079" s="231"/>
      <c r="Z1079" s="231"/>
      <c r="AA1079" s="231"/>
      <c r="AB1079" s="231"/>
    </row>
    <row r="1080" ht="24.75" customHeight="1" outlineLevel="1">
      <c r="A1080" s="282">
        <v>46153.0</v>
      </c>
      <c r="B1080" s="505" t="s">
        <v>325</v>
      </c>
      <c r="C1080" s="375" t="s">
        <v>1236</v>
      </c>
      <c r="D1080" s="475" t="s">
        <v>1284</v>
      </c>
      <c r="E1080" s="501" t="s">
        <v>1273</v>
      </c>
      <c r="F1080" s="491"/>
      <c r="G1080" s="491"/>
      <c r="H1080" s="491" t="s">
        <v>1237</v>
      </c>
      <c r="I1080" s="401"/>
      <c r="J1080" s="231"/>
      <c r="K1080" s="231"/>
      <c r="L1080" s="231"/>
      <c r="M1080" s="231"/>
      <c r="N1080" s="231"/>
      <c r="O1080" s="231"/>
      <c r="P1080" s="231"/>
      <c r="Q1080" s="231"/>
      <c r="R1080" s="231"/>
      <c r="S1080" s="231"/>
      <c r="T1080" s="231"/>
      <c r="U1080" s="231"/>
      <c r="V1080" s="231"/>
      <c r="W1080" s="231"/>
      <c r="X1080" s="231"/>
      <c r="Y1080" s="231"/>
      <c r="Z1080" s="231"/>
      <c r="AA1080" s="231"/>
      <c r="AB1080" s="231"/>
    </row>
    <row r="1081" ht="24.75" customHeight="1" outlineLevel="1">
      <c r="A1081" s="282">
        <v>46153.0</v>
      </c>
      <c r="B1081" s="505" t="s">
        <v>330</v>
      </c>
      <c r="C1081" s="375" t="s">
        <v>741</v>
      </c>
      <c r="D1081" s="475" t="s">
        <v>1299</v>
      </c>
      <c r="E1081" s="504" t="s">
        <v>1279</v>
      </c>
      <c r="F1081" s="491"/>
      <c r="G1081" s="491"/>
      <c r="H1081" s="491" t="s">
        <v>1154</v>
      </c>
      <c r="I1081" s="401"/>
      <c r="J1081" s="231"/>
      <c r="K1081" s="231"/>
      <c r="L1081" s="231"/>
      <c r="M1081" s="231"/>
      <c r="N1081" s="231"/>
      <c r="O1081" s="231"/>
      <c r="P1081" s="231"/>
      <c r="Q1081" s="231"/>
      <c r="R1081" s="231"/>
      <c r="S1081" s="231"/>
      <c r="T1081" s="231"/>
      <c r="U1081" s="231"/>
      <c r="V1081" s="231"/>
      <c r="W1081" s="231"/>
      <c r="X1081" s="231"/>
      <c r="Y1081" s="231"/>
      <c r="Z1081" s="231"/>
      <c r="AA1081" s="231"/>
      <c r="AB1081" s="231"/>
    </row>
    <row r="1082" ht="24.75" customHeight="1" outlineLevel="1">
      <c r="A1082" s="282">
        <v>46153.0</v>
      </c>
      <c r="B1082" s="383" t="s">
        <v>753</v>
      </c>
      <c r="C1082" s="488" t="s">
        <v>1208</v>
      </c>
      <c r="D1082" s="475" t="s">
        <v>1300</v>
      </c>
      <c r="E1082" s="523" t="s">
        <v>1282</v>
      </c>
      <c r="F1082" s="491"/>
      <c r="G1082" s="491"/>
      <c r="H1082" s="491" t="s">
        <v>1254</v>
      </c>
      <c r="I1082" s="237" t="s">
        <v>1158</v>
      </c>
      <c r="J1082" s="231"/>
      <c r="K1082" s="231"/>
      <c r="L1082" s="231"/>
      <c r="M1082" s="231"/>
      <c r="N1082" s="231"/>
      <c r="O1082" s="231"/>
      <c r="P1082" s="231"/>
      <c r="Q1082" s="231"/>
      <c r="R1082" s="231"/>
      <c r="S1082" s="231"/>
      <c r="T1082" s="231"/>
      <c r="U1082" s="231"/>
      <c r="V1082" s="231"/>
      <c r="W1082" s="231"/>
      <c r="X1082" s="231"/>
      <c r="Y1082" s="231"/>
      <c r="Z1082" s="231"/>
      <c r="AA1082" s="231"/>
      <c r="AB1082" s="231"/>
    </row>
    <row r="1083" ht="24.75" customHeight="1" outlineLevel="1">
      <c r="A1083" s="282">
        <v>46153.0</v>
      </c>
      <c r="B1083" s="383" t="s">
        <v>756</v>
      </c>
      <c r="C1083" s="488" t="s">
        <v>1208</v>
      </c>
      <c r="D1083" s="475" t="s">
        <v>1300</v>
      </c>
      <c r="E1083" s="523" t="s">
        <v>1282</v>
      </c>
      <c r="F1083" s="491"/>
      <c r="G1083" s="491"/>
      <c r="H1083" s="491" t="s">
        <v>1254</v>
      </c>
      <c r="I1083" s="237" t="s">
        <v>1192</v>
      </c>
      <c r="J1083" s="231"/>
      <c r="K1083" s="231"/>
      <c r="L1083" s="231"/>
      <c r="M1083" s="231"/>
      <c r="N1083" s="231"/>
      <c r="O1083" s="231"/>
      <c r="P1083" s="231"/>
      <c r="Q1083" s="231"/>
      <c r="R1083" s="231"/>
      <c r="S1083" s="231"/>
      <c r="T1083" s="231"/>
      <c r="U1083" s="231"/>
      <c r="V1083" s="231"/>
      <c r="W1083" s="231"/>
      <c r="X1083" s="231"/>
      <c r="Y1083" s="231"/>
      <c r="Z1083" s="231"/>
      <c r="AA1083" s="231"/>
      <c r="AB1083" s="231"/>
    </row>
    <row r="1084" ht="24.75" customHeight="1" outlineLevel="1">
      <c r="A1084" s="282">
        <v>46153.0</v>
      </c>
      <c r="B1084" s="383" t="s">
        <v>801</v>
      </c>
      <c r="C1084" s="383" t="s">
        <v>715</v>
      </c>
      <c r="D1084" s="383" t="s">
        <v>802</v>
      </c>
      <c r="E1084" s="498" t="s">
        <v>717</v>
      </c>
      <c r="F1084" s="491"/>
      <c r="G1084" s="491"/>
      <c r="H1084" s="506" t="s">
        <v>803</v>
      </c>
      <c r="I1084" s="231"/>
      <c r="J1084" s="231"/>
      <c r="K1084" s="231"/>
      <c r="L1084" s="231"/>
      <c r="M1084" s="231"/>
      <c r="N1084" s="237" t="s">
        <v>1079</v>
      </c>
      <c r="O1084" s="231"/>
      <c r="P1084" s="231"/>
      <c r="Q1084" s="231"/>
      <c r="R1084" s="231"/>
      <c r="S1084" s="231"/>
      <c r="T1084" s="231"/>
      <c r="U1084" s="231"/>
      <c r="V1084" s="231"/>
      <c r="W1084" s="231"/>
      <c r="X1084" s="231"/>
      <c r="Y1084" s="231"/>
      <c r="Z1084" s="231"/>
      <c r="AA1084" s="231"/>
      <c r="AB1084" s="231"/>
    </row>
    <row r="1085" ht="24.75" customHeight="1" outlineLevel="1">
      <c r="A1085" s="282">
        <v>46154.0</v>
      </c>
      <c r="B1085" s="507" t="s">
        <v>1223</v>
      </c>
      <c r="C1085" s="508" t="s">
        <v>715</v>
      </c>
      <c r="D1085" s="373" t="s">
        <v>662</v>
      </c>
      <c r="E1085" s="498" t="s">
        <v>717</v>
      </c>
      <c r="F1085" s="491"/>
      <c r="G1085" s="491"/>
      <c r="H1085" s="491" t="s">
        <v>1069</v>
      </c>
      <c r="I1085" s="237"/>
      <c r="J1085" s="231"/>
      <c r="K1085" s="231"/>
      <c r="L1085" s="231"/>
      <c r="M1085" s="231"/>
      <c r="N1085" s="237" t="s">
        <v>1082</v>
      </c>
      <c r="O1085" s="231"/>
      <c r="P1085" s="231"/>
      <c r="Q1085" s="231"/>
      <c r="R1085" s="231"/>
      <c r="S1085" s="231"/>
      <c r="T1085" s="231"/>
      <c r="U1085" s="231"/>
      <c r="V1085" s="231"/>
      <c r="W1085" s="231"/>
      <c r="X1085" s="231"/>
      <c r="Y1085" s="231"/>
      <c r="Z1085" s="231"/>
      <c r="AA1085" s="231"/>
      <c r="AB1085" s="231"/>
    </row>
    <row r="1086" ht="24.75" customHeight="1" outlineLevel="1">
      <c r="A1086" s="282">
        <v>46154.0</v>
      </c>
      <c r="B1086" s="508" t="s">
        <v>714</v>
      </c>
      <c r="C1086" s="373" t="s">
        <v>715</v>
      </c>
      <c r="D1086" s="373" t="s">
        <v>662</v>
      </c>
      <c r="E1086" s="498" t="s">
        <v>717</v>
      </c>
      <c r="F1086" s="491"/>
      <c r="G1086" s="491"/>
      <c r="H1086" s="491" t="s">
        <v>1067</v>
      </c>
      <c r="I1086" s="237"/>
      <c r="J1086" s="231"/>
      <c r="K1086" s="231"/>
      <c r="L1086" s="231"/>
      <c r="M1086" s="231"/>
      <c r="N1086" s="231"/>
      <c r="O1086" s="231"/>
      <c r="P1086" s="231"/>
      <c r="Q1086" s="231"/>
      <c r="R1086" s="231"/>
      <c r="S1086" s="231"/>
      <c r="T1086" s="231"/>
      <c r="U1086" s="231"/>
      <c r="V1086" s="231"/>
      <c r="W1086" s="231"/>
      <c r="X1086" s="231"/>
      <c r="Y1086" s="231"/>
      <c r="Z1086" s="231"/>
      <c r="AA1086" s="231"/>
      <c r="AB1086" s="231"/>
    </row>
    <row r="1087" ht="24.75" customHeight="1" outlineLevel="1">
      <c r="A1087" s="282">
        <v>46154.0</v>
      </c>
      <c r="B1087" s="508" t="s">
        <v>808</v>
      </c>
      <c r="C1087" s="510" t="s">
        <v>715</v>
      </c>
      <c r="D1087" s="508" t="s">
        <v>802</v>
      </c>
      <c r="E1087" s="498" t="s">
        <v>717</v>
      </c>
      <c r="F1087" s="491"/>
      <c r="G1087" s="491"/>
      <c r="H1087" s="491" t="s">
        <v>1238</v>
      </c>
      <c r="I1087" s="237"/>
      <c r="J1087" s="231"/>
      <c r="K1087" s="231"/>
      <c r="L1087" s="231"/>
      <c r="M1087" s="231"/>
      <c r="N1087" s="231"/>
      <c r="O1087" s="231"/>
      <c r="P1087" s="231"/>
      <c r="Q1087" s="231"/>
      <c r="R1087" s="231"/>
      <c r="S1087" s="231"/>
      <c r="T1087" s="231"/>
      <c r="U1087" s="231"/>
      <c r="V1087" s="231"/>
      <c r="W1087" s="231"/>
      <c r="X1087" s="231"/>
      <c r="Y1087" s="231"/>
      <c r="Z1087" s="231"/>
      <c r="AA1087" s="231"/>
      <c r="AB1087" s="231"/>
    </row>
    <row r="1088" ht="24.75" customHeight="1" outlineLevel="1">
      <c r="A1088" s="282">
        <v>46154.0</v>
      </c>
      <c r="B1088" s="508" t="s">
        <v>1239</v>
      </c>
      <c r="C1088" s="469" t="s">
        <v>1274</v>
      </c>
      <c r="D1088" s="527" t="s">
        <v>1301</v>
      </c>
      <c r="E1088" s="502" t="s">
        <v>1275</v>
      </c>
      <c r="F1088" s="491"/>
      <c r="G1088" s="491"/>
      <c r="H1088" s="491" t="s">
        <v>1240</v>
      </c>
      <c r="I1088" s="237"/>
      <c r="J1088" s="231"/>
      <c r="K1088" s="231"/>
      <c r="L1088" s="231"/>
      <c r="M1088" s="231"/>
      <c r="N1088" s="231"/>
      <c r="O1088" s="231"/>
      <c r="P1088" s="231"/>
      <c r="Q1088" s="231"/>
      <c r="R1088" s="231"/>
      <c r="S1088" s="231"/>
      <c r="T1088" s="231"/>
      <c r="U1088" s="231"/>
      <c r="V1088" s="231"/>
      <c r="W1088" s="231"/>
      <c r="X1088" s="231"/>
      <c r="Y1088" s="231"/>
      <c r="Z1088" s="231"/>
      <c r="AA1088" s="231"/>
      <c r="AB1088" s="231"/>
    </row>
    <row r="1089" ht="24.75" customHeight="1" outlineLevel="1">
      <c r="A1089" s="282">
        <v>46155.0</v>
      </c>
      <c r="B1089" s="508" t="s">
        <v>1243</v>
      </c>
      <c r="C1089" s="469" t="s">
        <v>1274</v>
      </c>
      <c r="D1089" s="337" t="s">
        <v>1290</v>
      </c>
      <c r="E1089" s="502" t="s">
        <v>1275</v>
      </c>
      <c r="F1089" s="491"/>
      <c r="G1089" s="492"/>
      <c r="H1089" s="491" t="s">
        <v>1240</v>
      </c>
      <c r="I1089" s="237"/>
      <c r="J1089" s="231"/>
      <c r="K1089" s="231"/>
      <c r="L1089" s="231"/>
      <c r="M1089" s="231"/>
      <c r="N1089" s="231"/>
      <c r="O1089" s="231"/>
      <c r="P1089" s="231"/>
      <c r="Q1089" s="231"/>
      <c r="R1089" s="231"/>
      <c r="S1089" s="231"/>
      <c r="T1089" s="231"/>
      <c r="U1089" s="231"/>
      <c r="V1089" s="231"/>
      <c r="W1089" s="231"/>
      <c r="X1089" s="231"/>
      <c r="Y1089" s="231"/>
      <c r="Z1089" s="231"/>
      <c r="AA1089" s="231"/>
      <c r="AB1089" s="231"/>
    </row>
    <row r="1090" ht="24.75" customHeight="1" outlineLevel="1">
      <c r="A1090" s="282">
        <v>46156.0</v>
      </c>
      <c r="B1090" s="508" t="s">
        <v>1246</v>
      </c>
      <c r="C1090" s="469" t="s">
        <v>1274</v>
      </c>
      <c r="D1090" s="337" t="s">
        <v>1290</v>
      </c>
      <c r="E1090" s="502" t="s">
        <v>1275</v>
      </c>
      <c r="F1090" s="491"/>
      <c r="G1090" s="492"/>
      <c r="H1090" s="491" t="s">
        <v>1240</v>
      </c>
      <c r="I1090" s="237"/>
      <c r="J1090" s="231"/>
      <c r="K1090" s="231"/>
      <c r="L1090" s="231"/>
      <c r="M1090" s="231"/>
      <c r="N1090" s="231"/>
      <c r="O1090" s="231"/>
      <c r="P1090" s="231"/>
      <c r="Q1090" s="231"/>
      <c r="R1090" s="231"/>
      <c r="S1090" s="231"/>
      <c r="T1090" s="231"/>
      <c r="U1090" s="231"/>
      <c r="V1090" s="231"/>
      <c r="W1090" s="231"/>
      <c r="X1090" s="231"/>
      <c r="Y1090" s="231"/>
      <c r="Z1090" s="231"/>
      <c r="AA1090" s="231"/>
      <c r="AB1090" s="231"/>
    </row>
    <row r="1091" ht="24.75" customHeight="1">
      <c r="A1091" s="530"/>
      <c r="B1091" s="531"/>
      <c r="C1091" s="531"/>
      <c r="D1091" s="531"/>
      <c r="E1091" s="224"/>
      <c r="F1091" s="491"/>
      <c r="G1091" s="491"/>
      <c r="H1091" s="506"/>
      <c r="I1091" s="231"/>
      <c r="J1091" s="231"/>
      <c r="K1091" s="231"/>
      <c r="L1091" s="231"/>
      <c r="M1091" s="231"/>
      <c r="N1091" s="231"/>
      <c r="O1091" s="231"/>
      <c r="P1091" s="231"/>
      <c r="Q1091" s="231"/>
      <c r="R1091" s="231"/>
      <c r="S1091" s="231"/>
      <c r="T1091" s="231"/>
      <c r="U1091" s="231"/>
      <c r="V1091" s="231"/>
      <c r="W1091" s="231"/>
      <c r="X1091" s="231"/>
      <c r="Y1091" s="231"/>
      <c r="Z1091" s="231"/>
      <c r="AA1091" s="231"/>
      <c r="AB1091" s="231"/>
      <c r="AC1091" s="231"/>
    </row>
    <row r="1092" ht="24.75" customHeight="1">
      <c r="A1092" s="530"/>
      <c r="B1092" s="531"/>
      <c r="C1092" s="531"/>
      <c r="D1092" s="531"/>
      <c r="E1092" s="224"/>
      <c r="F1092" s="491"/>
      <c r="G1092" s="491"/>
      <c r="H1092" s="506"/>
      <c r="I1092" s="231"/>
      <c r="J1092" s="231"/>
      <c r="K1092" s="231"/>
      <c r="L1092" s="231"/>
      <c r="M1092" s="231"/>
      <c r="N1092" s="231"/>
      <c r="O1092" s="231"/>
      <c r="P1092" s="231"/>
      <c r="Q1092" s="231"/>
      <c r="R1092" s="231"/>
      <c r="S1092" s="231"/>
      <c r="T1092" s="231"/>
      <c r="U1092" s="231"/>
      <c r="V1092" s="231"/>
      <c r="W1092" s="231"/>
      <c r="X1092" s="231"/>
      <c r="Y1092" s="231"/>
      <c r="Z1092" s="231"/>
      <c r="AA1092" s="231"/>
      <c r="AB1092" s="231"/>
      <c r="AC1092" s="231"/>
    </row>
    <row r="1093" ht="24.75" customHeight="1">
      <c r="A1093" s="530"/>
      <c r="B1093" s="531"/>
      <c r="C1093" s="531"/>
      <c r="D1093" s="531"/>
      <c r="E1093" s="224"/>
      <c r="F1093" s="491"/>
      <c r="G1093" s="491"/>
      <c r="H1093" s="506"/>
      <c r="I1093" s="231"/>
      <c r="J1093" s="231"/>
      <c r="K1093" s="231"/>
      <c r="L1093" s="231"/>
      <c r="M1093" s="231"/>
      <c r="N1093" s="231"/>
      <c r="O1093" s="231"/>
      <c r="P1093" s="231"/>
      <c r="Q1093" s="231"/>
      <c r="R1093" s="231"/>
      <c r="S1093" s="231"/>
      <c r="T1093" s="231"/>
      <c r="U1093" s="231"/>
      <c r="V1093" s="231"/>
      <c r="W1093" s="231"/>
      <c r="X1093" s="231"/>
      <c r="Y1093" s="231"/>
      <c r="Z1093" s="231"/>
      <c r="AA1093" s="231"/>
      <c r="AB1093" s="231"/>
      <c r="AC1093" s="231"/>
    </row>
    <row r="1094" ht="24.75" customHeight="1">
      <c r="A1094" s="530"/>
      <c r="B1094" s="531"/>
      <c r="C1094" s="531"/>
      <c r="D1094" s="531"/>
      <c r="E1094" s="224"/>
      <c r="F1094" s="491"/>
      <c r="G1094" s="491"/>
      <c r="H1094" s="506"/>
      <c r="I1094" s="231"/>
      <c r="J1094" s="231"/>
      <c r="K1094" s="231"/>
      <c r="L1094" s="231"/>
      <c r="M1094" s="231"/>
      <c r="N1094" s="231"/>
      <c r="O1094" s="231"/>
      <c r="P1094" s="231"/>
      <c r="Q1094" s="231"/>
      <c r="R1094" s="231"/>
      <c r="S1094" s="231"/>
      <c r="T1094" s="231"/>
      <c r="U1094" s="231"/>
      <c r="V1094" s="231"/>
      <c r="W1094" s="231"/>
      <c r="X1094" s="231"/>
      <c r="Y1094" s="231"/>
      <c r="Z1094" s="231"/>
      <c r="AA1094" s="231"/>
      <c r="AB1094" s="231"/>
      <c r="AC1094" s="231"/>
    </row>
    <row r="1095" ht="24.75" customHeight="1">
      <c r="A1095" s="530"/>
      <c r="B1095" s="531"/>
      <c r="C1095" s="531"/>
      <c r="D1095" s="531"/>
      <c r="E1095" s="224"/>
      <c r="F1095" s="491"/>
      <c r="G1095" s="491"/>
      <c r="H1095" s="506"/>
      <c r="I1095" s="231"/>
      <c r="J1095" s="231"/>
      <c r="K1095" s="231"/>
      <c r="L1095" s="231"/>
      <c r="M1095" s="231"/>
      <c r="N1095" s="231"/>
      <c r="O1095" s="231"/>
      <c r="P1095" s="231"/>
      <c r="Q1095" s="231"/>
      <c r="R1095" s="231"/>
      <c r="S1095" s="231"/>
      <c r="T1095" s="231"/>
      <c r="U1095" s="231"/>
      <c r="V1095" s="231"/>
      <c r="W1095" s="231"/>
      <c r="X1095" s="231"/>
      <c r="Y1095" s="231"/>
      <c r="Z1095" s="231"/>
      <c r="AA1095" s="231"/>
      <c r="AB1095" s="231"/>
      <c r="AC1095" s="231"/>
    </row>
    <row r="1096" ht="24.75" customHeight="1">
      <c r="A1096" s="530"/>
      <c r="B1096" s="531"/>
      <c r="C1096" s="531"/>
      <c r="D1096" s="531"/>
      <c r="E1096" s="224"/>
      <c r="F1096" s="491"/>
      <c r="G1096" s="491"/>
      <c r="H1096" s="506"/>
      <c r="I1096" s="231"/>
      <c r="J1096" s="231"/>
      <c r="K1096" s="231"/>
      <c r="L1096" s="231"/>
      <c r="M1096" s="231"/>
      <c r="N1096" s="231"/>
      <c r="O1096" s="231"/>
      <c r="P1096" s="231"/>
      <c r="Q1096" s="231"/>
      <c r="R1096" s="231"/>
      <c r="S1096" s="231"/>
      <c r="T1096" s="231"/>
      <c r="U1096" s="231"/>
      <c r="V1096" s="231"/>
      <c r="W1096" s="231"/>
      <c r="X1096" s="231"/>
      <c r="Y1096" s="231"/>
      <c r="Z1096" s="231"/>
      <c r="AA1096" s="231"/>
      <c r="AB1096" s="231"/>
      <c r="AC1096" s="231"/>
    </row>
    <row r="1097" ht="24.75" customHeight="1">
      <c r="A1097" s="530"/>
      <c r="B1097" s="531"/>
      <c r="C1097" s="531"/>
      <c r="D1097" s="531"/>
      <c r="E1097" s="224"/>
      <c r="F1097" s="491"/>
      <c r="G1097" s="491"/>
      <c r="H1097" s="506"/>
      <c r="I1097" s="231"/>
      <c r="J1097" s="231"/>
      <c r="K1097" s="231"/>
      <c r="L1097" s="231"/>
      <c r="M1097" s="231"/>
      <c r="N1097" s="231"/>
      <c r="O1097" s="231"/>
      <c r="P1097" s="231"/>
      <c r="Q1097" s="231"/>
      <c r="R1097" s="231"/>
      <c r="S1097" s="231"/>
      <c r="T1097" s="231"/>
      <c r="U1097" s="231"/>
      <c r="V1097" s="231"/>
      <c r="W1097" s="231"/>
      <c r="X1097" s="231"/>
      <c r="Y1097" s="231"/>
      <c r="Z1097" s="231"/>
      <c r="AA1097" s="231"/>
      <c r="AB1097" s="231"/>
      <c r="AC1097" s="231"/>
    </row>
    <row r="1098" ht="24.75" customHeight="1">
      <c r="A1098" s="530"/>
      <c r="B1098" s="531"/>
      <c r="C1098" s="531"/>
      <c r="D1098" s="531"/>
      <c r="E1098" s="224"/>
      <c r="F1098" s="491"/>
      <c r="G1098" s="491"/>
      <c r="H1098" s="506"/>
      <c r="I1098" s="231"/>
      <c r="J1098" s="231"/>
      <c r="K1098" s="231"/>
      <c r="L1098" s="231"/>
      <c r="M1098" s="231"/>
      <c r="N1098" s="231"/>
      <c r="O1098" s="231"/>
      <c r="P1098" s="231"/>
      <c r="Q1098" s="231"/>
      <c r="R1098" s="231"/>
      <c r="S1098" s="231"/>
      <c r="T1098" s="231"/>
      <c r="U1098" s="231"/>
      <c r="V1098" s="231"/>
      <c r="W1098" s="231"/>
      <c r="X1098" s="231"/>
      <c r="Y1098" s="231"/>
      <c r="Z1098" s="231"/>
      <c r="AA1098" s="231"/>
      <c r="AB1098" s="231"/>
      <c r="AC1098" s="231"/>
    </row>
    <row r="1099" ht="24.75" customHeight="1">
      <c r="A1099" s="530"/>
      <c r="B1099" s="531"/>
      <c r="C1099" s="531"/>
      <c r="D1099" s="531"/>
      <c r="E1099" s="224"/>
      <c r="F1099" s="491"/>
      <c r="G1099" s="491"/>
      <c r="H1099" s="506"/>
      <c r="I1099" s="231"/>
      <c r="J1099" s="231"/>
      <c r="K1099" s="231"/>
      <c r="L1099" s="231"/>
      <c r="M1099" s="231"/>
      <c r="N1099" s="231"/>
      <c r="O1099" s="231"/>
      <c r="P1099" s="231"/>
      <c r="Q1099" s="231"/>
      <c r="R1099" s="231"/>
      <c r="S1099" s="231"/>
      <c r="T1099" s="231"/>
      <c r="U1099" s="231"/>
      <c r="V1099" s="231"/>
      <c r="W1099" s="231"/>
      <c r="X1099" s="231"/>
      <c r="Y1099" s="231"/>
      <c r="Z1099" s="231"/>
      <c r="AA1099" s="231"/>
      <c r="AB1099" s="231"/>
      <c r="AC1099" s="231"/>
    </row>
    <row r="1100" ht="24.75" customHeight="1">
      <c r="A1100" s="530"/>
      <c r="B1100" s="531"/>
      <c r="C1100" s="531"/>
      <c r="D1100" s="531"/>
      <c r="E1100" s="224"/>
      <c r="F1100" s="491"/>
      <c r="G1100" s="491"/>
      <c r="H1100" s="506"/>
      <c r="I1100" s="231"/>
      <c r="J1100" s="231"/>
      <c r="K1100" s="231"/>
      <c r="L1100" s="231"/>
      <c r="M1100" s="231"/>
      <c r="N1100" s="231"/>
      <c r="O1100" s="231"/>
      <c r="P1100" s="231"/>
      <c r="Q1100" s="231"/>
      <c r="R1100" s="231"/>
      <c r="S1100" s="231"/>
      <c r="T1100" s="231"/>
      <c r="U1100" s="231"/>
      <c r="V1100" s="231"/>
      <c r="W1100" s="231"/>
      <c r="X1100" s="231"/>
      <c r="Y1100" s="231"/>
      <c r="Z1100" s="231"/>
      <c r="AA1100" s="231"/>
      <c r="AB1100" s="231"/>
      <c r="AC1100" s="231"/>
    </row>
    <row r="1101" ht="24.75" customHeight="1">
      <c r="A1101" s="530"/>
      <c r="B1101" s="531"/>
      <c r="C1101" s="531"/>
      <c r="D1101" s="531"/>
      <c r="E1101" s="224"/>
      <c r="F1101" s="491"/>
      <c r="G1101" s="491"/>
      <c r="H1101" s="506"/>
      <c r="I1101" s="231"/>
      <c r="J1101" s="231"/>
      <c r="K1101" s="231"/>
      <c r="L1101" s="231"/>
      <c r="M1101" s="231"/>
      <c r="N1101" s="231"/>
      <c r="O1101" s="231"/>
      <c r="P1101" s="231"/>
      <c r="Q1101" s="231"/>
      <c r="R1101" s="231"/>
      <c r="S1101" s="231"/>
      <c r="T1101" s="231"/>
      <c r="U1101" s="231"/>
      <c r="V1101" s="231"/>
      <c r="W1101" s="231"/>
      <c r="X1101" s="231"/>
      <c r="Y1101" s="231"/>
      <c r="Z1101" s="231"/>
      <c r="AA1101" s="231"/>
      <c r="AB1101" s="231"/>
      <c r="AC1101" s="231"/>
    </row>
    <row r="1102" ht="24.75" customHeight="1">
      <c r="A1102" s="530"/>
      <c r="B1102" s="531"/>
      <c r="C1102" s="531"/>
      <c r="D1102" s="531"/>
      <c r="E1102" s="224"/>
      <c r="F1102" s="491"/>
      <c r="G1102" s="491"/>
      <c r="H1102" s="506"/>
      <c r="I1102" s="231"/>
      <c r="J1102" s="231"/>
      <c r="K1102" s="231"/>
      <c r="L1102" s="231"/>
      <c r="M1102" s="231"/>
      <c r="N1102" s="231"/>
      <c r="O1102" s="231"/>
      <c r="P1102" s="231"/>
      <c r="Q1102" s="231"/>
      <c r="R1102" s="231"/>
      <c r="S1102" s="231"/>
      <c r="T1102" s="231"/>
      <c r="U1102" s="231"/>
      <c r="V1102" s="231"/>
      <c r="W1102" s="231"/>
      <c r="X1102" s="231"/>
      <c r="Y1102" s="231"/>
      <c r="Z1102" s="231"/>
      <c r="AA1102" s="231"/>
      <c r="AB1102" s="231"/>
      <c r="AC1102" s="231"/>
    </row>
    <row r="1103" ht="24.75" customHeight="1">
      <c r="A1103" s="530"/>
      <c r="B1103" s="531"/>
      <c r="C1103" s="531"/>
      <c r="D1103" s="531"/>
      <c r="E1103" s="224"/>
      <c r="F1103" s="491"/>
      <c r="G1103" s="491"/>
      <c r="H1103" s="506"/>
      <c r="I1103" s="231"/>
      <c r="J1103" s="231"/>
      <c r="K1103" s="231"/>
      <c r="L1103" s="231"/>
      <c r="M1103" s="231"/>
      <c r="N1103" s="231"/>
      <c r="O1103" s="231"/>
      <c r="P1103" s="231"/>
      <c r="Q1103" s="231"/>
      <c r="R1103" s="231"/>
      <c r="S1103" s="231"/>
      <c r="T1103" s="231"/>
      <c r="U1103" s="231"/>
      <c r="V1103" s="231"/>
      <c r="W1103" s="231"/>
      <c r="X1103" s="231"/>
      <c r="Y1103" s="231"/>
      <c r="Z1103" s="231"/>
      <c r="AA1103" s="231"/>
      <c r="AB1103" s="231"/>
      <c r="AC1103" s="231"/>
    </row>
    <row r="1104" ht="24.75" customHeight="1">
      <c r="A1104" s="530"/>
      <c r="B1104" s="531"/>
      <c r="C1104" s="531"/>
      <c r="D1104" s="531"/>
      <c r="E1104" s="224"/>
      <c r="F1104" s="491"/>
      <c r="G1104" s="491"/>
      <c r="H1104" s="506"/>
      <c r="I1104" s="231"/>
      <c r="J1104" s="231"/>
      <c r="K1104" s="231"/>
      <c r="L1104" s="231"/>
      <c r="M1104" s="231"/>
      <c r="N1104" s="231"/>
      <c r="O1104" s="231"/>
      <c r="P1104" s="231"/>
      <c r="Q1104" s="231"/>
      <c r="R1104" s="231"/>
      <c r="S1104" s="231"/>
      <c r="T1104" s="231"/>
      <c r="U1104" s="231"/>
      <c r="V1104" s="231"/>
      <c r="W1104" s="231"/>
      <c r="X1104" s="231"/>
      <c r="Y1104" s="231"/>
      <c r="Z1104" s="231"/>
      <c r="AA1104" s="231"/>
      <c r="AB1104" s="231"/>
      <c r="AC1104" s="231"/>
    </row>
    <row r="1105" ht="24.75" customHeight="1">
      <c r="A1105" s="530"/>
      <c r="B1105" s="531"/>
      <c r="C1105" s="531"/>
      <c r="D1105" s="531"/>
      <c r="E1105" s="224"/>
      <c r="F1105" s="491"/>
      <c r="G1105" s="491"/>
      <c r="H1105" s="506"/>
      <c r="I1105" s="231"/>
      <c r="J1105" s="231"/>
      <c r="K1105" s="231"/>
      <c r="L1105" s="231"/>
      <c r="M1105" s="231"/>
      <c r="N1105" s="231"/>
      <c r="O1105" s="231"/>
      <c r="P1105" s="231"/>
      <c r="Q1105" s="231"/>
      <c r="R1105" s="231"/>
      <c r="S1105" s="231"/>
      <c r="T1105" s="231"/>
      <c r="U1105" s="231"/>
      <c r="V1105" s="231"/>
      <c r="W1105" s="231"/>
      <c r="X1105" s="231"/>
      <c r="Y1105" s="231"/>
      <c r="Z1105" s="231"/>
      <c r="AA1105" s="231"/>
      <c r="AB1105" s="231"/>
      <c r="AC1105" s="231"/>
    </row>
    <row r="1106" ht="24.75" customHeight="1">
      <c r="A1106" s="530"/>
      <c r="B1106" s="531"/>
      <c r="C1106" s="531"/>
      <c r="D1106" s="531"/>
      <c r="E1106" s="224"/>
      <c r="F1106" s="491"/>
      <c r="G1106" s="491"/>
      <c r="H1106" s="506"/>
      <c r="I1106" s="231"/>
      <c r="J1106" s="231"/>
      <c r="K1106" s="231"/>
      <c r="L1106" s="231"/>
      <c r="M1106" s="231"/>
      <c r="N1106" s="231"/>
      <c r="O1106" s="231"/>
      <c r="P1106" s="231"/>
      <c r="Q1106" s="231"/>
      <c r="R1106" s="231"/>
      <c r="S1106" s="231"/>
      <c r="T1106" s="231"/>
      <c r="U1106" s="231"/>
      <c r="V1106" s="231"/>
      <c r="W1106" s="231"/>
      <c r="X1106" s="231"/>
      <c r="Y1106" s="231"/>
      <c r="Z1106" s="231"/>
      <c r="AA1106" s="231"/>
      <c r="AB1106" s="231"/>
      <c r="AC1106" s="231"/>
    </row>
    <row r="1107" ht="24.75" customHeight="1">
      <c r="A1107" s="530"/>
      <c r="B1107" s="531"/>
      <c r="C1107" s="531"/>
      <c r="D1107" s="531"/>
      <c r="E1107" s="224"/>
      <c r="F1107" s="491"/>
      <c r="G1107" s="491"/>
      <c r="H1107" s="506"/>
      <c r="I1107" s="231"/>
      <c r="J1107" s="231"/>
      <c r="K1107" s="231"/>
      <c r="L1107" s="231"/>
      <c r="M1107" s="231"/>
      <c r="N1107" s="231"/>
      <c r="O1107" s="231"/>
      <c r="P1107" s="231"/>
      <c r="Q1107" s="231"/>
      <c r="R1107" s="231"/>
      <c r="S1107" s="231"/>
      <c r="T1107" s="231"/>
      <c r="U1107" s="231"/>
      <c r="V1107" s="231"/>
      <c r="W1107" s="231"/>
      <c r="X1107" s="231"/>
      <c r="Y1107" s="231"/>
      <c r="Z1107" s="231"/>
      <c r="AA1107" s="231"/>
      <c r="AB1107" s="231"/>
      <c r="AC1107" s="231"/>
    </row>
    <row r="1108" ht="24.75" customHeight="1">
      <c r="A1108" s="530"/>
      <c r="B1108" s="531"/>
      <c r="C1108" s="531"/>
      <c r="D1108" s="531"/>
      <c r="E1108" s="224"/>
      <c r="F1108" s="491"/>
      <c r="G1108" s="491"/>
      <c r="H1108" s="506"/>
      <c r="I1108" s="231"/>
      <c r="J1108" s="231"/>
      <c r="K1108" s="231"/>
      <c r="L1108" s="231"/>
      <c r="M1108" s="231"/>
      <c r="N1108" s="231"/>
      <c r="O1108" s="231"/>
      <c r="P1108" s="231"/>
      <c r="Q1108" s="231"/>
      <c r="R1108" s="231"/>
      <c r="S1108" s="231"/>
      <c r="T1108" s="231"/>
      <c r="U1108" s="231"/>
      <c r="V1108" s="231"/>
      <c r="W1108" s="231"/>
      <c r="X1108" s="231"/>
      <c r="Y1108" s="231"/>
      <c r="Z1108" s="231"/>
      <c r="AA1108" s="231"/>
      <c r="AB1108" s="231"/>
      <c r="AC1108" s="231"/>
    </row>
    <row r="1109" ht="24.75" customHeight="1">
      <c r="A1109" s="530"/>
      <c r="B1109" s="531"/>
      <c r="C1109" s="531"/>
      <c r="D1109" s="531"/>
      <c r="E1109" s="224"/>
      <c r="F1109" s="491"/>
      <c r="G1109" s="491"/>
      <c r="H1109" s="506"/>
      <c r="I1109" s="231"/>
      <c r="J1109" s="231"/>
      <c r="K1109" s="231"/>
      <c r="L1109" s="231"/>
      <c r="M1109" s="231"/>
      <c r="N1109" s="231"/>
      <c r="O1109" s="231"/>
      <c r="P1109" s="231"/>
      <c r="Q1109" s="231"/>
      <c r="R1109" s="231"/>
      <c r="S1109" s="231"/>
      <c r="T1109" s="231"/>
      <c r="U1109" s="231"/>
      <c r="V1109" s="231"/>
      <c r="W1109" s="231"/>
      <c r="X1109" s="231"/>
      <c r="Y1109" s="231"/>
      <c r="Z1109" s="231"/>
      <c r="AA1109" s="231"/>
      <c r="AB1109" s="231"/>
      <c r="AC1109" s="231"/>
    </row>
    <row r="1110" ht="24.75" customHeight="1">
      <c r="A1110" s="530"/>
      <c r="B1110" s="531"/>
      <c r="C1110" s="531"/>
      <c r="D1110" s="531"/>
      <c r="E1110" s="224"/>
      <c r="F1110" s="491"/>
      <c r="G1110" s="491"/>
      <c r="H1110" s="506"/>
      <c r="I1110" s="231"/>
      <c r="J1110" s="231"/>
      <c r="K1110" s="231"/>
      <c r="L1110" s="231"/>
      <c r="M1110" s="231"/>
      <c r="N1110" s="231"/>
      <c r="O1110" s="231"/>
      <c r="P1110" s="231"/>
      <c r="Q1110" s="231"/>
      <c r="R1110" s="231"/>
      <c r="S1110" s="231"/>
      <c r="T1110" s="231"/>
      <c r="U1110" s="231"/>
      <c r="V1110" s="231"/>
      <c r="W1110" s="231"/>
      <c r="X1110" s="231"/>
      <c r="Y1110" s="231"/>
      <c r="Z1110" s="231"/>
      <c r="AA1110" s="231"/>
      <c r="AB1110" s="231"/>
      <c r="AC1110" s="231"/>
    </row>
    <row r="1111" ht="24.75" customHeight="1">
      <c r="A1111" s="530"/>
      <c r="B1111" s="531"/>
      <c r="C1111" s="531"/>
      <c r="D1111" s="531"/>
      <c r="E1111" s="224"/>
      <c r="F1111" s="491"/>
      <c r="G1111" s="491"/>
      <c r="H1111" s="506"/>
      <c r="I1111" s="231"/>
      <c r="J1111" s="231"/>
      <c r="K1111" s="231"/>
      <c r="L1111" s="231"/>
      <c r="M1111" s="231"/>
      <c r="N1111" s="231"/>
      <c r="O1111" s="231"/>
      <c r="P1111" s="231"/>
      <c r="Q1111" s="231"/>
      <c r="R1111" s="231"/>
      <c r="S1111" s="231"/>
      <c r="T1111" s="231"/>
      <c r="U1111" s="231"/>
      <c r="V1111" s="231"/>
      <c r="W1111" s="231"/>
      <c r="X1111" s="231"/>
      <c r="Y1111" s="231"/>
      <c r="Z1111" s="231"/>
      <c r="AA1111" s="231"/>
      <c r="AB1111" s="231"/>
      <c r="AC1111" s="231"/>
    </row>
    <row r="1112" ht="24.75" customHeight="1">
      <c r="A1112" s="530"/>
      <c r="B1112" s="531"/>
      <c r="C1112" s="531"/>
      <c r="D1112" s="531"/>
      <c r="E1112" s="224"/>
      <c r="F1112" s="491"/>
      <c r="G1112" s="491"/>
      <c r="H1112" s="506"/>
      <c r="I1112" s="231"/>
      <c r="J1112" s="231"/>
      <c r="K1112" s="231"/>
      <c r="L1112" s="231"/>
      <c r="M1112" s="231"/>
      <c r="N1112" s="231"/>
      <c r="O1112" s="231"/>
      <c r="P1112" s="231"/>
      <c r="Q1112" s="231"/>
      <c r="R1112" s="231"/>
      <c r="S1112" s="231"/>
      <c r="T1112" s="231"/>
      <c r="U1112" s="231"/>
      <c r="V1112" s="231"/>
      <c r="W1112" s="231"/>
      <c r="X1112" s="231"/>
      <c r="Y1112" s="231"/>
      <c r="Z1112" s="231"/>
      <c r="AA1112" s="231"/>
      <c r="AB1112" s="231"/>
      <c r="AC1112" s="231"/>
    </row>
    <row r="1113" ht="24.75" customHeight="1">
      <c r="A1113" s="530"/>
      <c r="B1113" s="531"/>
      <c r="C1113" s="531"/>
      <c r="D1113" s="531"/>
      <c r="E1113" s="224"/>
      <c r="F1113" s="491"/>
      <c r="G1113" s="491"/>
      <c r="H1113" s="506"/>
      <c r="I1113" s="231"/>
      <c r="J1113" s="231"/>
      <c r="K1113" s="231"/>
      <c r="L1113" s="231"/>
      <c r="M1113" s="231"/>
      <c r="N1113" s="231"/>
      <c r="O1113" s="231"/>
      <c r="P1113" s="231"/>
      <c r="Q1113" s="231"/>
      <c r="R1113" s="231"/>
      <c r="S1113" s="231"/>
      <c r="T1113" s="231"/>
      <c r="U1113" s="231"/>
      <c r="V1113" s="231"/>
      <c r="W1113" s="231"/>
      <c r="X1113" s="231"/>
      <c r="Y1113" s="231"/>
      <c r="Z1113" s="231"/>
      <c r="AA1113" s="231"/>
      <c r="AB1113" s="231"/>
      <c r="AC1113" s="231"/>
    </row>
    <row r="1114" ht="24.75" customHeight="1">
      <c r="A1114" s="530"/>
      <c r="B1114" s="531"/>
      <c r="C1114" s="531"/>
      <c r="D1114" s="531"/>
      <c r="E1114" s="224"/>
      <c r="F1114" s="491"/>
      <c r="G1114" s="491"/>
      <c r="H1114" s="506"/>
      <c r="I1114" s="231"/>
      <c r="J1114" s="231"/>
      <c r="K1114" s="231"/>
      <c r="L1114" s="231"/>
      <c r="M1114" s="231"/>
      <c r="N1114" s="231"/>
      <c r="O1114" s="231"/>
      <c r="P1114" s="231"/>
      <c r="Q1114" s="231"/>
      <c r="R1114" s="231"/>
      <c r="S1114" s="231"/>
      <c r="T1114" s="231"/>
      <c r="U1114" s="231"/>
      <c r="V1114" s="231"/>
      <c r="W1114" s="231"/>
      <c r="X1114" s="231"/>
      <c r="Y1114" s="231"/>
      <c r="Z1114" s="231"/>
      <c r="AA1114" s="231"/>
      <c r="AB1114" s="231"/>
      <c r="AC1114" s="231"/>
    </row>
    <row r="1115" ht="24.75" customHeight="1">
      <c r="A1115" s="530"/>
      <c r="B1115" s="531"/>
      <c r="C1115" s="531"/>
      <c r="D1115" s="531"/>
      <c r="E1115" s="224"/>
      <c r="F1115" s="491"/>
      <c r="G1115" s="491"/>
      <c r="H1115" s="506"/>
      <c r="I1115" s="231"/>
      <c r="J1115" s="231"/>
      <c r="K1115" s="231"/>
      <c r="L1115" s="231"/>
      <c r="M1115" s="231"/>
      <c r="N1115" s="231"/>
      <c r="O1115" s="231"/>
      <c r="P1115" s="231"/>
      <c r="Q1115" s="231"/>
      <c r="R1115" s="231"/>
      <c r="S1115" s="231"/>
      <c r="T1115" s="231"/>
      <c r="U1115" s="231"/>
      <c r="V1115" s="231"/>
      <c r="W1115" s="231"/>
      <c r="X1115" s="231"/>
      <c r="Y1115" s="231"/>
      <c r="Z1115" s="231"/>
      <c r="AA1115" s="231"/>
      <c r="AB1115" s="231"/>
      <c r="AC1115" s="231"/>
    </row>
    <row r="1116" ht="24.75" customHeight="1">
      <c r="A1116" s="530"/>
      <c r="B1116" s="531"/>
      <c r="C1116" s="531"/>
      <c r="D1116" s="531"/>
      <c r="E1116" s="224"/>
      <c r="F1116" s="491"/>
      <c r="G1116" s="491"/>
      <c r="H1116" s="506"/>
      <c r="I1116" s="231"/>
      <c r="J1116" s="231"/>
      <c r="K1116" s="231"/>
      <c r="L1116" s="231"/>
      <c r="M1116" s="231"/>
      <c r="N1116" s="231"/>
      <c r="O1116" s="231"/>
      <c r="P1116" s="231"/>
      <c r="Q1116" s="231"/>
      <c r="R1116" s="231"/>
      <c r="S1116" s="231"/>
      <c r="T1116" s="231"/>
      <c r="U1116" s="231"/>
      <c r="V1116" s="231"/>
      <c r="W1116" s="231"/>
      <c r="X1116" s="231"/>
      <c r="Y1116" s="231"/>
      <c r="Z1116" s="231"/>
      <c r="AA1116" s="231"/>
      <c r="AB1116" s="231"/>
      <c r="AC1116" s="231"/>
    </row>
    <row r="1117" ht="24.75" customHeight="1">
      <c r="A1117" s="530"/>
      <c r="B1117" s="531"/>
      <c r="C1117" s="531"/>
      <c r="D1117" s="531"/>
      <c r="E1117" s="224"/>
      <c r="F1117" s="491"/>
      <c r="G1117" s="491"/>
      <c r="H1117" s="506"/>
      <c r="I1117" s="231"/>
      <c r="J1117" s="231"/>
      <c r="K1117" s="231"/>
      <c r="L1117" s="231"/>
      <c r="M1117" s="231"/>
      <c r="N1117" s="231"/>
      <c r="O1117" s="231"/>
      <c r="P1117" s="231"/>
      <c r="Q1117" s="231"/>
      <c r="R1117" s="231"/>
      <c r="S1117" s="231"/>
      <c r="T1117" s="231"/>
      <c r="U1117" s="231"/>
      <c r="V1117" s="231"/>
      <c r="W1117" s="231"/>
      <c r="X1117" s="231"/>
      <c r="Y1117" s="231"/>
      <c r="Z1117" s="231"/>
      <c r="AA1117" s="231"/>
      <c r="AB1117" s="231"/>
      <c r="AC1117" s="231"/>
    </row>
    <row r="1118" ht="24.75" customHeight="1">
      <c r="A1118" s="530"/>
      <c r="B1118" s="531"/>
      <c r="C1118" s="531"/>
      <c r="D1118" s="531"/>
      <c r="E1118" s="224"/>
      <c r="F1118" s="491"/>
      <c r="G1118" s="491"/>
      <c r="H1118" s="506"/>
      <c r="I1118" s="231"/>
      <c r="J1118" s="231"/>
      <c r="K1118" s="231"/>
      <c r="L1118" s="231"/>
      <c r="M1118" s="231"/>
      <c r="N1118" s="231"/>
      <c r="O1118" s="231"/>
      <c r="P1118" s="231"/>
      <c r="Q1118" s="231"/>
      <c r="R1118" s="231"/>
      <c r="S1118" s="231"/>
      <c r="T1118" s="231"/>
      <c r="U1118" s="231"/>
      <c r="V1118" s="231"/>
      <c r="W1118" s="231"/>
      <c r="X1118" s="231"/>
      <c r="Y1118" s="231"/>
      <c r="Z1118" s="231"/>
      <c r="AA1118" s="231"/>
      <c r="AB1118" s="231"/>
      <c r="AC1118" s="231"/>
    </row>
    <row r="1119" ht="24.75" customHeight="1">
      <c r="A1119" s="530"/>
      <c r="B1119" s="531"/>
      <c r="C1119" s="531"/>
      <c r="D1119" s="531"/>
      <c r="E1119" s="224"/>
      <c r="F1119" s="491"/>
      <c r="G1119" s="491"/>
      <c r="H1119" s="506"/>
      <c r="I1119" s="231"/>
      <c r="J1119" s="231"/>
      <c r="K1119" s="231"/>
      <c r="L1119" s="231"/>
      <c r="M1119" s="231"/>
      <c r="N1119" s="231"/>
      <c r="O1119" s="231"/>
      <c r="P1119" s="231"/>
      <c r="Q1119" s="231"/>
      <c r="R1119" s="231"/>
      <c r="S1119" s="231"/>
      <c r="T1119" s="231"/>
      <c r="U1119" s="231"/>
      <c r="V1119" s="231"/>
      <c r="W1119" s="231"/>
      <c r="X1119" s="231"/>
      <c r="Y1119" s="231"/>
      <c r="Z1119" s="231"/>
      <c r="AA1119" s="231"/>
      <c r="AB1119" s="231"/>
      <c r="AC1119" s="231"/>
    </row>
    <row r="1120" ht="24.75" customHeight="1">
      <c r="A1120" s="530"/>
      <c r="B1120" s="531"/>
      <c r="C1120" s="531"/>
      <c r="D1120" s="531"/>
      <c r="E1120" s="224"/>
      <c r="F1120" s="491"/>
      <c r="G1120" s="491"/>
      <c r="H1120" s="506"/>
      <c r="I1120" s="231"/>
      <c r="J1120" s="231"/>
      <c r="K1120" s="231"/>
      <c r="L1120" s="231"/>
      <c r="M1120" s="231"/>
      <c r="N1120" s="231"/>
      <c r="O1120" s="231"/>
      <c r="P1120" s="231"/>
      <c r="Q1120" s="231"/>
      <c r="R1120" s="231"/>
      <c r="S1120" s="231"/>
      <c r="T1120" s="231"/>
      <c r="U1120" s="231"/>
      <c r="V1120" s="231"/>
      <c r="W1120" s="231"/>
      <c r="X1120" s="231"/>
      <c r="Y1120" s="231"/>
      <c r="Z1120" s="231"/>
      <c r="AA1120" s="231"/>
      <c r="AB1120" s="231"/>
      <c r="AC1120" s="231"/>
    </row>
    <row r="1121" ht="24.75" customHeight="1">
      <c r="A1121" s="530"/>
      <c r="B1121" s="531"/>
      <c r="C1121" s="531"/>
      <c r="D1121" s="531"/>
      <c r="E1121" s="224"/>
      <c r="F1121" s="491"/>
      <c r="G1121" s="491"/>
      <c r="H1121" s="506"/>
      <c r="I1121" s="231"/>
      <c r="J1121" s="231"/>
      <c r="K1121" s="231"/>
      <c r="L1121" s="231"/>
      <c r="M1121" s="231"/>
      <c r="N1121" s="231"/>
      <c r="O1121" s="231"/>
      <c r="P1121" s="231"/>
      <c r="Q1121" s="231"/>
      <c r="R1121" s="231"/>
      <c r="S1121" s="231"/>
      <c r="T1121" s="231"/>
      <c r="U1121" s="231"/>
      <c r="V1121" s="231"/>
      <c r="W1121" s="231"/>
      <c r="X1121" s="231"/>
      <c r="Y1121" s="231"/>
      <c r="Z1121" s="231"/>
      <c r="AA1121" s="231"/>
      <c r="AB1121" s="231"/>
      <c r="AC1121" s="231"/>
    </row>
    <row r="1122" ht="24.75" customHeight="1">
      <c r="A1122" s="530"/>
      <c r="B1122" s="531"/>
      <c r="C1122" s="531"/>
      <c r="D1122" s="531"/>
      <c r="E1122" s="224"/>
      <c r="F1122" s="491"/>
      <c r="G1122" s="491"/>
      <c r="H1122" s="506"/>
      <c r="I1122" s="231"/>
      <c r="J1122" s="231"/>
      <c r="K1122" s="231"/>
      <c r="L1122" s="231"/>
      <c r="M1122" s="231"/>
      <c r="N1122" s="231"/>
      <c r="O1122" s="231"/>
      <c r="P1122" s="231"/>
      <c r="Q1122" s="231"/>
      <c r="R1122" s="231"/>
      <c r="S1122" s="231"/>
      <c r="T1122" s="231"/>
      <c r="U1122" s="231"/>
      <c r="V1122" s="231"/>
      <c r="W1122" s="231"/>
      <c r="X1122" s="231"/>
      <c r="Y1122" s="231"/>
      <c r="Z1122" s="231"/>
      <c r="AA1122" s="231"/>
      <c r="AB1122" s="231"/>
      <c r="AC1122" s="231"/>
    </row>
    <row r="1123" ht="24.75" customHeight="1">
      <c r="A1123" s="530"/>
      <c r="B1123" s="531"/>
      <c r="C1123" s="531"/>
      <c r="D1123" s="531"/>
      <c r="E1123" s="224"/>
      <c r="F1123" s="491"/>
      <c r="G1123" s="491"/>
      <c r="H1123" s="506"/>
      <c r="I1123" s="231"/>
      <c r="J1123" s="231"/>
      <c r="K1123" s="231"/>
      <c r="L1123" s="231"/>
      <c r="M1123" s="231"/>
      <c r="N1123" s="231"/>
      <c r="O1123" s="231"/>
      <c r="P1123" s="231"/>
      <c r="Q1123" s="231"/>
      <c r="R1123" s="231"/>
      <c r="S1123" s="231"/>
      <c r="T1123" s="231"/>
      <c r="U1123" s="231"/>
      <c r="V1123" s="231"/>
      <c r="W1123" s="231"/>
      <c r="X1123" s="231"/>
      <c r="Y1123" s="231"/>
      <c r="Z1123" s="231"/>
      <c r="AA1123" s="231"/>
      <c r="AB1123" s="231"/>
      <c r="AC1123" s="231"/>
    </row>
    <row r="1124" ht="24.75" customHeight="1">
      <c r="A1124" s="530"/>
      <c r="B1124" s="531"/>
      <c r="C1124" s="531"/>
      <c r="D1124" s="531"/>
      <c r="E1124" s="224"/>
      <c r="F1124" s="491"/>
      <c r="G1124" s="491"/>
      <c r="H1124" s="506"/>
      <c r="I1124" s="231"/>
      <c r="J1124" s="231"/>
      <c r="K1124" s="231"/>
      <c r="L1124" s="231"/>
      <c r="M1124" s="231"/>
      <c r="N1124" s="231"/>
      <c r="O1124" s="231"/>
      <c r="P1124" s="231"/>
      <c r="Q1124" s="231"/>
      <c r="R1124" s="231"/>
      <c r="S1124" s="231"/>
      <c r="T1124" s="231"/>
      <c r="U1124" s="231"/>
      <c r="V1124" s="231"/>
      <c r="W1124" s="231"/>
      <c r="X1124" s="231"/>
      <c r="Y1124" s="231"/>
      <c r="Z1124" s="231"/>
      <c r="AA1124" s="231"/>
      <c r="AB1124" s="231"/>
      <c r="AC1124" s="231"/>
    </row>
    <row r="1125" ht="24.75" customHeight="1">
      <c r="A1125" s="530"/>
      <c r="B1125" s="531"/>
      <c r="C1125" s="531"/>
      <c r="D1125" s="531"/>
      <c r="E1125" s="224"/>
      <c r="F1125" s="491"/>
      <c r="G1125" s="491"/>
      <c r="H1125" s="506"/>
      <c r="I1125" s="231"/>
      <c r="J1125" s="231"/>
      <c r="K1125" s="231"/>
      <c r="L1125" s="231"/>
      <c r="M1125" s="231"/>
      <c r="N1125" s="231"/>
      <c r="O1125" s="231"/>
      <c r="P1125" s="231"/>
      <c r="Q1125" s="231"/>
      <c r="R1125" s="231"/>
      <c r="S1125" s="231"/>
      <c r="T1125" s="231"/>
      <c r="U1125" s="231"/>
      <c r="V1125" s="231"/>
      <c r="W1125" s="231"/>
      <c r="X1125" s="231"/>
      <c r="Y1125" s="231"/>
      <c r="Z1125" s="231"/>
      <c r="AA1125" s="231"/>
      <c r="AB1125" s="231"/>
      <c r="AC1125" s="231"/>
    </row>
    <row r="1126" ht="24.75" customHeight="1">
      <c r="A1126" s="530"/>
      <c r="B1126" s="531"/>
      <c r="C1126" s="531"/>
      <c r="D1126" s="531"/>
      <c r="E1126" s="224"/>
      <c r="F1126" s="491"/>
      <c r="G1126" s="491"/>
      <c r="H1126" s="506"/>
      <c r="I1126" s="231"/>
      <c r="J1126" s="231"/>
      <c r="K1126" s="231"/>
      <c r="L1126" s="231"/>
      <c r="M1126" s="231"/>
      <c r="N1126" s="231"/>
      <c r="O1126" s="231"/>
      <c r="P1126" s="231"/>
      <c r="Q1126" s="231"/>
      <c r="R1126" s="231"/>
      <c r="S1126" s="231"/>
      <c r="T1126" s="231"/>
      <c r="U1126" s="231"/>
      <c r="V1126" s="231"/>
      <c r="W1126" s="231"/>
      <c r="X1126" s="231"/>
      <c r="Y1126" s="231"/>
      <c r="Z1126" s="231"/>
      <c r="AA1126" s="231"/>
      <c r="AB1126" s="231"/>
      <c r="AC1126" s="231"/>
    </row>
    <row r="1127" ht="24.75" customHeight="1">
      <c r="A1127" s="530"/>
      <c r="B1127" s="531"/>
      <c r="C1127" s="531"/>
      <c r="D1127" s="531"/>
      <c r="E1127" s="224"/>
      <c r="F1127" s="491"/>
      <c r="G1127" s="491"/>
      <c r="H1127" s="506"/>
      <c r="I1127" s="231"/>
      <c r="J1127" s="231"/>
      <c r="K1127" s="231"/>
      <c r="L1127" s="231"/>
      <c r="M1127" s="231"/>
      <c r="N1127" s="231"/>
      <c r="O1127" s="231"/>
      <c r="P1127" s="231"/>
      <c r="Q1127" s="231"/>
      <c r="R1127" s="231"/>
      <c r="S1127" s="231"/>
      <c r="T1127" s="231"/>
      <c r="U1127" s="231"/>
      <c r="V1127" s="231"/>
      <c r="W1127" s="231"/>
      <c r="X1127" s="231"/>
      <c r="Y1127" s="231"/>
      <c r="Z1127" s="231"/>
      <c r="AA1127" s="231"/>
      <c r="AB1127" s="231"/>
      <c r="AC1127" s="231"/>
    </row>
    <row r="1128" ht="24.75" customHeight="1">
      <c r="A1128" s="530"/>
      <c r="B1128" s="531"/>
      <c r="C1128" s="531"/>
      <c r="D1128" s="531"/>
      <c r="E1128" s="224"/>
      <c r="F1128" s="491"/>
      <c r="G1128" s="491"/>
      <c r="H1128" s="506"/>
      <c r="I1128" s="231"/>
      <c r="J1128" s="231"/>
      <c r="K1128" s="231"/>
      <c r="L1128" s="231"/>
      <c r="M1128" s="231"/>
      <c r="N1128" s="231"/>
      <c r="O1128" s="231"/>
      <c r="P1128" s="231"/>
      <c r="Q1128" s="231"/>
      <c r="R1128" s="231"/>
      <c r="S1128" s="231"/>
      <c r="T1128" s="231"/>
      <c r="U1128" s="231"/>
      <c r="V1128" s="231"/>
      <c r="W1128" s="231"/>
      <c r="X1128" s="231"/>
      <c r="Y1128" s="231"/>
      <c r="Z1128" s="231"/>
      <c r="AA1128" s="231"/>
      <c r="AB1128" s="231"/>
      <c r="AC1128" s="231"/>
    </row>
    <row r="1129" ht="24.75" customHeight="1">
      <c r="A1129" s="530"/>
      <c r="B1129" s="531"/>
      <c r="C1129" s="531"/>
      <c r="D1129" s="531"/>
      <c r="E1129" s="224"/>
      <c r="F1129" s="491"/>
      <c r="G1129" s="491"/>
      <c r="H1129" s="506"/>
      <c r="I1129" s="231"/>
      <c r="J1129" s="231"/>
      <c r="K1129" s="231"/>
      <c r="L1129" s="231"/>
      <c r="M1129" s="231"/>
      <c r="N1129" s="231"/>
      <c r="O1129" s="231"/>
      <c r="P1129" s="231"/>
      <c r="Q1129" s="231"/>
      <c r="R1129" s="231"/>
      <c r="S1129" s="231"/>
      <c r="T1129" s="231"/>
      <c r="U1129" s="231"/>
      <c r="V1129" s="231"/>
      <c r="W1129" s="231"/>
      <c r="X1129" s="231"/>
      <c r="Y1129" s="231"/>
      <c r="Z1129" s="231"/>
      <c r="AA1129" s="231"/>
      <c r="AB1129" s="231"/>
      <c r="AC1129" s="231"/>
    </row>
    <row r="1130" ht="24.75" customHeight="1">
      <c r="A1130" s="530"/>
      <c r="B1130" s="531"/>
      <c r="C1130" s="531"/>
      <c r="D1130" s="531"/>
      <c r="E1130" s="224"/>
      <c r="F1130" s="491"/>
      <c r="G1130" s="491"/>
      <c r="H1130" s="506"/>
      <c r="I1130" s="231"/>
      <c r="J1130" s="231"/>
      <c r="K1130" s="231"/>
      <c r="L1130" s="231"/>
      <c r="M1130" s="231"/>
      <c r="N1130" s="231"/>
      <c r="O1130" s="231"/>
      <c r="P1130" s="231"/>
      <c r="Q1130" s="231"/>
      <c r="R1130" s="231"/>
      <c r="S1130" s="231"/>
      <c r="T1130" s="231"/>
      <c r="U1130" s="231"/>
      <c r="V1130" s="231"/>
      <c r="W1130" s="231"/>
      <c r="X1130" s="231"/>
      <c r="Y1130" s="231"/>
      <c r="Z1130" s="231"/>
      <c r="AA1130" s="231"/>
      <c r="AB1130" s="231"/>
      <c r="AC1130" s="231"/>
    </row>
    <row r="1131" ht="24.75" customHeight="1">
      <c r="A1131" s="530"/>
      <c r="B1131" s="531"/>
      <c r="C1131" s="531"/>
      <c r="D1131" s="531"/>
      <c r="E1131" s="224"/>
      <c r="F1131" s="491"/>
      <c r="G1131" s="491"/>
      <c r="H1131" s="506"/>
      <c r="I1131" s="231"/>
      <c r="J1131" s="231"/>
      <c r="K1131" s="231"/>
      <c r="L1131" s="231"/>
      <c r="M1131" s="231"/>
      <c r="N1131" s="231"/>
      <c r="O1131" s="231"/>
      <c r="P1131" s="231"/>
      <c r="Q1131" s="231"/>
      <c r="R1131" s="231"/>
      <c r="S1131" s="231"/>
      <c r="T1131" s="231"/>
      <c r="U1131" s="231"/>
      <c r="V1131" s="231"/>
      <c r="W1131" s="231"/>
      <c r="X1131" s="231"/>
      <c r="Y1131" s="231"/>
      <c r="Z1131" s="231"/>
      <c r="AA1131" s="231"/>
      <c r="AB1131" s="231"/>
      <c r="AC1131" s="231"/>
    </row>
    <row r="1132" ht="24.75" customHeight="1">
      <c r="A1132" s="530"/>
      <c r="B1132" s="531"/>
      <c r="C1132" s="531"/>
      <c r="D1132" s="531"/>
      <c r="E1132" s="224"/>
      <c r="F1132" s="491"/>
      <c r="G1132" s="491"/>
      <c r="H1132" s="506"/>
      <c r="I1132" s="231"/>
      <c r="J1132" s="231"/>
      <c r="K1132" s="231"/>
      <c r="L1132" s="231"/>
      <c r="M1132" s="231"/>
      <c r="N1132" s="231"/>
      <c r="O1132" s="231"/>
      <c r="P1132" s="231"/>
      <c r="Q1132" s="231"/>
      <c r="R1132" s="231"/>
      <c r="S1132" s="231"/>
      <c r="T1132" s="231"/>
      <c r="U1132" s="231"/>
      <c r="V1132" s="231"/>
      <c r="W1132" s="231"/>
      <c r="X1132" s="231"/>
      <c r="Y1132" s="231"/>
      <c r="Z1132" s="231"/>
      <c r="AA1132" s="231"/>
      <c r="AB1132" s="231"/>
      <c r="AC1132" s="231"/>
    </row>
    <row r="1133" ht="24.75" customHeight="1">
      <c r="A1133" s="530"/>
      <c r="B1133" s="531"/>
      <c r="C1133" s="531"/>
      <c r="D1133" s="531"/>
      <c r="E1133" s="224"/>
      <c r="F1133" s="491"/>
      <c r="G1133" s="491"/>
      <c r="H1133" s="506"/>
      <c r="I1133" s="231"/>
      <c r="J1133" s="231"/>
      <c r="K1133" s="231"/>
      <c r="L1133" s="231"/>
      <c r="M1133" s="231"/>
      <c r="N1133" s="231"/>
      <c r="O1133" s="231"/>
      <c r="P1133" s="231"/>
      <c r="Q1133" s="231"/>
      <c r="R1133" s="231"/>
      <c r="S1133" s="231"/>
      <c r="T1133" s="231"/>
      <c r="U1133" s="231"/>
      <c r="V1133" s="231"/>
      <c r="W1133" s="231"/>
      <c r="X1133" s="231"/>
      <c r="Y1133" s="231"/>
      <c r="Z1133" s="231"/>
      <c r="AA1133" s="231"/>
      <c r="AB1133" s="231"/>
      <c r="AC1133" s="231"/>
    </row>
    <row r="1134" ht="24.75" customHeight="1">
      <c r="A1134" s="530"/>
      <c r="B1134" s="531"/>
      <c r="C1134" s="531"/>
      <c r="D1134" s="531"/>
      <c r="E1134" s="224"/>
      <c r="F1134" s="491"/>
      <c r="G1134" s="491"/>
      <c r="H1134" s="506"/>
      <c r="I1134" s="231"/>
      <c r="J1134" s="231"/>
      <c r="K1134" s="231"/>
      <c r="L1134" s="231"/>
      <c r="M1134" s="231"/>
      <c r="N1134" s="231"/>
      <c r="O1134" s="231"/>
      <c r="P1134" s="231"/>
      <c r="Q1134" s="231"/>
      <c r="R1134" s="231"/>
      <c r="S1134" s="231"/>
      <c r="T1134" s="231"/>
      <c r="U1134" s="231"/>
      <c r="V1134" s="231"/>
      <c r="W1134" s="231"/>
      <c r="X1134" s="231"/>
      <c r="Y1134" s="231"/>
      <c r="Z1134" s="231"/>
      <c r="AA1134" s="231"/>
      <c r="AB1134" s="231"/>
      <c r="AC1134" s="231"/>
    </row>
    <row r="1135" ht="24.75" customHeight="1">
      <c r="A1135" s="530"/>
      <c r="B1135" s="531"/>
      <c r="C1135" s="531"/>
      <c r="D1135" s="531"/>
      <c r="E1135" s="224"/>
      <c r="F1135" s="491"/>
      <c r="G1135" s="491"/>
      <c r="H1135" s="506"/>
      <c r="I1135" s="231"/>
      <c r="J1135" s="231"/>
      <c r="K1135" s="231"/>
      <c r="L1135" s="231"/>
      <c r="M1135" s="231"/>
      <c r="N1135" s="231"/>
      <c r="O1135" s="231"/>
      <c r="P1135" s="231"/>
      <c r="Q1135" s="231"/>
      <c r="R1135" s="231"/>
      <c r="S1135" s="231"/>
      <c r="T1135" s="231"/>
      <c r="U1135" s="231"/>
      <c r="V1135" s="231"/>
      <c r="W1135" s="231"/>
      <c r="X1135" s="231"/>
      <c r="Y1135" s="231"/>
      <c r="Z1135" s="231"/>
      <c r="AA1135" s="231"/>
      <c r="AB1135" s="231"/>
      <c r="AC1135" s="231"/>
    </row>
    <row r="1136" ht="24.75" customHeight="1">
      <c r="A1136" s="530"/>
      <c r="B1136" s="531"/>
      <c r="C1136" s="531"/>
      <c r="D1136" s="531"/>
      <c r="E1136" s="224"/>
      <c r="F1136" s="491"/>
      <c r="G1136" s="491"/>
      <c r="H1136" s="506"/>
      <c r="I1136" s="231"/>
      <c r="J1136" s="231"/>
      <c r="K1136" s="231"/>
      <c r="L1136" s="231"/>
      <c r="M1136" s="231"/>
      <c r="N1136" s="231"/>
      <c r="O1136" s="231"/>
      <c r="P1136" s="231"/>
      <c r="Q1136" s="231"/>
      <c r="R1136" s="231"/>
      <c r="S1136" s="231"/>
      <c r="T1136" s="231"/>
      <c r="U1136" s="231"/>
      <c r="V1136" s="231"/>
      <c r="W1136" s="231"/>
      <c r="X1136" s="231"/>
      <c r="Y1136" s="231"/>
      <c r="Z1136" s="231"/>
      <c r="AA1136" s="231"/>
      <c r="AB1136" s="231"/>
      <c r="AC1136" s="231"/>
    </row>
    <row r="1137" ht="24.75" customHeight="1">
      <c r="A1137" s="530"/>
      <c r="B1137" s="531"/>
      <c r="C1137" s="531"/>
      <c r="D1137" s="531"/>
      <c r="E1137" s="224"/>
      <c r="F1137" s="491"/>
      <c r="G1137" s="491"/>
      <c r="H1137" s="506"/>
      <c r="I1137" s="231"/>
      <c r="J1137" s="231"/>
      <c r="K1137" s="231"/>
      <c r="L1137" s="231"/>
      <c r="M1137" s="231"/>
      <c r="N1137" s="231"/>
      <c r="O1137" s="231"/>
      <c r="P1137" s="231"/>
      <c r="Q1137" s="231"/>
      <c r="R1137" s="231"/>
      <c r="S1137" s="231"/>
      <c r="T1137" s="231"/>
      <c r="U1137" s="231"/>
      <c r="V1137" s="231"/>
      <c r="W1137" s="231"/>
      <c r="X1137" s="231"/>
      <c r="Y1137" s="231"/>
      <c r="Z1137" s="231"/>
      <c r="AA1137" s="231"/>
      <c r="AB1137" s="231"/>
      <c r="AC1137" s="231"/>
    </row>
    <row r="1138" ht="24.75" customHeight="1">
      <c r="A1138" s="530"/>
      <c r="B1138" s="531"/>
      <c r="C1138" s="531"/>
      <c r="D1138" s="531"/>
      <c r="E1138" s="224"/>
      <c r="F1138" s="491"/>
      <c r="G1138" s="491"/>
      <c r="H1138" s="506"/>
      <c r="I1138" s="231"/>
      <c r="J1138" s="231"/>
      <c r="K1138" s="231"/>
      <c r="L1138" s="231"/>
      <c r="M1138" s="231"/>
      <c r="N1138" s="231"/>
      <c r="O1138" s="231"/>
      <c r="P1138" s="231"/>
      <c r="Q1138" s="231"/>
      <c r="R1138" s="231"/>
      <c r="S1138" s="231"/>
      <c r="T1138" s="231"/>
      <c r="U1138" s="231"/>
      <c r="V1138" s="231"/>
      <c r="W1138" s="231"/>
      <c r="X1138" s="231"/>
      <c r="Y1138" s="231"/>
      <c r="Z1138" s="231"/>
      <c r="AA1138" s="231"/>
      <c r="AB1138" s="231"/>
      <c r="AC1138" s="231"/>
    </row>
    <row r="1139" ht="24.75" customHeight="1">
      <c r="A1139" s="530"/>
      <c r="B1139" s="531"/>
      <c r="C1139" s="531"/>
      <c r="D1139" s="531"/>
      <c r="E1139" s="224"/>
      <c r="F1139" s="491"/>
      <c r="G1139" s="491"/>
      <c r="H1139" s="506"/>
      <c r="I1139" s="231"/>
      <c r="J1139" s="231"/>
      <c r="K1139" s="231"/>
      <c r="L1139" s="231"/>
      <c r="M1139" s="231"/>
      <c r="N1139" s="231"/>
      <c r="O1139" s="231"/>
      <c r="P1139" s="231"/>
      <c r="Q1139" s="231"/>
      <c r="R1139" s="231"/>
      <c r="S1139" s="231"/>
      <c r="T1139" s="231"/>
      <c r="U1139" s="231"/>
      <c r="V1139" s="231"/>
      <c r="W1139" s="231"/>
      <c r="X1139" s="231"/>
      <c r="Y1139" s="231"/>
      <c r="Z1139" s="231"/>
      <c r="AA1139" s="231"/>
      <c r="AB1139" s="231"/>
      <c r="AC1139" s="231"/>
    </row>
    <row r="1140" ht="24.75" customHeight="1">
      <c r="A1140" s="530"/>
      <c r="B1140" s="531"/>
      <c r="C1140" s="531"/>
      <c r="D1140" s="531"/>
      <c r="E1140" s="224"/>
      <c r="F1140" s="491"/>
      <c r="G1140" s="491"/>
      <c r="H1140" s="506"/>
      <c r="I1140" s="231"/>
      <c r="J1140" s="231"/>
      <c r="K1140" s="231"/>
      <c r="L1140" s="231"/>
      <c r="M1140" s="231"/>
      <c r="N1140" s="231"/>
      <c r="O1140" s="231"/>
      <c r="P1140" s="231"/>
      <c r="Q1140" s="231"/>
      <c r="R1140" s="231"/>
      <c r="S1140" s="231"/>
      <c r="T1140" s="231"/>
      <c r="U1140" s="231"/>
      <c r="V1140" s="231"/>
      <c r="W1140" s="231"/>
      <c r="X1140" s="231"/>
      <c r="Y1140" s="231"/>
      <c r="Z1140" s="231"/>
      <c r="AA1140" s="231"/>
      <c r="AB1140" s="231"/>
      <c r="AC1140" s="231"/>
    </row>
    <row r="1141" ht="24.75" customHeight="1">
      <c r="A1141" s="530"/>
      <c r="B1141" s="531"/>
      <c r="C1141" s="531"/>
      <c r="D1141" s="531"/>
      <c r="E1141" s="224"/>
      <c r="F1141" s="491"/>
      <c r="G1141" s="491"/>
      <c r="H1141" s="506"/>
      <c r="I1141" s="231"/>
      <c r="J1141" s="231"/>
      <c r="K1141" s="231"/>
      <c r="L1141" s="231"/>
      <c r="M1141" s="231"/>
      <c r="N1141" s="231"/>
      <c r="O1141" s="231"/>
      <c r="P1141" s="231"/>
      <c r="Q1141" s="231"/>
      <c r="R1141" s="231"/>
      <c r="S1141" s="231"/>
      <c r="T1141" s="231"/>
      <c r="U1141" s="231"/>
      <c r="V1141" s="231"/>
      <c r="W1141" s="231"/>
      <c r="X1141" s="231"/>
      <c r="Y1141" s="231"/>
      <c r="Z1141" s="231"/>
      <c r="AA1141" s="231"/>
      <c r="AB1141" s="231"/>
      <c r="AC1141" s="231"/>
    </row>
    <row r="1142" ht="24.75" customHeight="1">
      <c r="A1142" s="530"/>
      <c r="B1142" s="531"/>
      <c r="C1142" s="531"/>
      <c r="D1142" s="531"/>
      <c r="E1142" s="224"/>
      <c r="F1142" s="491"/>
      <c r="G1142" s="491"/>
      <c r="H1142" s="506"/>
      <c r="I1142" s="231"/>
      <c r="J1142" s="231"/>
      <c r="K1142" s="231"/>
      <c r="L1142" s="231"/>
      <c r="M1142" s="231"/>
      <c r="N1142" s="231"/>
      <c r="O1142" s="231"/>
      <c r="P1142" s="231"/>
      <c r="Q1142" s="231"/>
      <c r="R1142" s="231"/>
      <c r="S1142" s="231"/>
      <c r="T1142" s="231"/>
      <c r="U1142" s="231"/>
      <c r="V1142" s="231"/>
      <c r="W1142" s="231"/>
      <c r="X1142" s="231"/>
      <c r="Y1142" s="231"/>
      <c r="Z1142" s="231"/>
      <c r="AA1142" s="231"/>
      <c r="AB1142" s="231"/>
      <c r="AC1142" s="231"/>
    </row>
    <row r="1143" ht="24.75" customHeight="1">
      <c r="A1143" s="530"/>
      <c r="B1143" s="531"/>
      <c r="C1143" s="531"/>
      <c r="D1143" s="531"/>
      <c r="E1143" s="224"/>
      <c r="F1143" s="491"/>
      <c r="G1143" s="491"/>
      <c r="H1143" s="506"/>
      <c r="I1143" s="231"/>
      <c r="J1143" s="231"/>
      <c r="K1143" s="231"/>
      <c r="L1143" s="231"/>
      <c r="M1143" s="231"/>
      <c r="N1143" s="231"/>
      <c r="O1143" s="231"/>
      <c r="P1143" s="231"/>
      <c r="Q1143" s="231"/>
      <c r="R1143" s="231"/>
      <c r="S1143" s="231"/>
      <c r="T1143" s="231"/>
      <c r="U1143" s="231"/>
      <c r="V1143" s="231"/>
      <c r="W1143" s="231"/>
      <c r="X1143" s="231"/>
      <c r="Y1143" s="231"/>
      <c r="Z1143" s="231"/>
      <c r="AA1143" s="231"/>
      <c r="AB1143" s="231"/>
      <c r="AC1143" s="231"/>
    </row>
    <row r="1144" ht="24.75" customHeight="1">
      <c r="A1144" s="530"/>
      <c r="B1144" s="531"/>
      <c r="C1144" s="531"/>
      <c r="D1144" s="531"/>
      <c r="E1144" s="224"/>
      <c r="F1144" s="491"/>
      <c r="G1144" s="491"/>
      <c r="H1144" s="506"/>
      <c r="I1144" s="231"/>
      <c r="J1144" s="231"/>
      <c r="K1144" s="231"/>
      <c r="L1144" s="231"/>
      <c r="M1144" s="231"/>
      <c r="N1144" s="231"/>
      <c r="O1144" s="231"/>
      <c r="P1144" s="231"/>
      <c r="Q1144" s="231"/>
      <c r="R1144" s="231"/>
      <c r="S1144" s="231"/>
      <c r="T1144" s="231"/>
      <c r="U1144" s="231"/>
      <c r="V1144" s="231"/>
      <c r="W1144" s="231"/>
      <c r="X1144" s="231"/>
      <c r="Y1144" s="231"/>
      <c r="Z1144" s="231"/>
      <c r="AA1144" s="231"/>
      <c r="AB1144" s="231"/>
      <c r="AC1144" s="231"/>
    </row>
    <row r="1145" ht="24.75" customHeight="1">
      <c r="A1145" s="530"/>
      <c r="B1145" s="531"/>
      <c r="C1145" s="531"/>
      <c r="D1145" s="531"/>
      <c r="E1145" s="224"/>
      <c r="F1145" s="491"/>
      <c r="G1145" s="491"/>
      <c r="H1145" s="506"/>
      <c r="I1145" s="231"/>
      <c r="J1145" s="231"/>
      <c r="K1145" s="231"/>
      <c r="L1145" s="231"/>
      <c r="M1145" s="231"/>
      <c r="N1145" s="231"/>
      <c r="O1145" s="231"/>
      <c r="P1145" s="231"/>
      <c r="Q1145" s="231"/>
      <c r="R1145" s="231"/>
      <c r="S1145" s="231"/>
      <c r="T1145" s="231"/>
      <c r="U1145" s="231"/>
      <c r="V1145" s="231"/>
      <c r="W1145" s="231"/>
      <c r="X1145" s="231"/>
      <c r="Y1145" s="231"/>
      <c r="Z1145" s="231"/>
      <c r="AA1145" s="231"/>
      <c r="AB1145" s="231"/>
      <c r="AC1145" s="231"/>
    </row>
    <row r="1146" ht="24.75" customHeight="1">
      <c r="A1146" s="530"/>
      <c r="B1146" s="531"/>
      <c r="C1146" s="531"/>
      <c r="D1146" s="531"/>
      <c r="E1146" s="224"/>
      <c r="F1146" s="491"/>
      <c r="G1146" s="491"/>
      <c r="H1146" s="506"/>
      <c r="I1146" s="231"/>
      <c r="J1146" s="231"/>
      <c r="K1146" s="231"/>
      <c r="L1146" s="231"/>
      <c r="M1146" s="231"/>
      <c r="N1146" s="231"/>
      <c r="O1146" s="231"/>
      <c r="P1146" s="231"/>
      <c r="Q1146" s="231"/>
      <c r="R1146" s="231"/>
      <c r="S1146" s="231"/>
      <c r="T1146" s="231"/>
      <c r="U1146" s="231"/>
      <c r="V1146" s="231"/>
      <c r="W1146" s="231"/>
      <c r="X1146" s="231"/>
      <c r="Y1146" s="231"/>
      <c r="Z1146" s="231"/>
      <c r="AA1146" s="231"/>
      <c r="AB1146" s="231"/>
      <c r="AC1146" s="231"/>
    </row>
    <row r="1147" ht="24.75" customHeight="1">
      <c r="A1147" s="530"/>
      <c r="B1147" s="531"/>
      <c r="C1147" s="531"/>
      <c r="D1147" s="531"/>
      <c r="E1147" s="224"/>
      <c r="F1147" s="491"/>
      <c r="G1147" s="491"/>
      <c r="H1147" s="506"/>
      <c r="I1147" s="231"/>
      <c r="J1147" s="231"/>
      <c r="K1147" s="231"/>
      <c r="L1147" s="231"/>
      <c r="M1147" s="231"/>
      <c r="N1147" s="231"/>
      <c r="O1147" s="231"/>
      <c r="P1147" s="231"/>
      <c r="Q1147" s="231"/>
      <c r="R1147" s="231"/>
      <c r="S1147" s="231"/>
      <c r="T1147" s="231"/>
      <c r="U1147" s="231"/>
      <c r="V1147" s="231"/>
      <c r="W1147" s="231"/>
      <c r="X1147" s="231"/>
      <c r="Y1147" s="231"/>
      <c r="Z1147" s="231"/>
      <c r="AA1147" s="231"/>
      <c r="AB1147" s="231"/>
      <c r="AC1147" s="231"/>
    </row>
    <row r="1148" ht="24.75" customHeight="1">
      <c r="A1148" s="530"/>
      <c r="B1148" s="531"/>
      <c r="C1148" s="531"/>
      <c r="D1148" s="531"/>
      <c r="E1148" s="224"/>
      <c r="F1148" s="491"/>
      <c r="G1148" s="491"/>
      <c r="H1148" s="506"/>
      <c r="I1148" s="231"/>
      <c r="J1148" s="231"/>
      <c r="K1148" s="231"/>
      <c r="L1148" s="231"/>
      <c r="M1148" s="231"/>
      <c r="N1148" s="231"/>
      <c r="O1148" s="231"/>
      <c r="P1148" s="231"/>
      <c r="Q1148" s="231"/>
      <c r="R1148" s="231"/>
      <c r="S1148" s="231"/>
      <c r="T1148" s="231"/>
      <c r="U1148" s="231"/>
      <c r="V1148" s="231"/>
      <c r="W1148" s="231"/>
      <c r="X1148" s="231"/>
      <c r="Y1148" s="231"/>
      <c r="Z1148" s="231"/>
      <c r="AA1148" s="231"/>
      <c r="AB1148" s="231"/>
      <c r="AC1148" s="231"/>
    </row>
    <row r="1149" ht="24.75" customHeight="1">
      <c r="A1149" s="530"/>
      <c r="B1149" s="531"/>
      <c r="C1149" s="531"/>
      <c r="D1149" s="531"/>
      <c r="E1149" s="224"/>
      <c r="F1149" s="491"/>
      <c r="G1149" s="491"/>
      <c r="H1149" s="506"/>
      <c r="I1149" s="231"/>
      <c r="J1149" s="231"/>
      <c r="K1149" s="231"/>
      <c r="L1149" s="231"/>
      <c r="M1149" s="231"/>
      <c r="N1149" s="231"/>
      <c r="O1149" s="231"/>
      <c r="P1149" s="231"/>
      <c r="Q1149" s="231"/>
      <c r="R1149" s="231"/>
      <c r="S1149" s="231"/>
      <c r="T1149" s="231"/>
      <c r="U1149" s="231"/>
      <c r="V1149" s="231"/>
      <c r="W1149" s="231"/>
      <c r="X1149" s="231"/>
      <c r="Y1149" s="231"/>
      <c r="Z1149" s="231"/>
      <c r="AA1149" s="231"/>
      <c r="AB1149" s="231"/>
      <c r="AC1149" s="231"/>
    </row>
    <row r="1150" ht="24.75" customHeight="1">
      <c r="A1150" s="530"/>
      <c r="B1150" s="531"/>
      <c r="C1150" s="531"/>
      <c r="D1150" s="531"/>
      <c r="E1150" s="224"/>
      <c r="F1150" s="491"/>
      <c r="G1150" s="491"/>
      <c r="H1150" s="506"/>
      <c r="I1150" s="231"/>
      <c r="J1150" s="231"/>
      <c r="K1150" s="231"/>
      <c r="L1150" s="231"/>
      <c r="M1150" s="231"/>
      <c r="N1150" s="231"/>
      <c r="O1150" s="231"/>
      <c r="P1150" s="231"/>
      <c r="Q1150" s="231"/>
      <c r="R1150" s="231"/>
      <c r="S1150" s="231"/>
      <c r="T1150" s="231"/>
      <c r="U1150" s="231"/>
      <c r="V1150" s="231"/>
      <c r="W1150" s="231"/>
      <c r="X1150" s="231"/>
      <c r="Y1150" s="231"/>
      <c r="Z1150" s="231"/>
      <c r="AA1150" s="231"/>
      <c r="AB1150" s="231"/>
      <c r="AC1150" s="231"/>
    </row>
    <row r="1151" ht="24.75" customHeight="1">
      <c r="A1151" s="530"/>
      <c r="B1151" s="531"/>
      <c r="C1151" s="531"/>
      <c r="D1151" s="531"/>
      <c r="E1151" s="224"/>
      <c r="F1151" s="491"/>
      <c r="G1151" s="491"/>
      <c r="H1151" s="506"/>
      <c r="I1151" s="231"/>
      <c r="J1151" s="231"/>
      <c r="K1151" s="231"/>
      <c r="L1151" s="231"/>
      <c r="M1151" s="231"/>
      <c r="N1151" s="231"/>
      <c r="O1151" s="231"/>
      <c r="P1151" s="231"/>
      <c r="Q1151" s="231"/>
      <c r="R1151" s="231"/>
      <c r="S1151" s="231"/>
      <c r="T1151" s="231"/>
      <c r="U1151" s="231"/>
      <c r="V1151" s="231"/>
      <c r="W1151" s="231"/>
      <c r="X1151" s="231"/>
      <c r="Y1151" s="231"/>
      <c r="Z1151" s="231"/>
      <c r="AA1151" s="231"/>
      <c r="AB1151" s="231"/>
      <c r="AC1151" s="231"/>
    </row>
    <row r="1152" ht="24.75" customHeight="1">
      <c r="A1152" s="530"/>
      <c r="B1152" s="531"/>
      <c r="C1152" s="531"/>
      <c r="D1152" s="531"/>
      <c r="E1152" s="224"/>
      <c r="F1152" s="491"/>
      <c r="G1152" s="491"/>
      <c r="H1152" s="506"/>
      <c r="I1152" s="231"/>
      <c r="J1152" s="231"/>
      <c r="K1152" s="231"/>
      <c r="L1152" s="231"/>
      <c r="M1152" s="231"/>
      <c r="N1152" s="231"/>
      <c r="O1152" s="231"/>
      <c r="P1152" s="231"/>
      <c r="Q1152" s="231"/>
      <c r="R1152" s="231"/>
      <c r="S1152" s="231"/>
      <c r="T1152" s="231"/>
      <c r="U1152" s="231"/>
      <c r="V1152" s="231"/>
      <c r="W1152" s="231"/>
      <c r="X1152" s="231"/>
      <c r="Y1152" s="231"/>
      <c r="Z1152" s="231"/>
      <c r="AA1152" s="231"/>
      <c r="AB1152" s="231"/>
      <c r="AC1152" s="231"/>
    </row>
    <row r="1153" ht="24.75" customHeight="1">
      <c r="A1153" s="530"/>
      <c r="B1153" s="531"/>
      <c r="C1153" s="531"/>
      <c r="D1153" s="531"/>
      <c r="E1153" s="224"/>
      <c r="F1153" s="491"/>
      <c r="G1153" s="491"/>
      <c r="H1153" s="506"/>
      <c r="I1153" s="231"/>
      <c r="J1153" s="231"/>
      <c r="K1153" s="231"/>
      <c r="L1153" s="231"/>
      <c r="M1153" s="231"/>
      <c r="N1153" s="231"/>
      <c r="O1153" s="231"/>
      <c r="P1153" s="231"/>
      <c r="Q1153" s="231"/>
      <c r="R1153" s="231"/>
      <c r="S1153" s="231"/>
      <c r="T1153" s="231"/>
      <c r="U1153" s="231"/>
      <c r="V1153" s="231"/>
      <c r="W1153" s="231"/>
      <c r="X1153" s="231"/>
      <c r="Y1153" s="231"/>
      <c r="Z1153" s="231"/>
      <c r="AA1153" s="231"/>
      <c r="AB1153" s="231"/>
      <c r="AC1153" s="231"/>
    </row>
    <row r="1154" ht="24.75" customHeight="1">
      <c r="A1154" s="530"/>
      <c r="B1154" s="531"/>
      <c r="C1154" s="531"/>
      <c r="D1154" s="531"/>
      <c r="E1154" s="224"/>
      <c r="F1154" s="491"/>
      <c r="G1154" s="491"/>
      <c r="H1154" s="506"/>
      <c r="I1154" s="231"/>
      <c r="J1154" s="231"/>
      <c r="K1154" s="231"/>
      <c r="L1154" s="231"/>
      <c r="M1154" s="231"/>
      <c r="N1154" s="231"/>
      <c r="O1154" s="231"/>
      <c r="P1154" s="231"/>
      <c r="Q1154" s="231"/>
      <c r="R1154" s="231"/>
      <c r="S1154" s="231"/>
      <c r="T1154" s="231"/>
      <c r="U1154" s="231"/>
      <c r="V1154" s="231"/>
      <c r="W1154" s="231"/>
      <c r="X1154" s="231"/>
      <c r="Y1154" s="231"/>
      <c r="Z1154" s="231"/>
      <c r="AA1154" s="231"/>
      <c r="AB1154" s="231"/>
      <c r="AC1154" s="231"/>
    </row>
    <row r="1155" ht="24.75" customHeight="1">
      <c r="A1155" s="530"/>
      <c r="B1155" s="531"/>
      <c r="C1155" s="531"/>
      <c r="D1155" s="531"/>
      <c r="E1155" s="224"/>
      <c r="F1155" s="491"/>
      <c r="G1155" s="491"/>
      <c r="H1155" s="506"/>
      <c r="I1155" s="231"/>
      <c r="J1155" s="231"/>
      <c r="K1155" s="231"/>
      <c r="L1155" s="231"/>
      <c r="M1155" s="231"/>
      <c r="N1155" s="231"/>
      <c r="O1155" s="231"/>
      <c r="P1155" s="231"/>
      <c r="Q1155" s="231"/>
      <c r="R1155" s="231"/>
      <c r="S1155" s="231"/>
      <c r="T1155" s="231"/>
      <c r="U1155" s="231"/>
      <c r="V1155" s="231"/>
      <c r="W1155" s="231"/>
      <c r="X1155" s="231"/>
      <c r="Y1155" s="231"/>
      <c r="Z1155" s="231"/>
      <c r="AA1155" s="231"/>
      <c r="AB1155" s="231"/>
      <c r="AC1155" s="231"/>
    </row>
    <row r="1156" ht="24.75" customHeight="1">
      <c r="A1156" s="530"/>
      <c r="B1156" s="531"/>
      <c r="C1156" s="531"/>
      <c r="D1156" s="531"/>
      <c r="E1156" s="224"/>
      <c r="F1156" s="491"/>
      <c r="G1156" s="491"/>
      <c r="H1156" s="506"/>
      <c r="I1156" s="231"/>
      <c r="J1156" s="231"/>
      <c r="K1156" s="231"/>
      <c r="L1156" s="231"/>
      <c r="M1156" s="231"/>
      <c r="N1156" s="231"/>
      <c r="O1156" s="231"/>
      <c r="P1156" s="231"/>
      <c r="Q1156" s="231"/>
      <c r="R1156" s="231"/>
      <c r="S1156" s="231"/>
      <c r="T1156" s="231"/>
      <c r="U1156" s="231"/>
      <c r="V1156" s="231"/>
      <c r="W1156" s="231"/>
      <c r="X1156" s="231"/>
      <c r="Y1156" s="231"/>
      <c r="Z1156" s="231"/>
      <c r="AA1156" s="231"/>
      <c r="AB1156" s="231"/>
      <c r="AC1156" s="231"/>
    </row>
    <row r="1157" ht="24.75" customHeight="1">
      <c r="A1157" s="530"/>
      <c r="B1157" s="531"/>
      <c r="C1157" s="531"/>
      <c r="D1157" s="531"/>
      <c r="E1157" s="224"/>
      <c r="F1157" s="491"/>
      <c r="G1157" s="491"/>
      <c r="H1157" s="506"/>
      <c r="I1157" s="231"/>
      <c r="J1157" s="231"/>
      <c r="K1157" s="231"/>
      <c r="L1157" s="231"/>
      <c r="M1157" s="231"/>
      <c r="N1157" s="231"/>
      <c r="O1157" s="231"/>
      <c r="P1157" s="231"/>
      <c r="Q1157" s="231"/>
      <c r="R1157" s="231"/>
      <c r="S1157" s="231"/>
      <c r="T1157" s="231"/>
      <c r="U1157" s="231"/>
      <c r="V1157" s="231"/>
      <c r="W1157" s="231"/>
      <c r="X1157" s="231"/>
      <c r="Y1157" s="231"/>
      <c r="Z1157" s="231"/>
      <c r="AA1157" s="231"/>
      <c r="AB1157" s="231"/>
      <c r="AC1157" s="231"/>
    </row>
    <row r="1158" ht="24.75" customHeight="1">
      <c r="A1158" s="530"/>
      <c r="B1158" s="531"/>
      <c r="C1158" s="531"/>
      <c r="D1158" s="531"/>
      <c r="E1158" s="224"/>
      <c r="F1158" s="491"/>
      <c r="G1158" s="491"/>
      <c r="H1158" s="506"/>
      <c r="I1158" s="231"/>
      <c r="J1158" s="231"/>
      <c r="K1158" s="231"/>
      <c r="L1158" s="231"/>
      <c r="M1158" s="231"/>
      <c r="N1158" s="231"/>
      <c r="O1158" s="231"/>
      <c r="P1158" s="231"/>
      <c r="Q1158" s="231"/>
      <c r="R1158" s="231"/>
      <c r="S1158" s="231"/>
      <c r="T1158" s="231"/>
      <c r="U1158" s="231"/>
      <c r="V1158" s="231"/>
      <c r="W1158" s="231"/>
      <c r="X1158" s="231"/>
      <c r="Y1158" s="231"/>
      <c r="Z1158" s="231"/>
      <c r="AA1158" s="231"/>
      <c r="AB1158" s="231"/>
      <c r="AC1158" s="231"/>
    </row>
    <row r="1159" ht="24.75" customHeight="1">
      <c r="A1159" s="530"/>
      <c r="B1159" s="531"/>
      <c r="C1159" s="531"/>
      <c r="D1159" s="531"/>
      <c r="E1159" s="224"/>
      <c r="F1159" s="491"/>
      <c r="G1159" s="491"/>
      <c r="H1159" s="506"/>
      <c r="I1159" s="231"/>
      <c r="J1159" s="231"/>
      <c r="K1159" s="231"/>
      <c r="L1159" s="231"/>
      <c r="M1159" s="231"/>
      <c r="N1159" s="231"/>
      <c r="O1159" s="231"/>
      <c r="P1159" s="231"/>
      <c r="Q1159" s="231"/>
      <c r="R1159" s="231"/>
      <c r="S1159" s="231"/>
      <c r="T1159" s="231"/>
      <c r="U1159" s="231"/>
      <c r="V1159" s="231"/>
      <c r="W1159" s="231"/>
      <c r="X1159" s="231"/>
      <c r="Y1159" s="231"/>
      <c r="Z1159" s="231"/>
      <c r="AA1159" s="231"/>
      <c r="AB1159" s="231"/>
      <c r="AC1159" s="231"/>
    </row>
    <row r="1160" ht="24.75" customHeight="1">
      <c r="A1160" s="530"/>
      <c r="B1160" s="531"/>
      <c r="C1160" s="531"/>
      <c r="D1160" s="531"/>
      <c r="E1160" s="224"/>
      <c r="F1160" s="491"/>
      <c r="G1160" s="491"/>
      <c r="H1160" s="506"/>
      <c r="I1160" s="231"/>
      <c r="J1160" s="231"/>
      <c r="K1160" s="231"/>
      <c r="L1160" s="231"/>
      <c r="M1160" s="231"/>
      <c r="N1160" s="231"/>
      <c r="O1160" s="231"/>
      <c r="P1160" s="231"/>
      <c r="Q1160" s="231"/>
      <c r="R1160" s="231"/>
      <c r="S1160" s="231"/>
      <c r="T1160" s="231"/>
      <c r="U1160" s="231"/>
      <c r="V1160" s="231"/>
      <c r="W1160" s="231"/>
      <c r="X1160" s="231"/>
      <c r="Y1160" s="231"/>
      <c r="Z1160" s="231"/>
      <c r="AA1160" s="231"/>
      <c r="AB1160" s="231"/>
      <c r="AC1160" s="231"/>
    </row>
    <row r="1161" ht="24.75" customHeight="1">
      <c r="A1161" s="530"/>
      <c r="B1161" s="531"/>
      <c r="C1161" s="531"/>
      <c r="D1161" s="531"/>
      <c r="E1161" s="224"/>
      <c r="F1161" s="491"/>
      <c r="G1161" s="491"/>
      <c r="H1161" s="506"/>
      <c r="I1161" s="231"/>
      <c r="J1161" s="231"/>
      <c r="K1161" s="231"/>
      <c r="L1161" s="231"/>
      <c r="M1161" s="231"/>
      <c r="N1161" s="231"/>
      <c r="O1161" s="231"/>
      <c r="P1161" s="231"/>
      <c r="Q1161" s="231"/>
      <c r="R1161" s="231"/>
      <c r="S1161" s="231"/>
      <c r="T1161" s="231"/>
      <c r="U1161" s="231"/>
      <c r="V1161" s="231"/>
      <c r="W1161" s="231"/>
      <c r="X1161" s="231"/>
      <c r="Y1161" s="231"/>
      <c r="Z1161" s="231"/>
      <c r="AA1161" s="231"/>
      <c r="AB1161" s="231"/>
      <c r="AC1161" s="231"/>
    </row>
    <row r="1162" ht="24.75" customHeight="1">
      <c r="A1162" s="530"/>
      <c r="B1162" s="531"/>
      <c r="C1162" s="531"/>
      <c r="D1162" s="531"/>
      <c r="E1162" s="224"/>
      <c r="F1162" s="491"/>
      <c r="G1162" s="491"/>
      <c r="H1162" s="506"/>
      <c r="I1162" s="231"/>
      <c r="J1162" s="231"/>
      <c r="K1162" s="231"/>
      <c r="L1162" s="231"/>
      <c r="M1162" s="231"/>
      <c r="N1162" s="231"/>
      <c r="O1162" s="231"/>
      <c r="P1162" s="231"/>
      <c r="Q1162" s="231"/>
      <c r="R1162" s="231"/>
      <c r="S1162" s="231"/>
      <c r="T1162" s="231"/>
      <c r="U1162" s="231"/>
      <c r="V1162" s="231"/>
      <c r="W1162" s="231"/>
      <c r="X1162" s="231"/>
      <c r="Y1162" s="231"/>
      <c r="Z1162" s="231"/>
      <c r="AA1162" s="231"/>
      <c r="AB1162" s="231"/>
      <c r="AC1162" s="231"/>
    </row>
    <row r="1163" ht="24.75" customHeight="1">
      <c r="A1163" s="530"/>
      <c r="B1163" s="531"/>
      <c r="C1163" s="531"/>
      <c r="D1163" s="531"/>
      <c r="E1163" s="224"/>
      <c r="F1163" s="491"/>
      <c r="G1163" s="491"/>
      <c r="H1163" s="506"/>
      <c r="I1163" s="231"/>
      <c r="J1163" s="231"/>
      <c r="K1163" s="231"/>
      <c r="L1163" s="231"/>
      <c r="M1163" s="231"/>
      <c r="N1163" s="231"/>
      <c r="O1163" s="231"/>
      <c r="P1163" s="231"/>
      <c r="Q1163" s="231"/>
      <c r="R1163" s="231"/>
      <c r="S1163" s="231"/>
      <c r="T1163" s="231"/>
      <c r="U1163" s="231"/>
      <c r="V1163" s="231"/>
      <c r="W1163" s="231"/>
      <c r="X1163" s="231"/>
      <c r="Y1163" s="231"/>
      <c r="Z1163" s="231"/>
      <c r="AA1163" s="231"/>
      <c r="AB1163" s="231"/>
      <c r="AC1163" s="231"/>
    </row>
    <row r="1164" ht="24.75" customHeight="1">
      <c r="A1164" s="530"/>
      <c r="B1164" s="531"/>
      <c r="C1164" s="531"/>
      <c r="D1164" s="531"/>
      <c r="E1164" s="224"/>
      <c r="F1164" s="491"/>
      <c r="G1164" s="491"/>
      <c r="H1164" s="506"/>
      <c r="I1164" s="231"/>
      <c r="J1164" s="231"/>
      <c r="K1164" s="231"/>
      <c r="L1164" s="231"/>
      <c r="M1164" s="231"/>
      <c r="N1164" s="231"/>
      <c r="O1164" s="231"/>
      <c r="P1164" s="231"/>
      <c r="Q1164" s="231"/>
      <c r="R1164" s="231"/>
      <c r="S1164" s="231"/>
      <c r="T1164" s="231"/>
      <c r="U1164" s="231"/>
      <c r="V1164" s="231"/>
      <c r="W1164" s="231"/>
      <c r="X1164" s="231"/>
      <c r="Y1164" s="231"/>
      <c r="Z1164" s="231"/>
      <c r="AA1164" s="231"/>
      <c r="AB1164" s="231"/>
      <c r="AC1164" s="231"/>
    </row>
    <row r="1165" ht="24.75" customHeight="1">
      <c r="A1165" s="530"/>
      <c r="B1165" s="531"/>
      <c r="C1165" s="531"/>
      <c r="D1165" s="531"/>
      <c r="E1165" s="224"/>
      <c r="F1165" s="491"/>
      <c r="G1165" s="491"/>
      <c r="H1165" s="506"/>
      <c r="I1165" s="231"/>
      <c r="J1165" s="231"/>
      <c r="K1165" s="231"/>
      <c r="L1165" s="231"/>
      <c r="M1165" s="231"/>
      <c r="N1165" s="231"/>
      <c r="O1165" s="231"/>
      <c r="P1165" s="231"/>
      <c r="Q1165" s="231"/>
      <c r="R1165" s="231"/>
      <c r="S1165" s="231"/>
      <c r="T1165" s="231"/>
      <c r="U1165" s="231"/>
      <c r="V1165" s="231"/>
      <c r="W1165" s="231"/>
      <c r="X1165" s="231"/>
      <c r="Y1165" s="231"/>
      <c r="Z1165" s="231"/>
      <c r="AA1165" s="231"/>
      <c r="AB1165" s="231"/>
      <c r="AC1165" s="231"/>
    </row>
    <row r="1166" ht="24.75" customHeight="1">
      <c r="A1166" s="530"/>
      <c r="B1166" s="531"/>
      <c r="C1166" s="531"/>
      <c r="D1166" s="531"/>
      <c r="E1166" s="224"/>
      <c r="F1166" s="491"/>
      <c r="G1166" s="491"/>
      <c r="H1166" s="506"/>
      <c r="I1166" s="231"/>
      <c r="J1166" s="231"/>
      <c r="K1166" s="231"/>
      <c r="L1166" s="231"/>
      <c r="M1166" s="231"/>
      <c r="N1166" s="231"/>
      <c r="O1166" s="231"/>
      <c r="P1166" s="231"/>
      <c r="Q1166" s="231"/>
      <c r="R1166" s="231"/>
      <c r="S1166" s="231"/>
      <c r="T1166" s="231"/>
      <c r="U1166" s="231"/>
      <c r="V1166" s="231"/>
      <c r="W1166" s="231"/>
      <c r="X1166" s="231"/>
      <c r="Y1166" s="231"/>
      <c r="Z1166" s="231"/>
      <c r="AA1166" s="231"/>
      <c r="AB1166" s="231"/>
      <c r="AC1166" s="231"/>
    </row>
    <row r="1167" ht="24.75" customHeight="1">
      <c r="A1167" s="530"/>
      <c r="B1167" s="531"/>
      <c r="C1167" s="531"/>
      <c r="D1167" s="531"/>
      <c r="E1167" s="224"/>
      <c r="F1167" s="491"/>
      <c r="G1167" s="491"/>
      <c r="H1167" s="506"/>
      <c r="I1167" s="231"/>
      <c r="J1167" s="231"/>
      <c r="K1167" s="231"/>
      <c r="L1167" s="231"/>
      <c r="M1167" s="231"/>
      <c r="N1167" s="231"/>
      <c r="O1167" s="231"/>
      <c r="P1167" s="231"/>
      <c r="Q1167" s="231"/>
      <c r="R1167" s="231"/>
      <c r="S1167" s="231"/>
      <c r="T1167" s="231"/>
      <c r="U1167" s="231"/>
      <c r="V1167" s="231"/>
      <c r="W1167" s="231"/>
      <c r="X1167" s="231"/>
      <c r="Y1167" s="231"/>
      <c r="Z1167" s="231"/>
      <c r="AA1167" s="231"/>
      <c r="AB1167" s="231"/>
      <c r="AC1167" s="231"/>
    </row>
    <row r="1168" ht="24.75" customHeight="1">
      <c r="A1168" s="530"/>
      <c r="B1168" s="531"/>
      <c r="C1168" s="531"/>
      <c r="D1168" s="531"/>
      <c r="E1168" s="224"/>
      <c r="F1168" s="491"/>
      <c r="G1168" s="491"/>
      <c r="H1168" s="506"/>
      <c r="I1168" s="231"/>
      <c r="J1168" s="231"/>
      <c r="K1168" s="231"/>
      <c r="L1168" s="231"/>
      <c r="M1168" s="231"/>
      <c r="N1168" s="231"/>
      <c r="O1168" s="231"/>
      <c r="P1168" s="231"/>
      <c r="Q1168" s="231"/>
      <c r="R1168" s="231"/>
      <c r="S1168" s="231"/>
      <c r="T1168" s="231"/>
      <c r="U1168" s="231"/>
      <c r="V1168" s="231"/>
      <c r="W1168" s="231"/>
      <c r="X1168" s="231"/>
      <c r="Y1168" s="231"/>
      <c r="Z1168" s="231"/>
      <c r="AA1168" s="231"/>
      <c r="AB1168" s="231"/>
      <c r="AC1168" s="231"/>
    </row>
    <row r="1169" ht="24.75" customHeight="1">
      <c r="A1169" s="530"/>
      <c r="B1169" s="531"/>
      <c r="C1169" s="531"/>
      <c r="D1169" s="531"/>
      <c r="E1169" s="224"/>
      <c r="F1169" s="491"/>
      <c r="G1169" s="491"/>
      <c r="H1169" s="506"/>
      <c r="I1169" s="231"/>
      <c r="J1169" s="231"/>
      <c r="K1169" s="231"/>
      <c r="L1169" s="231"/>
      <c r="M1169" s="231"/>
      <c r="N1169" s="231"/>
      <c r="O1169" s="231"/>
      <c r="P1169" s="231"/>
      <c r="Q1169" s="231"/>
      <c r="R1169" s="231"/>
      <c r="S1169" s="231"/>
      <c r="T1169" s="231"/>
      <c r="U1169" s="231"/>
      <c r="V1169" s="231"/>
      <c r="W1169" s="231"/>
      <c r="X1169" s="231"/>
      <c r="Y1169" s="231"/>
      <c r="Z1169" s="231"/>
      <c r="AA1169" s="231"/>
      <c r="AB1169" s="231"/>
      <c r="AC1169" s="231"/>
    </row>
    <row r="1170" ht="24.75" customHeight="1">
      <c r="A1170" s="530"/>
      <c r="B1170" s="531"/>
      <c r="C1170" s="531"/>
      <c r="D1170" s="531"/>
      <c r="E1170" s="224"/>
      <c r="F1170" s="491"/>
      <c r="G1170" s="491"/>
      <c r="H1170" s="506"/>
      <c r="I1170" s="231"/>
      <c r="J1170" s="231"/>
      <c r="K1170" s="231"/>
      <c r="L1170" s="231"/>
      <c r="M1170" s="231"/>
      <c r="N1170" s="231"/>
      <c r="O1170" s="231"/>
      <c r="P1170" s="231"/>
      <c r="Q1170" s="231"/>
      <c r="R1170" s="231"/>
      <c r="S1170" s="231"/>
      <c r="T1170" s="231"/>
      <c r="U1170" s="231"/>
      <c r="V1170" s="231"/>
      <c r="W1170" s="231"/>
      <c r="X1170" s="231"/>
      <c r="Y1170" s="231"/>
      <c r="Z1170" s="231"/>
      <c r="AA1170" s="231"/>
      <c r="AB1170" s="231"/>
      <c r="AC1170" s="231"/>
    </row>
    <row r="1171" ht="24.75" customHeight="1">
      <c r="A1171" s="530"/>
      <c r="B1171" s="531"/>
      <c r="C1171" s="531"/>
      <c r="D1171" s="531"/>
      <c r="E1171" s="224"/>
      <c r="F1171" s="491"/>
      <c r="G1171" s="491"/>
      <c r="H1171" s="506"/>
      <c r="I1171" s="231"/>
      <c r="J1171" s="231"/>
      <c r="K1171" s="231"/>
      <c r="L1171" s="231"/>
      <c r="M1171" s="231"/>
      <c r="N1171" s="231"/>
      <c r="O1171" s="231"/>
      <c r="P1171" s="231"/>
      <c r="Q1171" s="231"/>
      <c r="R1171" s="231"/>
      <c r="S1171" s="231"/>
      <c r="T1171" s="231"/>
      <c r="U1171" s="231"/>
      <c r="V1171" s="231"/>
      <c r="W1171" s="231"/>
      <c r="X1171" s="231"/>
      <c r="Y1171" s="231"/>
      <c r="Z1171" s="231"/>
      <c r="AA1171" s="231"/>
      <c r="AB1171" s="231"/>
      <c r="AC1171" s="231"/>
    </row>
    <row r="1172" ht="24.75" customHeight="1">
      <c r="A1172" s="530"/>
      <c r="B1172" s="531"/>
      <c r="C1172" s="531"/>
      <c r="D1172" s="531"/>
      <c r="E1172" s="224"/>
      <c r="F1172" s="491"/>
      <c r="G1172" s="491"/>
      <c r="H1172" s="506"/>
      <c r="I1172" s="231"/>
      <c r="J1172" s="231"/>
      <c r="K1172" s="231"/>
      <c r="L1172" s="231"/>
      <c r="M1172" s="231"/>
      <c r="N1172" s="231"/>
      <c r="O1172" s="231"/>
      <c r="P1172" s="231"/>
      <c r="Q1172" s="231"/>
      <c r="R1172" s="231"/>
      <c r="S1172" s="231"/>
      <c r="T1172" s="231"/>
      <c r="U1172" s="231"/>
      <c r="V1172" s="231"/>
      <c r="W1172" s="231"/>
      <c r="X1172" s="231"/>
      <c r="Y1172" s="231"/>
      <c r="Z1172" s="231"/>
      <c r="AA1172" s="231"/>
      <c r="AB1172" s="231"/>
      <c r="AC1172" s="231"/>
    </row>
    <row r="1173" ht="24.75" customHeight="1">
      <c r="A1173" s="530"/>
      <c r="B1173" s="531"/>
      <c r="C1173" s="531"/>
      <c r="D1173" s="531"/>
      <c r="E1173" s="224"/>
      <c r="F1173" s="491"/>
      <c r="G1173" s="491"/>
      <c r="H1173" s="506"/>
      <c r="I1173" s="231"/>
      <c r="J1173" s="231"/>
      <c r="K1173" s="231"/>
      <c r="L1173" s="231"/>
      <c r="M1173" s="231"/>
      <c r="N1173" s="231"/>
      <c r="O1173" s="231"/>
      <c r="P1173" s="231"/>
      <c r="Q1173" s="231"/>
      <c r="R1173" s="231"/>
      <c r="S1173" s="231"/>
      <c r="T1173" s="231"/>
      <c r="U1173" s="231"/>
      <c r="V1173" s="231"/>
      <c r="W1173" s="231"/>
      <c r="X1173" s="231"/>
      <c r="Y1173" s="231"/>
      <c r="Z1173" s="231"/>
      <c r="AA1173" s="231"/>
      <c r="AB1173" s="231"/>
      <c r="AC1173" s="231"/>
    </row>
    <row r="1174" ht="24.75" customHeight="1">
      <c r="A1174" s="530"/>
      <c r="B1174" s="531"/>
      <c r="C1174" s="531"/>
      <c r="D1174" s="531"/>
      <c r="E1174" s="224"/>
      <c r="F1174" s="491"/>
      <c r="G1174" s="491"/>
      <c r="H1174" s="506"/>
      <c r="I1174" s="231"/>
      <c r="J1174" s="231"/>
      <c r="K1174" s="231"/>
      <c r="L1174" s="231"/>
      <c r="M1174" s="231"/>
      <c r="N1174" s="231"/>
      <c r="O1174" s="231"/>
      <c r="P1174" s="231"/>
      <c r="Q1174" s="231"/>
      <c r="R1174" s="231"/>
      <c r="S1174" s="231"/>
      <c r="T1174" s="231"/>
      <c r="U1174" s="231"/>
      <c r="V1174" s="231"/>
      <c r="W1174" s="231"/>
      <c r="X1174" s="231"/>
      <c r="Y1174" s="231"/>
      <c r="Z1174" s="231"/>
      <c r="AA1174" s="231"/>
      <c r="AB1174" s="231"/>
      <c r="AC1174" s="231"/>
    </row>
    <row r="1175" ht="24.75" customHeight="1">
      <c r="A1175" s="530"/>
      <c r="B1175" s="531"/>
      <c r="C1175" s="531"/>
      <c r="D1175" s="531"/>
      <c r="E1175" s="224"/>
      <c r="F1175" s="491"/>
      <c r="G1175" s="491"/>
      <c r="H1175" s="506"/>
      <c r="I1175" s="231"/>
      <c r="J1175" s="231"/>
      <c r="K1175" s="231"/>
      <c r="L1175" s="231"/>
      <c r="M1175" s="231"/>
      <c r="N1175" s="231"/>
      <c r="O1175" s="231"/>
      <c r="P1175" s="231"/>
      <c r="Q1175" s="231"/>
      <c r="R1175" s="231"/>
      <c r="S1175" s="231"/>
      <c r="T1175" s="231"/>
      <c r="U1175" s="231"/>
      <c r="V1175" s="231"/>
      <c r="W1175" s="231"/>
      <c r="X1175" s="231"/>
      <c r="Y1175" s="231"/>
      <c r="Z1175" s="231"/>
      <c r="AA1175" s="231"/>
      <c r="AB1175" s="231"/>
      <c r="AC1175" s="231"/>
    </row>
    <row r="1176" ht="24.75" customHeight="1">
      <c r="A1176" s="530"/>
      <c r="B1176" s="531"/>
      <c r="C1176" s="531"/>
      <c r="D1176" s="531"/>
      <c r="E1176" s="224"/>
      <c r="F1176" s="491"/>
      <c r="G1176" s="491"/>
      <c r="H1176" s="506"/>
      <c r="I1176" s="231"/>
      <c r="J1176" s="231"/>
      <c r="K1176" s="231"/>
      <c r="L1176" s="231"/>
      <c r="M1176" s="231"/>
      <c r="N1176" s="231"/>
      <c r="O1176" s="231"/>
      <c r="P1176" s="231"/>
      <c r="Q1176" s="231"/>
      <c r="R1176" s="231"/>
      <c r="S1176" s="231"/>
      <c r="T1176" s="231"/>
      <c r="U1176" s="231"/>
      <c r="V1176" s="231"/>
      <c r="W1176" s="231"/>
      <c r="X1176" s="231"/>
      <c r="Y1176" s="231"/>
      <c r="Z1176" s="231"/>
      <c r="AA1176" s="231"/>
      <c r="AB1176" s="231"/>
      <c r="AC1176" s="231"/>
    </row>
    <row r="1177" ht="24.75" customHeight="1">
      <c r="A1177" s="530"/>
      <c r="B1177" s="531"/>
      <c r="C1177" s="531"/>
      <c r="D1177" s="531"/>
      <c r="E1177" s="224"/>
      <c r="F1177" s="491"/>
      <c r="G1177" s="491"/>
      <c r="H1177" s="506"/>
      <c r="I1177" s="231"/>
      <c r="J1177" s="231"/>
      <c r="K1177" s="231"/>
      <c r="L1177" s="231"/>
      <c r="M1177" s="231"/>
      <c r="N1177" s="231"/>
      <c r="O1177" s="231"/>
      <c r="P1177" s="231"/>
      <c r="Q1177" s="231"/>
      <c r="R1177" s="231"/>
      <c r="S1177" s="231"/>
      <c r="T1177" s="231"/>
      <c r="U1177" s="231"/>
      <c r="V1177" s="231"/>
      <c r="W1177" s="231"/>
      <c r="X1177" s="231"/>
      <c r="Y1177" s="231"/>
      <c r="Z1177" s="231"/>
      <c r="AA1177" s="231"/>
      <c r="AB1177" s="231"/>
      <c r="AC1177" s="231"/>
    </row>
    <row r="1178" ht="24.75" customHeight="1">
      <c r="A1178" s="530"/>
      <c r="B1178" s="531"/>
      <c r="C1178" s="531"/>
      <c r="D1178" s="531"/>
      <c r="E1178" s="224"/>
      <c r="F1178" s="491"/>
      <c r="G1178" s="491"/>
      <c r="H1178" s="506"/>
      <c r="I1178" s="231"/>
      <c r="J1178" s="231"/>
      <c r="K1178" s="231"/>
      <c r="L1178" s="231"/>
      <c r="M1178" s="231"/>
      <c r="N1178" s="231"/>
      <c r="O1178" s="231"/>
      <c r="P1178" s="231"/>
      <c r="Q1178" s="231"/>
      <c r="R1178" s="231"/>
      <c r="S1178" s="231"/>
      <c r="T1178" s="231"/>
      <c r="U1178" s="231"/>
      <c r="V1178" s="231"/>
      <c r="W1178" s="231"/>
      <c r="X1178" s="231"/>
      <c r="Y1178" s="231"/>
      <c r="Z1178" s="231"/>
      <c r="AA1178" s="231"/>
      <c r="AB1178" s="231"/>
      <c r="AC1178" s="231"/>
    </row>
    <row r="1179" ht="24.75" customHeight="1">
      <c r="A1179" s="530"/>
      <c r="B1179" s="531"/>
      <c r="C1179" s="531"/>
      <c r="D1179" s="531"/>
      <c r="E1179" s="224"/>
      <c r="F1179" s="491"/>
      <c r="G1179" s="491"/>
      <c r="H1179" s="506"/>
      <c r="I1179" s="231"/>
      <c r="J1179" s="231"/>
      <c r="K1179" s="231"/>
      <c r="L1179" s="231"/>
      <c r="M1179" s="231"/>
      <c r="N1179" s="231"/>
      <c r="O1179" s="231"/>
      <c r="P1179" s="231"/>
      <c r="Q1179" s="231"/>
      <c r="R1179" s="231"/>
      <c r="S1179" s="231"/>
      <c r="T1179" s="231"/>
      <c r="U1179" s="231"/>
      <c r="V1179" s="231"/>
      <c r="W1179" s="231"/>
      <c r="X1179" s="231"/>
      <c r="Y1179" s="231"/>
      <c r="Z1179" s="231"/>
      <c r="AA1179" s="231"/>
      <c r="AB1179" s="231"/>
      <c r="AC1179" s="231"/>
    </row>
    <row r="1180" ht="24.75" customHeight="1">
      <c r="A1180" s="530"/>
      <c r="B1180" s="531"/>
      <c r="C1180" s="531"/>
      <c r="D1180" s="531"/>
      <c r="E1180" s="224"/>
      <c r="F1180" s="491"/>
      <c r="G1180" s="491"/>
      <c r="H1180" s="506"/>
      <c r="I1180" s="231"/>
      <c r="J1180" s="231"/>
      <c r="K1180" s="231"/>
      <c r="L1180" s="231"/>
      <c r="M1180" s="231"/>
      <c r="N1180" s="231"/>
      <c r="O1180" s="231"/>
      <c r="P1180" s="231"/>
      <c r="Q1180" s="231"/>
      <c r="R1180" s="231"/>
      <c r="S1180" s="231"/>
      <c r="T1180" s="231"/>
      <c r="U1180" s="231"/>
      <c r="V1180" s="231"/>
      <c r="W1180" s="231"/>
      <c r="X1180" s="231"/>
      <c r="Y1180" s="231"/>
      <c r="Z1180" s="231"/>
      <c r="AA1180" s="231"/>
      <c r="AB1180" s="231"/>
      <c r="AC1180" s="231"/>
    </row>
    <row r="1181" ht="24.75" customHeight="1">
      <c r="A1181" s="530"/>
      <c r="B1181" s="531"/>
      <c r="C1181" s="531"/>
      <c r="D1181" s="531"/>
      <c r="E1181" s="224"/>
      <c r="F1181" s="491"/>
      <c r="G1181" s="491"/>
      <c r="H1181" s="506"/>
      <c r="I1181" s="231"/>
      <c r="J1181" s="231"/>
      <c r="K1181" s="231"/>
      <c r="L1181" s="231"/>
      <c r="M1181" s="231"/>
      <c r="N1181" s="231"/>
      <c r="O1181" s="231"/>
      <c r="P1181" s="231"/>
      <c r="Q1181" s="231"/>
      <c r="R1181" s="231"/>
      <c r="S1181" s="231"/>
      <c r="T1181" s="231"/>
      <c r="U1181" s="231"/>
      <c r="V1181" s="231"/>
      <c r="W1181" s="231"/>
      <c r="X1181" s="231"/>
      <c r="Y1181" s="231"/>
      <c r="Z1181" s="231"/>
      <c r="AA1181" s="231"/>
      <c r="AB1181" s="231"/>
      <c r="AC1181" s="231"/>
    </row>
    <row r="1182" ht="24.75" customHeight="1">
      <c r="A1182" s="530"/>
      <c r="B1182" s="531"/>
      <c r="C1182" s="531"/>
      <c r="D1182" s="531"/>
      <c r="E1182" s="224"/>
      <c r="F1182" s="491"/>
      <c r="G1182" s="491"/>
      <c r="H1182" s="506"/>
      <c r="I1182" s="231"/>
      <c r="J1182" s="231"/>
      <c r="K1182" s="231"/>
      <c r="L1182" s="231"/>
      <c r="M1182" s="231"/>
      <c r="N1182" s="231"/>
      <c r="O1182" s="231"/>
      <c r="P1182" s="231"/>
      <c r="Q1182" s="231"/>
      <c r="R1182" s="231"/>
      <c r="S1182" s="231"/>
      <c r="T1182" s="231"/>
      <c r="U1182" s="231"/>
      <c r="V1182" s="231"/>
      <c r="W1182" s="231"/>
      <c r="X1182" s="231"/>
      <c r="Y1182" s="231"/>
      <c r="Z1182" s="231"/>
      <c r="AA1182" s="231"/>
      <c r="AB1182" s="231"/>
      <c r="AC1182" s="231"/>
    </row>
    <row r="1183" ht="24.75" customHeight="1">
      <c r="A1183" s="530"/>
      <c r="B1183" s="531"/>
      <c r="C1183" s="531"/>
      <c r="D1183" s="531"/>
      <c r="E1183" s="224"/>
      <c r="F1183" s="491"/>
      <c r="G1183" s="491"/>
      <c r="H1183" s="506"/>
      <c r="I1183" s="231"/>
      <c r="J1183" s="231"/>
      <c r="K1183" s="231"/>
      <c r="L1183" s="231"/>
      <c r="M1183" s="231"/>
      <c r="N1183" s="231"/>
      <c r="O1183" s="231"/>
      <c r="P1183" s="231"/>
      <c r="Q1183" s="231"/>
      <c r="R1183" s="231"/>
      <c r="S1183" s="231"/>
      <c r="T1183" s="231"/>
      <c r="U1183" s="231"/>
      <c r="V1183" s="231"/>
      <c r="W1183" s="231"/>
      <c r="X1183" s="231"/>
      <c r="Y1183" s="231"/>
      <c r="Z1183" s="231"/>
      <c r="AA1183" s="231"/>
      <c r="AB1183" s="231"/>
      <c r="AC1183" s="231"/>
    </row>
    <row r="1184" ht="24.75" customHeight="1">
      <c r="A1184" s="530"/>
      <c r="B1184" s="531"/>
      <c r="C1184" s="531"/>
      <c r="D1184" s="531"/>
      <c r="E1184" s="224"/>
      <c r="F1184" s="491"/>
      <c r="G1184" s="491"/>
      <c r="H1184" s="506"/>
      <c r="I1184" s="231"/>
      <c r="J1184" s="231"/>
      <c r="K1184" s="231"/>
      <c r="L1184" s="231"/>
      <c r="M1184" s="231"/>
      <c r="N1184" s="231"/>
      <c r="O1184" s="231"/>
      <c r="P1184" s="231"/>
      <c r="Q1184" s="231"/>
      <c r="R1184" s="231"/>
      <c r="S1184" s="231"/>
      <c r="T1184" s="231"/>
      <c r="U1184" s="231"/>
      <c r="V1184" s="231"/>
      <c r="W1184" s="231"/>
      <c r="X1184" s="231"/>
      <c r="Y1184" s="231"/>
      <c r="Z1184" s="231"/>
      <c r="AA1184" s="231"/>
      <c r="AB1184" s="231"/>
      <c r="AC1184" s="231"/>
    </row>
    <row r="1185" ht="24.75" customHeight="1">
      <c r="A1185" s="530"/>
      <c r="B1185" s="531"/>
      <c r="C1185" s="531"/>
      <c r="D1185" s="531"/>
      <c r="E1185" s="224"/>
      <c r="F1185" s="491"/>
      <c r="G1185" s="491"/>
      <c r="H1185" s="506"/>
      <c r="I1185" s="231"/>
      <c r="J1185" s="231"/>
      <c r="K1185" s="231"/>
      <c r="L1185" s="231"/>
      <c r="M1185" s="231"/>
      <c r="N1185" s="231"/>
      <c r="O1185" s="231"/>
      <c r="P1185" s="231"/>
      <c r="Q1185" s="231"/>
      <c r="R1185" s="231"/>
      <c r="S1185" s="231"/>
      <c r="T1185" s="231"/>
      <c r="U1185" s="231"/>
      <c r="V1185" s="231"/>
      <c r="W1185" s="231"/>
      <c r="X1185" s="231"/>
      <c r="Y1185" s="231"/>
      <c r="Z1185" s="231"/>
      <c r="AA1185" s="231"/>
      <c r="AB1185" s="231"/>
      <c r="AC1185" s="231"/>
    </row>
    <row r="1186" ht="24.75" customHeight="1">
      <c r="A1186" s="530"/>
      <c r="B1186" s="531"/>
      <c r="C1186" s="531"/>
      <c r="D1186" s="531"/>
      <c r="E1186" s="224"/>
      <c r="F1186" s="491"/>
      <c r="G1186" s="491"/>
      <c r="H1186" s="506"/>
      <c r="I1186" s="231"/>
      <c r="J1186" s="231"/>
      <c r="K1186" s="231"/>
      <c r="L1186" s="231"/>
      <c r="M1186" s="231"/>
      <c r="N1186" s="231"/>
      <c r="O1186" s="231"/>
      <c r="P1186" s="231"/>
      <c r="Q1186" s="231"/>
      <c r="R1186" s="231"/>
      <c r="S1186" s="231"/>
      <c r="T1186" s="231"/>
      <c r="U1186" s="231"/>
      <c r="V1186" s="231"/>
      <c r="W1186" s="231"/>
      <c r="X1186" s="231"/>
      <c r="Y1186" s="231"/>
      <c r="Z1186" s="231"/>
      <c r="AA1186" s="231"/>
      <c r="AB1186" s="231"/>
      <c r="AC1186" s="231"/>
    </row>
    <row r="1187" ht="24.75" customHeight="1">
      <c r="A1187" s="530"/>
      <c r="B1187" s="531"/>
      <c r="C1187" s="531"/>
      <c r="D1187" s="531"/>
      <c r="E1187" s="224"/>
      <c r="F1187" s="491"/>
      <c r="G1187" s="491"/>
      <c r="H1187" s="506"/>
      <c r="I1187" s="231"/>
      <c r="J1187" s="231"/>
      <c r="K1187" s="231"/>
      <c r="L1187" s="231"/>
      <c r="M1187" s="231"/>
      <c r="N1187" s="231"/>
      <c r="O1187" s="231"/>
      <c r="P1187" s="231"/>
      <c r="Q1187" s="231"/>
      <c r="R1187" s="231"/>
      <c r="S1187" s="231"/>
      <c r="T1187" s="231"/>
      <c r="U1187" s="231"/>
      <c r="V1187" s="231"/>
      <c r="W1187" s="231"/>
      <c r="X1187" s="231"/>
      <c r="Y1187" s="231"/>
      <c r="Z1187" s="231"/>
      <c r="AA1187" s="231"/>
      <c r="AB1187" s="231"/>
      <c r="AC1187" s="231"/>
    </row>
    <row r="1188" ht="24.75" customHeight="1">
      <c r="A1188" s="530"/>
      <c r="B1188" s="531"/>
      <c r="C1188" s="531"/>
      <c r="D1188" s="531"/>
      <c r="E1188" s="224"/>
      <c r="F1188" s="491"/>
      <c r="G1188" s="491"/>
      <c r="H1188" s="506"/>
      <c r="I1188" s="231"/>
      <c r="J1188" s="231"/>
      <c r="K1188" s="231"/>
      <c r="L1188" s="231"/>
      <c r="M1188" s="231"/>
      <c r="N1188" s="231"/>
      <c r="O1188" s="231"/>
      <c r="P1188" s="231"/>
      <c r="Q1188" s="231"/>
      <c r="R1188" s="231"/>
      <c r="S1188" s="231"/>
      <c r="T1188" s="231"/>
      <c r="U1188" s="231"/>
      <c r="V1188" s="231"/>
      <c r="W1188" s="231"/>
      <c r="X1188" s="231"/>
      <c r="Y1188" s="231"/>
      <c r="Z1188" s="231"/>
      <c r="AA1188" s="231"/>
      <c r="AB1188" s="231"/>
      <c r="AC1188" s="231"/>
    </row>
    <row r="1189" ht="24.75" customHeight="1">
      <c r="A1189" s="530"/>
      <c r="B1189" s="531"/>
      <c r="C1189" s="531"/>
      <c r="D1189" s="531"/>
      <c r="E1189" s="224"/>
      <c r="F1189" s="491"/>
      <c r="G1189" s="491"/>
      <c r="H1189" s="506"/>
      <c r="I1189" s="231"/>
      <c r="J1189" s="231"/>
      <c r="K1189" s="231"/>
      <c r="L1189" s="231"/>
      <c r="M1189" s="231"/>
      <c r="N1189" s="231"/>
      <c r="O1189" s="231"/>
      <c r="P1189" s="231"/>
      <c r="Q1189" s="231"/>
      <c r="R1189" s="231"/>
      <c r="S1189" s="231"/>
      <c r="T1189" s="231"/>
      <c r="U1189" s="231"/>
      <c r="V1189" s="231"/>
      <c r="W1189" s="231"/>
      <c r="X1189" s="231"/>
      <c r="Y1189" s="231"/>
      <c r="Z1189" s="231"/>
      <c r="AA1189" s="231"/>
      <c r="AB1189" s="231"/>
      <c r="AC1189" s="231"/>
    </row>
    <row r="1190" ht="24.75" customHeight="1">
      <c r="A1190" s="530"/>
      <c r="B1190" s="531"/>
      <c r="C1190" s="531"/>
      <c r="D1190" s="531"/>
      <c r="E1190" s="224"/>
      <c r="F1190" s="491"/>
      <c r="G1190" s="491"/>
      <c r="H1190" s="506"/>
      <c r="I1190" s="231"/>
      <c r="J1190" s="231"/>
      <c r="K1190" s="231"/>
      <c r="L1190" s="231"/>
      <c r="M1190" s="231"/>
      <c r="N1190" s="231"/>
      <c r="O1190" s="231"/>
      <c r="P1190" s="231"/>
      <c r="Q1190" s="231"/>
      <c r="R1190" s="231"/>
      <c r="S1190" s="231"/>
      <c r="T1190" s="231"/>
      <c r="U1190" s="231"/>
      <c r="V1190" s="231"/>
      <c r="W1190" s="231"/>
      <c r="X1190" s="231"/>
      <c r="Y1190" s="231"/>
      <c r="Z1190" s="231"/>
      <c r="AA1190" s="231"/>
      <c r="AB1190" s="231"/>
      <c r="AC1190" s="231"/>
    </row>
    <row r="1191" ht="24.75" customHeight="1">
      <c r="A1191" s="530"/>
      <c r="B1191" s="531"/>
      <c r="C1191" s="531"/>
      <c r="D1191" s="531"/>
      <c r="E1191" s="224"/>
      <c r="F1191" s="491"/>
      <c r="G1191" s="491"/>
      <c r="H1191" s="506"/>
      <c r="I1191" s="231"/>
      <c r="J1191" s="231"/>
      <c r="K1191" s="231"/>
      <c r="L1191" s="231"/>
      <c r="M1191" s="231"/>
      <c r="N1191" s="231"/>
      <c r="O1191" s="231"/>
      <c r="P1191" s="231"/>
      <c r="Q1191" s="231"/>
      <c r="R1191" s="231"/>
      <c r="S1191" s="231"/>
      <c r="T1191" s="231"/>
      <c r="U1191" s="231"/>
      <c r="V1191" s="231"/>
      <c r="W1191" s="231"/>
      <c r="X1191" s="231"/>
      <c r="Y1191" s="231"/>
      <c r="Z1191" s="231"/>
      <c r="AA1191" s="231"/>
      <c r="AB1191" s="231"/>
      <c r="AC1191" s="231"/>
    </row>
    <row r="1192" ht="24.75" customHeight="1">
      <c r="A1192" s="530"/>
      <c r="B1192" s="531"/>
      <c r="C1192" s="531"/>
      <c r="D1192" s="531"/>
      <c r="E1192" s="224"/>
      <c r="F1192" s="491"/>
      <c r="G1192" s="491"/>
      <c r="H1192" s="506"/>
      <c r="I1192" s="231"/>
      <c r="J1192" s="231"/>
      <c r="K1192" s="231"/>
      <c r="L1192" s="231"/>
      <c r="M1192" s="231"/>
      <c r="N1192" s="231"/>
      <c r="O1192" s="231"/>
      <c r="P1192" s="231"/>
      <c r="Q1192" s="231"/>
      <c r="R1192" s="231"/>
      <c r="S1192" s="231"/>
      <c r="T1192" s="231"/>
      <c r="U1192" s="231"/>
      <c r="V1192" s="231"/>
      <c r="W1192" s="231"/>
      <c r="X1192" s="231"/>
      <c r="Y1192" s="231"/>
      <c r="Z1192" s="231"/>
      <c r="AA1192" s="231"/>
      <c r="AB1192" s="231"/>
      <c r="AC1192" s="231"/>
    </row>
    <row r="1193" ht="24.75" customHeight="1">
      <c r="A1193" s="530"/>
      <c r="B1193" s="531"/>
      <c r="C1193" s="531"/>
      <c r="D1193" s="531"/>
      <c r="E1193" s="224"/>
      <c r="F1193" s="491"/>
      <c r="G1193" s="491"/>
      <c r="H1193" s="506"/>
      <c r="I1193" s="231"/>
      <c r="J1193" s="231"/>
      <c r="K1193" s="231"/>
      <c r="L1193" s="231"/>
      <c r="M1193" s="231"/>
      <c r="N1193" s="231"/>
      <c r="O1193" s="231"/>
      <c r="P1193" s="231"/>
      <c r="Q1193" s="231"/>
      <c r="R1193" s="231"/>
      <c r="S1193" s="231"/>
      <c r="T1193" s="231"/>
      <c r="U1193" s="231"/>
      <c r="V1193" s="231"/>
      <c r="W1193" s="231"/>
      <c r="X1193" s="231"/>
      <c r="Y1193" s="231"/>
      <c r="Z1193" s="231"/>
      <c r="AA1193" s="231"/>
      <c r="AB1193" s="231"/>
      <c r="AC1193" s="231"/>
    </row>
    <row r="1194" ht="24.75" customHeight="1">
      <c r="A1194" s="530"/>
      <c r="B1194" s="531"/>
      <c r="C1194" s="531"/>
      <c r="D1194" s="531"/>
      <c r="E1194" s="224"/>
      <c r="F1194" s="491"/>
      <c r="G1194" s="491"/>
      <c r="H1194" s="506"/>
      <c r="I1194" s="231"/>
      <c r="J1194" s="231"/>
      <c r="K1194" s="231"/>
      <c r="L1194" s="231"/>
      <c r="M1194" s="231"/>
      <c r="N1194" s="231"/>
      <c r="O1194" s="231"/>
      <c r="P1194" s="231"/>
      <c r="Q1194" s="231"/>
      <c r="R1194" s="231"/>
      <c r="S1194" s="231"/>
      <c r="T1194" s="231"/>
      <c r="U1194" s="231"/>
      <c r="V1194" s="231"/>
      <c r="W1194" s="231"/>
      <c r="X1194" s="231"/>
      <c r="Y1194" s="231"/>
      <c r="Z1194" s="231"/>
      <c r="AA1194" s="231"/>
      <c r="AB1194" s="231"/>
      <c r="AC1194" s="231"/>
    </row>
    <row r="1195" ht="24.75" customHeight="1">
      <c r="A1195" s="530"/>
      <c r="B1195" s="531"/>
      <c r="C1195" s="531"/>
      <c r="D1195" s="531"/>
      <c r="E1195" s="224"/>
      <c r="F1195" s="491"/>
      <c r="G1195" s="491"/>
      <c r="H1195" s="506"/>
      <c r="I1195" s="231"/>
      <c r="J1195" s="231"/>
      <c r="K1195" s="231"/>
      <c r="L1195" s="231"/>
      <c r="M1195" s="231"/>
      <c r="N1195" s="231"/>
      <c r="O1195" s="231"/>
      <c r="P1195" s="231"/>
      <c r="Q1195" s="231"/>
      <c r="R1195" s="231"/>
      <c r="S1195" s="231"/>
      <c r="T1195" s="231"/>
      <c r="U1195" s="231"/>
      <c r="V1195" s="231"/>
      <c r="W1195" s="231"/>
      <c r="X1195" s="231"/>
      <c r="Y1195" s="231"/>
      <c r="Z1195" s="231"/>
      <c r="AA1195" s="231"/>
      <c r="AB1195" s="231"/>
      <c r="AC1195" s="231"/>
    </row>
    <row r="1196" ht="24.75" customHeight="1">
      <c r="A1196" s="530"/>
      <c r="B1196" s="531"/>
      <c r="C1196" s="531"/>
      <c r="D1196" s="531"/>
      <c r="E1196" s="224"/>
      <c r="F1196" s="491"/>
      <c r="G1196" s="491"/>
      <c r="H1196" s="506"/>
      <c r="I1196" s="231"/>
      <c r="J1196" s="231"/>
      <c r="K1196" s="231"/>
      <c r="L1196" s="231"/>
      <c r="M1196" s="231"/>
      <c r="N1196" s="231"/>
      <c r="O1196" s="231"/>
      <c r="P1196" s="231"/>
      <c r="Q1196" s="231"/>
      <c r="R1196" s="231"/>
      <c r="S1196" s="231"/>
      <c r="T1196" s="231"/>
      <c r="U1196" s="231"/>
      <c r="V1196" s="231"/>
      <c r="W1196" s="231"/>
      <c r="X1196" s="231"/>
      <c r="Y1196" s="231"/>
      <c r="Z1196" s="231"/>
      <c r="AA1196" s="231"/>
      <c r="AB1196" s="231"/>
      <c r="AC1196" s="231"/>
    </row>
    <row r="1197" ht="24.75" customHeight="1">
      <c r="A1197" s="530"/>
      <c r="B1197" s="531"/>
      <c r="C1197" s="531"/>
      <c r="D1197" s="531"/>
      <c r="E1197" s="224"/>
      <c r="F1197" s="491"/>
      <c r="G1197" s="491"/>
      <c r="H1197" s="506"/>
      <c r="I1197" s="231"/>
      <c r="J1197" s="231"/>
      <c r="K1197" s="231"/>
      <c r="L1197" s="231"/>
      <c r="M1197" s="231"/>
      <c r="N1197" s="231"/>
      <c r="O1197" s="231"/>
      <c r="P1197" s="231"/>
      <c r="Q1197" s="231"/>
      <c r="R1197" s="231"/>
      <c r="S1197" s="231"/>
      <c r="T1197" s="231"/>
      <c r="U1197" s="231"/>
      <c r="V1197" s="231"/>
      <c r="W1197" s="231"/>
      <c r="X1197" s="231"/>
      <c r="Y1197" s="231"/>
      <c r="Z1197" s="231"/>
      <c r="AA1197" s="231"/>
      <c r="AB1197" s="231"/>
      <c r="AC1197" s="231"/>
    </row>
    <row r="1198" ht="24.75" customHeight="1">
      <c r="A1198" s="530"/>
      <c r="B1198" s="531"/>
      <c r="C1198" s="531"/>
      <c r="D1198" s="531"/>
      <c r="E1198" s="224"/>
      <c r="F1198" s="491"/>
      <c r="G1198" s="491"/>
      <c r="H1198" s="506"/>
      <c r="I1198" s="231"/>
      <c r="J1198" s="231"/>
      <c r="K1198" s="231"/>
      <c r="L1198" s="231"/>
      <c r="M1198" s="231"/>
      <c r="N1198" s="231"/>
      <c r="O1198" s="231"/>
      <c r="P1198" s="231"/>
      <c r="Q1198" s="231"/>
      <c r="R1198" s="231"/>
      <c r="S1198" s="231"/>
      <c r="T1198" s="231"/>
      <c r="U1198" s="231"/>
      <c r="V1198" s="231"/>
      <c r="W1198" s="231"/>
      <c r="X1198" s="231"/>
      <c r="Y1198" s="231"/>
      <c r="Z1198" s="231"/>
      <c r="AA1198" s="231"/>
      <c r="AB1198" s="231"/>
      <c r="AC1198" s="231"/>
    </row>
    <row r="1199" ht="24.75" customHeight="1">
      <c r="A1199" s="530"/>
      <c r="B1199" s="531"/>
      <c r="C1199" s="531"/>
      <c r="D1199" s="531"/>
      <c r="E1199" s="224"/>
      <c r="F1199" s="491"/>
      <c r="G1199" s="491"/>
      <c r="H1199" s="506"/>
      <c r="I1199" s="231"/>
      <c r="J1199" s="231"/>
      <c r="K1199" s="231"/>
      <c r="L1199" s="231"/>
      <c r="M1199" s="231"/>
      <c r="N1199" s="231"/>
      <c r="O1199" s="231"/>
      <c r="P1199" s="231"/>
      <c r="Q1199" s="231"/>
      <c r="R1199" s="231"/>
      <c r="S1199" s="231"/>
      <c r="T1199" s="231"/>
      <c r="U1199" s="231"/>
      <c r="V1199" s="231"/>
      <c r="W1199" s="231"/>
      <c r="X1199" s="231"/>
      <c r="Y1199" s="231"/>
      <c r="Z1199" s="231"/>
      <c r="AA1199" s="231"/>
      <c r="AB1199" s="231"/>
      <c r="AC1199" s="231"/>
    </row>
    <row r="1200" ht="24.75" customHeight="1">
      <c r="A1200" s="530"/>
      <c r="B1200" s="531"/>
      <c r="C1200" s="531"/>
      <c r="D1200" s="531"/>
      <c r="E1200" s="224"/>
      <c r="F1200" s="491"/>
      <c r="G1200" s="491"/>
      <c r="H1200" s="506"/>
      <c r="I1200" s="231"/>
      <c r="J1200" s="231"/>
      <c r="K1200" s="231"/>
      <c r="L1200" s="231"/>
      <c r="M1200" s="231"/>
      <c r="N1200" s="231"/>
      <c r="O1200" s="231"/>
      <c r="P1200" s="231"/>
      <c r="Q1200" s="231"/>
      <c r="R1200" s="231"/>
      <c r="S1200" s="231"/>
      <c r="T1200" s="231"/>
      <c r="U1200" s="231"/>
      <c r="V1200" s="231"/>
      <c r="W1200" s="231"/>
      <c r="X1200" s="231"/>
      <c r="Y1200" s="231"/>
      <c r="Z1200" s="231"/>
      <c r="AA1200" s="231"/>
      <c r="AB1200" s="231"/>
      <c r="AC1200" s="231"/>
    </row>
    <row r="1201" ht="24.75" customHeight="1">
      <c r="A1201" s="530"/>
      <c r="B1201" s="531"/>
      <c r="C1201" s="531"/>
      <c r="D1201" s="531"/>
      <c r="E1201" s="224"/>
      <c r="F1201" s="491"/>
      <c r="G1201" s="491"/>
      <c r="H1201" s="506"/>
      <c r="I1201" s="231"/>
      <c r="J1201" s="231"/>
      <c r="K1201" s="231"/>
      <c r="L1201" s="231"/>
      <c r="M1201" s="231"/>
      <c r="N1201" s="231"/>
      <c r="O1201" s="231"/>
      <c r="P1201" s="231"/>
      <c r="Q1201" s="231"/>
      <c r="R1201" s="231"/>
      <c r="S1201" s="231"/>
      <c r="T1201" s="231"/>
      <c r="U1201" s="231"/>
      <c r="V1201" s="231"/>
      <c r="W1201" s="231"/>
      <c r="X1201" s="231"/>
      <c r="Y1201" s="231"/>
      <c r="Z1201" s="231"/>
      <c r="AA1201" s="231"/>
      <c r="AB1201" s="231"/>
      <c r="AC1201" s="231"/>
    </row>
    <row r="1202" ht="24.75" customHeight="1">
      <c r="A1202" s="530"/>
      <c r="B1202" s="531"/>
      <c r="C1202" s="531"/>
      <c r="D1202" s="531"/>
      <c r="E1202" s="224"/>
      <c r="F1202" s="491"/>
      <c r="G1202" s="491"/>
      <c r="H1202" s="506"/>
      <c r="I1202" s="231"/>
      <c r="J1202" s="231"/>
      <c r="K1202" s="231"/>
      <c r="L1202" s="231"/>
      <c r="M1202" s="231"/>
      <c r="N1202" s="231"/>
      <c r="O1202" s="231"/>
      <c r="P1202" s="231"/>
      <c r="Q1202" s="231"/>
      <c r="R1202" s="231"/>
      <c r="S1202" s="231"/>
      <c r="T1202" s="231"/>
      <c r="U1202" s="231"/>
      <c r="V1202" s="231"/>
      <c r="W1202" s="231"/>
      <c r="X1202" s="231"/>
      <c r="Y1202" s="231"/>
      <c r="Z1202" s="231"/>
      <c r="AA1202" s="231"/>
      <c r="AB1202" s="231"/>
      <c r="AC1202" s="231"/>
    </row>
    <row r="1203" ht="24.75" customHeight="1">
      <c r="A1203" s="530"/>
      <c r="B1203" s="531"/>
      <c r="C1203" s="531"/>
      <c r="D1203" s="531"/>
      <c r="E1203" s="224"/>
      <c r="F1203" s="491"/>
      <c r="G1203" s="491"/>
      <c r="H1203" s="506"/>
      <c r="I1203" s="231"/>
      <c r="J1203" s="231"/>
      <c r="K1203" s="231"/>
      <c r="L1203" s="231"/>
      <c r="M1203" s="231"/>
      <c r="N1203" s="231"/>
      <c r="O1203" s="231"/>
      <c r="P1203" s="231"/>
      <c r="Q1203" s="231"/>
      <c r="R1203" s="231"/>
      <c r="S1203" s="231"/>
      <c r="T1203" s="231"/>
      <c r="U1203" s="231"/>
      <c r="V1203" s="231"/>
      <c r="W1203" s="231"/>
      <c r="X1203" s="231"/>
      <c r="Y1203" s="231"/>
      <c r="Z1203" s="231"/>
      <c r="AA1203" s="231"/>
      <c r="AB1203" s="231"/>
      <c r="AC1203" s="231"/>
    </row>
    <row r="1204" ht="24.75" customHeight="1">
      <c r="A1204" s="530"/>
      <c r="B1204" s="531"/>
      <c r="C1204" s="531"/>
      <c r="D1204" s="531"/>
      <c r="E1204" s="224"/>
      <c r="F1204" s="491"/>
      <c r="G1204" s="491"/>
      <c r="H1204" s="506"/>
      <c r="I1204" s="231"/>
      <c r="J1204" s="231"/>
      <c r="K1204" s="231"/>
      <c r="L1204" s="231"/>
      <c r="M1204" s="231"/>
      <c r="N1204" s="231"/>
      <c r="O1204" s="231"/>
      <c r="P1204" s="231"/>
      <c r="Q1204" s="231"/>
      <c r="R1204" s="231"/>
      <c r="S1204" s="231"/>
      <c r="T1204" s="231"/>
      <c r="U1204" s="231"/>
      <c r="V1204" s="231"/>
      <c r="W1204" s="231"/>
      <c r="X1204" s="231"/>
      <c r="Y1204" s="231"/>
      <c r="Z1204" s="231"/>
      <c r="AA1204" s="231"/>
      <c r="AB1204" s="231"/>
      <c r="AC1204" s="231"/>
    </row>
    <row r="1205" ht="24.75" customHeight="1">
      <c r="A1205" s="530"/>
      <c r="B1205" s="531"/>
      <c r="C1205" s="531"/>
      <c r="D1205" s="531"/>
      <c r="E1205" s="224"/>
      <c r="F1205" s="491"/>
      <c r="G1205" s="491"/>
      <c r="H1205" s="506"/>
      <c r="I1205" s="231"/>
      <c r="J1205" s="231"/>
      <c r="K1205" s="231"/>
      <c r="L1205" s="231"/>
      <c r="M1205" s="231"/>
      <c r="N1205" s="231"/>
      <c r="O1205" s="231"/>
      <c r="P1205" s="231"/>
      <c r="Q1205" s="231"/>
      <c r="R1205" s="231"/>
      <c r="S1205" s="231"/>
      <c r="T1205" s="231"/>
      <c r="U1205" s="231"/>
      <c r="V1205" s="231"/>
      <c r="W1205" s="231"/>
      <c r="X1205" s="231"/>
      <c r="Y1205" s="231"/>
      <c r="Z1205" s="231"/>
      <c r="AA1205" s="231"/>
      <c r="AB1205" s="231"/>
      <c r="AC1205" s="231"/>
    </row>
    <row r="1206" ht="24.75" customHeight="1">
      <c r="A1206" s="530"/>
      <c r="B1206" s="531"/>
      <c r="C1206" s="531"/>
      <c r="D1206" s="531"/>
      <c r="E1206" s="224"/>
      <c r="F1206" s="491"/>
      <c r="G1206" s="491"/>
      <c r="H1206" s="506"/>
      <c r="I1206" s="231"/>
      <c r="J1206" s="231"/>
      <c r="K1206" s="231"/>
      <c r="L1206" s="231"/>
      <c r="M1206" s="231"/>
      <c r="N1206" s="231"/>
      <c r="O1206" s="231"/>
      <c r="P1206" s="231"/>
      <c r="Q1206" s="231"/>
      <c r="R1206" s="231"/>
      <c r="S1206" s="231"/>
      <c r="T1206" s="231"/>
      <c r="U1206" s="231"/>
      <c r="V1206" s="231"/>
      <c r="W1206" s="231"/>
      <c r="X1206" s="231"/>
      <c r="Y1206" s="231"/>
      <c r="Z1206" s="231"/>
      <c r="AA1206" s="231"/>
      <c r="AB1206" s="231"/>
      <c r="AC1206" s="231"/>
    </row>
    <row r="1207" ht="24.75" customHeight="1">
      <c r="A1207" s="530"/>
      <c r="B1207" s="531"/>
      <c r="C1207" s="531"/>
      <c r="D1207" s="531"/>
      <c r="E1207" s="224"/>
      <c r="F1207" s="491"/>
      <c r="G1207" s="491"/>
      <c r="H1207" s="506"/>
      <c r="I1207" s="231"/>
      <c r="J1207" s="231"/>
      <c r="K1207" s="231"/>
      <c r="L1207" s="231"/>
      <c r="M1207" s="231"/>
      <c r="N1207" s="231"/>
      <c r="O1207" s="231"/>
      <c r="P1207" s="231"/>
      <c r="Q1207" s="231"/>
      <c r="R1207" s="231"/>
      <c r="S1207" s="231"/>
      <c r="T1207" s="231"/>
      <c r="U1207" s="231"/>
      <c r="V1207" s="231"/>
      <c r="W1207" s="231"/>
      <c r="X1207" s="231"/>
      <c r="Y1207" s="231"/>
      <c r="Z1207" s="231"/>
      <c r="AA1207" s="231"/>
      <c r="AB1207" s="231"/>
      <c r="AC1207" s="231"/>
    </row>
    <row r="1208" ht="24.75" customHeight="1">
      <c r="A1208" s="530"/>
      <c r="B1208" s="531"/>
      <c r="C1208" s="531"/>
      <c r="D1208" s="531"/>
      <c r="E1208" s="224"/>
      <c r="F1208" s="491"/>
      <c r="G1208" s="491"/>
      <c r="H1208" s="506"/>
      <c r="I1208" s="231"/>
      <c r="J1208" s="231"/>
      <c r="K1208" s="231"/>
      <c r="L1208" s="231"/>
      <c r="M1208" s="231"/>
      <c r="N1208" s="231"/>
      <c r="O1208" s="231"/>
      <c r="P1208" s="231"/>
      <c r="Q1208" s="231"/>
      <c r="R1208" s="231"/>
      <c r="S1208" s="231"/>
      <c r="T1208" s="231"/>
      <c r="U1208" s="231"/>
      <c r="V1208" s="231"/>
      <c r="W1208" s="231"/>
      <c r="X1208" s="231"/>
      <c r="Y1208" s="231"/>
      <c r="Z1208" s="231"/>
      <c r="AA1208" s="231"/>
      <c r="AB1208" s="231"/>
      <c r="AC1208" s="231"/>
    </row>
    <row r="1209" ht="24.75" customHeight="1">
      <c r="A1209" s="530"/>
      <c r="B1209" s="531"/>
      <c r="C1209" s="531"/>
      <c r="D1209" s="531"/>
      <c r="E1209" s="224"/>
      <c r="F1209" s="491"/>
      <c r="G1209" s="491"/>
      <c r="H1209" s="506"/>
      <c r="I1209" s="231"/>
      <c r="J1209" s="231"/>
      <c r="K1209" s="231"/>
      <c r="L1209" s="231"/>
      <c r="M1209" s="231"/>
      <c r="N1209" s="231"/>
      <c r="O1209" s="231"/>
      <c r="P1209" s="231"/>
      <c r="Q1209" s="231"/>
      <c r="R1209" s="231"/>
      <c r="S1209" s="231"/>
      <c r="T1209" s="231"/>
      <c r="U1209" s="231"/>
      <c r="V1209" s="231"/>
      <c r="W1209" s="231"/>
      <c r="X1209" s="231"/>
      <c r="Y1209" s="231"/>
      <c r="Z1209" s="231"/>
      <c r="AA1209" s="231"/>
      <c r="AB1209" s="231"/>
      <c r="AC1209" s="231"/>
    </row>
    <row r="1210" ht="24.75" customHeight="1">
      <c r="A1210" s="530"/>
      <c r="B1210" s="531"/>
      <c r="C1210" s="531"/>
      <c r="D1210" s="531"/>
      <c r="E1210" s="224"/>
      <c r="F1210" s="491"/>
      <c r="G1210" s="491"/>
      <c r="H1210" s="506"/>
      <c r="I1210" s="231"/>
      <c r="J1210" s="231"/>
      <c r="K1210" s="231"/>
      <c r="L1210" s="231"/>
      <c r="M1210" s="231"/>
      <c r="N1210" s="231"/>
      <c r="O1210" s="231"/>
      <c r="P1210" s="231"/>
      <c r="Q1210" s="231"/>
      <c r="R1210" s="231"/>
      <c r="S1210" s="231"/>
      <c r="T1210" s="231"/>
      <c r="U1210" s="231"/>
      <c r="V1210" s="231"/>
      <c r="W1210" s="231"/>
      <c r="X1210" s="231"/>
      <c r="Y1210" s="231"/>
      <c r="Z1210" s="231"/>
      <c r="AA1210" s="231"/>
      <c r="AB1210" s="231"/>
      <c r="AC1210" s="231"/>
    </row>
    <row r="1211" ht="24.75" customHeight="1">
      <c r="A1211" s="530"/>
      <c r="B1211" s="531"/>
      <c r="C1211" s="531"/>
      <c r="D1211" s="531"/>
      <c r="E1211" s="224"/>
      <c r="F1211" s="491"/>
      <c r="G1211" s="491"/>
      <c r="H1211" s="506"/>
      <c r="I1211" s="231"/>
      <c r="J1211" s="231"/>
      <c r="K1211" s="231"/>
      <c r="L1211" s="231"/>
      <c r="M1211" s="231"/>
      <c r="N1211" s="231"/>
      <c r="O1211" s="231"/>
      <c r="P1211" s="231"/>
      <c r="Q1211" s="231"/>
      <c r="R1211" s="231"/>
      <c r="S1211" s="231"/>
      <c r="T1211" s="231"/>
      <c r="U1211" s="231"/>
      <c r="V1211" s="231"/>
      <c r="W1211" s="231"/>
      <c r="X1211" s="231"/>
      <c r="Y1211" s="231"/>
      <c r="Z1211" s="231"/>
      <c r="AA1211" s="231"/>
      <c r="AB1211" s="231"/>
      <c r="AC1211" s="231"/>
    </row>
    <row r="1212" ht="24.75" customHeight="1">
      <c r="A1212" s="530"/>
      <c r="B1212" s="531"/>
      <c r="C1212" s="531"/>
      <c r="D1212" s="531"/>
      <c r="E1212" s="224"/>
      <c r="F1212" s="491"/>
      <c r="G1212" s="491"/>
      <c r="H1212" s="506"/>
      <c r="I1212" s="231"/>
      <c r="J1212" s="231"/>
      <c r="K1212" s="231"/>
      <c r="L1212" s="231"/>
      <c r="M1212" s="231"/>
      <c r="N1212" s="231"/>
      <c r="O1212" s="231"/>
      <c r="P1212" s="231"/>
      <c r="Q1212" s="231"/>
      <c r="R1212" s="231"/>
      <c r="S1212" s="231"/>
      <c r="T1212" s="231"/>
      <c r="U1212" s="231"/>
      <c r="V1212" s="231"/>
      <c r="W1212" s="231"/>
      <c r="X1212" s="231"/>
      <c r="Y1212" s="231"/>
      <c r="Z1212" s="231"/>
      <c r="AA1212" s="231"/>
      <c r="AB1212" s="231"/>
      <c r="AC1212" s="231"/>
    </row>
    <row r="1213" ht="24.75" customHeight="1">
      <c r="A1213" s="530"/>
      <c r="B1213" s="531"/>
      <c r="C1213" s="531"/>
      <c r="D1213" s="531"/>
      <c r="E1213" s="224"/>
      <c r="F1213" s="491"/>
      <c r="G1213" s="491"/>
      <c r="H1213" s="506"/>
      <c r="I1213" s="231"/>
      <c r="J1213" s="231"/>
      <c r="K1213" s="231"/>
      <c r="L1213" s="231"/>
      <c r="M1213" s="231"/>
      <c r="N1213" s="231"/>
      <c r="O1213" s="231"/>
      <c r="P1213" s="231"/>
      <c r="Q1213" s="231"/>
      <c r="R1213" s="231"/>
      <c r="S1213" s="231"/>
      <c r="T1213" s="231"/>
      <c r="U1213" s="231"/>
      <c r="V1213" s="231"/>
      <c r="W1213" s="231"/>
      <c r="X1213" s="231"/>
      <c r="Y1213" s="231"/>
      <c r="Z1213" s="231"/>
      <c r="AA1213" s="231"/>
      <c r="AB1213" s="231"/>
      <c r="AC1213" s="231"/>
    </row>
    <row r="1214" ht="24.75" customHeight="1">
      <c r="A1214" s="530"/>
      <c r="B1214" s="531"/>
      <c r="C1214" s="531"/>
      <c r="D1214" s="531"/>
      <c r="E1214" s="224"/>
      <c r="F1214" s="491"/>
      <c r="G1214" s="491"/>
      <c r="H1214" s="506"/>
      <c r="I1214" s="231"/>
      <c r="J1214" s="231"/>
      <c r="K1214" s="231"/>
      <c r="L1214" s="231"/>
      <c r="M1214" s="231"/>
      <c r="N1214" s="231"/>
      <c r="O1214" s="231"/>
      <c r="P1214" s="231"/>
      <c r="Q1214" s="231"/>
      <c r="R1214" s="231"/>
      <c r="S1214" s="231"/>
      <c r="T1214" s="231"/>
      <c r="U1214" s="231"/>
      <c r="V1214" s="231"/>
      <c r="W1214" s="231"/>
      <c r="X1214" s="231"/>
      <c r="Y1214" s="231"/>
      <c r="Z1214" s="231"/>
      <c r="AA1214" s="231"/>
      <c r="AB1214" s="231"/>
      <c r="AC1214" s="231"/>
    </row>
    <row r="1215" ht="24.75" customHeight="1">
      <c r="A1215" s="530"/>
      <c r="B1215" s="531"/>
      <c r="C1215" s="531"/>
      <c r="D1215" s="531"/>
      <c r="E1215" s="224"/>
      <c r="F1215" s="491"/>
      <c r="G1215" s="491"/>
      <c r="H1215" s="506"/>
      <c r="I1215" s="231"/>
      <c r="J1215" s="231"/>
      <c r="K1215" s="231"/>
      <c r="L1215" s="231"/>
      <c r="M1215" s="231"/>
      <c r="N1215" s="231"/>
      <c r="O1215" s="231"/>
      <c r="P1215" s="231"/>
      <c r="Q1215" s="231"/>
      <c r="R1215" s="231"/>
      <c r="S1215" s="231"/>
      <c r="T1215" s="231"/>
      <c r="U1215" s="231"/>
      <c r="V1215" s="231"/>
      <c r="W1215" s="231"/>
      <c r="X1215" s="231"/>
      <c r="Y1215" s="231"/>
      <c r="Z1215" s="231"/>
      <c r="AA1215" s="231"/>
      <c r="AB1215" s="231"/>
      <c r="AC1215" s="231"/>
    </row>
    <row r="1216" ht="24.75" customHeight="1">
      <c r="A1216" s="530"/>
      <c r="B1216" s="531"/>
      <c r="C1216" s="531"/>
      <c r="D1216" s="531"/>
      <c r="E1216" s="224"/>
      <c r="F1216" s="491"/>
      <c r="G1216" s="491"/>
      <c r="H1216" s="506"/>
      <c r="I1216" s="231"/>
      <c r="J1216" s="231"/>
      <c r="K1216" s="231"/>
      <c r="L1216" s="231"/>
      <c r="M1216" s="231"/>
      <c r="N1216" s="231"/>
      <c r="O1216" s="231"/>
      <c r="P1216" s="231"/>
      <c r="Q1216" s="231"/>
      <c r="R1216" s="231"/>
      <c r="S1216" s="231"/>
      <c r="T1216" s="231"/>
      <c r="U1216" s="231"/>
      <c r="V1216" s="231"/>
      <c r="W1216" s="231"/>
      <c r="X1216" s="231"/>
      <c r="Y1216" s="231"/>
      <c r="Z1216" s="231"/>
      <c r="AA1216" s="231"/>
      <c r="AB1216" s="231"/>
      <c r="AC1216" s="231"/>
    </row>
    <row r="1217" ht="24.75" customHeight="1">
      <c r="A1217" s="530"/>
      <c r="B1217" s="531"/>
      <c r="C1217" s="531"/>
      <c r="D1217" s="531"/>
      <c r="E1217" s="224"/>
      <c r="F1217" s="491"/>
      <c r="G1217" s="491"/>
      <c r="H1217" s="506"/>
      <c r="I1217" s="231"/>
      <c r="J1217" s="231"/>
      <c r="K1217" s="231"/>
      <c r="L1217" s="231"/>
      <c r="M1217" s="231"/>
      <c r="N1217" s="231"/>
      <c r="O1217" s="231"/>
      <c r="P1217" s="231"/>
      <c r="Q1217" s="231"/>
      <c r="R1217" s="231"/>
      <c r="S1217" s="231"/>
      <c r="T1217" s="231"/>
      <c r="U1217" s="231"/>
      <c r="V1217" s="231"/>
      <c r="W1217" s="231"/>
      <c r="X1217" s="231"/>
      <c r="Y1217" s="231"/>
      <c r="Z1217" s="231"/>
      <c r="AA1217" s="231"/>
      <c r="AB1217" s="231"/>
      <c r="AC1217" s="231"/>
    </row>
    <row r="1218" ht="24.75" customHeight="1">
      <c r="A1218" s="530"/>
      <c r="B1218" s="531"/>
      <c r="C1218" s="531"/>
      <c r="D1218" s="531"/>
      <c r="E1218" s="224"/>
      <c r="F1218" s="491"/>
      <c r="G1218" s="491"/>
      <c r="H1218" s="506"/>
      <c r="I1218" s="231"/>
      <c r="J1218" s="231"/>
      <c r="K1218" s="231"/>
      <c r="L1218" s="231"/>
      <c r="M1218" s="231"/>
      <c r="N1218" s="231"/>
      <c r="O1218" s="231"/>
      <c r="P1218" s="231"/>
      <c r="Q1218" s="231"/>
      <c r="R1218" s="231"/>
      <c r="S1218" s="231"/>
      <c r="T1218" s="231"/>
      <c r="U1218" s="231"/>
      <c r="V1218" s="231"/>
      <c r="W1218" s="231"/>
      <c r="X1218" s="231"/>
      <c r="Y1218" s="231"/>
      <c r="Z1218" s="231"/>
      <c r="AA1218" s="231"/>
      <c r="AB1218" s="231"/>
      <c r="AC1218" s="231"/>
    </row>
    <row r="1219" ht="24.75" customHeight="1">
      <c r="A1219" s="530"/>
      <c r="B1219" s="531"/>
      <c r="C1219" s="531"/>
      <c r="D1219" s="531"/>
      <c r="E1219" s="224"/>
      <c r="F1219" s="491"/>
      <c r="G1219" s="491"/>
      <c r="H1219" s="506"/>
      <c r="I1219" s="231"/>
      <c r="J1219" s="231"/>
      <c r="K1219" s="231"/>
      <c r="L1219" s="231"/>
      <c r="M1219" s="231"/>
      <c r="N1219" s="231"/>
      <c r="O1219" s="231"/>
      <c r="P1219" s="231"/>
      <c r="Q1219" s="231"/>
      <c r="R1219" s="231"/>
      <c r="S1219" s="231"/>
      <c r="T1219" s="231"/>
      <c r="U1219" s="231"/>
      <c r="V1219" s="231"/>
      <c r="W1219" s="231"/>
      <c r="X1219" s="231"/>
      <c r="Y1219" s="231"/>
      <c r="Z1219" s="231"/>
      <c r="AA1219" s="231"/>
      <c r="AB1219" s="231"/>
      <c r="AC1219" s="231"/>
    </row>
    <row r="1220" ht="24.75" customHeight="1">
      <c r="A1220" s="530"/>
      <c r="B1220" s="531"/>
      <c r="C1220" s="531"/>
      <c r="D1220" s="531"/>
      <c r="E1220" s="224"/>
      <c r="F1220" s="491"/>
      <c r="G1220" s="491"/>
      <c r="H1220" s="506"/>
      <c r="I1220" s="231"/>
      <c r="J1220" s="231"/>
      <c r="K1220" s="231"/>
      <c r="L1220" s="231"/>
      <c r="M1220" s="231"/>
      <c r="N1220" s="231"/>
      <c r="O1220" s="231"/>
      <c r="P1220" s="231"/>
      <c r="Q1220" s="231"/>
      <c r="R1220" s="231"/>
      <c r="S1220" s="231"/>
      <c r="T1220" s="231"/>
      <c r="U1220" s="231"/>
      <c r="V1220" s="231"/>
      <c r="W1220" s="231"/>
      <c r="X1220" s="231"/>
      <c r="Y1220" s="231"/>
      <c r="Z1220" s="231"/>
      <c r="AA1220" s="231"/>
      <c r="AB1220" s="231"/>
      <c r="AC1220" s="231"/>
    </row>
    <row r="1221" ht="24.75" customHeight="1">
      <c r="A1221" s="530"/>
      <c r="B1221" s="531"/>
      <c r="C1221" s="531"/>
      <c r="D1221" s="531"/>
      <c r="E1221" s="224"/>
      <c r="F1221" s="491"/>
      <c r="G1221" s="491"/>
      <c r="H1221" s="506"/>
      <c r="I1221" s="231"/>
      <c r="J1221" s="231"/>
      <c r="K1221" s="231"/>
      <c r="L1221" s="231"/>
      <c r="M1221" s="231"/>
      <c r="N1221" s="231"/>
      <c r="O1221" s="231"/>
      <c r="P1221" s="231"/>
      <c r="Q1221" s="231"/>
      <c r="R1221" s="231"/>
      <c r="S1221" s="231"/>
      <c r="T1221" s="231"/>
      <c r="U1221" s="231"/>
      <c r="V1221" s="231"/>
      <c r="W1221" s="231"/>
      <c r="X1221" s="231"/>
      <c r="Y1221" s="231"/>
      <c r="Z1221" s="231"/>
      <c r="AA1221" s="231"/>
      <c r="AB1221" s="231"/>
      <c r="AC1221" s="231"/>
    </row>
    <row r="1222" ht="24.75" customHeight="1">
      <c r="A1222" s="530"/>
      <c r="B1222" s="531"/>
      <c r="C1222" s="531"/>
      <c r="D1222" s="531"/>
      <c r="E1222" s="224"/>
      <c r="F1222" s="491"/>
      <c r="G1222" s="491"/>
      <c r="H1222" s="506"/>
      <c r="I1222" s="231"/>
      <c r="J1222" s="231"/>
      <c r="K1222" s="231"/>
      <c r="L1222" s="231"/>
      <c r="M1222" s="231"/>
      <c r="N1222" s="231"/>
      <c r="O1222" s="231"/>
      <c r="P1222" s="231"/>
      <c r="Q1222" s="231"/>
      <c r="R1222" s="231"/>
      <c r="S1222" s="231"/>
      <c r="T1222" s="231"/>
      <c r="U1222" s="231"/>
      <c r="V1222" s="231"/>
      <c r="W1222" s="231"/>
      <c r="X1222" s="231"/>
      <c r="Y1222" s="231"/>
      <c r="Z1222" s="231"/>
      <c r="AA1222" s="231"/>
      <c r="AB1222" s="231"/>
      <c r="AC1222" s="231"/>
    </row>
    <row r="1223" ht="24.75" customHeight="1">
      <c r="A1223" s="530"/>
      <c r="B1223" s="531"/>
      <c r="C1223" s="531"/>
      <c r="D1223" s="531"/>
      <c r="E1223" s="224"/>
      <c r="F1223" s="491"/>
      <c r="G1223" s="491"/>
      <c r="H1223" s="506"/>
      <c r="I1223" s="231"/>
      <c r="J1223" s="231"/>
      <c r="K1223" s="231"/>
      <c r="L1223" s="231"/>
      <c r="M1223" s="231"/>
      <c r="N1223" s="231"/>
      <c r="O1223" s="231"/>
      <c r="P1223" s="231"/>
      <c r="Q1223" s="231"/>
      <c r="R1223" s="231"/>
      <c r="S1223" s="231"/>
      <c r="T1223" s="231"/>
      <c r="U1223" s="231"/>
      <c r="V1223" s="231"/>
      <c r="W1223" s="231"/>
      <c r="X1223" s="231"/>
      <c r="Y1223" s="231"/>
      <c r="Z1223" s="231"/>
      <c r="AA1223" s="231"/>
      <c r="AB1223" s="231"/>
      <c r="AC1223" s="231"/>
    </row>
    <row r="1224" ht="24.75" customHeight="1">
      <c r="A1224" s="530"/>
      <c r="B1224" s="531"/>
      <c r="C1224" s="531"/>
      <c r="D1224" s="531"/>
      <c r="E1224" s="224"/>
      <c r="F1224" s="491"/>
      <c r="G1224" s="491"/>
      <c r="H1224" s="506"/>
      <c r="I1224" s="231"/>
      <c r="J1224" s="231"/>
      <c r="K1224" s="231"/>
      <c r="L1224" s="231"/>
      <c r="M1224" s="231"/>
      <c r="N1224" s="231"/>
      <c r="O1224" s="231"/>
      <c r="P1224" s="231"/>
      <c r="Q1224" s="231"/>
      <c r="R1224" s="231"/>
      <c r="S1224" s="231"/>
      <c r="T1224" s="231"/>
      <c r="U1224" s="231"/>
      <c r="V1224" s="231"/>
      <c r="W1224" s="231"/>
      <c r="X1224" s="231"/>
      <c r="Y1224" s="231"/>
      <c r="Z1224" s="231"/>
      <c r="AA1224" s="231"/>
      <c r="AB1224" s="231"/>
      <c r="AC1224" s="231"/>
    </row>
    <row r="1225" ht="24.75" customHeight="1">
      <c r="A1225" s="530"/>
      <c r="B1225" s="531"/>
      <c r="C1225" s="531"/>
      <c r="D1225" s="531"/>
      <c r="E1225" s="224"/>
      <c r="F1225" s="491"/>
      <c r="G1225" s="491"/>
      <c r="H1225" s="506"/>
      <c r="I1225" s="231"/>
      <c r="J1225" s="231"/>
      <c r="K1225" s="231"/>
      <c r="L1225" s="231"/>
      <c r="M1225" s="231"/>
      <c r="N1225" s="231"/>
      <c r="O1225" s="231"/>
      <c r="P1225" s="231"/>
      <c r="Q1225" s="231"/>
      <c r="R1225" s="231"/>
      <c r="S1225" s="231"/>
      <c r="T1225" s="231"/>
      <c r="U1225" s="231"/>
      <c r="V1225" s="231"/>
      <c r="W1225" s="231"/>
      <c r="X1225" s="231"/>
      <c r="Y1225" s="231"/>
      <c r="Z1225" s="231"/>
      <c r="AA1225" s="231"/>
      <c r="AB1225" s="231"/>
      <c r="AC1225" s="231"/>
    </row>
    <row r="1226" ht="24.75" customHeight="1">
      <c r="A1226" s="530"/>
      <c r="B1226" s="531"/>
      <c r="C1226" s="531"/>
      <c r="D1226" s="531"/>
      <c r="E1226" s="224"/>
      <c r="F1226" s="491"/>
      <c r="G1226" s="491"/>
      <c r="H1226" s="506"/>
      <c r="I1226" s="231"/>
      <c r="J1226" s="231"/>
      <c r="K1226" s="231"/>
      <c r="L1226" s="231"/>
      <c r="M1226" s="231"/>
      <c r="N1226" s="231"/>
      <c r="O1226" s="231"/>
      <c r="P1226" s="231"/>
      <c r="Q1226" s="231"/>
      <c r="R1226" s="231"/>
      <c r="S1226" s="231"/>
      <c r="T1226" s="231"/>
      <c r="U1226" s="231"/>
      <c r="V1226" s="231"/>
      <c r="W1226" s="231"/>
      <c r="X1226" s="231"/>
      <c r="Y1226" s="231"/>
      <c r="Z1226" s="231"/>
      <c r="AA1226" s="231"/>
      <c r="AB1226" s="231"/>
      <c r="AC1226" s="231"/>
    </row>
    <row r="1227" ht="24.75" customHeight="1">
      <c r="A1227" s="530"/>
      <c r="B1227" s="531"/>
      <c r="C1227" s="531"/>
      <c r="D1227" s="531"/>
      <c r="E1227" s="224"/>
      <c r="F1227" s="491"/>
      <c r="G1227" s="491"/>
      <c r="H1227" s="506"/>
      <c r="I1227" s="231"/>
      <c r="J1227" s="231"/>
      <c r="K1227" s="231"/>
      <c r="L1227" s="231"/>
      <c r="M1227" s="231"/>
      <c r="N1227" s="231"/>
      <c r="O1227" s="231"/>
      <c r="P1227" s="231"/>
      <c r="Q1227" s="231"/>
      <c r="R1227" s="231"/>
      <c r="S1227" s="231"/>
      <c r="T1227" s="231"/>
      <c r="U1227" s="231"/>
      <c r="V1227" s="231"/>
      <c r="W1227" s="231"/>
      <c r="X1227" s="231"/>
      <c r="Y1227" s="231"/>
      <c r="Z1227" s="231"/>
      <c r="AA1227" s="231"/>
      <c r="AB1227" s="231"/>
      <c r="AC1227" s="231"/>
    </row>
    <row r="1228" ht="24.75" customHeight="1">
      <c r="A1228" s="530"/>
      <c r="B1228" s="531"/>
      <c r="C1228" s="531"/>
      <c r="D1228" s="531"/>
      <c r="E1228" s="224"/>
      <c r="F1228" s="491"/>
      <c r="G1228" s="491"/>
      <c r="H1228" s="506"/>
      <c r="I1228" s="231"/>
      <c r="J1228" s="231"/>
      <c r="K1228" s="231"/>
      <c r="L1228" s="231"/>
      <c r="M1228" s="231"/>
      <c r="N1228" s="231"/>
      <c r="O1228" s="231"/>
      <c r="P1228" s="231"/>
      <c r="Q1228" s="231"/>
      <c r="R1228" s="231"/>
      <c r="S1228" s="231"/>
      <c r="T1228" s="231"/>
      <c r="U1228" s="231"/>
      <c r="V1228" s="231"/>
      <c r="W1228" s="231"/>
      <c r="X1228" s="231"/>
      <c r="Y1228" s="231"/>
      <c r="Z1228" s="231"/>
      <c r="AA1228" s="231"/>
      <c r="AB1228" s="231"/>
      <c r="AC1228" s="231"/>
    </row>
    <row r="1229" ht="24.75" customHeight="1">
      <c r="A1229" s="530"/>
      <c r="B1229" s="531"/>
      <c r="C1229" s="531"/>
      <c r="D1229" s="531"/>
      <c r="E1229" s="224"/>
      <c r="F1229" s="491"/>
      <c r="G1229" s="491"/>
      <c r="H1229" s="506"/>
      <c r="I1229" s="231"/>
      <c r="J1229" s="231"/>
      <c r="K1229" s="231"/>
      <c r="L1229" s="231"/>
      <c r="M1229" s="231"/>
      <c r="N1229" s="231"/>
      <c r="O1229" s="231"/>
      <c r="P1229" s="231"/>
      <c r="Q1229" s="231"/>
      <c r="R1229" s="231"/>
      <c r="S1229" s="231"/>
      <c r="T1229" s="231"/>
      <c r="U1229" s="231"/>
      <c r="V1229" s="231"/>
      <c r="W1229" s="231"/>
      <c r="X1229" s="231"/>
      <c r="Y1229" s="231"/>
      <c r="Z1229" s="231"/>
      <c r="AA1229" s="231"/>
      <c r="AB1229" s="231"/>
      <c r="AC1229" s="231"/>
    </row>
    <row r="1230" ht="24.75" customHeight="1">
      <c r="A1230" s="530"/>
      <c r="B1230" s="531"/>
      <c r="C1230" s="531"/>
      <c r="D1230" s="531"/>
      <c r="E1230" s="224"/>
      <c r="F1230" s="491"/>
      <c r="G1230" s="491"/>
      <c r="H1230" s="506"/>
      <c r="I1230" s="231"/>
      <c r="J1230" s="231"/>
      <c r="K1230" s="231"/>
      <c r="L1230" s="231"/>
      <c r="M1230" s="231"/>
      <c r="N1230" s="231"/>
      <c r="O1230" s="231"/>
      <c r="P1230" s="231"/>
      <c r="Q1230" s="231"/>
      <c r="R1230" s="231"/>
      <c r="S1230" s="231"/>
      <c r="T1230" s="231"/>
      <c r="U1230" s="231"/>
      <c r="V1230" s="231"/>
      <c r="W1230" s="231"/>
      <c r="X1230" s="231"/>
      <c r="Y1230" s="231"/>
      <c r="Z1230" s="231"/>
      <c r="AA1230" s="231"/>
      <c r="AB1230" s="231"/>
      <c r="AC1230" s="231"/>
    </row>
    <row r="1231" ht="24.75" customHeight="1">
      <c r="A1231" s="530"/>
      <c r="B1231" s="531"/>
      <c r="C1231" s="531"/>
      <c r="D1231" s="531"/>
      <c r="E1231" s="224"/>
      <c r="F1231" s="491"/>
      <c r="G1231" s="491"/>
      <c r="H1231" s="506"/>
      <c r="I1231" s="231"/>
      <c r="J1231" s="231"/>
      <c r="K1231" s="231"/>
      <c r="L1231" s="231"/>
      <c r="M1231" s="231"/>
      <c r="N1231" s="231"/>
      <c r="O1231" s="231"/>
      <c r="P1231" s="231"/>
      <c r="Q1231" s="231"/>
      <c r="R1231" s="231"/>
      <c r="S1231" s="231"/>
      <c r="T1231" s="231"/>
      <c r="U1231" s="231"/>
      <c r="V1231" s="231"/>
      <c r="W1231" s="231"/>
      <c r="X1231" s="231"/>
      <c r="Y1231" s="231"/>
      <c r="Z1231" s="231"/>
      <c r="AA1231" s="231"/>
      <c r="AB1231" s="231"/>
      <c r="AC1231" s="231"/>
    </row>
    <row r="1232" ht="24.75" customHeight="1">
      <c r="A1232" s="530"/>
      <c r="B1232" s="531"/>
      <c r="C1232" s="531"/>
      <c r="D1232" s="531"/>
      <c r="E1232" s="224"/>
      <c r="F1232" s="491"/>
      <c r="G1232" s="491"/>
      <c r="H1232" s="506"/>
      <c r="I1232" s="231"/>
      <c r="J1232" s="231"/>
      <c r="K1232" s="231"/>
      <c r="L1232" s="231"/>
      <c r="M1232" s="231"/>
      <c r="N1232" s="231"/>
      <c r="O1232" s="231"/>
      <c r="P1232" s="231"/>
      <c r="Q1232" s="231"/>
      <c r="R1232" s="231"/>
      <c r="S1232" s="231"/>
      <c r="T1232" s="231"/>
      <c r="U1232" s="231"/>
      <c r="V1232" s="231"/>
      <c r="W1232" s="231"/>
      <c r="X1232" s="231"/>
      <c r="Y1232" s="231"/>
      <c r="Z1232" s="231"/>
      <c r="AA1232" s="231"/>
      <c r="AB1232" s="231"/>
      <c r="AC1232" s="231"/>
    </row>
    <row r="1233" ht="24.75" customHeight="1">
      <c r="A1233" s="530"/>
      <c r="B1233" s="531"/>
      <c r="C1233" s="531"/>
      <c r="D1233" s="531"/>
      <c r="E1233" s="224"/>
      <c r="F1233" s="491"/>
      <c r="G1233" s="491"/>
      <c r="H1233" s="506"/>
      <c r="I1233" s="231"/>
      <c r="J1233" s="231"/>
      <c r="K1233" s="231"/>
      <c r="L1233" s="231"/>
      <c r="M1233" s="231"/>
      <c r="N1233" s="231"/>
      <c r="O1233" s="231"/>
      <c r="P1233" s="231"/>
      <c r="Q1233" s="231"/>
      <c r="R1233" s="231"/>
      <c r="S1233" s="231"/>
      <c r="T1233" s="231"/>
      <c r="U1233" s="231"/>
      <c r="V1233" s="231"/>
      <c r="W1233" s="231"/>
      <c r="X1233" s="231"/>
      <c r="Y1233" s="231"/>
      <c r="Z1233" s="231"/>
      <c r="AA1233" s="231"/>
      <c r="AB1233" s="231"/>
      <c r="AC1233" s="231"/>
    </row>
    <row r="1234" ht="24.75" customHeight="1">
      <c r="A1234" s="530"/>
      <c r="B1234" s="531"/>
      <c r="C1234" s="531"/>
      <c r="D1234" s="531"/>
      <c r="E1234" s="224"/>
      <c r="F1234" s="491"/>
      <c r="G1234" s="491"/>
      <c r="H1234" s="506"/>
      <c r="I1234" s="231"/>
      <c r="J1234" s="231"/>
      <c r="K1234" s="231"/>
      <c r="L1234" s="231"/>
      <c r="M1234" s="231"/>
      <c r="N1234" s="231"/>
      <c r="O1234" s="231"/>
      <c r="P1234" s="231"/>
      <c r="Q1234" s="231"/>
      <c r="R1234" s="231"/>
      <c r="S1234" s="231"/>
      <c r="T1234" s="231"/>
      <c r="U1234" s="231"/>
      <c r="V1234" s="231"/>
      <c r="W1234" s="231"/>
      <c r="X1234" s="231"/>
      <c r="Y1234" s="231"/>
      <c r="Z1234" s="231"/>
      <c r="AA1234" s="231"/>
      <c r="AB1234" s="231"/>
      <c r="AC1234" s="231"/>
    </row>
    <row r="1235" ht="24.75" customHeight="1">
      <c r="A1235" s="530"/>
      <c r="B1235" s="531"/>
      <c r="C1235" s="531"/>
      <c r="D1235" s="531"/>
      <c r="E1235" s="224"/>
      <c r="F1235" s="491"/>
      <c r="G1235" s="491"/>
      <c r="H1235" s="506"/>
      <c r="I1235" s="231"/>
      <c r="J1235" s="231"/>
      <c r="K1235" s="231"/>
      <c r="L1235" s="231"/>
      <c r="M1235" s="231"/>
      <c r="N1235" s="231"/>
      <c r="O1235" s="231"/>
      <c r="P1235" s="231"/>
      <c r="Q1235" s="231"/>
      <c r="R1235" s="231"/>
      <c r="S1235" s="231"/>
      <c r="T1235" s="231"/>
      <c r="U1235" s="231"/>
      <c r="V1235" s="231"/>
      <c r="W1235" s="231"/>
      <c r="X1235" s="231"/>
      <c r="Y1235" s="231"/>
      <c r="Z1235" s="231"/>
      <c r="AA1235" s="231"/>
      <c r="AB1235" s="231"/>
      <c r="AC1235" s="231"/>
    </row>
  </sheetData>
  <mergeCells count="10">
    <mergeCell ref="T766:T767"/>
    <mergeCell ref="U766:U767"/>
    <mergeCell ref="R683:R684"/>
    <mergeCell ref="S683:S684"/>
    <mergeCell ref="T683:T684"/>
    <mergeCell ref="U683:U684"/>
    <mergeCell ref="V683:V684"/>
    <mergeCell ref="R766:R767"/>
    <mergeCell ref="S766:S767"/>
    <mergeCell ref="V766:V767"/>
  </mergeCells>
  <dataValidations>
    <dataValidation type="list" allowBlank="1" showErrorMessage="1" sqref="R677:S683">
      <formula1>"未,済み"</formula1>
    </dataValidation>
  </dataValidations>
  <hyperlinks>
    <hyperlink r:id="rId2" location="gid=1632756398" ref="B138"/>
    <hyperlink r:id="rId3" ref="D139"/>
    <hyperlink r:id="rId4" location="gid=1859139523" ref="B141"/>
    <hyperlink r:id="rId5" location="gid=1333989001" ref="B143"/>
    <hyperlink r:id="rId6" location="gid=189361336" ref="H152"/>
    <hyperlink r:id="rId7" location="gid=1991794180" ref="B167"/>
    <hyperlink r:id="rId8" location="gid=1632756398" ref="B168"/>
    <hyperlink r:id="rId9" ref="D169"/>
    <hyperlink r:id="rId10" location="gid=992505473" ref="B170"/>
    <hyperlink r:id="rId11" location="gid=1859139523" ref="B171"/>
    <hyperlink r:id="rId12" location="gid=1333989001" ref="B172"/>
    <hyperlink r:id="rId13" location="gid=1333989001" ref="B177"/>
    <hyperlink r:id="rId14" location="gid=1991794180" ref="B181"/>
    <hyperlink r:id="rId15" location="gid=1632756398" ref="B182"/>
    <hyperlink r:id="rId16" ref="D183"/>
    <hyperlink r:id="rId17" location="gid=992505473" ref="B184"/>
    <hyperlink r:id="rId18" location="gid=1859139523" ref="B185"/>
    <hyperlink r:id="rId19" location="gid=1333989001" ref="B187"/>
    <hyperlink r:id="rId20" location="gid=1379976169" ref="B200"/>
    <hyperlink r:id="rId21" location="gid=1991794180" ref="B243"/>
    <hyperlink r:id="rId22" location="gid=1632756398" ref="B244"/>
    <hyperlink r:id="rId23" location="gid=1991794180" ref="B289"/>
    <hyperlink r:id="rId24" location="gid=1632756398" ref="B290"/>
    <hyperlink r:id="rId25" location="gid=1991794180" ref="B343"/>
    <hyperlink r:id="rId26" location="gid=1632756398" ref="B344"/>
    <hyperlink r:id="rId27" location="gid=1991794180" ref="B369"/>
    <hyperlink r:id="rId28" location="gid=1632756398" ref="B370"/>
    <hyperlink r:id="rId29" location="gid=1991794180" ref="B395"/>
    <hyperlink r:id="rId30" location="gid=1632756398" ref="B396"/>
    <hyperlink r:id="rId31" location="gid=1991794180" ref="B433"/>
    <hyperlink r:id="rId32" location="gid=1632756398" ref="B434"/>
    <hyperlink r:id="rId33" location="gid=1632756398" ref="B447"/>
    <hyperlink r:id="rId34" location="gid=1991794180" ref="B461"/>
    <hyperlink r:id="rId35" location="gid=1632756398" ref="B462"/>
    <hyperlink r:id="rId36" location="gid=1991794180" ref="B486"/>
    <hyperlink r:id="rId37" location="gid=1632756398" ref="B487"/>
    <hyperlink r:id="rId38" location="gid=1991794180" ref="B514"/>
    <hyperlink r:id="rId39" location="gid=1632756398" ref="B515"/>
    <hyperlink r:id="rId40" location="gid=308598053" ref="B527"/>
    <hyperlink r:id="rId41" location="gid=1083256851" ref="B529"/>
    <hyperlink r:id="rId42" location="gid=308598053" ref="B531"/>
    <hyperlink r:id="rId43" location="gid=0" ref="B532"/>
    <hyperlink r:id="rId44" location="gid=1881522324" ref="B538"/>
    <hyperlink r:id="rId45" location="gid=0" ref="B539"/>
    <hyperlink r:id="rId46" location="gid=689531587" ref="B542"/>
    <hyperlink r:id="rId47" ref="C543"/>
    <hyperlink r:id="rId48" location="gid=308598053" ref="B545"/>
    <hyperlink r:id="rId49" ref="C547"/>
    <hyperlink r:id="rId50" location="gid=1991794180" ref="B550"/>
    <hyperlink r:id="rId51" location="gid=1632756398" ref="B551"/>
    <hyperlink r:id="rId52" location="gid=0" ref="B560"/>
    <hyperlink r:id="rId53" location="gid=689531587" ref="B561"/>
    <hyperlink r:id="rId54" ref="C562"/>
    <hyperlink r:id="rId55" location="gid=308598053" ref="B564"/>
    <hyperlink r:id="rId56" location="gid=0" ref="B566"/>
    <hyperlink r:id="rId57" location="gid=1881522324" ref="B571"/>
    <hyperlink r:id="rId58" location="gid=0" ref="B572"/>
    <hyperlink r:id="rId59" location="gid=689531587" ref="B575"/>
    <hyperlink r:id="rId60" ref="C576"/>
    <hyperlink r:id="rId61" location="gid=308598053" ref="B578"/>
    <hyperlink r:id="rId62" location="gid=1991794180" ref="B586"/>
    <hyperlink r:id="rId63" location="gid=1632756398" ref="B587"/>
    <hyperlink r:id="rId64" location="gid=1991794180" ref="B611"/>
    <hyperlink r:id="rId65" location="gid=1632756398" ref="B612"/>
    <hyperlink r:id="rId66" location="gid=1881522324" ref="B629"/>
    <hyperlink r:id="rId67" location="gid=0" ref="B630"/>
    <hyperlink r:id="rId68" location="gid=689531587" ref="B633"/>
    <hyperlink r:id="rId69" ref="C634"/>
    <hyperlink r:id="rId70" location="gid=308598053" ref="B636"/>
    <hyperlink r:id="rId71" location="gid=1881522324" ref="B641"/>
    <hyperlink r:id="rId72" location="gid=0" ref="B642"/>
    <hyperlink r:id="rId73" location="gid=689531587" ref="B645"/>
    <hyperlink r:id="rId74" ref="C646"/>
    <hyperlink r:id="rId75" location="gid=308598053" ref="B648"/>
    <hyperlink r:id="rId76" location="gid=264080287" ref="B677"/>
    <hyperlink r:id="rId77" location="gid=1365984243" ref="B678"/>
    <hyperlink r:id="rId78" location="gid=1991794180" ref="B680"/>
    <hyperlink r:id="rId79" location="gid=1632756398" ref="B681"/>
    <hyperlink r:id="rId80" location="gid=1352222971" ref="B682"/>
    <hyperlink r:id="rId81" location="gid=978158948" ref="B685"/>
    <hyperlink r:id="rId82" location="gid=0" ref="B686"/>
    <hyperlink r:id="rId83" location="gid=978158948" ref="B695"/>
    <hyperlink r:id="rId84" location="gid=0" ref="B698"/>
    <hyperlink r:id="rId85" location="gid=264080287" ref="B703"/>
    <hyperlink r:id="rId86" location="gid=1365984243" ref="B704"/>
    <hyperlink r:id="rId87" location="gid=1991794180" ref="B706"/>
    <hyperlink r:id="rId88" location="gid=1632756398" ref="B707"/>
    <hyperlink r:id="rId89" location="gid=1352222971" ref="B708"/>
    <hyperlink r:id="rId90" location="gid=978158948" ref="B711"/>
    <hyperlink r:id="rId91" location="gid=0" ref="B712"/>
    <hyperlink r:id="rId92" location="gid=264080287" ref="B760"/>
    <hyperlink r:id="rId93" location="gid=1365984243" ref="B761"/>
    <hyperlink r:id="rId94" location="gid=1991794180" ref="B763"/>
    <hyperlink r:id="rId95" location="gid=1632756398" ref="B764"/>
    <hyperlink r:id="rId96" location="gid=1352222971" ref="B765"/>
    <hyperlink r:id="rId97" location="gid=978158948" ref="B768"/>
    <hyperlink r:id="rId98" location="gid=0" ref="B769"/>
    <hyperlink r:id="rId99" location="gid=978158948" ref="B781"/>
    <hyperlink r:id="rId100" location="gid=0" ref="B785"/>
    <hyperlink r:id="rId101" location="gid=1991794180" ref="B788"/>
    <hyperlink r:id="rId102" location="gid=1632756398" ref="B789"/>
    <hyperlink r:id="rId103" location="gid=1352222971" ref="B790"/>
    <hyperlink r:id="rId104" location="gid=978158948" ref="B793"/>
    <hyperlink r:id="rId105" location="gid=0" ref="B794"/>
    <hyperlink r:id="rId106" location="gid=978158948" ref="B803"/>
    <hyperlink r:id="rId107" location="gid=0" ref="B807"/>
    <hyperlink r:id="rId108" location="gid=978158948" ref="B812"/>
    <hyperlink r:id="rId109" location="gid=0" ref="B813"/>
    <hyperlink r:id="rId110" location="gid=689531587" ref="B825"/>
    <hyperlink r:id="rId111" location="gid=1774338877" ref="B830"/>
    <hyperlink r:id="rId112" location="gid=978158948" ref="B833"/>
    <hyperlink r:id="rId113" location="gid=0" ref="B834"/>
    <hyperlink r:id="rId114" location="gid=689531587" ref="B838"/>
    <hyperlink r:id="rId115" location="gid=978158948" ref="B843"/>
    <hyperlink r:id="rId116" location="gid=0" ref="B847"/>
    <hyperlink r:id="rId117" location="gid=689531587" ref="B850"/>
    <hyperlink r:id="rId118" location="gid=1774338877" ref="B855"/>
    <hyperlink r:id="rId119" location="gid=978158948" ref="B858"/>
    <hyperlink r:id="rId120" location="gid=0" ref="B859"/>
    <hyperlink r:id="rId121" location="gid=689531587" ref="B863"/>
    <hyperlink r:id="rId122" location="gid=1881522324" ref="B873"/>
    <hyperlink r:id="rId123" location="gid=0" ref="B874"/>
    <hyperlink r:id="rId124" location="gid=689531587" ref="B877"/>
    <hyperlink r:id="rId125" ref="C878"/>
    <hyperlink r:id="rId126" location="gid=308598053" ref="B880"/>
    <hyperlink r:id="rId127" location="gid=1881522324" ref="B897"/>
    <hyperlink r:id="rId128" location="gid=0" ref="B898"/>
    <hyperlink r:id="rId129" location="gid=689531587" ref="B901"/>
    <hyperlink r:id="rId130" ref="C902"/>
    <hyperlink r:id="rId131" location="gid=308598053" ref="B904"/>
    <hyperlink r:id="rId132" location="gid=1881522324" ref="B909"/>
    <hyperlink r:id="rId133" location="gid=0" ref="B910"/>
    <hyperlink r:id="rId134" location="gid=689531587" ref="B913"/>
    <hyperlink r:id="rId135" ref="C914"/>
    <hyperlink r:id="rId136" location="gid=308598053" ref="B916"/>
    <hyperlink r:id="rId137" location="gid=1881522324" ref="B921"/>
    <hyperlink r:id="rId138" location="gid=0" ref="B922"/>
    <hyperlink r:id="rId139" location="gid=689531587" ref="B925"/>
    <hyperlink r:id="rId140" ref="C926"/>
    <hyperlink r:id="rId141" location="gid=308598053" ref="B928"/>
    <hyperlink r:id="rId142" location="gid=689531587" ref="B934"/>
    <hyperlink r:id="rId143" location="gid=1774338877" ref="B939"/>
    <hyperlink r:id="rId144" location="gid=978158948" ref="B942"/>
    <hyperlink r:id="rId145" location="gid=0" ref="B943"/>
    <hyperlink r:id="rId146" location="gid=689531587" ref="B947"/>
    <hyperlink r:id="rId147" location="gid=978158948" ref="B952"/>
    <hyperlink r:id="rId148" location="gid=0" ref="B957"/>
    <hyperlink r:id="rId149" location="gid=689531587" ref="B960"/>
    <hyperlink r:id="rId150" location="gid=1774338877" ref="B965"/>
    <hyperlink r:id="rId151" location="gid=978158948" ref="B968"/>
    <hyperlink r:id="rId152" location="gid=0" ref="B969"/>
    <hyperlink r:id="rId153" location="gid=689531587" ref="B973"/>
    <hyperlink r:id="rId154" location="gid=1881522324" ref="B983"/>
    <hyperlink r:id="rId155" location="gid=0" ref="B984"/>
    <hyperlink r:id="rId156" location="gid=689531587" ref="B987"/>
    <hyperlink r:id="rId157" ref="C988"/>
    <hyperlink r:id="rId158" location="gid=308598053" ref="B990"/>
    <hyperlink r:id="rId159" location="gid=978158948" ref="B995"/>
    <hyperlink r:id="rId160" location="gid=0" ref="B999"/>
    <hyperlink r:id="rId161" location="gid=689531587" ref="B1002"/>
    <hyperlink r:id="rId162" location="gid=1881522324" ref="B1009"/>
    <hyperlink r:id="rId163" location="gid=0" ref="B1010"/>
    <hyperlink r:id="rId164" location="gid=689531587" ref="B1013"/>
    <hyperlink r:id="rId165" ref="C1014"/>
    <hyperlink r:id="rId166" location="gid=308598053" ref="B1016"/>
    <hyperlink r:id="rId167" location="gid=689531587" ref="B1023"/>
    <hyperlink r:id="rId168" location="gid=1991794180" ref="B1025"/>
    <hyperlink r:id="rId169" location="gid=1632756398" ref="B1026"/>
    <hyperlink r:id="rId170" location="gid=978158948" ref="B1030"/>
    <hyperlink r:id="rId171" location="gid=0" ref="B1031"/>
    <hyperlink r:id="rId172" location="gid=978158948" ref="B1039"/>
    <hyperlink r:id="rId173" location="gid=0" ref="B1043"/>
    <hyperlink r:id="rId174" location="gid=689531587" ref="B1046"/>
    <hyperlink r:id="rId175" location="gid=1774338877" ref="B1051"/>
    <hyperlink r:id="rId176" location="gid=978158948" ref="B1054"/>
    <hyperlink r:id="rId177" location="gid=0" ref="B1055"/>
    <hyperlink r:id="rId178" location="gid=689531587" ref="B1059"/>
    <hyperlink r:id="rId179" location="gid=978158948" ref="B1064"/>
    <hyperlink r:id="rId180" location="gid=0" ref="B1069"/>
    <hyperlink r:id="rId181" location="gid=689531587" ref="B1072"/>
    <hyperlink r:id="rId182" location="gid=1774338877" ref="B1077"/>
    <hyperlink r:id="rId183" location="gid=978158948" ref="B1080"/>
    <hyperlink r:id="rId184" location="gid=0" ref="B1081"/>
    <hyperlink r:id="rId185" location="gid=689531587" ref="B1085"/>
  </hyperlinks>
  <drawing r:id="rId186"/>
  <legacyDrawing r:id="rId18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4.0"/>
    <col customWidth="1" min="2" max="2" width="25.5"/>
    <col customWidth="1" min="3" max="6" width="20.88"/>
    <col customWidth="1" min="16" max="16" width="66.5"/>
  </cols>
  <sheetData>
    <row r="1" ht="29.25" customHeight="1">
      <c r="A1" s="532"/>
      <c r="B1" s="533" t="s">
        <v>1336</v>
      </c>
      <c r="C1" s="534" t="s">
        <v>1337</v>
      </c>
      <c r="D1" s="535"/>
      <c r="E1" s="535"/>
      <c r="F1" s="536"/>
      <c r="G1" s="537"/>
      <c r="H1" s="537"/>
      <c r="I1" s="538"/>
      <c r="J1" s="539"/>
      <c r="K1" s="539"/>
      <c r="L1" s="539"/>
      <c r="M1" s="537"/>
      <c r="N1" s="537"/>
      <c r="O1" s="537"/>
      <c r="P1" s="537"/>
      <c r="Q1" s="537"/>
      <c r="R1" s="537"/>
      <c r="S1" s="540"/>
      <c r="T1" s="540"/>
      <c r="U1" s="540"/>
      <c r="V1" s="540"/>
      <c r="W1" s="540"/>
      <c r="X1" s="540"/>
      <c r="Y1" s="540"/>
      <c r="Z1" s="540"/>
    </row>
    <row r="2">
      <c r="A2" s="541" t="s">
        <v>1338</v>
      </c>
      <c r="B2" s="535" t="s">
        <v>648</v>
      </c>
      <c r="C2" s="535" t="s">
        <v>1339</v>
      </c>
      <c r="D2" s="535" t="s">
        <v>1340</v>
      </c>
      <c r="E2" s="535" t="s">
        <v>1341</v>
      </c>
      <c r="F2" s="536" t="s">
        <v>1342</v>
      </c>
      <c r="G2" s="537" t="s">
        <v>1343</v>
      </c>
      <c r="H2" s="537" t="s">
        <v>1344</v>
      </c>
      <c r="I2" s="538" t="s">
        <v>1345</v>
      </c>
      <c r="J2" s="539" t="s">
        <v>1346</v>
      </c>
      <c r="K2" s="539" t="s">
        <v>1347</v>
      </c>
      <c r="L2" s="539" t="s">
        <v>1348</v>
      </c>
      <c r="M2" s="537" t="s">
        <v>1349</v>
      </c>
      <c r="N2" s="537" t="s">
        <v>1350</v>
      </c>
      <c r="O2" s="537" t="s">
        <v>1351</v>
      </c>
      <c r="P2" s="537" t="s">
        <v>1352</v>
      </c>
      <c r="Q2" s="537" t="s">
        <v>1353</v>
      </c>
      <c r="R2" s="537" t="s">
        <v>1354</v>
      </c>
      <c r="S2" s="540"/>
      <c r="T2" s="540"/>
      <c r="U2" s="540"/>
      <c r="V2" s="540"/>
      <c r="W2" s="540"/>
      <c r="X2" s="540"/>
      <c r="Y2" s="540"/>
      <c r="Z2" s="540"/>
    </row>
    <row r="3" ht="171.75" customHeight="1">
      <c r="A3" s="542">
        <v>1.0</v>
      </c>
      <c r="B3" s="543" t="s">
        <v>1355</v>
      </c>
      <c r="C3" s="543" t="s">
        <v>1356</v>
      </c>
      <c r="D3" s="543" t="s">
        <v>1357</v>
      </c>
      <c r="E3" s="543" t="s">
        <v>1358</v>
      </c>
      <c r="F3" s="543" t="s">
        <v>1359</v>
      </c>
      <c r="G3" s="544">
        <v>45840.0</v>
      </c>
      <c r="H3" s="543" t="s">
        <v>181</v>
      </c>
      <c r="I3" s="543" t="s">
        <v>1360</v>
      </c>
      <c r="J3" s="545">
        <v>41506.0</v>
      </c>
      <c r="K3" s="546">
        <v>117.0</v>
      </c>
      <c r="L3" s="546">
        <v>3.0</v>
      </c>
      <c r="M3" s="547">
        <f t="shared" ref="M3:N3" si="1">K3/J3</f>
        <v>0.002818869561</v>
      </c>
      <c r="N3" s="547">
        <f t="shared" si="1"/>
        <v>0.02564102564</v>
      </c>
      <c r="O3" s="547">
        <f t="shared" ref="O3:O52" si="3">L3/J3</f>
        <v>0.00007227870669</v>
      </c>
      <c r="P3" s="548" t="s">
        <v>1361</v>
      </c>
      <c r="Q3" s="548" t="s">
        <v>1120</v>
      </c>
      <c r="R3" s="549" t="s">
        <v>1362</v>
      </c>
      <c r="S3" s="550"/>
      <c r="T3" s="550"/>
      <c r="U3" s="550"/>
      <c r="V3" s="550"/>
      <c r="W3" s="550"/>
      <c r="X3" s="550"/>
      <c r="Y3" s="550"/>
      <c r="Z3" s="550"/>
    </row>
    <row r="4" ht="171.75" customHeight="1">
      <c r="A4" s="542">
        <v>2.0</v>
      </c>
      <c r="B4" s="543" t="s">
        <v>1363</v>
      </c>
      <c r="C4" s="551" t="s">
        <v>1364</v>
      </c>
      <c r="D4" s="552" t="s">
        <v>1365</v>
      </c>
      <c r="E4" s="551" t="s">
        <v>1366</v>
      </c>
      <c r="F4" s="551" t="s">
        <v>1367</v>
      </c>
      <c r="G4" s="544">
        <v>45838.0</v>
      </c>
      <c r="H4" s="543" t="s">
        <v>181</v>
      </c>
      <c r="I4" s="548" t="s">
        <v>1368</v>
      </c>
      <c r="J4" s="546">
        <v>10213.0</v>
      </c>
      <c r="K4" s="546">
        <v>91.0</v>
      </c>
      <c r="L4" s="546">
        <v>7.0</v>
      </c>
      <c r="M4" s="547">
        <f t="shared" ref="M4:N4" si="2">K4/J4</f>
        <v>0.008910212474</v>
      </c>
      <c r="N4" s="547">
        <f t="shared" si="2"/>
        <v>0.07692307692</v>
      </c>
      <c r="O4" s="547">
        <f t="shared" si="3"/>
        <v>0.0006854009596</v>
      </c>
      <c r="P4" s="548" t="s">
        <v>1369</v>
      </c>
      <c r="Q4" s="548" t="s">
        <v>1370</v>
      </c>
      <c r="R4" s="549" t="s">
        <v>1371</v>
      </c>
      <c r="S4" s="550"/>
      <c r="T4" s="550"/>
      <c r="U4" s="550"/>
      <c r="V4" s="550"/>
      <c r="W4" s="550"/>
      <c r="X4" s="550"/>
      <c r="Y4" s="550"/>
      <c r="Z4" s="550"/>
    </row>
    <row r="5" ht="171.75" customHeight="1">
      <c r="A5" s="542">
        <v>3.0</v>
      </c>
      <c r="B5" s="548" t="s">
        <v>1372</v>
      </c>
      <c r="C5" s="548" t="s">
        <v>1373</v>
      </c>
      <c r="D5" s="548" t="s">
        <v>1374</v>
      </c>
      <c r="E5" s="548" t="s">
        <v>1375</v>
      </c>
      <c r="F5" s="548" t="s">
        <v>1376</v>
      </c>
      <c r="G5" s="544">
        <v>45838.0</v>
      </c>
      <c r="H5" s="543" t="s">
        <v>181</v>
      </c>
      <c r="I5" s="548" t="s">
        <v>1360</v>
      </c>
      <c r="J5" s="546">
        <v>29035.0</v>
      </c>
      <c r="K5" s="548">
        <v>309.0</v>
      </c>
      <c r="L5" s="548">
        <v>6.0</v>
      </c>
      <c r="M5" s="547">
        <f t="shared" ref="M5:N5" si="4">K5/J5</f>
        <v>0.01064232822</v>
      </c>
      <c r="N5" s="547">
        <f t="shared" si="4"/>
        <v>0.01941747573</v>
      </c>
      <c r="O5" s="547">
        <f t="shared" si="3"/>
        <v>0.00020664715</v>
      </c>
      <c r="P5" s="548" t="s">
        <v>1377</v>
      </c>
      <c r="Q5" s="548" t="s">
        <v>1370</v>
      </c>
      <c r="R5" s="550"/>
      <c r="S5" s="550"/>
      <c r="T5" s="550"/>
      <c r="U5" s="550"/>
      <c r="V5" s="550"/>
      <c r="W5" s="550"/>
      <c r="X5" s="550"/>
      <c r="Y5" s="550"/>
      <c r="Z5" s="550"/>
    </row>
    <row r="6" ht="171.75" customHeight="1">
      <c r="A6" s="542">
        <v>4.0</v>
      </c>
      <c r="B6" s="548" t="s">
        <v>1378</v>
      </c>
      <c r="C6" s="548" t="s">
        <v>1379</v>
      </c>
      <c r="D6" s="548" t="s">
        <v>1380</v>
      </c>
      <c r="E6" s="548" t="s">
        <v>1381</v>
      </c>
      <c r="F6" s="548" t="s">
        <v>1382</v>
      </c>
      <c r="G6" s="544">
        <v>45840.0</v>
      </c>
      <c r="H6" s="548" t="s">
        <v>184</v>
      </c>
      <c r="I6" s="548" t="s">
        <v>1360</v>
      </c>
      <c r="J6" s="546">
        <v>23474.0</v>
      </c>
      <c r="K6" s="548">
        <v>237.0</v>
      </c>
      <c r="L6" s="548">
        <v>5.0</v>
      </c>
      <c r="M6" s="547">
        <f t="shared" ref="M6:N6" si="5">K6/J6</f>
        <v>0.01009627673</v>
      </c>
      <c r="N6" s="547">
        <f t="shared" si="5"/>
        <v>0.02109704641</v>
      </c>
      <c r="O6" s="547">
        <f t="shared" si="3"/>
        <v>0.0002130016188</v>
      </c>
      <c r="P6" s="548" t="s">
        <v>1383</v>
      </c>
      <c r="Q6" s="548" t="s">
        <v>1384</v>
      </c>
      <c r="R6" s="549" t="s">
        <v>1385</v>
      </c>
      <c r="S6" s="550"/>
      <c r="T6" s="550"/>
      <c r="U6" s="550"/>
      <c r="V6" s="550"/>
      <c r="W6" s="550"/>
      <c r="X6" s="550"/>
      <c r="Y6" s="550"/>
      <c r="Z6" s="550"/>
    </row>
    <row r="7" ht="171.75" customHeight="1">
      <c r="A7" s="542">
        <v>5.0</v>
      </c>
      <c r="B7" s="548" t="s">
        <v>1386</v>
      </c>
      <c r="C7" s="548" t="s">
        <v>1387</v>
      </c>
      <c r="D7" s="548" t="s">
        <v>1388</v>
      </c>
      <c r="E7" s="548" t="s">
        <v>1389</v>
      </c>
      <c r="F7" s="548" t="s">
        <v>1390</v>
      </c>
      <c r="G7" s="544">
        <v>45837.0</v>
      </c>
      <c r="H7" s="548" t="s">
        <v>194</v>
      </c>
      <c r="I7" s="548" t="s">
        <v>1360</v>
      </c>
      <c r="J7" s="553">
        <v>7265.0</v>
      </c>
      <c r="K7" s="553">
        <v>78.0</v>
      </c>
      <c r="L7" s="553">
        <v>0.0</v>
      </c>
      <c r="M7" s="547">
        <f t="shared" ref="M7:N7" si="6">K7/J7</f>
        <v>0.01073640743</v>
      </c>
      <c r="N7" s="547">
        <f t="shared" si="6"/>
        <v>0</v>
      </c>
      <c r="O7" s="547">
        <f t="shared" si="3"/>
        <v>0</v>
      </c>
      <c r="P7" s="548" t="s">
        <v>1391</v>
      </c>
      <c r="Q7" s="548" t="s">
        <v>1384</v>
      </c>
      <c r="R7" s="549" t="s">
        <v>1385</v>
      </c>
      <c r="S7" s="550"/>
      <c r="T7" s="550"/>
      <c r="U7" s="550"/>
      <c r="V7" s="550"/>
      <c r="W7" s="550"/>
      <c r="X7" s="550"/>
      <c r="Y7" s="550"/>
      <c r="Z7" s="550"/>
    </row>
    <row r="8" ht="171.75" customHeight="1">
      <c r="A8" s="542">
        <v>6.0</v>
      </c>
      <c r="B8" s="543" t="s">
        <v>1392</v>
      </c>
      <c r="C8" s="554" t="s">
        <v>1393</v>
      </c>
      <c r="D8" s="551" t="s">
        <v>1394</v>
      </c>
      <c r="E8" s="551" t="s">
        <v>1395</v>
      </c>
      <c r="F8" s="551" t="s">
        <v>1396</v>
      </c>
      <c r="G8" s="544">
        <v>45851.0</v>
      </c>
      <c r="H8" s="548" t="s">
        <v>194</v>
      </c>
      <c r="I8" s="548" t="s">
        <v>1397</v>
      </c>
      <c r="J8" s="555">
        <v>90191.0</v>
      </c>
      <c r="K8" s="555">
        <v>1455.0</v>
      </c>
      <c r="L8" s="555">
        <v>66.0</v>
      </c>
      <c r="M8" s="547">
        <f t="shared" ref="M8:N8" si="7">K8/J8</f>
        <v>0.01613243007</v>
      </c>
      <c r="N8" s="547">
        <f t="shared" si="7"/>
        <v>0.04536082474</v>
      </c>
      <c r="O8" s="547">
        <f t="shared" si="3"/>
        <v>0.0007317803328</v>
      </c>
      <c r="P8" s="548" t="s">
        <v>1398</v>
      </c>
      <c r="Q8" s="548" t="s">
        <v>1120</v>
      </c>
      <c r="R8" s="549" t="s">
        <v>1362</v>
      </c>
      <c r="S8" s="550"/>
      <c r="T8" s="550"/>
      <c r="U8" s="550"/>
      <c r="V8" s="550"/>
      <c r="W8" s="550"/>
      <c r="X8" s="550"/>
      <c r="Y8" s="550"/>
      <c r="Z8" s="550"/>
    </row>
    <row r="9" ht="171.75" customHeight="1">
      <c r="A9" s="542">
        <v>7.0</v>
      </c>
      <c r="B9" s="548" t="s">
        <v>1399</v>
      </c>
      <c r="C9" s="550"/>
      <c r="D9" s="550"/>
      <c r="E9" s="550"/>
      <c r="F9" s="550"/>
      <c r="G9" s="556"/>
      <c r="H9" s="556"/>
      <c r="I9" s="550"/>
      <c r="J9" s="557"/>
      <c r="K9" s="557"/>
      <c r="L9" s="557"/>
      <c r="M9" s="547" t="str">
        <f t="shared" ref="M9:N9" si="8">K9/J9</f>
        <v>#DIV/0!</v>
      </c>
      <c r="N9" s="547" t="str">
        <f t="shared" si="8"/>
        <v>#DIV/0!</v>
      </c>
      <c r="O9" s="547" t="str">
        <f t="shared" si="3"/>
        <v>#DIV/0!</v>
      </c>
      <c r="P9" s="550"/>
      <c r="Q9" s="548"/>
      <c r="R9" s="550"/>
      <c r="S9" s="550"/>
      <c r="T9" s="550"/>
      <c r="U9" s="550"/>
      <c r="V9" s="550"/>
      <c r="W9" s="550"/>
      <c r="X9" s="550"/>
      <c r="Y9" s="550"/>
      <c r="Z9" s="550"/>
    </row>
    <row r="10" ht="171.75" customHeight="1">
      <c r="A10" s="542">
        <v>8.0</v>
      </c>
      <c r="B10" s="548" t="s">
        <v>1400</v>
      </c>
      <c r="C10" s="550"/>
      <c r="D10" s="550"/>
      <c r="E10" s="550"/>
      <c r="F10" s="550"/>
      <c r="G10" s="556"/>
      <c r="H10" s="556"/>
      <c r="I10" s="550"/>
      <c r="J10" s="557"/>
      <c r="K10" s="557"/>
      <c r="L10" s="557"/>
      <c r="M10" s="547" t="str">
        <f t="shared" ref="M10:N10" si="9">K10/J10</f>
        <v>#DIV/0!</v>
      </c>
      <c r="N10" s="547" t="str">
        <f t="shared" si="9"/>
        <v>#DIV/0!</v>
      </c>
      <c r="O10" s="547" t="str">
        <f t="shared" si="3"/>
        <v>#DIV/0!</v>
      </c>
      <c r="P10" s="550"/>
      <c r="Q10" s="548"/>
      <c r="R10" s="550"/>
      <c r="S10" s="550"/>
      <c r="T10" s="550"/>
      <c r="U10" s="550"/>
      <c r="V10" s="550"/>
      <c r="W10" s="550"/>
      <c r="X10" s="550"/>
      <c r="Y10" s="550"/>
      <c r="Z10" s="550"/>
    </row>
    <row r="11" ht="171.75" customHeight="1">
      <c r="A11" s="542">
        <v>9.0</v>
      </c>
      <c r="B11" s="548" t="s">
        <v>1401</v>
      </c>
      <c r="C11" s="548" t="s">
        <v>1402</v>
      </c>
      <c r="D11" s="548" t="s">
        <v>1403</v>
      </c>
      <c r="E11" s="548" t="s">
        <v>1404</v>
      </c>
      <c r="F11" s="548" t="s">
        <v>1405</v>
      </c>
      <c r="G11" s="558">
        <v>45905.0</v>
      </c>
      <c r="H11" s="559" t="s">
        <v>177</v>
      </c>
      <c r="I11" s="548">
        <v>18.0</v>
      </c>
      <c r="J11" s="559">
        <v>50474.0</v>
      </c>
      <c r="K11" s="559">
        <v>366.0</v>
      </c>
      <c r="L11" s="559">
        <v>4.0</v>
      </c>
      <c r="M11" s="547">
        <f t="shared" ref="M11:N11" si="10">K11/J11</f>
        <v>0.007251258073</v>
      </c>
      <c r="N11" s="547">
        <f t="shared" si="10"/>
        <v>0.01092896175</v>
      </c>
      <c r="O11" s="547">
        <f t="shared" si="3"/>
        <v>0.00007924872211</v>
      </c>
      <c r="P11" s="550"/>
      <c r="Q11" s="548"/>
      <c r="R11" s="550"/>
      <c r="S11" s="550"/>
      <c r="T11" s="550"/>
      <c r="U11" s="550"/>
      <c r="V11" s="550"/>
      <c r="W11" s="550"/>
      <c r="X11" s="550"/>
      <c r="Y11" s="550"/>
      <c r="Z11" s="550"/>
    </row>
    <row r="12" ht="171.75" customHeight="1">
      <c r="A12" s="542">
        <v>10.0</v>
      </c>
      <c r="B12" s="548" t="s">
        <v>1406</v>
      </c>
      <c r="C12" s="548" t="s">
        <v>1407</v>
      </c>
      <c r="D12" s="548" t="s">
        <v>1408</v>
      </c>
      <c r="E12" s="548" t="s">
        <v>1409</v>
      </c>
      <c r="F12" s="548" t="s">
        <v>1410</v>
      </c>
      <c r="G12" s="558">
        <v>45899.0</v>
      </c>
      <c r="H12" s="559" t="s">
        <v>186</v>
      </c>
      <c r="I12" s="548">
        <v>13.0</v>
      </c>
      <c r="J12" s="553">
        <v>36012.0</v>
      </c>
      <c r="K12" s="559">
        <v>353.0</v>
      </c>
      <c r="L12" s="559">
        <v>6.0</v>
      </c>
      <c r="M12" s="547">
        <f t="shared" ref="M12:N12" si="11">K12/J12</f>
        <v>0.009802288126</v>
      </c>
      <c r="N12" s="547">
        <f t="shared" si="11"/>
        <v>0.01699716714</v>
      </c>
      <c r="O12" s="547">
        <f t="shared" si="3"/>
        <v>0.0001666111296</v>
      </c>
      <c r="P12" s="550"/>
      <c r="Q12" s="548"/>
      <c r="R12" s="550"/>
      <c r="S12" s="550"/>
      <c r="T12" s="550"/>
      <c r="U12" s="550"/>
      <c r="V12" s="550"/>
      <c r="W12" s="550"/>
      <c r="X12" s="550"/>
      <c r="Y12" s="550"/>
      <c r="Z12" s="550"/>
    </row>
    <row r="13" ht="171.75" customHeight="1">
      <c r="A13" s="542">
        <v>11.0</v>
      </c>
      <c r="B13" s="548" t="s">
        <v>1411</v>
      </c>
      <c r="C13" s="548" t="s">
        <v>1412</v>
      </c>
      <c r="D13" s="548" t="s">
        <v>1413</v>
      </c>
      <c r="E13" s="548" t="s">
        <v>1414</v>
      </c>
      <c r="F13" s="548" t="s">
        <v>1415</v>
      </c>
      <c r="G13" s="560">
        <v>45925.0</v>
      </c>
      <c r="H13" s="559" t="s">
        <v>197</v>
      </c>
      <c r="I13" s="548">
        <v>9.0</v>
      </c>
      <c r="J13" s="553">
        <v>57047.0</v>
      </c>
      <c r="K13" s="559">
        <v>949.0</v>
      </c>
      <c r="L13" s="559">
        <v>20.0</v>
      </c>
      <c r="M13" s="547">
        <f t="shared" ref="M13:N13" si="12">K13/J13</f>
        <v>0.01663540589</v>
      </c>
      <c r="N13" s="547">
        <f t="shared" si="12"/>
        <v>0.0210748156</v>
      </c>
      <c r="O13" s="547">
        <f t="shared" si="3"/>
        <v>0.0003505881116</v>
      </c>
      <c r="P13" s="550"/>
      <c r="Q13" s="548"/>
      <c r="R13" s="550"/>
      <c r="S13" s="550"/>
      <c r="T13" s="550"/>
      <c r="U13" s="550"/>
      <c r="V13" s="550"/>
      <c r="W13" s="550"/>
      <c r="X13" s="550"/>
      <c r="Y13" s="550"/>
      <c r="Z13" s="550"/>
    </row>
    <row r="14" ht="171.75" customHeight="1">
      <c r="A14" s="542">
        <v>12.0</v>
      </c>
      <c r="B14" s="550"/>
      <c r="C14" s="550"/>
      <c r="D14" s="550"/>
      <c r="E14" s="550"/>
      <c r="F14" s="550"/>
      <c r="G14" s="550"/>
      <c r="H14" s="550"/>
      <c r="I14" s="550"/>
      <c r="J14" s="561"/>
      <c r="K14" s="561"/>
      <c r="L14" s="561"/>
      <c r="M14" s="547" t="str">
        <f t="shared" ref="M14:N14" si="13">K14/J14</f>
        <v>#DIV/0!</v>
      </c>
      <c r="N14" s="547" t="str">
        <f t="shared" si="13"/>
        <v>#DIV/0!</v>
      </c>
      <c r="O14" s="547" t="str">
        <f t="shared" si="3"/>
        <v>#DIV/0!</v>
      </c>
      <c r="P14" s="550"/>
      <c r="Q14" s="548"/>
      <c r="R14" s="550"/>
      <c r="S14" s="550"/>
      <c r="T14" s="550"/>
      <c r="U14" s="550"/>
      <c r="V14" s="550"/>
      <c r="W14" s="550"/>
      <c r="X14" s="550"/>
      <c r="Y14" s="550"/>
      <c r="Z14" s="550"/>
    </row>
    <row r="15" ht="171.75" customHeight="1">
      <c r="A15" s="542">
        <v>13.0</v>
      </c>
      <c r="B15" s="550"/>
      <c r="C15" s="550"/>
      <c r="D15" s="550"/>
      <c r="E15" s="562"/>
      <c r="F15" s="550"/>
      <c r="G15" s="556"/>
      <c r="H15" s="556"/>
      <c r="I15" s="550"/>
      <c r="J15" s="550"/>
      <c r="K15" s="550"/>
      <c r="L15" s="550"/>
      <c r="M15" s="547" t="str">
        <f t="shared" ref="M15:N15" si="14">K15/J15</f>
        <v>#DIV/0!</v>
      </c>
      <c r="N15" s="547" t="str">
        <f t="shared" si="14"/>
        <v>#DIV/0!</v>
      </c>
      <c r="O15" s="547" t="str">
        <f t="shared" si="3"/>
        <v>#DIV/0!</v>
      </c>
      <c r="P15" s="550"/>
      <c r="Q15" s="548"/>
      <c r="R15" s="550"/>
      <c r="S15" s="550"/>
      <c r="T15" s="550"/>
      <c r="U15" s="550"/>
      <c r="V15" s="550"/>
      <c r="W15" s="550"/>
      <c r="X15" s="550"/>
      <c r="Y15" s="550"/>
      <c r="Z15" s="550"/>
    </row>
    <row r="16" ht="171.75" customHeight="1">
      <c r="A16" s="542">
        <v>14.0</v>
      </c>
      <c r="B16" s="550"/>
      <c r="C16" s="550"/>
      <c r="D16" s="550"/>
      <c r="E16" s="550"/>
      <c r="F16" s="550"/>
      <c r="G16" s="556"/>
      <c r="H16" s="556"/>
      <c r="I16" s="550"/>
      <c r="J16" s="550"/>
      <c r="K16" s="550"/>
      <c r="L16" s="550"/>
      <c r="M16" s="547" t="str">
        <f t="shared" ref="M16:N16" si="15">K16/J16</f>
        <v>#DIV/0!</v>
      </c>
      <c r="N16" s="547" t="str">
        <f t="shared" si="15"/>
        <v>#DIV/0!</v>
      </c>
      <c r="O16" s="547" t="str">
        <f t="shared" si="3"/>
        <v>#DIV/0!</v>
      </c>
      <c r="P16" s="550"/>
      <c r="Q16" s="548"/>
      <c r="R16" s="550"/>
      <c r="S16" s="550"/>
      <c r="T16" s="550"/>
      <c r="U16" s="550"/>
      <c r="V16" s="550"/>
      <c r="W16" s="550"/>
      <c r="X16" s="550"/>
      <c r="Y16" s="550"/>
      <c r="Z16" s="550"/>
    </row>
    <row r="17" ht="171.75" customHeight="1">
      <c r="A17" s="542">
        <v>15.0</v>
      </c>
      <c r="B17" s="550"/>
      <c r="C17" s="550"/>
      <c r="D17" s="550"/>
      <c r="E17" s="550"/>
      <c r="F17" s="550"/>
      <c r="G17" s="556"/>
      <c r="H17" s="556"/>
      <c r="I17" s="550"/>
      <c r="J17" s="550"/>
      <c r="K17" s="550"/>
      <c r="L17" s="550"/>
      <c r="M17" s="547" t="str">
        <f t="shared" ref="M17:N17" si="16">K17/J17</f>
        <v>#DIV/0!</v>
      </c>
      <c r="N17" s="547" t="str">
        <f t="shared" si="16"/>
        <v>#DIV/0!</v>
      </c>
      <c r="O17" s="547" t="str">
        <f t="shared" si="3"/>
        <v>#DIV/0!</v>
      </c>
      <c r="P17" s="550"/>
      <c r="Q17" s="548"/>
      <c r="R17" s="550"/>
      <c r="S17" s="550"/>
      <c r="T17" s="550"/>
      <c r="U17" s="550"/>
      <c r="V17" s="550"/>
      <c r="W17" s="550"/>
      <c r="X17" s="550"/>
      <c r="Y17" s="550"/>
      <c r="Z17" s="550"/>
    </row>
    <row r="18" ht="171.75" customHeight="1">
      <c r="A18" s="542">
        <v>16.0</v>
      </c>
      <c r="B18" s="550"/>
      <c r="C18" s="550"/>
      <c r="D18" s="550"/>
      <c r="E18" s="550"/>
      <c r="F18" s="550"/>
      <c r="G18" s="550"/>
      <c r="H18" s="550"/>
      <c r="I18" s="550"/>
      <c r="J18" s="561"/>
      <c r="K18" s="561"/>
      <c r="L18" s="561"/>
      <c r="M18" s="547" t="str">
        <f t="shared" ref="M18:N18" si="17">K18/J18</f>
        <v>#DIV/0!</v>
      </c>
      <c r="N18" s="547" t="str">
        <f t="shared" si="17"/>
        <v>#DIV/0!</v>
      </c>
      <c r="O18" s="547" t="str">
        <f t="shared" si="3"/>
        <v>#DIV/0!</v>
      </c>
      <c r="P18" s="550"/>
      <c r="Q18" s="548"/>
      <c r="R18" s="550"/>
      <c r="S18" s="550"/>
      <c r="T18" s="550"/>
      <c r="U18" s="550"/>
      <c r="V18" s="550"/>
      <c r="W18" s="550"/>
      <c r="X18" s="550"/>
      <c r="Y18" s="550"/>
      <c r="Z18" s="550"/>
    </row>
    <row r="19" ht="171.75" customHeight="1">
      <c r="A19" s="542">
        <v>17.0</v>
      </c>
      <c r="B19" s="563"/>
      <c r="C19" s="562"/>
      <c r="D19" s="562"/>
      <c r="E19" s="562"/>
      <c r="F19" s="562"/>
      <c r="G19" s="556"/>
      <c r="H19" s="556"/>
      <c r="I19" s="550"/>
      <c r="J19" s="557"/>
      <c r="K19" s="557"/>
      <c r="L19" s="557"/>
      <c r="M19" s="547" t="str">
        <f t="shared" ref="M19:N19" si="18">K19/J19</f>
        <v>#DIV/0!</v>
      </c>
      <c r="N19" s="547" t="str">
        <f t="shared" si="18"/>
        <v>#DIV/0!</v>
      </c>
      <c r="O19" s="547" t="str">
        <f t="shared" si="3"/>
        <v>#DIV/0!</v>
      </c>
      <c r="P19" s="550"/>
      <c r="Q19" s="548"/>
      <c r="R19" s="550"/>
      <c r="S19" s="550"/>
      <c r="T19" s="550"/>
      <c r="U19" s="550"/>
      <c r="V19" s="550"/>
      <c r="W19" s="550"/>
      <c r="X19" s="550"/>
      <c r="Y19" s="550"/>
      <c r="Z19" s="550"/>
    </row>
    <row r="20" ht="171.75" customHeight="1">
      <c r="A20" s="542">
        <v>18.0</v>
      </c>
      <c r="B20" s="550"/>
      <c r="C20" s="550"/>
      <c r="D20" s="550"/>
      <c r="E20" s="550"/>
      <c r="F20" s="550"/>
      <c r="G20" s="556"/>
      <c r="H20" s="556"/>
      <c r="I20" s="550"/>
      <c r="J20" s="557"/>
      <c r="K20" s="557"/>
      <c r="L20" s="557"/>
      <c r="M20" s="547" t="str">
        <f t="shared" ref="M20:N20" si="19">K20/J20</f>
        <v>#DIV/0!</v>
      </c>
      <c r="N20" s="547" t="str">
        <f t="shared" si="19"/>
        <v>#DIV/0!</v>
      </c>
      <c r="O20" s="547" t="str">
        <f t="shared" si="3"/>
        <v>#DIV/0!</v>
      </c>
      <c r="P20" s="550"/>
      <c r="Q20" s="548"/>
      <c r="R20" s="550"/>
      <c r="S20" s="550"/>
      <c r="T20" s="550"/>
      <c r="U20" s="550"/>
      <c r="V20" s="550"/>
      <c r="W20" s="550"/>
      <c r="X20" s="550"/>
      <c r="Y20" s="550"/>
      <c r="Z20" s="550"/>
    </row>
    <row r="21" ht="171.75" customHeight="1">
      <c r="A21" s="542">
        <v>19.0</v>
      </c>
      <c r="B21" s="550"/>
      <c r="C21" s="550"/>
      <c r="D21" s="550"/>
      <c r="E21" s="550"/>
      <c r="F21" s="550"/>
      <c r="G21" s="556"/>
      <c r="H21" s="556"/>
      <c r="I21" s="550"/>
      <c r="J21" s="557"/>
      <c r="K21" s="557"/>
      <c r="L21" s="557"/>
      <c r="M21" s="547" t="str">
        <f t="shared" ref="M21:N21" si="20">K21/J21</f>
        <v>#DIV/0!</v>
      </c>
      <c r="N21" s="547" t="str">
        <f t="shared" si="20"/>
        <v>#DIV/0!</v>
      </c>
      <c r="O21" s="547" t="str">
        <f t="shared" si="3"/>
        <v>#DIV/0!</v>
      </c>
      <c r="P21" s="550"/>
      <c r="Q21" s="548"/>
      <c r="R21" s="550"/>
      <c r="S21" s="550"/>
      <c r="T21" s="550"/>
      <c r="U21" s="550"/>
      <c r="V21" s="550"/>
      <c r="W21" s="550"/>
      <c r="X21" s="550"/>
      <c r="Y21" s="550"/>
      <c r="Z21" s="550"/>
    </row>
    <row r="22" ht="171.75" customHeight="1">
      <c r="A22" s="542">
        <v>20.0</v>
      </c>
      <c r="B22" s="550"/>
      <c r="C22" s="550"/>
      <c r="D22" s="550"/>
      <c r="E22" s="550"/>
      <c r="F22" s="550"/>
      <c r="G22" s="556"/>
      <c r="H22" s="556"/>
      <c r="I22" s="550"/>
      <c r="J22" s="557"/>
      <c r="K22" s="557"/>
      <c r="L22" s="557"/>
      <c r="M22" s="547" t="str">
        <f t="shared" ref="M22:N22" si="21">K22/J22</f>
        <v>#DIV/0!</v>
      </c>
      <c r="N22" s="547" t="str">
        <f t="shared" si="21"/>
        <v>#DIV/0!</v>
      </c>
      <c r="O22" s="547" t="str">
        <f t="shared" si="3"/>
        <v>#DIV/0!</v>
      </c>
      <c r="P22" s="550"/>
      <c r="Q22" s="548"/>
      <c r="R22" s="550"/>
      <c r="S22" s="550"/>
      <c r="T22" s="550"/>
      <c r="U22" s="550"/>
      <c r="V22" s="550"/>
      <c r="W22" s="550"/>
      <c r="X22" s="550"/>
      <c r="Y22" s="550"/>
      <c r="Z22" s="550"/>
    </row>
    <row r="23" ht="171.75" customHeight="1">
      <c r="A23" s="542">
        <v>21.0</v>
      </c>
      <c r="B23" s="550"/>
      <c r="C23" s="550"/>
      <c r="D23" s="550"/>
      <c r="E23" s="550"/>
      <c r="F23" s="550"/>
      <c r="G23" s="556"/>
      <c r="H23" s="556"/>
      <c r="I23" s="550"/>
      <c r="J23" s="557"/>
      <c r="K23" s="557"/>
      <c r="L23" s="557"/>
      <c r="M23" s="547" t="str">
        <f t="shared" ref="M23:N23" si="22">K23/J23</f>
        <v>#DIV/0!</v>
      </c>
      <c r="N23" s="547" t="str">
        <f t="shared" si="22"/>
        <v>#DIV/0!</v>
      </c>
      <c r="O23" s="547" t="str">
        <f t="shared" si="3"/>
        <v>#DIV/0!</v>
      </c>
      <c r="P23" s="550"/>
      <c r="Q23" s="548"/>
      <c r="R23" s="550"/>
      <c r="S23" s="550"/>
      <c r="T23" s="550"/>
      <c r="U23" s="550"/>
      <c r="V23" s="550"/>
      <c r="W23" s="550"/>
      <c r="X23" s="550"/>
      <c r="Y23" s="550"/>
      <c r="Z23" s="550"/>
    </row>
    <row r="24" ht="171.75" customHeight="1">
      <c r="A24" s="542">
        <v>22.0</v>
      </c>
      <c r="B24" s="550"/>
      <c r="C24" s="550"/>
      <c r="D24" s="550"/>
      <c r="E24" s="550"/>
      <c r="F24" s="550"/>
      <c r="G24" s="556"/>
      <c r="H24" s="556"/>
      <c r="I24" s="550"/>
      <c r="J24" s="557"/>
      <c r="K24" s="557"/>
      <c r="L24" s="557"/>
      <c r="M24" s="547" t="str">
        <f t="shared" ref="M24:N24" si="23">K24/J24</f>
        <v>#DIV/0!</v>
      </c>
      <c r="N24" s="547" t="str">
        <f t="shared" si="23"/>
        <v>#DIV/0!</v>
      </c>
      <c r="O24" s="547" t="str">
        <f t="shared" si="3"/>
        <v>#DIV/0!</v>
      </c>
      <c r="P24" s="550"/>
      <c r="Q24" s="548"/>
      <c r="R24" s="550"/>
      <c r="S24" s="550"/>
      <c r="T24" s="550"/>
      <c r="U24" s="550"/>
      <c r="V24" s="550"/>
      <c r="W24" s="550"/>
      <c r="X24" s="550"/>
      <c r="Y24" s="550"/>
      <c r="Z24" s="550"/>
    </row>
    <row r="25" ht="171.75" customHeight="1">
      <c r="A25" s="542">
        <v>23.0</v>
      </c>
      <c r="B25" s="550"/>
      <c r="C25" s="550"/>
      <c r="D25" s="550"/>
      <c r="E25" s="550"/>
      <c r="F25" s="550"/>
      <c r="G25" s="550"/>
      <c r="H25" s="550"/>
      <c r="I25" s="550"/>
      <c r="J25" s="561"/>
      <c r="K25" s="561"/>
      <c r="L25" s="561"/>
      <c r="M25" s="547" t="str">
        <f t="shared" ref="M25:N25" si="24">K25/J25</f>
        <v>#DIV/0!</v>
      </c>
      <c r="N25" s="547" t="str">
        <f t="shared" si="24"/>
        <v>#DIV/0!</v>
      </c>
      <c r="O25" s="547" t="str">
        <f t="shared" si="3"/>
        <v>#DIV/0!</v>
      </c>
      <c r="P25" s="550"/>
      <c r="Q25" s="548"/>
      <c r="R25" s="550"/>
      <c r="S25" s="550"/>
      <c r="T25" s="550"/>
      <c r="U25" s="550"/>
      <c r="V25" s="550"/>
      <c r="W25" s="550"/>
      <c r="X25" s="550"/>
      <c r="Y25" s="550"/>
      <c r="Z25" s="550"/>
    </row>
    <row r="26" ht="171.75" customHeight="1">
      <c r="A26" s="542">
        <v>24.0</v>
      </c>
      <c r="B26" s="550"/>
      <c r="C26" s="550"/>
      <c r="D26" s="550"/>
      <c r="E26" s="550"/>
      <c r="F26" s="550"/>
      <c r="G26" s="550"/>
      <c r="H26" s="550"/>
      <c r="I26" s="550"/>
      <c r="J26" s="561"/>
      <c r="K26" s="561"/>
      <c r="L26" s="561"/>
      <c r="M26" s="547" t="str">
        <f t="shared" ref="M26:N26" si="25">K26/J26</f>
        <v>#DIV/0!</v>
      </c>
      <c r="N26" s="547" t="str">
        <f t="shared" si="25"/>
        <v>#DIV/0!</v>
      </c>
      <c r="O26" s="547" t="str">
        <f t="shared" si="3"/>
        <v>#DIV/0!</v>
      </c>
      <c r="P26" s="550"/>
      <c r="Q26" s="548"/>
      <c r="R26" s="550"/>
      <c r="S26" s="550"/>
      <c r="T26" s="550"/>
      <c r="U26" s="550"/>
      <c r="V26" s="550"/>
      <c r="W26" s="550"/>
      <c r="X26" s="550"/>
      <c r="Y26" s="550"/>
      <c r="Z26" s="550"/>
    </row>
    <row r="27" ht="171.75" customHeight="1">
      <c r="A27" s="542">
        <v>25.0</v>
      </c>
      <c r="B27" s="563"/>
      <c r="C27" s="562"/>
      <c r="D27" s="562"/>
      <c r="E27" s="562"/>
      <c r="F27" s="562"/>
      <c r="G27" s="564"/>
      <c r="H27" s="564"/>
      <c r="I27" s="550"/>
      <c r="J27" s="550"/>
      <c r="K27" s="565"/>
      <c r="L27" s="565"/>
      <c r="M27" s="547" t="str">
        <f t="shared" ref="M27:N27" si="26">K27/J27</f>
        <v>#DIV/0!</v>
      </c>
      <c r="N27" s="547" t="str">
        <f t="shared" si="26"/>
        <v>#DIV/0!</v>
      </c>
      <c r="O27" s="547" t="str">
        <f t="shared" si="3"/>
        <v>#DIV/0!</v>
      </c>
      <c r="P27" s="550"/>
      <c r="Q27" s="548"/>
      <c r="R27" s="550"/>
      <c r="S27" s="550"/>
      <c r="T27" s="550"/>
      <c r="U27" s="550"/>
      <c r="V27" s="550"/>
      <c r="W27" s="550"/>
      <c r="X27" s="550"/>
      <c r="Y27" s="550"/>
      <c r="Z27" s="550"/>
    </row>
    <row r="28" ht="171.75" customHeight="1">
      <c r="A28" s="542">
        <v>26.0</v>
      </c>
      <c r="B28" s="550"/>
      <c r="C28" s="550"/>
      <c r="D28" s="550"/>
      <c r="E28" s="550"/>
      <c r="F28" s="550"/>
      <c r="G28" s="550"/>
      <c r="H28" s="550"/>
      <c r="I28" s="550"/>
      <c r="J28" s="550"/>
      <c r="K28" s="550"/>
      <c r="L28" s="550"/>
      <c r="M28" s="547" t="str">
        <f t="shared" ref="M28:N28" si="27">K28/J28</f>
        <v>#DIV/0!</v>
      </c>
      <c r="N28" s="547" t="str">
        <f t="shared" si="27"/>
        <v>#DIV/0!</v>
      </c>
      <c r="O28" s="547" t="str">
        <f t="shared" si="3"/>
        <v>#DIV/0!</v>
      </c>
      <c r="P28" s="550"/>
      <c r="Q28" s="548"/>
      <c r="R28" s="550"/>
      <c r="S28" s="550"/>
      <c r="T28" s="550"/>
      <c r="U28" s="550"/>
      <c r="V28" s="550"/>
      <c r="W28" s="550"/>
      <c r="X28" s="550"/>
      <c r="Y28" s="550"/>
      <c r="Z28" s="550"/>
    </row>
    <row r="29" ht="171.75" customHeight="1">
      <c r="A29" s="542">
        <v>27.0</v>
      </c>
      <c r="B29" s="550"/>
      <c r="C29" s="550"/>
      <c r="D29" s="550"/>
      <c r="E29" s="550"/>
      <c r="F29" s="550"/>
      <c r="G29" s="550"/>
      <c r="H29" s="550"/>
      <c r="I29" s="550"/>
      <c r="J29" s="550"/>
      <c r="K29" s="550"/>
      <c r="L29" s="550"/>
      <c r="M29" s="547" t="str">
        <f t="shared" ref="M29:N29" si="28">K29/J29</f>
        <v>#DIV/0!</v>
      </c>
      <c r="N29" s="547" t="str">
        <f t="shared" si="28"/>
        <v>#DIV/0!</v>
      </c>
      <c r="O29" s="547" t="str">
        <f t="shared" si="3"/>
        <v>#DIV/0!</v>
      </c>
      <c r="P29" s="550"/>
      <c r="Q29" s="548"/>
      <c r="R29" s="550"/>
      <c r="S29" s="550"/>
      <c r="T29" s="550"/>
      <c r="U29" s="550"/>
      <c r="V29" s="550"/>
      <c r="W29" s="550"/>
      <c r="X29" s="550"/>
      <c r="Y29" s="550"/>
      <c r="Z29" s="550"/>
    </row>
    <row r="30" ht="171.75" customHeight="1">
      <c r="A30" s="542">
        <v>28.0</v>
      </c>
      <c r="B30" s="550"/>
      <c r="C30" s="550"/>
      <c r="D30" s="550"/>
      <c r="E30" s="550"/>
      <c r="F30" s="550"/>
      <c r="G30" s="550"/>
      <c r="H30" s="550"/>
      <c r="I30" s="550"/>
      <c r="J30" s="561"/>
      <c r="K30" s="561"/>
      <c r="L30" s="561"/>
      <c r="M30" s="547" t="str">
        <f t="shared" ref="M30:N30" si="29">K30/J30</f>
        <v>#DIV/0!</v>
      </c>
      <c r="N30" s="547" t="str">
        <f t="shared" si="29"/>
        <v>#DIV/0!</v>
      </c>
      <c r="O30" s="547" t="str">
        <f t="shared" si="3"/>
        <v>#DIV/0!</v>
      </c>
      <c r="P30" s="550"/>
      <c r="Q30" s="548"/>
      <c r="R30" s="550"/>
      <c r="S30" s="550"/>
      <c r="T30" s="550"/>
      <c r="U30" s="550"/>
      <c r="V30" s="550"/>
      <c r="W30" s="550"/>
      <c r="X30" s="550"/>
      <c r="Y30" s="550"/>
      <c r="Z30" s="550"/>
    </row>
    <row r="31" ht="171.75" customHeight="1">
      <c r="A31" s="542">
        <v>29.0</v>
      </c>
      <c r="B31" s="563"/>
      <c r="C31" s="562"/>
      <c r="D31" s="562"/>
      <c r="E31" s="562"/>
      <c r="F31" s="562"/>
      <c r="G31" s="564"/>
      <c r="H31" s="564"/>
      <c r="I31" s="550"/>
      <c r="J31" s="550"/>
      <c r="K31" s="565"/>
      <c r="L31" s="565"/>
      <c r="M31" s="547" t="str">
        <f t="shared" ref="M31:N31" si="30">K31/J31</f>
        <v>#DIV/0!</v>
      </c>
      <c r="N31" s="547" t="str">
        <f t="shared" si="30"/>
        <v>#DIV/0!</v>
      </c>
      <c r="O31" s="547" t="str">
        <f t="shared" si="3"/>
        <v>#DIV/0!</v>
      </c>
      <c r="P31" s="550"/>
      <c r="Q31" s="548"/>
      <c r="R31" s="550"/>
      <c r="S31" s="550"/>
      <c r="T31" s="550"/>
      <c r="U31" s="550"/>
      <c r="V31" s="550"/>
      <c r="W31" s="550"/>
      <c r="X31" s="550"/>
      <c r="Y31" s="550"/>
      <c r="Z31" s="550"/>
    </row>
    <row r="32" ht="171.75" customHeight="1">
      <c r="A32" s="542">
        <v>30.0</v>
      </c>
      <c r="B32" s="550"/>
      <c r="C32" s="550"/>
      <c r="D32" s="550"/>
      <c r="E32" s="550"/>
      <c r="F32" s="550"/>
      <c r="G32" s="550"/>
      <c r="H32" s="550"/>
      <c r="I32" s="550"/>
      <c r="J32" s="550"/>
      <c r="K32" s="550"/>
      <c r="L32" s="550"/>
      <c r="M32" s="547" t="str">
        <f t="shared" ref="M32:N32" si="31">K32/J32</f>
        <v>#DIV/0!</v>
      </c>
      <c r="N32" s="547" t="str">
        <f t="shared" si="31"/>
        <v>#DIV/0!</v>
      </c>
      <c r="O32" s="547" t="str">
        <f t="shared" si="3"/>
        <v>#DIV/0!</v>
      </c>
      <c r="P32" s="550"/>
      <c r="Q32" s="548"/>
      <c r="R32" s="550"/>
      <c r="S32" s="550"/>
      <c r="T32" s="550"/>
      <c r="U32" s="550"/>
      <c r="V32" s="550"/>
      <c r="W32" s="550"/>
      <c r="X32" s="550"/>
      <c r="Y32" s="550"/>
      <c r="Z32" s="550"/>
    </row>
    <row r="33" ht="171.75" customHeight="1">
      <c r="A33" s="542">
        <v>31.0</v>
      </c>
      <c r="B33" s="550"/>
      <c r="C33" s="550"/>
      <c r="D33" s="550"/>
      <c r="E33" s="550"/>
      <c r="F33" s="550"/>
      <c r="G33" s="550"/>
      <c r="H33" s="550"/>
      <c r="I33" s="550"/>
      <c r="J33" s="550"/>
      <c r="K33" s="550"/>
      <c r="L33" s="550"/>
      <c r="M33" s="547" t="str">
        <f t="shared" ref="M33:N33" si="32">K33/J33</f>
        <v>#DIV/0!</v>
      </c>
      <c r="N33" s="547" t="str">
        <f t="shared" si="32"/>
        <v>#DIV/0!</v>
      </c>
      <c r="O33" s="547" t="str">
        <f t="shared" si="3"/>
        <v>#DIV/0!</v>
      </c>
      <c r="P33" s="550"/>
      <c r="Q33" s="548"/>
      <c r="R33" s="550"/>
      <c r="S33" s="550"/>
      <c r="T33" s="550"/>
      <c r="U33" s="550"/>
      <c r="V33" s="550"/>
      <c r="W33" s="550"/>
      <c r="X33" s="550"/>
      <c r="Y33" s="550"/>
      <c r="Z33" s="550"/>
    </row>
    <row r="34" ht="171.75" customHeight="1">
      <c r="A34" s="542">
        <v>32.0</v>
      </c>
      <c r="B34" s="550"/>
      <c r="C34" s="550"/>
      <c r="D34" s="550"/>
      <c r="E34" s="550"/>
      <c r="F34" s="550"/>
      <c r="G34" s="550"/>
      <c r="H34" s="550"/>
      <c r="I34" s="550"/>
      <c r="J34" s="561"/>
      <c r="K34" s="561"/>
      <c r="L34" s="561"/>
      <c r="M34" s="547" t="str">
        <f t="shared" ref="M34:N34" si="33">K34/J34</f>
        <v>#DIV/0!</v>
      </c>
      <c r="N34" s="547" t="str">
        <f t="shared" si="33"/>
        <v>#DIV/0!</v>
      </c>
      <c r="O34" s="547" t="str">
        <f t="shared" si="3"/>
        <v>#DIV/0!</v>
      </c>
      <c r="P34" s="550"/>
      <c r="Q34" s="548"/>
      <c r="R34" s="550"/>
      <c r="S34" s="550"/>
      <c r="T34" s="550"/>
      <c r="U34" s="550"/>
      <c r="V34" s="550"/>
      <c r="W34" s="550"/>
      <c r="X34" s="550"/>
      <c r="Y34" s="550"/>
      <c r="Z34" s="550"/>
    </row>
    <row r="35" ht="171.75" customHeight="1">
      <c r="A35" s="542">
        <v>33.0</v>
      </c>
      <c r="B35" s="563"/>
      <c r="C35" s="562"/>
      <c r="D35" s="562"/>
      <c r="E35" s="562"/>
      <c r="F35" s="562"/>
      <c r="G35" s="564"/>
      <c r="H35" s="564"/>
      <c r="I35" s="550"/>
      <c r="J35" s="566"/>
      <c r="K35" s="566"/>
      <c r="L35" s="566"/>
      <c r="M35" s="547" t="str">
        <f t="shared" ref="M35:N35" si="34">K35/J35</f>
        <v>#DIV/0!</v>
      </c>
      <c r="N35" s="547" t="str">
        <f t="shared" si="34"/>
        <v>#DIV/0!</v>
      </c>
      <c r="O35" s="547" t="str">
        <f t="shared" si="3"/>
        <v>#DIV/0!</v>
      </c>
      <c r="P35" s="550"/>
      <c r="Q35" s="548"/>
      <c r="R35" s="550"/>
      <c r="S35" s="550"/>
      <c r="T35" s="550"/>
      <c r="U35" s="550"/>
      <c r="V35" s="550"/>
      <c r="W35" s="550"/>
      <c r="X35" s="550"/>
      <c r="Y35" s="550"/>
      <c r="Z35" s="550"/>
    </row>
    <row r="36" ht="171.75" customHeight="1">
      <c r="A36" s="542">
        <v>34.0</v>
      </c>
      <c r="B36" s="550"/>
      <c r="C36" s="562"/>
      <c r="D36" s="550"/>
      <c r="E36" s="550"/>
      <c r="F36" s="562"/>
      <c r="G36" s="550"/>
      <c r="H36" s="550"/>
      <c r="I36" s="550"/>
      <c r="J36" s="566"/>
      <c r="K36" s="557"/>
      <c r="L36" s="557"/>
      <c r="M36" s="547" t="str">
        <f t="shared" ref="M36:N36" si="35">K36/J36</f>
        <v>#DIV/0!</v>
      </c>
      <c r="N36" s="547" t="str">
        <f t="shared" si="35"/>
        <v>#DIV/0!</v>
      </c>
      <c r="O36" s="547" t="str">
        <f t="shared" si="3"/>
        <v>#DIV/0!</v>
      </c>
      <c r="P36" s="550"/>
      <c r="Q36" s="548"/>
      <c r="R36" s="550"/>
      <c r="S36" s="550"/>
      <c r="T36" s="550"/>
      <c r="U36" s="550"/>
      <c r="V36" s="550"/>
      <c r="W36" s="550"/>
      <c r="X36" s="550"/>
      <c r="Y36" s="550"/>
      <c r="Z36" s="550"/>
    </row>
    <row r="37" ht="171.75" customHeight="1">
      <c r="A37" s="542">
        <v>35.0</v>
      </c>
      <c r="B37" s="550"/>
      <c r="C37" s="562"/>
      <c r="D37" s="550"/>
      <c r="E37" s="550"/>
      <c r="F37" s="562"/>
      <c r="G37" s="550"/>
      <c r="H37" s="550"/>
      <c r="I37" s="550"/>
      <c r="J37" s="566"/>
      <c r="K37" s="557"/>
      <c r="L37" s="557"/>
      <c r="M37" s="547" t="str">
        <f t="shared" ref="M37:N37" si="36">K37/J37</f>
        <v>#DIV/0!</v>
      </c>
      <c r="N37" s="547" t="str">
        <f t="shared" si="36"/>
        <v>#DIV/0!</v>
      </c>
      <c r="O37" s="547" t="str">
        <f t="shared" si="3"/>
        <v>#DIV/0!</v>
      </c>
      <c r="P37" s="550"/>
      <c r="Q37" s="548"/>
      <c r="R37" s="550"/>
      <c r="S37" s="550"/>
      <c r="T37" s="550"/>
      <c r="U37" s="550"/>
      <c r="V37" s="550"/>
      <c r="W37" s="550"/>
      <c r="X37" s="550"/>
      <c r="Y37" s="550"/>
      <c r="Z37" s="550"/>
    </row>
    <row r="38" ht="171.75" customHeight="1">
      <c r="A38" s="542">
        <v>36.0</v>
      </c>
      <c r="B38" s="550"/>
      <c r="C38" s="550"/>
      <c r="D38" s="550"/>
      <c r="E38" s="550"/>
      <c r="F38" s="562"/>
      <c r="G38" s="550"/>
      <c r="H38" s="550"/>
      <c r="I38" s="550"/>
      <c r="J38" s="550"/>
      <c r="K38" s="550"/>
      <c r="L38" s="550"/>
      <c r="M38" s="547" t="str">
        <f t="shared" ref="M38:N38" si="37">K38/J38</f>
        <v>#DIV/0!</v>
      </c>
      <c r="N38" s="547" t="str">
        <f t="shared" si="37"/>
        <v>#DIV/0!</v>
      </c>
      <c r="O38" s="547" t="str">
        <f t="shared" si="3"/>
        <v>#DIV/0!</v>
      </c>
      <c r="P38" s="550"/>
      <c r="Q38" s="548"/>
      <c r="R38" s="550"/>
      <c r="S38" s="550"/>
      <c r="T38" s="550"/>
      <c r="U38" s="550"/>
      <c r="V38" s="550"/>
      <c r="W38" s="550"/>
      <c r="X38" s="550"/>
      <c r="Y38" s="550"/>
      <c r="Z38" s="550"/>
    </row>
    <row r="39" ht="171.75" customHeight="1">
      <c r="A39" s="542">
        <v>37.0</v>
      </c>
      <c r="B39" s="550"/>
      <c r="C39" s="550"/>
      <c r="D39" s="550"/>
      <c r="E39" s="550"/>
      <c r="F39" s="550"/>
      <c r="G39" s="550"/>
      <c r="H39" s="550"/>
      <c r="I39" s="550"/>
      <c r="J39" s="561"/>
      <c r="K39" s="561"/>
      <c r="L39" s="561"/>
      <c r="M39" s="547" t="str">
        <f t="shared" ref="M39:N39" si="38">K39/J39</f>
        <v>#DIV/0!</v>
      </c>
      <c r="N39" s="547" t="str">
        <f t="shared" si="38"/>
        <v>#DIV/0!</v>
      </c>
      <c r="O39" s="547" t="str">
        <f t="shared" si="3"/>
        <v>#DIV/0!</v>
      </c>
      <c r="P39" s="550"/>
      <c r="Q39" s="548"/>
      <c r="R39" s="550"/>
      <c r="S39" s="550"/>
      <c r="T39" s="550"/>
      <c r="U39" s="550"/>
      <c r="V39" s="550"/>
      <c r="W39" s="550"/>
      <c r="X39" s="550"/>
      <c r="Y39" s="550"/>
      <c r="Z39" s="550"/>
    </row>
    <row r="40" ht="171.75" customHeight="1">
      <c r="A40" s="542">
        <v>38.0</v>
      </c>
      <c r="B40" s="563"/>
      <c r="C40" s="562"/>
      <c r="D40" s="562"/>
      <c r="E40" s="562"/>
      <c r="F40" s="562"/>
      <c r="G40" s="567"/>
      <c r="H40" s="567"/>
      <c r="I40" s="550"/>
      <c r="J40" s="566"/>
      <c r="K40" s="566"/>
      <c r="L40" s="566"/>
      <c r="M40" s="547" t="str">
        <f t="shared" ref="M40:N40" si="39">K40/J40</f>
        <v>#DIV/0!</v>
      </c>
      <c r="N40" s="547" t="str">
        <f t="shared" si="39"/>
        <v>#DIV/0!</v>
      </c>
      <c r="O40" s="547" t="str">
        <f t="shared" si="3"/>
        <v>#DIV/0!</v>
      </c>
      <c r="P40" s="550"/>
      <c r="Q40" s="548"/>
      <c r="R40" s="562"/>
      <c r="U40" s="550"/>
      <c r="V40" s="550"/>
      <c r="W40" s="550"/>
      <c r="X40" s="550"/>
      <c r="Y40" s="550"/>
      <c r="Z40" s="550"/>
    </row>
    <row r="41" ht="171.75" customHeight="1">
      <c r="A41" s="542">
        <v>39.0</v>
      </c>
      <c r="B41" s="550"/>
      <c r="C41" s="550"/>
      <c r="D41" s="550"/>
      <c r="E41" s="550"/>
      <c r="F41" s="550"/>
      <c r="G41" s="567"/>
      <c r="H41" s="567"/>
      <c r="I41" s="550"/>
      <c r="J41" s="566"/>
      <c r="K41" s="566"/>
      <c r="L41" s="566"/>
      <c r="M41" s="547" t="str">
        <f t="shared" ref="M41:N41" si="40">K41/J41</f>
        <v>#DIV/0!</v>
      </c>
      <c r="N41" s="547" t="str">
        <f t="shared" si="40"/>
        <v>#DIV/0!</v>
      </c>
      <c r="O41" s="547" t="str">
        <f t="shared" si="3"/>
        <v>#DIV/0!</v>
      </c>
      <c r="P41" s="550"/>
      <c r="Q41" s="548"/>
      <c r="R41" s="550"/>
      <c r="S41" s="550"/>
      <c r="T41" s="550"/>
      <c r="U41" s="550"/>
      <c r="V41" s="550"/>
      <c r="W41" s="550"/>
      <c r="X41" s="550"/>
      <c r="Y41" s="550"/>
      <c r="Z41" s="550"/>
    </row>
    <row r="42" ht="171.75" customHeight="1">
      <c r="A42" s="542">
        <v>40.0</v>
      </c>
      <c r="B42" s="550"/>
      <c r="C42" s="550"/>
      <c r="D42" s="550"/>
      <c r="E42" s="550"/>
      <c r="F42" s="550"/>
      <c r="G42" s="567"/>
      <c r="H42" s="567"/>
      <c r="I42" s="550"/>
      <c r="J42" s="566"/>
      <c r="K42" s="557"/>
      <c r="L42" s="557"/>
      <c r="M42" s="547" t="str">
        <f t="shared" ref="M42:N42" si="41">K42/J42</f>
        <v>#DIV/0!</v>
      </c>
      <c r="N42" s="547" t="str">
        <f t="shared" si="41"/>
        <v>#DIV/0!</v>
      </c>
      <c r="O42" s="547" t="str">
        <f t="shared" si="3"/>
        <v>#DIV/0!</v>
      </c>
      <c r="P42" s="550"/>
      <c r="Q42" s="548"/>
      <c r="R42" s="550"/>
      <c r="S42" s="550"/>
      <c r="T42" s="550"/>
      <c r="U42" s="550"/>
      <c r="V42" s="550"/>
      <c r="W42" s="550"/>
      <c r="X42" s="550"/>
      <c r="Y42" s="550"/>
      <c r="Z42" s="550"/>
    </row>
    <row r="43" ht="171.75" customHeight="1">
      <c r="A43" s="542">
        <v>41.0</v>
      </c>
      <c r="B43" s="550"/>
      <c r="C43" s="550"/>
      <c r="D43" s="550"/>
      <c r="E43" s="550"/>
      <c r="F43" s="550"/>
      <c r="G43" s="550"/>
      <c r="H43" s="550"/>
      <c r="I43" s="550"/>
      <c r="J43" s="561"/>
      <c r="K43" s="561"/>
      <c r="L43" s="561"/>
      <c r="M43" s="547" t="str">
        <f t="shared" ref="M43:N43" si="42">K43/J43</f>
        <v>#DIV/0!</v>
      </c>
      <c r="N43" s="547" t="str">
        <f t="shared" si="42"/>
        <v>#DIV/0!</v>
      </c>
      <c r="O43" s="547" t="str">
        <f t="shared" si="3"/>
        <v>#DIV/0!</v>
      </c>
      <c r="P43" s="550"/>
      <c r="Q43" s="548"/>
      <c r="R43" s="550"/>
      <c r="S43" s="550"/>
      <c r="T43" s="550"/>
      <c r="U43" s="550"/>
      <c r="V43" s="550"/>
      <c r="W43" s="550"/>
      <c r="X43" s="550"/>
      <c r="Y43" s="550"/>
      <c r="Z43" s="550"/>
    </row>
    <row r="44" ht="171.75" customHeight="1">
      <c r="A44" s="542">
        <v>42.0</v>
      </c>
      <c r="B44" s="550"/>
      <c r="C44" s="550"/>
      <c r="D44" s="550"/>
      <c r="E44" s="550"/>
      <c r="F44" s="550"/>
      <c r="G44" s="564"/>
      <c r="H44" s="564"/>
      <c r="I44" s="550"/>
      <c r="J44" s="565"/>
      <c r="K44" s="565"/>
      <c r="L44" s="565"/>
      <c r="M44" s="547" t="str">
        <f t="shared" ref="M44:N44" si="43">K44/J44</f>
        <v>#DIV/0!</v>
      </c>
      <c r="N44" s="547" t="str">
        <f t="shared" si="43"/>
        <v>#DIV/0!</v>
      </c>
      <c r="O44" s="547" t="str">
        <f t="shared" si="3"/>
        <v>#DIV/0!</v>
      </c>
      <c r="P44" s="550"/>
      <c r="Q44" s="548"/>
      <c r="R44" s="550"/>
      <c r="S44" s="550"/>
      <c r="T44" s="550"/>
      <c r="U44" s="550"/>
      <c r="V44" s="550"/>
      <c r="W44" s="550"/>
      <c r="X44" s="550"/>
      <c r="Y44" s="550"/>
      <c r="Z44" s="550"/>
    </row>
    <row r="45" ht="171.75" customHeight="1">
      <c r="A45" s="542">
        <v>43.0</v>
      </c>
      <c r="B45" s="550"/>
      <c r="C45" s="550"/>
      <c r="D45" s="550"/>
      <c r="E45" s="550"/>
      <c r="F45" s="550"/>
      <c r="G45" s="564"/>
      <c r="H45" s="564"/>
      <c r="I45" s="550"/>
      <c r="J45" s="565"/>
      <c r="K45" s="565"/>
      <c r="L45" s="565"/>
      <c r="M45" s="547" t="str">
        <f t="shared" ref="M45:N45" si="44">K45/J45</f>
        <v>#DIV/0!</v>
      </c>
      <c r="N45" s="547" t="str">
        <f t="shared" si="44"/>
        <v>#DIV/0!</v>
      </c>
      <c r="O45" s="547" t="str">
        <f t="shared" si="3"/>
        <v>#DIV/0!</v>
      </c>
      <c r="P45" s="550"/>
      <c r="Q45" s="548"/>
      <c r="R45" s="550"/>
      <c r="S45" s="550"/>
      <c r="T45" s="550"/>
      <c r="U45" s="550"/>
      <c r="V45" s="550"/>
      <c r="W45" s="550"/>
      <c r="X45" s="550"/>
      <c r="Y45" s="550"/>
      <c r="Z45" s="550"/>
    </row>
    <row r="46" ht="171.75" customHeight="1">
      <c r="A46" s="542">
        <v>44.0</v>
      </c>
      <c r="B46" s="550"/>
      <c r="C46" s="550"/>
      <c r="D46" s="550"/>
      <c r="E46" s="550"/>
      <c r="F46" s="550"/>
      <c r="G46" s="550"/>
      <c r="H46" s="550"/>
      <c r="I46" s="550"/>
      <c r="J46" s="565"/>
      <c r="K46" s="550"/>
      <c r="L46" s="550"/>
      <c r="M46" s="547" t="str">
        <f t="shared" ref="M46:N46" si="45">K46/J46</f>
        <v>#DIV/0!</v>
      </c>
      <c r="N46" s="547" t="str">
        <f t="shared" si="45"/>
        <v>#DIV/0!</v>
      </c>
      <c r="O46" s="547" t="str">
        <f t="shared" si="3"/>
        <v>#DIV/0!</v>
      </c>
      <c r="P46" s="550"/>
      <c r="Q46" s="548"/>
      <c r="R46" s="550"/>
      <c r="S46" s="550"/>
      <c r="T46" s="550"/>
      <c r="U46" s="550"/>
      <c r="V46" s="550"/>
      <c r="W46" s="550"/>
      <c r="X46" s="550"/>
      <c r="Y46" s="550"/>
      <c r="Z46" s="550"/>
    </row>
    <row r="47" ht="171.75" customHeight="1">
      <c r="A47" s="542">
        <v>45.0</v>
      </c>
      <c r="B47" s="550"/>
      <c r="C47" s="550"/>
      <c r="D47" s="550"/>
      <c r="E47" s="550"/>
      <c r="F47" s="550"/>
      <c r="G47" s="550"/>
      <c r="H47" s="550"/>
      <c r="I47" s="550"/>
      <c r="J47" s="561"/>
      <c r="K47" s="561"/>
      <c r="L47" s="561"/>
      <c r="M47" s="547" t="str">
        <f t="shared" ref="M47:N47" si="46">K47/J47</f>
        <v>#DIV/0!</v>
      </c>
      <c r="N47" s="547" t="str">
        <f t="shared" si="46"/>
        <v>#DIV/0!</v>
      </c>
      <c r="O47" s="547" t="str">
        <f t="shared" si="3"/>
        <v>#DIV/0!</v>
      </c>
      <c r="P47" s="550"/>
      <c r="Q47" s="548"/>
      <c r="R47" s="550"/>
      <c r="S47" s="550"/>
      <c r="T47" s="550"/>
      <c r="U47" s="550"/>
      <c r="V47" s="550"/>
      <c r="W47" s="550"/>
      <c r="X47" s="550"/>
      <c r="Y47" s="550"/>
      <c r="Z47" s="550"/>
    </row>
    <row r="48" ht="171.75" customHeight="1">
      <c r="A48" s="542">
        <v>46.0</v>
      </c>
      <c r="B48" s="550"/>
      <c r="C48" s="550"/>
      <c r="D48" s="550"/>
      <c r="E48" s="550"/>
      <c r="F48" s="550"/>
      <c r="G48" s="550"/>
      <c r="H48" s="550"/>
      <c r="I48" s="550"/>
      <c r="J48" s="550"/>
      <c r="K48" s="550"/>
      <c r="L48" s="550"/>
      <c r="M48" s="547" t="str">
        <f t="shared" ref="M48:N48" si="47">K48/J48</f>
        <v>#DIV/0!</v>
      </c>
      <c r="N48" s="547" t="str">
        <f t="shared" si="47"/>
        <v>#DIV/0!</v>
      </c>
      <c r="O48" s="547" t="str">
        <f t="shared" si="3"/>
        <v>#DIV/0!</v>
      </c>
      <c r="P48" s="550"/>
      <c r="Q48" s="548"/>
      <c r="R48" s="550"/>
      <c r="S48" s="550"/>
      <c r="T48" s="550"/>
      <c r="U48" s="550"/>
      <c r="V48" s="550"/>
      <c r="W48" s="550"/>
      <c r="X48" s="550"/>
      <c r="Y48" s="550"/>
      <c r="Z48" s="550"/>
    </row>
    <row r="49" ht="171.75" customHeight="1">
      <c r="A49" s="542">
        <v>47.0</v>
      </c>
      <c r="B49" s="550"/>
      <c r="C49" s="550"/>
      <c r="D49" s="550"/>
      <c r="E49" s="550"/>
      <c r="F49" s="550"/>
      <c r="G49" s="550"/>
      <c r="H49" s="550"/>
      <c r="I49" s="550"/>
      <c r="J49" s="550"/>
      <c r="K49" s="550"/>
      <c r="L49" s="550"/>
      <c r="M49" s="547" t="str">
        <f t="shared" ref="M49:N49" si="48">K49/J49</f>
        <v>#DIV/0!</v>
      </c>
      <c r="N49" s="547" t="str">
        <f t="shared" si="48"/>
        <v>#DIV/0!</v>
      </c>
      <c r="O49" s="547" t="str">
        <f t="shared" si="3"/>
        <v>#DIV/0!</v>
      </c>
      <c r="P49" s="550"/>
      <c r="Q49" s="548"/>
      <c r="R49" s="550"/>
      <c r="S49" s="550"/>
      <c r="T49" s="550"/>
      <c r="U49" s="550"/>
      <c r="V49" s="550"/>
      <c r="W49" s="550"/>
      <c r="X49" s="550"/>
      <c r="Y49" s="550"/>
      <c r="Z49" s="550"/>
    </row>
    <row r="50" ht="171.75" customHeight="1">
      <c r="A50" s="542">
        <v>48.0</v>
      </c>
      <c r="B50" s="550"/>
      <c r="C50" s="550"/>
      <c r="D50" s="550"/>
      <c r="E50" s="550"/>
      <c r="F50" s="550"/>
      <c r="G50" s="550"/>
      <c r="H50" s="550"/>
      <c r="I50" s="550"/>
      <c r="J50" s="550"/>
      <c r="K50" s="550"/>
      <c r="L50" s="550"/>
      <c r="M50" s="547" t="str">
        <f t="shared" ref="M50:N50" si="49">K50/J50</f>
        <v>#DIV/0!</v>
      </c>
      <c r="N50" s="547" t="str">
        <f t="shared" si="49"/>
        <v>#DIV/0!</v>
      </c>
      <c r="O50" s="547" t="str">
        <f t="shared" si="3"/>
        <v>#DIV/0!</v>
      </c>
      <c r="P50" s="550"/>
      <c r="Q50" s="548"/>
      <c r="R50" s="550"/>
      <c r="S50" s="550"/>
      <c r="T50" s="550"/>
      <c r="U50" s="550"/>
      <c r="V50" s="550"/>
      <c r="W50" s="550"/>
      <c r="X50" s="550"/>
      <c r="Y50" s="550"/>
      <c r="Z50" s="550"/>
    </row>
    <row r="51" ht="171.75" customHeight="1">
      <c r="A51" s="542">
        <v>49.0</v>
      </c>
      <c r="B51" s="550"/>
      <c r="C51" s="550"/>
      <c r="D51" s="550"/>
      <c r="E51" s="550"/>
      <c r="F51" s="550"/>
      <c r="G51" s="550"/>
      <c r="H51" s="550"/>
      <c r="I51" s="550"/>
      <c r="J51" s="550"/>
      <c r="K51" s="550"/>
      <c r="L51" s="550"/>
      <c r="M51" s="547" t="str">
        <f t="shared" ref="M51:N51" si="50">K51/J51</f>
        <v>#DIV/0!</v>
      </c>
      <c r="N51" s="547" t="str">
        <f t="shared" si="50"/>
        <v>#DIV/0!</v>
      </c>
      <c r="O51" s="547" t="str">
        <f t="shared" si="3"/>
        <v>#DIV/0!</v>
      </c>
      <c r="P51" s="550"/>
      <c r="Q51" s="548"/>
      <c r="R51" s="550"/>
      <c r="S51" s="550"/>
      <c r="T51" s="550"/>
      <c r="U51" s="550"/>
      <c r="V51" s="550"/>
      <c r="W51" s="550"/>
      <c r="X51" s="550"/>
      <c r="Y51" s="550"/>
      <c r="Z51" s="550"/>
    </row>
    <row r="52" ht="171.75" customHeight="1">
      <c r="A52" s="542">
        <v>50.0</v>
      </c>
      <c r="B52" s="550"/>
      <c r="C52" s="550"/>
      <c r="D52" s="550"/>
      <c r="E52" s="550"/>
      <c r="F52" s="550"/>
      <c r="G52" s="550"/>
      <c r="H52" s="550"/>
      <c r="I52" s="550"/>
      <c r="J52" s="550"/>
      <c r="K52" s="550"/>
      <c r="L52" s="550"/>
      <c r="M52" s="547" t="str">
        <f t="shared" ref="M52:N52" si="51">K52/J52</f>
        <v>#DIV/0!</v>
      </c>
      <c r="N52" s="547" t="str">
        <f t="shared" si="51"/>
        <v>#DIV/0!</v>
      </c>
      <c r="O52" s="547" t="str">
        <f t="shared" si="3"/>
        <v>#DIV/0!</v>
      </c>
      <c r="P52" s="550"/>
      <c r="Q52" s="548"/>
      <c r="R52" s="550"/>
      <c r="S52" s="550"/>
      <c r="T52" s="550"/>
      <c r="U52" s="550"/>
      <c r="V52" s="550"/>
      <c r="W52" s="550"/>
      <c r="X52" s="550"/>
      <c r="Y52" s="550"/>
      <c r="Z52" s="550"/>
    </row>
    <row r="53" ht="171.75" customHeight="1">
      <c r="A53" s="550"/>
      <c r="B53" s="550"/>
      <c r="C53" s="550"/>
      <c r="D53" s="550"/>
      <c r="E53" s="550"/>
      <c r="F53" s="550"/>
      <c r="G53" s="550"/>
      <c r="H53" s="550"/>
      <c r="I53" s="550"/>
      <c r="J53" s="550"/>
      <c r="K53" s="550"/>
      <c r="L53" s="550"/>
      <c r="M53" s="550"/>
      <c r="N53" s="550"/>
      <c r="O53" s="550"/>
      <c r="P53" s="550"/>
      <c r="Q53" s="550"/>
      <c r="R53" s="550"/>
      <c r="S53" s="550"/>
      <c r="T53" s="550"/>
      <c r="U53" s="550"/>
      <c r="V53" s="550"/>
      <c r="W53" s="550"/>
      <c r="X53" s="550"/>
      <c r="Y53" s="550"/>
      <c r="Z53" s="550"/>
    </row>
    <row r="54" ht="171.75" customHeight="1">
      <c r="A54" s="550"/>
      <c r="B54" s="550"/>
      <c r="C54" s="550"/>
      <c r="D54" s="550"/>
      <c r="E54" s="550"/>
      <c r="F54" s="550"/>
      <c r="G54" s="550"/>
      <c r="H54" s="550"/>
      <c r="I54" s="550"/>
      <c r="J54" s="550"/>
      <c r="K54" s="550"/>
      <c r="L54" s="550"/>
      <c r="M54" s="550"/>
      <c r="N54" s="550"/>
      <c r="O54" s="550"/>
      <c r="P54" s="550"/>
      <c r="Q54" s="550"/>
      <c r="R54" s="550"/>
      <c r="S54" s="550"/>
      <c r="T54" s="550"/>
      <c r="U54" s="550"/>
      <c r="V54" s="550"/>
      <c r="W54" s="550"/>
      <c r="X54" s="550"/>
      <c r="Y54" s="550"/>
      <c r="Z54" s="550"/>
    </row>
    <row r="55" ht="171.75" customHeight="1">
      <c r="A55" s="550"/>
      <c r="B55" s="550"/>
      <c r="C55" s="550"/>
      <c r="D55" s="550"/>
      <c r="E55" s="550"/>
      <c r="F55" s="550"/>
      <c r="G55" s="550"/>
      <c r="H55" s="550"/>
      <c r="I55" s="550"/>
      <c r="J55" s="550"/>
      <c r="K55" s="550"/>
      <c r="L55" s="550"/>
      <c r="M55" s="550"/>
      <c r="N55" s="550"/>
      <c r="O55" s="550"/>
      <c r="P55" s="550"/>
      <c r="Q55" s="550"/>
      <c r="R55" s="550"/>
      <c r="S55" s="550"/>
      <c r="T55" s="550"/>
      <c r="U55" s="550"/>
      <c r="V55" s="550"/>
      <c r="W55" s="550"/>
      <c r="X55" s="550"/>
      <c r="Y55" s="550"/>
      <c r="Z55" s="550"/>
    </row>
    <row r="56" ht="171.75" customHeight="1">
      <c r="A56" s="550"/>
      <c r="B56" s="550"/>
      <c r="C56" s="550"/>
      <c r="D56" s="550"/>
      <c r="E56" s="550"/>
      <c r="F56" s="550"/>
      <c r="G56" s="550"/>
      <c r="H56" s="550"/>
      <c r="I56" s="550"/>
      <c r="J56" s="550"/>
      <c r="K56" s="550"/>
      <c r="L56" s="550"/>
      <c r="M56" s="550"/>
      <c r="N56" s="550"/>
      <c r="O56" s="550"/>
      <c r="P56" s="550"/>
      <c r="Q56" s="550"/>
      <c r="R56" s="550"/>
      <c r="S56" s="550"/>
      <c r="T56" s="550"/>
      <c r="U56" s="550"/>
      <c r="V56" s="550"/>
      <c r="W56" s="550"/>
      <c r="X56" s="550"/>
      <c r="Y56" s="550"/>
      <c r="Z56" s="550"/>
    </row>
    <row r="57" ht="171.75" customHeight="1">
      <c r="A57" s="550"/>
      <c r="B57" s="550"/>
      <c r="C57" s="550"/>
      <c r="D57" s="550"/>
      <c r="E57" s="550"/>
      <c r="F57" s="550"/>
      <c r="G57" s="550"/>
      <c r="H57" s="550"/>
      <c r="I57" s="550"/>
      <c r="J57" s="550"/>
      <c r="K57" s="550"/>
      <c r="L57" s="550"/>
      <c r="M57" s="550"/>
      <c r="N57" s="550"/>
      <c r="O57" s="550"/>
      <c r="P57" s="550"/>
      <c r="Q57" s="550"/>
      <c r="R57" s="550"/>
      <c r="S57" s="550"/>
      <c r="T57" s="550"/>
      <c r="U57" s="550"/>
      <c r="V57" s="550"/>
      <c r="W57" s="550"/>
      <c r="X57" s="550"/>
      <c r="Y57" s="550"/>
      <c r="Z57" s="550"/>
    </row>
    <row r="58" ht="171.75" customHeight="1">
      <c r="A58" s="550"/>
      <c r="B58" s="550"/>
      <c r="C58" s="550"/>
      <c r="D58" s="550"/>
      <c r="E58" s="550"/>
      <c r="F58" s="550"/>
      <c r="G58" s="550"/>
      <c r="H58" s="550"/>
      <c r="I58" s="550"/>
      <c r="J58" s="550"/>
      <c r="K58" s="550"/>
      <c r="L58" s="550"/>
      <c r="M58" s="550"/>
      <c r="N58" s="550"/>
      <c r="O58" s="550"/>
      <c r="P58" s="550"/>
      <c r="Q58" s="550"/>
      <c r="R58" s="550"/>
      <c r="S58" s="550"/>
      <c r="T58" s="550"/>
      <c r="U58" s="550"/>
      <c r="V58" s="550"/>
      <c r="W58" s="550"/>
      <c r="X58" s="550"/>
      <c r="Y58" s="550"/>
      <c r="Z58" s="550"/>
    </row>
    <row r="59" ht="171.75" customHeight="1">
      <c r="A59" s="550"/>
      <c r="B59" s="550"/>
      <c r="C59" s="550"/>
      <c r="D59" s="550"/>
      <c r="E59" s="550"/>
      <c r="F59" s="550"/>
      <c r="G59" s="550"/>
      <c r="H59" s="550"/>
      <c r="I59" s="550"/>
      <c r="J59" s="550"/>
      <c r="K59" s="550"/>
      <c r="L59" s="550"/>
      <c r="M59" s="550"/>
      <c r="N59" s="550"/>
      <c r="O59" s="550"/>
      <c r="P59" s="550"/>
      <c r="Q59" s="550"/>
      <c r="R59" s="550"/>
      <c r="S59" s="550"/>
      <c r="T59" s="550"/>
      <c r="U59" s="550"/>
      <c r="V59" s="550"/>
      <c r="W59" s="550"/>
      <c r="X59" s="550"/>
      <c r="Y59" s="550"/>
      <c r="Z59" s="550"/>
    </row>
    <row r="60" ht="171.75" customHeight="1">
      <c r="A60" s="550"/>
      <c r="B60" s="550"/>
      <c r="C60" s="550"/>
      <c r="D60" s="550"/>
      <c r="E60" s="550"/>
      <c r="F60" s="550"/>
      <c r="G60" s="550"/>
      <c r="H60" s="550"/>
      <c r="I60" s="550"/>
      <c r="J60" s="550"/>
      <c r="K60" s="550"/>
      <c r="L60" s="550"/>
      <c r="M60" s="550"/>
      <c r="N60" s="550"/>
      <c r="O60" s="550"/>
      <c r="P60" s="550"/>
      <c r="Q60" s="550"/>
      <c r="R60" s="550"/>
      <c r="S60" s="550"/>
      <c r="T60" s="550"/>
      <c r="U60" s="550"/>
      <c r="V60" s="550"/>
      <c r="W60" s="550"/>
      <c r="X60" s="550"/>
      <c r="Y60" s="550"/>
      <c r="Z60" s="550"/>
    </row>
    <row r="61" ht="171.75" customHeight="1">
      <c r="A61" s="550"/>
      <c r="B61" s="550"/>
      <c r="C61" s="550"/>
      <c r="D61" s="550"/>
      <c r="E61" s="550"/>
      <c r="F61" s="550"/>
      <c r="G61" s="550"/>
      <c r="H61" s="550"/>
      <c r="I61" s="550"/>
      <c r="J61" s="550"/>
      <c r="K61" s="550"/>
      <c r="L61" s="550"/>
      <c r="M61" s="550"/>
      <c r="N61" s="550"/>
      <c r="O61" s="550"/>
      <c r="P61" s="550"/>
      <c r="Q61" s="550"/>
      <c r="R61" s="550"/>
      <c r="S61" s="550"/>
      <c r="T61" s="550"/>
      <c r="U61" s="550"/>
      <c r="V61" s="550"/>
      <c r="W61" s="550"/>
      <c r="X61" s="550"/>
      <c r="Y61" s="550"/>
      <c r="Z61" s="550"/>
    </row>
    <row r="62" ht="171.75" customHeight="1">
      <c r="A62" s="540"/>
      <c r="B62" s="540"/>
      <c r="C62" s="540"/>
      <c r="D62" s="540"/>
      <c r="E62" s="540"/>
      <c r="F62" s="540"/>
      <c r="G62" s="540"/>
      <c r="H62" s="540"/>
      <c r="I62" s="540"/>
      <c r="J62" s="540"/>
      <c r="K62" s="540"/>
      <c r="L62" s="540"/>
      <c r="M62" s="540"/>
      <c r="N62" s="540"/>
      <c r="O62" s="540"/>
      <c r="P62" s="540"/>
      <c r="Q62" s="540"/>
      <c r="R62" s="540"/>
      <c r="S62" s="540"/>
      <c r="T62" s="540"/>
      <c r="U62" s="540"/>
      <c r="V62" s="540"/>
      <c r="W62" s="540"/>
      <c r="X62" s="540"/>
      <c r="Y62" s="540"/>
      <c r="Z62" s="540"/>
    </row>
    <row r="63" ht="171.75" customHeight="1">
      <c r="A63" s="540"/>
      <c r="B63" s="540"/>
      <c r="C63" s="540"/>
      <c r="D63" s="540"/>
      <c r="E63" s="540"/>
      <c r="F63" s="540"/>
      <c r="G63" s="540"/>
      <c r="H63" s="540"/>
      <c r="I63" s="540"/>
      <c r="J63" s="540"/>
      <c r="K63" s="540"/>
      <c r="L63" s="540"/>
      <c r="M63" s="540"/>
      <c r="N63" s="540"/>
      <c r="O63" s="540"/>
      <c r="P63" s="540"/>
      <c r="Q63" s="540"/>
      <c r="R63" s="540"/>
      <c r="S63" s="540"/>
      <c r="T63" s="540"/>
      <c r="U63" s="540"/>
      <c r="V63" s="540"/>
      <c r="W63" s="540"/>
      <c r="X63" s="540"/>
      <c r="Y63" s="540"/>
      <c r="Z63" s="540"/>
    </row>
    <row r="64" ht="171.75" customHeight="1">
      <c r="A64" s="540"/>
      <c r="B64" s="540"/>
      <c r="C64" s="540"/>
      <c r="D64" s="540"/>
      <c r="E64" s="540"/>
      <c r="F64" s="540"/>
      <c r="G64" s="540"/>
      <c r="H64" s="540"/>
      <c r="I64" s="540"/>
      <c r="J64" s="540"/>
      <c r="K64" s="540"/>
      <c r="L64" s="540"/>
      <c r="M64" s="540"/>
      <c r="N64" s="540"/>
      <c r="O64" s="540"/>
      <c r="P64" s="540"/>
      <c r="Q64" s="540"/>
      <c r="R64" s="540"/>
      <c r="S64" s="540"/>
      <c r="T64" s="540"/>
      <c r="U64" s="540"/>
      <c r="V64" s="540"/>
      <c r="W64" s="540"/>
      <c r="X64" s="540"/>
      <c r="Y64" s="540"/>
      <c r="Z64" s="540"/>
    </row>
    <row r="65" ht="171.75" customHeight="1">
      <c r="A65" s="540"/>
      <c r="B65" s="540"/>
      <c r="C65" s="540"/>
      <c r="D65" s="540"/>
      <c r="E65" s="540"/>
      <c r="F65" s="540"/>
      <c r="G65" s="540"/>
      <c r="H65" s="540"/>
      <c r="I65" s="540"/>
      <c r="J65" s="540"/>
      <c r="K65" s="540"/>
      <c r="L65" s="540"/>
      <c r="M65" s="540"/>
      <c r="N65" s="540"/>
      <c r="O65" s="540"/>
      <c r="P65" s="540"/>
      <c r="Q65" s="540"/>
      <c r="R65" s="540"/>
      <c r="S65" s="540"/>
      <c r="T65" s="540"/>
      <c r="U65" s="540"/>
      <c r="V65" s="540"/>
      <c r="W65" s="540"/>
      <c r="X65" s="540"/>
      <c r="Y65" s="540"/>
      <c r="Z65" s="540"/>
    </row>
    <row r="66" ht="171.75" customHeight="1">
      <c r="A66" s="540"/>
      <c r="B66" s="540"/>
      <c r="C66" s="540"/>
      <c r="D66" s="540"/>
      <c r="E66" s="540"/>
      <c r="F66" s="540"/>
      <c r="G66" s="540"/>
      <c r="H66" s="540"/>
      <c r="I66" s="540"/>
      <c r="J66" s="540"/>
      <c r="K66" s="540"/>
      <c r="L66" s="540"/>
      <c r="M66" s="540"/>
      <c r="N66" s="540"/>
      <c r="O66" s="540"/>
      <c r="P66" s="540"/>
      <c r="Q66" s="540"/>
      <c r="R66" s="540"/>
      <c r="S66" s="540"/>
      <c r="T66" s="540"/>
      <c r="U66" s="540"/>
      <c r="V66" s="540"/>
      <c r="W66" s="540"/>
      <c r="X66" s="540"/>
      <c r="Y66" s="540"/>
      <c r="Z66" s="540"/>
    </row>
    <row r="67" ht="171.75" customHeight="1">
      <c r="A67" s="540"/>
      <c r="B67" s="540"/>
      <c r="C67" s="540"/>
      <c r="D67" s="540"/>
      <c r="E67" s="540"/>
      <c r="F67" s="540"/>
      <c r="G67" s="540"/>
      <c r="H67" s="540"/>
      <c r="I67" s="540"/>
      <c r="J67" s="540"/>
      <c r="K67" s="540"/>
      <c r="L67" s="540"/>
      <c r="M67" s="540"/>
      <c r="N67" s="540"/>
      <c r="O67" s="540"/>
      <c r="P67" s="540"/>
      <c r="Q67" s="540"/>
      <c r="R67" s="540"/>
      <c r="S67" s="540"/>
      <c r="T67" s="540"/>
      <c r="U67" s="540"/>
      <c r="V67" s="540"/>
      <c r="W67" s="540"/>
      <c r="X67" s="540"/>
      <c r="Y67" s="540"/>
      <c r="Z67" s="540"/>
    </row>
    <row r="68" ht="171.75" customHeight="1">
      <c r="A68" s="540"/>
      <c r="B68" s="540"/>
      <c r="C68" s="540"/>
      <c r="D68" s="540"/>
      <c r="E68" s="540"/>
      <c r="F68" s="540"/>
      <c r="G68" s="540"/>
      <c r="H68" s="540"/>
      <c r="I68" s="540"/>
      <c r="J68" s="540"/>
      <c r="K68" s="540"/>
      <c r="L68" s="540"/>
      <c r="M68" s="540"/>
      <c r="N68" s="540"/>
      <c r="O68" s="540"/>
      <c r="P68" s="540"/>
      <c r="Q68" s="540"/>
      <c r="R68" s="540"/>
      <c r="S68" s="540"/>
      <c r="T68" s="540"/>
      <c r="U68" s="540"/>
      <c r="V68" s="540"/>
      <c r="W68" s="540"/>
      <c r="X68" s="540"/>
      <c r="Y68" s="540"/>
      <c r="Z68" s="540"/>
    </row>
    <row r="69" ht="171.75" customHeight="1">
      <c r="A69" s="540"/>
      <c r="B69" s="540"/>
      <c r="C69" s="540"/>
      <c r="D69" s="540"/>
      <c r="E69" s="540"/>
      <c r="F69" s="540"/>
      <c r="G69" s="540"/>
      <c r="H69" s="540"/>
      <c r="I69" s="540"/>
      <c r="J69" s="540"/>
      <c r="K69" s="540"/>
      <c r="L69" s="540"/>
      <c r="M69" s="540"/>
      <c r="N69" s="540"/>
      <c r="O69" s="540"/>
      <c r="P69" s="540"/>
      <c r="Q69" s="540"/>
      <c r="R69" s="540"/>
      <c r="S69" s="540"/>
      <c r="T69" s="540"/>
      <c r="U69" s="540"/>
      <c r="V69" s="540"/>
      <c r="W69" s="540"/>
      <c r="X69" s="540"/>
      <c r="Y69" s="540"/>
      <c r="Z69" s="540"/>
    </row>
    <row r="70" ht="171.75" customHeight="1">
      <c r="A70" s="540"/>
      <c r="B70" s="540"/>
      <c r="C70" s="540"/>
      <c r="D70" s="540"/>
      <c r="E70" s="540"/>
      <c r="F70" s="540"/>
      <c r="G70" s="540"/>
      <c r="H70" s="540"/>
      <c r="I70" s="540"/>
      <c r="J70" s="540"/>
      <c r="K70" s="540"/>
      <c r="L70" s="540"/>
      <c r="M70" s="540"/>
      <c r="N70" s="540"/>
      <c r="O70" s="540"/>
      <c r="P70" s="540"/>
      <c r="Q70" s="540"/>
      <c r="R70" s="540"/>
      <c r="S70" s="540"/>
      <c r="T70" s="540"/>
      <c r="U70" s="540"/>
      <c r="V70" s="540"/>
      <c r="W70" s="540"/>
      <c r="X70" s="540"/>
      <c r="Y70" s="540"/>
      <c r="Z70" s="540"/>
    </row>
    <row r="71" ht="171.75" customHeight="1">
      <c r="A71" s="540"/>
      <c r="B71" s="540"/>
      <c r="C71" s="540"/>
      <c r="D71" s="540"/>
      <c r="E71" s="540"/>
      <c r="F71" s="540"/>
      <c r="G71" s="540"/>
      <c r="H71" s="540"/>
      <c r="I71" s="540"/>
      <c r="J71" s="540"/>
      <c r="K71" s="540"/>
      <c r="L71" s="540"/>
      <c r="M71" s="540"/>
      <c r="N71" s="540"/>
      <c r="O71" s="540"/>
      <c r="P71" s="540"/>
      <c r="Q71" s="540"/>
      <c r="R71" s="540"/>
      <c r="S71" s="540"/>
      <c r="T71" s="540"/>
      <c r="U71" s="540"/>
      <c r="V71" s="540"/>
      <c r="W71" s="540"/>
      <c r="X71" s="540"/>
      <c r="Y71" s="540"/>
      <c r="Z71" s="540"/>
    </row>
    <row r="72" ht="171.75" customHeight="1">
      <c r="A72" s="540"/>
      <c r="B72" s="540"/>
      <c r="C72" s="540"/>
      <c r="D72" s="540"/>
      <c r="E72" s="540"/>
      <c r="F72" s="540"/>
      <c r="G72" s="540"/>
      <c r="H72" s="540"/>
      <c r="I72" s="540"/>
      <c r="J72" s="540"/>
      <c r="K72" s="540"/>
      <c r="L72" s="540"/>
      <c r="M72" s="540"/>
      <c r="N72" s="540"/>
      <c r="O72" s="540"/>
      <c r="P72" s="540"/>
      <c r="Q72" s="540"/>
      <c r="R72" s="540"/>
      <c r="S72" s="540"/>
      <c r="T72" s="540"/>
      <c r="U72" s="540"/>
      <c r="V72" s="540"/>
      <c r="W72" s="540"/>
      <c r="X72" s="540"/>
      <c r="Y72" s="540"/>
      <c r="Z72" s="540"/>
    </row>
    <row r="73" ht="171.75" customHeight="1">
      <c r="A73" s="540"/>
      <c r="B73" s="540"/>
      <c r="C73" s="540"/>
      <c r="D73" s="540"/>
      <c r="E73" s="540"/>
      <c r="F73" s="540"/>
      <c r="G73" s="540"/>
      <c r="H73" s="540"/>
      <c r="I73" s="540"/>
      <c r="J73" s="540"/>
      <c r="K73" s="540"/>
      <c r="L73" s="540"/>
      <c r="M73" s="540"/>
      <c r="N73" s="540"/>
      <c r="O73" s="540"/>
      <c r="P73" s="540"/>
      <c r="Q73" s="540"/>
      <c r="R73" s="540"/>
      <c r="S73" s="540"/>
      <c r="T73" s="540"/>
      <c r="U73" s="540"/>
      <c r="V73" s="540"/>
      <c r="W73" s="540"/>
      <c r="X73" s="540"/>
      <c r="Y73" s="540"/>
      <c r="Z73" s="540"/>
    </row>
    <row r="74" ht="171.75" customHeight="1">
      <c r="A74" s="540"/>
      <c r="B74" s="540"/>
      <c r="C74" s="540"/>
      <c r="D74" s="540"/>
      <c r="E74" s="540"/>
      <c r="F74" s="540"/>
      <c r="G74" s="540"/>
      <c r="H74" s="540"/>
      <c r="I74" s="540"/>
      <c r="J74" s="540"/>
      <c r="K74" s="540"/>
      <c r="L74" s="540"/>
      <c r="M74" s="540"/>
      <c r="N74" s="540"/>
      <c r="O74" s="540"/>
      <c r="P74" s="540"/>
      <c r="Q74" s="540"/>
      <c r="R74" s="540"/>
      <c r="S74" s="540"/>
      <c r="T74" s="540"/>
      <c r="U74" s="540"/>
      <c r="V74" s="540"/>
      <c r="W74" s="540"/>
      <c r="X74" s="540"/>
      <c r="Y74" s="540"/>
      <c r="Z74" s="540"/>
    </row>
    <row r="75" ht="171.75" customHeight="1">
      <c r="A75" s="540"/>
      <c r="B75" s="540"/>
      <c r="C75" s="540"/>
      <c r="D75" s="540"/>
      <c r="E75" s="540"/>
      <c r="F75" s="540"/>
      <c r="G75" s="540"/>
      <c r="H75" s="540"/>
      <c r="I75" s="540"/>
      <c r="J75" s="540"/>
      <c r="K75" s="540"/>
      <c r="L75" s="540"/>
      <c r="M75" s="540"/>
      <c r="N75" s="540"/>
      <c r="O75" s="540"/>
      <c r="P75" s="540"/>
      <c r="Q75" s="540"/>
      <c r="R75" s="540"/>
      <c r="S75" s="540"/>
      <c r="T75" s="540"/>
      <c r="U75" s="540"/>
      <c r="V75" s="540"/>
      <c r="W75" s="540"/>
      <c r="X75" s="540"/>
      <c r="Y75" s="540"/>
      <c r="Z75" s="540"/>
    </row>
    <row r="76" ht="171.75" customHeight="1">
      <c r="A76" s="540"/>
      <c r="B76" s="540"/>
      <c r="C76" s="540"/>
      <c r="D76" s="540"/>
      <c r="E76" s="540"/>
      <c r="F76" s="540"/>
      <c r="G76" s="540"/>
      <c r="H76" s="540"/>
      <c r="I76" s="540"/>
      <c r="J76" s="540"/>
      <c r="K76" s="540"/>
      <c r="L76" s="540"/>
      <c r="M76" s="540"/>
      <c r="N76" s="540"/>
      <c r="O76" s="540"/>
      <c r="P76" s="540"/>
      <c r="Q76" s="540"/>
      <c r="R76" s="540"/>
      <c r="S76" s="540"/>
      <c r="T76" s="540"/>
      <c r="U76" s="540"/>
      <c r="V76" s="540"/>
      <c r="W76" s="540"/>
      <c r="X76" s="540"/>
      <c r="Y76" s="540"/>
      <c r="Z76" s="540"/>
    </row>
    <row r="77" ht="171.75" customHeight="1">
      <c r="A77" s="540"/>
      <c r="B77" s="540"/>
      <c r="C77" s="540"/>
      <c r="D77" s="540"/>
      <c r="E77" s="540"/>
      <c r="F77" s="540"/>
      <c r="G77" s="540"/>
      <c r="H77" s="540"/>
      <c r="I77" s="540"/>
      <c r="J77" s="540"/>
      <c r="K77" s="540"/>
      <c r="L77" s="540"/>
      <c r="M77" s="540"/>
      <c r="N77" s="540"/>
      <c r="O77" s="540"/>
      <c r="P77" s="540"/>
      <c r="Q77" s="540"/>
      <c r="R77" s="540"/>
      <c r="S77" s="540"/>
      <c r="T77" s="540"/>
      <c r="U77" s="540"/>
      <c r="V77" s="540"/>
      <c r="W77" s="540"/>
      <c r="X77" s="540"/>
      <c r="Y77" s="540"/>
      <c r="Z77" s="540"/>
    </row>
    <row r="78" ht="171.75" customHeight="1">
      <c r="A78" s="540"/>
      <c r="B78" s="540"/>
      <c r="C78" s="540"/>
      <c r="D78" s="540"/>
      <c r="E78" s="540"/>
      <c r="F78" s="540"/>
      <c r="G78" s="540"/>
      <c r="H78" s="540"/>
      <c r="I78" s="540"/>
      <c r="J78" s="540"/>
      <c r="K78" s="540"/>
      <c r="L78" s="540"/>
      <c r="M78" s="540"/>
      <c r="N78" s="540"/>
      <c r="O78" s="540"/>
      <c r="P78" s="540"/>
      <c r="Q78" s="540"/>
      <c r="R78" s="540"/>
      <c r="S78" s="540"/>
      <c r="T78" s="540"/>
      <c r="U78" s="540"/>
      <c r="V78" s="540"/>
      <c r="W78" s="540"/>
      <c r="X78" s="540"/>
      <c r="Y78" s="540"/>
      <c r="Z78" s="540"/>
    </row>
    <row r="79" ht="171.75" customHeight="1">
      <c r="A79" s="540"/>
      <c r="B79" s="540"/>
      <c r="C79" s="540"/>
      <c r="D79" s="540"/>
      <c r="E79" s="540"/>
      <c r="F79" s="540"/>
      <c r="G79" s="540"/>
      <c r="H79" s="540"/>
      <c r="I79" s="540"/>
      <c r="J79" s="540"/>
      <c r="K79" s="540"/>
      <c r="L79" s="540"/>
      <c r="M79" s="540"/>
      <c r="N79" s="540"/>
      <c r="O79" s="540"/>
      <c r="P79" s="540"/>
      <c r="Q79" s="540"/>
      <c r="R79" s="540"/>
      <c r="S79" s="540"/>
      <c r="T79" s="540"/>
      <c r="U79" s="540"/>
      <c r="V79" s="540"/>
      <c r="W79" s="540"/>
      <c r="X79" s="540"/>
      <c r="Y79" s="540"/>
      <c r="Z79" s="540"/>
    </row>
    <row r="80" ht="171.75" customHeight="1">
      <c r="A80" s="540"/>
      <c r="B80" s="540"/>
      <c r="C80" s="540"/>
      <c r="D80" s="540"/>
      <c r="E80" s="540"/>
      <c r="F80" s="540"/>
      <c r="G80" s="540"/>
      <c r="H80" s="540"/>
      <c r="I80" s="540"/>
      <c r="J80" s="540"/>
      <c r="K80" s="540"/>
      <c r="L80" s="540"/>
      <c r="M80" s="540"/>
      <c r="N80" s="540"/>
      <c r="O80" s="540"/>
      <c r="P80" s="540"/>
      <c r="Q80" s="540"/>
      <c r="R80" s="540"/>
      <c r="S80" s="540"/>
      <c r="T80" s="540"/>
      <c r="U80" s="540"/>
      <c r="V80" s="540"/>
      <c r="W80" s="540"/>
      <c r="X80" s="540"/>
      <c r="Y80" s="540"/>
      <c r="Z80" s="540"/>
    </row>
    <row r="81" ht="171.75" customHeight="1">
      <c r="A81" s="540"/>
      <c r="B81" s="540"/>
      <c r="C81" s="540"/>
      <c r="D81" s="540"/>
      <c r="E81" s="540"/>
      <c r="F81" s="540"/>
      <c r="G81" s="540"/>
      <c r="H81" s="540"/>
      <c r="I81" s="540"/>
      <c r="J81" s="540"/>
      <c r="K81" s="540"/>
      <c r="L81" s="540"/>
      <c r="M81" s="540"/>
      <c r="N81" s="540"/>
      <c r="O81" s="540"/>
      <c r="P81" s="540"/>
      <c r="Q81" s="540"/>
      <c r="R81" s="540"/>
      <c r="S81" s="540"/>
      <c r="T81" s="540"/>
      <c r="U81" s="540"/>
      <c r="V81" s="540"/>
      <c r="W81" s="540"/>
      <c r="X81" s="540"/>
      <c r="Y81" s="540"/>
      <c r="Z81" s="540"/>
    </row>
    <row r="82" ht="171.75" customHeight="1">
      <c r="A82" s="540"/>
      <c r="B82" s="540"/>
      <c r="C82" s="540"/>
      <c r="D82" s="540"/>
      <c r="E82" s="540"/>
      <c r="F82" s="540"/>
      <c r="G82" s="540"/>
      <c r="H82" s="540"/>
      <c r="I82" s="540"/>
      <c r="J82" s="540"/>
      <c r="K82" s="540"/>
      <c r="L82" s="540"/>
      <c r="M82" s="540"/>
      <c r="N82" s="540"/>
      <c r="O82" s="540"/>
      <c r="P82" s="540"/>
      <c r="Q82" s="540"/>
      <c r="R82" s="540"/>
      <c r="S82" s="540"/>
      <c r="T82" s="540"/>
      <c r="U82" s="540"/>
      <c r="V82" s="540"/>
      <c r="W82" s="540"/>
      <c r="X82" s="540"/>
      <c r="Y82" s="540"/>
      <c r="Z82" s="540"/>
    </row>
    <row r="83" ht="171.75" customHeight="1">
      <c r="A83" s="540"/>
      <c r="B83" s="540"/>
      <c r="C83" s="540"/>
      <c r="D83" s="540"/>
      <c r="E83" s="540"/>
      <c r="F83" s="540"/>
      <c r="G83" s="540"/>
      <c r="H83" s="540"/>
      <c r="I83" s="540"/>
      <c r="J83" s="540"/>
      <c r="K83" s="540"/>
      <c r="L83" s="540"/>
      <c r="M83" s="540"/>
      <c r="N83" s="540"/>
      <c r="O83" s="540"/>
      <c r="P83" s="540"/>
      <c r="Q83" s="540"/>
      <c r="R83" s="540"/>
      <c r="S83" s="540"/>
      <c r="T83" s="540"/>
      <c r="U83" s="540"/>
      <c r="V83" s="540"/>
      <c r="W83" s="540"/>
      <c r="X83" s="540"/>
      <c r="Y83" s="540"/>
      <c r="Z83" s="540"/>
    </row>
    <row r="84" ht="171.75" customHeight="1">
      <c r="A84" s="540"/>
      <c r="B84" s="540"/>
      <c r="C84" s="540"/>
      <c r="D84" s="540"/>
      <c r="E84" s="540"/>
      <c r="F84" s="540"/>
      <c r="G84" s="540"/>
      <c r="H84" s="540"/>
      <c r="I84" s="540"/>
      <c r="J84" s="540"/>
      <c r="K84" s="540"/>
      <c r="L84" s="540"/>
      <c r="M84" s="540"/>
      <c r="N84" s="540"/>
      <c r="O84" s="540"/>
      <c r="P84" s="540"/>
      <c r="Q84" s="540"/>
      <c r="R84" s="540"/>
      <c r="S84" s="540"/>
      <c r="T84" s="540"/>
      <c r="U84" s="540"/>
      <c r="V84" s="540"/>
      <c r="W84" s="540"/>
      <c r="X84" s="540"/>
      <c r="Y84" s="540"/>
      <c r="Z84" s="540"/>
    </row>
    <row r="85" ht="171.75" customHeight="1">
      <c r="A85" s="540"/>
      <c r="B85" s="540"/>
      <c r="C85" s="540"/>
      <c r="D85" s="540"/>
      <c r="E85" s="540"/>
      <c r="F85" s="540"/>
      <c r="G85" s="540"/>
      <c r="H85" s="540"/>
      <c r="I85" s="540"/>
      <c r="J85" s="540"/>
      <c r="K85" s="540"/>
      <c r="L85" s="540"/>
      <c r="M85" s="540"/>
      <c r="N85" s="540"/>
      <c r="O85" s="540"/>
      <c r="P85" s="540"/>
      <c r="Q85" s="540"/>
      <c r="R85" s="540"/>
      <c r="S85" s="540"/>
      <c r="T85" s="540"/>
      <c r="U85" s="540"/>
      <c r="V85" s="540"/>
      <c r="W85" s="540"/>
      <c r="X85" s="540"/>
      <c r="Y85" s="540"/>
      <c r="Z85" s="540"/>
    </row>
    <row r="86" ht="171.75" customHeight="1">
      <c r="A86" s="540"/>
      <c r="B86" s="540"/>
      <c r="C86" s="540"/>
      <c r="D86" s="540"/>
      <c r="E86" s="540"/>
      <c r="F86" s="540"/>
      <c r="G86" s="540"/>
      <c r="H86" s="540"/>
      <c r="I86" s="540"/>
      <c r="J86" s="540"/>
      <c r="K86" s="540"/>
      <c r="L86" s="540"/>
      <c r="M86" s="540"/>
      <c r="N86" s="540"/>
      <c r="O86" s="540"/>
      <c r="P86" s="540"/>
      <c r="Q86" s="540"/>
      <c r="R86" s="540"/>
      <c r="S86" s="540"/>
      <c r="T86" s="540"/>
      <c r="U86" s="540"/>
      <c r="V86" s="540"/>
      <c r="W86" s="540"/>
      <c r="X86" s="540"/>
      <c r="Y86" s="540"/>
      <c r="Z86" s="540"/>
    </row>
    <row r="87" ht="171.75" customHeight="1">
      <c r="A87" s="540"/>
      <c r="B87" s="540"/>
      <c r="C87" s="540"/>
      <c r="D87" s="540"/>
      <c r="E87" s="540"/>
      <c r="F87" s="540"/>
      <c r="G87" s="540"/>
      <c r="H87" s="540"/>
      <c r="I87" s="540"/>
      <c r="J87" s="540"/>
      <c r="K87" s="540"/>
      <c r="L87" s="540"/>
      <c r="M87" s="540"/>
      <c r="N87" s="540"/>
      <c r="O87" s="540"/>
      <c r="P87" s="540"/>
      <c r="Q87" s="540"/>
      <c r="R87" s="540"/>
      <c r="S87" s="540"/>
      <c r="T87" s="540"/>
      <c r="U87" s="540"/>
      <c r="V87" s="540"/>
      <c r="W87" s="540"/>
      <c r="X87" s="540"/>
      <c r="Y87" s="540"/>
      <c r="Z87" s="540"/>
    </row>
    <row r="88" ht="171.75" customHeight="1">
      <c r="A88" s="540"/>
      <c r="B88" s="540"/>
      <c r="C88" s="540"/>
      <c r="D88" s="540"/>
      <c r="E88" s="540"/>
      <c r="F88" s="540"/>
      <c r="G88" s="540"/>
      <c r="H88" s="540"/>
      <c r="I88" s="540"/>
      <c r="J88" s="540"/>
      <c r="K88" s="540"/>
      <c r="L88" s="540"/>
      <c r="M88" s="540"/>
      <c r="N88" s="540"/>
      <c r="O88" s="540"/>
      <c r="P88" s="540"/>
      <c r="Q88" s="540"/>
      <c r="R88" s="540"/>
      <c r="S88" s="540"/>
      <c r="T88" s="540"/>
      <c r="U88" s="540"/>
      <c r="V88" s="540"/>
      <c r="W88" s="540"/>
      <c r="X88" s="540"/>
      <c r="Y88" s="540"/>
      <c r="Z88" s="540"/>
    </row>
    <row r="89" ht="171.75" customHeight="1">
      <c r="A89" s="540"/>
      <c r="B89" s="540"/>
      <c r="C89" s="540"/>
      <c r="D89" s="540"/>
      <c r="E89" s="540"/>
      <c r="F89" s="540"/>
      <c r="G89" s="540"/>
      <c r="H89" s="540"/>
      <c r="I89" s="540"/>
      <c r="J89" s="540"/>
      <c r="K89" s="540"/>
      <c r="L89" s="540"/>
      <c r="M89" s="540"/>
      <c r="N89" s="540"/>
      <c r="O89" s="540"/>
      <c r="P89" s="540"/>
      <c r="Q89" s="540"/>
      <c r="R89" s="540"/>
      <c r="S89" s="540"/>
      <c r="T89" s="540"/>
      <c r="U89" s="540"/>
      <c r="V89" s="540"/>
      <c r="W89" s="540"/>
      <c r="X89" s="540"/>
      <c r="Y89" s="540"/>
      <c r="Z89" s="540"/>
    </row>
    <row r="90" ht="171.75" customHeight="1">
      <c r="A90" s="540"/>
      <c r="B90" s="540"/>
      <c r="C90" s="540"/>
      <c r="D90" s="540"/>
      <c r="E90" s="540"/>
      <c r="F90" s="540"/>
      <c r="G90" s="540"/>
      <c r="H90" s="540"/>
      <c r="I90" s="540"/>
      <c r="J90" s="540"/>
      <c r="K90" s="540"/>
      <c r="L90" s="540"/>
      <c r="M90" s="540"/>
      <c r="N90" s="540"/>
      <c r="O90" s="540"/>
      <c r="P90" s="540"/>
      <c r="Q90" s="540"/>
      <c r="R90" s="540"/>
      <c r="S90" s="540"/>
      <c r="T90" s="540"/>
      <c r="U90" s="540"/>
      <c r="V90" s="540"/>
      <c r="W90" s="540"/>
      <c r="X90" s="540"/>
      <c r="Y90" s="540"/>
      <c r="Z90" s="540"/>
    </row>
    <row r="91" ht="171.75" customHeight="1">
      <c r="A91" s="540"/>
      <c r="B91" s="540"/>
      <c r="C91" s="540"/>
      <c r="D91" s="540"/>
      <c r="E91" s="540"/>
      <c r="F91" s="540"/>
      <c r="G91" s="540"/>
      <c r="H91" s="540"/>
      <c r="I91" s="540"/>
      <c r="J91" s="540"/>
      <c r="K91" s="540"/>
      <c r="L91" s="540"/>
      <c r="M91" s="540"/>
      <c r="N91" s="540"/>
      <c r="O91" s="540"/>
      <c r="P91" s="540"/>
      <c r="Q91" s="540"/>
      <c r="R91" s="540"/>
      <c r="S91" s="540"/>
      <c r="T91" s="540"/>
      <c r="U91" s="540"/>
      <c r="V91" s="540"/>
      <c r="W91" s="540"/>
      <c r="X91" s="540"/>
      <c r="Y91" s="540"/>
      <c r="Z91" s="540"/>
    </row>
    <row r="92" ht="171.75" customHeight="1">
      <c r="A92" s="540"/>
      <c r="B92" s="540"/>
      <c r="C92" s="540"/>
      <c r="D92" s="540"/>
      <c r="E92" s="540"/>
      <c r="F92" s="540"/>
      <c r="G92" s="540"/>
      <c r="H92" s="540"/>
      <c r="I92" s="540"/>
      <c r="J92" s="540"/>
      <c r="K92" s="540"/>
      <c r="L92" s="540"/>
      <c r="M92" s="540"/>
      <c r="N92" s="540"/>
      <c r="O92" s="540"/>
      <c r="P92" s="540"/>
      <c r="Q92" s="540"/>
      <c r="R92" s="540"/>
      <c r="S92" s="540"/>
      <c r="T92" s="540"/>
      <c r="U92" s="540"/>
      <c r="V92" s="540"/>
      <c r="W92" s="540"/>
      <c r="X92" s="540"/>
      <c r="Y92" s="540"/>
      <c r="Z92" s="540"/>
    </row>
    <row r="93" ht="171.75" customHeight="1">
      <c r="A93" s="540"/>
      <c r="B93" s="540"/>
      <c r="C93" s="540"/>
      <c r="D93" s="540"/>
      <c r="E93" s="540"/>
      <c r="F93" s="540"/>
      <c r="G93" s="540"/>
      <c r="H93" s="540"/>
      <c r="I93" s="540"/>
      <c r="J93" s="540"/>
      <c r="K93" s="540"/>
      <c r="L93" s="540"/>
      <c r="M93" s="540"/>
      <c r="N93" s="540"/>
      <c r="O93" s="540"/>
      <c r="P93" s="540"/>
      <c r="Q93" s="540"/>
      <c r="R93" s="540"/>
      <c r="S93" s="540"/>
      <c r="T93" s="540"/>
      <c r="U93" s="540"/>
      <c r="V93" s="540"/>
      <c r="W93" s="540"/>
      <c r="X93" s="540"/>
      <c r="Y93" s="540"/>
      <c r="Z93" s="540"/>
    </row>
    <row r="94" ht="171.75" customHeight="1">
      <c r="A94" s="540"/>
      <c r="B94" s="540"/>
      <c r="C94" s="540"/>
      <c r="D94" s="540"/>
      <c r="E94" s="540"/>
      <c r="F94" s="540"/>
      <c r="G94" s="540"/>
      <c r="H94" s="540"/>
      <c r="I94" s="540"/>
      <c r="J94" s="540"/>
      <c r="K94" s="540"/>
      <c r="L94" s="540"/>
      <c r="M94" s="540"/>
      <c r="N94" s="540"/>
      <c r="O94" s="540"/>
      <c r="P94" s="540"/>
      <c r="Q94" s="540"/>
      <c r="R94" s="540"/>
      <c r="S94" s="540"/>
      <c r="T94" s="540"/>
      <c r="U94" s="540"/>
      <c r="V94" s="540"/>
      <c r="W94" s="540"/>
      <c r="X94" s="540"/>
      <c r="Y94" s="540"/>
      <c r="Z94" s="540"/>
    </row>
    <row r="95" ht="171.75" customHeight="1">
      <c r="A95" s="540"/>
      <c r="B95" s="540"/>
      <c r="C95" s="540"/>
      <c r="D95" s="540"/>
      <c r="E95" s="540"/>
      <c r="F95" s="540"/>
      <c r="G95" s="540"/>
      <c r="H95" s="540"/>
      <c r="I95" s="540"/>
      <c r="J95" s="540"/>
      <c r="K95" s="540"/>
      <c r="L95" s="540"/>
      <c r="M95" s="540"/>
      <c r="N95" s="540"/>
      <c r="O95" s="540"/>
      <c r="P95" s="540"/>
      <c r="Q95" s="540"/>
      <c r="R95" s="540"/>
      <c r="S95" s="540"/>
      <c r="T95" s="540"/>
      <c r="U95" s="540"/>
      <c r="V95" s="540"/>
      <c r="W95" s="540"/>
      <c r="X95" s="540"/>
      <c r="Y95" s="540"/>
      <c r="Z95" s="540"/>
    </row>
    <row r="96" ht="171.75" customHeight="1">
      <c r="A96" s="540"/>
      <c r="B96" s="540"/>
      <c r="C96" s="540"/>
      <c r="D96" s="540"/>
      <c r="E96" s="540"/>
      <c r="F96" s="540"/>
      <c r="G96" s="540"/>
      <c r="H96" s="540"/>
      <c r="I96" s="540"/>
      <c r="J96" s="540"/>
      <c r="K96" s="540"/>
      <c r="L96" s="540"/>
      <c r="M96" s="540"/>
      <c r="N96" s="540"/>
      <c r="O96" s="540"/>
      <c r="P96" s="540"/>
      <c r="Q96" s="540"/>
      <c r="R96" s="540"/>
      <c r="S96" s="540"/>
      <c r="T96" s="540"/>
      <c r="U96" s="540"/>
      <c r="V96" s="540"/>
      <c r="W96" s="540"/>
      <c r="X96" s="540"/>
      <c r="Y96" s="540"/>
      <c r="Z96" s="540"/>
    </row>
    <row r="97" ht="171.75" customHeight="1">
      <c r="A97" s="540"/>
      <c r="B97" s="540"/>
      <c r="C97" s="540"/>
      <c r="D97" s="540"/>
      <c r="E97" s="540"/>
      <c r="F97" s="540"/>
      <c r="G97" s="540"/>
      <c r="H97" s="540"/>
      <c r="I97" s="540"/>
      <c r="J97" s="540"/>
      <c r="K97" s="540"/>
      <c r="L97" s="540"/>
      <c r="M97" s="540"/>
      <c r="N97" s="540"/>
      <c r="O97" s="540"/>
      <c r="P97" s="540"/>
      <c r="Q97" s="540"/>
      <c r="R97" s="540"/>
      <c r="S97" s="540"/>
      <c r="T97" s="540"/>
      <c r="U97" s="540"/>
      <c r="V97" s="540"/>
      <c r="W97" s="540"/>
      <c r="X97" s="540"/>
      <c r="Y97" s="540"/>
      <c r="Z97" s="540"/>
    </row>
    <row r="98" ht="171.75" customHeight="1">
      <c r="A98" s="540"/>
      <c r="B98" s="540"/>
      <c r="C98" s="540"/>
      <c r="D98" s="540"/>
      <c r="E98" s="540"/>
      <c r="F98" s="540"/>
      <c r="G98" s="540"/>
      <c r="H98" s="540"/>
      <c r="I98" s="540"/>
      <c r="J98" s="540"/>
      <c r="K98" s="540"/>
      <c r="L98" s="540"/>
      <c r="M98" s="540"/>
      <c r="N98" s="540"/>
      <c r="O98" s="540"/>
      <c r="P98" s="540"/>
      <c r="Q98" s="540"/>
      <c r="R98" s="540"/>
      <c r="S98" s="540"/>
      <c r="T98" s="540"/>
      <c r="U98" s="540"/>
      <c r="V98" s="540"/>
      <c r="W98" s="540"/>
      <c r="X98" s="540"/>
      <c r="Y98" s="540"/>
      <c r="Z98" s="540"/>
    </row>
    <row r="99" ht="171.75" customHeight="1">
      <c r="A99" s="540"/>
      <c r="B99" s="540"/>
      <c r="C99" s="540"/>
      <c r="D99" s="540"/>
      <c r="E99" s="540"/>
      <c r="F99" s="540"/>
      <c r="G99" s="540"/>
      <c r="H99" s="540"/>
      <c r="I99" s="540"/>
      <c r="J99" s="540"/>
      <c r="K99" s="540"/>
      <c r="L99" s="540"/>
      <c r="M99" s="540"/>
      <c r="N99" s="540"/>
      <c r="O99" s="540"/>
      <c r="P99" s="540"/>
      <c r="Q99" s="540"/>
      <c r="R99" s="540"/>
      <c r="S99" s="540"/>
      <c r="T99" s="540"/>
      <c r="U99" s="540"/>
      <c r="V99" s="540"/>
      <c r="W99" s="540"/>
      <c r="X99" s="540"/>
      <c r="Y99" s="540"/>
      <c r="Z99" s="540"/>
    </row>
    <row r="100" ht="171.75" customHeight="1">
      <c r="A100" s="540"/>
      <c r="B100" s="540"/>
      <c r="C100" s="540"/>
      <c r="D100" s="540"/>
      <c r="E100" s="540"/>
      <c r="F100" s="540"/>
      <c r="G100" s="540"/>
      <c r="H100" s="540"/>
      <c r="I100" s="540"/>
      <c r="J100" s="540"/>
      <c r="K100" s="540"/>
      <c r="L100" s="540"/>
      <c r="M100" s="540"/>
      <c r="N100" s="540"/>
      <c r="O100" s="540"/>
      <c r="P100" s="540"/>
      <c r="Q100" s="540"/>
      <c r="R100" s="540"/>
      <c r="S100" s="540"/>
      <c r="T100" s="540"/>
      <c r="U100" s="540"/>
      <c r="V100" s="540"/>
      <c r="W100" s="540"/>
      <c r="X100" s="540"/>
      <c r="Y100" s="540"/>
      <c r="Z100" s="540"/>
    </row>
    <row r="101" ht="171.75" customHeight="1">
      <c r="A101" s="540"/>
      <c r="B101" s="540"/>
      <c r="C101" s="540"/>
      <c r="D101" s="540"/>
      <c r="E101" s="540"/>
      <c r="F101" s="540"/>
      <c r="G101" s="540"/>
      <c r="H101" s="540"/>
      <c r="I101" s="540"/>
      <c r="J101" s="540"/>
      <c r="K101" s="540"/>
      <c r="L101" s="540"/>
      <c r="M101" s="540"/>
      <c r="N101" s="540"/>
      <c r="O101" s="540"/>
      <c r="P101" s="540"/>
      <c r="Q101" s="540"/>
      <c r="R101" s="540"/>
      <c r="S101" s="540"/>
      <c r="T101" s="540"/>
      <c r="U101" s="540"/>
      <c r="V101" s="540"/>
      <c r="W101" s="540"/>
      <c r="X101" s="540"/>
      <c r="Y101" s="540"/>
      <c r="Z101" s="540"/>
    </row>
    <row r="102" ht="171.75" customHeight="1">
      <c r="A102" s="540"/>
      <c r="B102" s="540"/>
      <c r="C102" s="540"/>
      <c r="D102" s="540"/>
      <c r="E102" s="540"/>
      <c r="F102" s="540"/>
      <c r="G102" s="540"/>
      <c r="H102" s="540"/>
      <c r="I102" s="540"/>
      <c r="J102" s="540"/>
      <c r="K102" s="540"/>
      <c r="L102" s="540"/>
      <c r="M102" s="540"/>
      <c r="N102" s="540"/>
      <c r="O102" s="540"/>
      <c r="P102" s="540"/>
      <c r="Q102" s="540"/>
      <c r="R102" s="540"/>
      <c r="S102" s="540"/>
      <c r="T102" s="540"/>
      <c r="U102" s="540"/>
      <c r="V102" s="540"/>
      <c r="W102" s="540"/>
      <c r="X102" s="540"/>
      <c r="Y102" s="540"/>
      <c r="Z102" s="540"/>
    </row>
    <row r="103" ht="171.75" customHeight="1">
      <c r="A103" s="540"/>
      <c r="B103" s="540"/>
      <c r="C103" s="540"/>
      <c r="D103" s="540"/>
      <c r="E103" s="540"/>
      <c r="F103" s="540"/>
      <c r="G103" s="540"/>
      <c r="H103" s="540"/>
      <c r="I103" s="540"/>
      <c r="J103" s="540"/>
      <c r="K103" s="540"/>
      <c r="L103" s="540"/>
      <c r="M103" s="540"/>
      <c r="N103" s="540"/>
      <c r="O103" s="540"/>
      <c r="P103" s="540"/>
      <c r="Q103" s="540"/>
      <c r="R103" s="540"/>
      <c r="S103" s="540"/>
      <c r="T103" s="540"/>
      <c r="U103" s="540"/>
      <c r="V103" s="540"/>
      <c r="W103" s="540"/>
      <c r="X103" s="540"/>
      <c r="Y103" s="540"/>
      <c r="Z103" s="540"/>
    </row>
    <row r="104" ht="171.75" customHeight="1">
      <c r="A104" s="540"/>
      <c r="B104" s="540"/>
      <c r="C104" s="540"/>
      <c r="D104" s="540"/>
      <c r="E104" s="540"/>
      <c r="F104" s="540"/>
      <c r="G104" s="540"/>
      <c r="H104" s="540"/>
      <c r="I104" s="540"/>
      <c r="J104" s="540"/>
      <c r="K104" s="540"/>
      <c r="L104" s="540"/>
      <c r="M104" s="540"/>
      <c r="N104" s="540"/>
      <c r="O104" s="540"/>
      <c r="P104" s="540"/>
      <c r="Q104" s="540"/>
      <c r="R104" s="540"/>
      <c r="S104" s="540"/>
      <c r="T104" s="540"/>
      <c r="U104" s="540"/>
      <c r="V104" s="540"/>
      <c r="W104" s="540"/>
      <c r="X104" s="540"/>
      <c r="Y104" s="540"/>
      <c r="Z104" s="540"/>
    </row>
    <row r="105" ht="171.75" customHeight="1">
      <c r="A105" s="540"/>
      <c r="B105" s="540"/>
      <c r="C105" s="540"/>
      <c r="D105" s="540"/>
      <c r="E105" s="540"/>
      <c r="F105" s="540"/>
      <c r="G105" s="540"/>
      <c r="H105" s="540"/>
      <c r="I105" s="540"/>
      <c r="J105" s="540"/>
      <c r="K105" s="540"/>
      <c r="L105" s="540"/>
      <c r="M105" s="540"/>
      <c r="N105" s="540"/>
      <c r="O105" s="540"/>
      <c r="P105" s="540"/>
      <c r="Q105" s="540"/>
      <c r="R105" s="540"/>
      <c r="S105" s="540"/>
      <c r="T105" s="540"/>
      <c r="U105" s="540"/>
      <c r="V105" s="540"/>
      <c r="W105" s="540"/>
      <c r="X105" s="540"/>
      <c r="Y105" s="540"/>
      <c r="Z105" s="540"/>
    </row>
    <row r="106" ht="171.75" customHeight="1">
      <c r="A106" s="540"/>
      <c r="B106" s="540"/>
      <c r="C106" s="540"/>
      <c r="D106" s="540"/>
      <c r="E106" s="540"/>
      <c r="F106" s="540"/>
      <c r="G106" s="540"/>
      <c r="H106" s="540"/>
      <c r="I106" s="540"/>
      <c r="J106" s="540"/>
      <c r="K106" s="540"/>
      <c r="L106" s="540"/>
      <c r="M106" s="540"/>
      <c r="N106" s="540"/>
      <c r="O106" s="540"/>
      <c r="P106" s="540"/>
      <c r="Q106" s="540"/>
      <c r="R106" s="540"/>
      <c r="S106" s="540"/>
      <c r="T106" s="540"/>
      <c r="U106" s="540"/>
      <c r="V106" s="540"/>
      <c r="W106" s="540"/>
      <c r="X106" s="540"/>
      <c r="Y106" s="540"/>
      <c r="Z106" s="540"/>
    </row>
    <row r="107" ht="171.75" customHeight="1">
      <c r="A107" s="540"/>
      <c r="B107" s="540"/>
      <c r="C107" s="540"/>
      <c r="D107" s="540"/>
      <c r="E107" s="540"/>
      <c r="F107" s="540"/>
      <c r="G107" s="540"/>
      <c r="H107" s="540"/>
      <c r="I107" s="540"/>
      <c r="J107" s="540"/>
      <c r="K107" s="540"/>
      <c r="L107" s="540"/>
      <c r="M107" s="540"/>
      <c r="N107" s="540"/>
      <c r="O107" s="540"/>
      <c r="P107" s="540"/>
      <c r="Q107" s="540"/>
      <c r="R107" s="540"/>
      <c r="S107" s="540"/>
      <c r="T107" s="540"/>
      <c r="U107" s="540"/>
      <c r="V107" s="540"/>
      <c r="W107" s="540"/>
      <c r="X107" s="540"/>
      <c r="Y107" s="540"/>
      <c r="Z107" s="540"/>
    </row>
    <row r="108" ht="171.75" customHeight="1">
      <c r="A108" s="540"/>
      <c r="B108" s="540"/>
      <c r="C108" s="540"/>
      <c r="D108" s="540"/>
      <c r="E108" s="540"/>
      <c r="F108" s="540"/>
      <c r="G108" s="540"/>
      <c r="H108" s="540"/>
      <c r="I108" s="540"/>
      <c r="J108" s="540"/>
      <c r="K108" s="540"/>
      <c r="L108" s="540"/>
      <c r="M108" s="540"/>
      <c r="N108" s="540"/>
      <c r="O108" s="540"/>
      <c r="P108" s="540"/>
      <c r="Q108" s="540"/>
      <c r="R108" s="540"/>
      <c r="S108" s="540"/>
      <c r="T108" s="540"/>
      <c r="U108" s="540"/>
      <c r="V108" s="540"/>
      <c r="W108" s="540"/>
      <c r="X108" s="540"/>
      <c r="Y108" s="540"/>
      <c r="Z108" s="540"/>
    </row>
    <row r="109" ht="171.75" customHeight="1">
      <c r="A109" s="540"/>
      <c r="B109" s="540"/>
      <c r="C109" s="540"/>
      <c r="D109" s="540"/>
      <c r="E109" s="540"/>
      <c r="F109" s="540"/>
      <c r="G109" s="540"/>
      <c r="H109" s="540"/>
      <c r="I109" s="540"/>
      <c r="J109" s="540"/>
      <c r="K109" s="540"/>
      <c r="L109" s="540"/>
      <c r="M109" s="540"/>
      <c r="N109" s="540"/>
      <c r="O109" s="540"/>
      <c r="P109" s="540"/>
      <c r="Q109" s="540"/>
      <c r="R109" s="540"/>
      <c r="S109" s="540"/>
      <c r="T109" s="540"/>
      <c r="U109" s="540"/>
      <c r="V109" s="540"/>
      <c r="W109" s="540"/>
      <c r="X109" s="540"/>
      <c r="Y109" s="540"/>
      <c r="Z109" s="540"/>
    </row>
    <row r="110" ht="171.75" customHeight="1">
      <c r="A110" s="540"/>
      <c r="B110" s="540"/>
      <c r="C110" s="540"/>
      <c r="D110" s="540"/>
      <c r="E110" s="540"/>
      <c r="F110" s="540"/>
      <c r="G110" s="540"/>
      <c r="H110" s="540"/>
      <c r="I110" s="540"/>
      <c r="J110" s="540"/>
      <c r="K110" s="540"/>
      <c r="L110" s="540"/>
      <c r="M110" s="540"/>
      <c r="N110" s="540"/>
      <c r="O110" s="540"/>
      <c r="P110" s="540"/>
      <c r="Q110" s="540"/>
      <c r="R110" s="540"/>
      <c r="S110" s="540"/>
      <c r="T110" s="540"/>
      <c r="U110" s="540"/>
      <c r="V110" s="540"/>
      <c r="W110" s="540"/>
      <c r="X110" s="540"/>
      <c r="Y110" s="540"/>
      <c r="Z110" s="540"/>
    </row>
    <row r="111" ht="171.75" customHeight="1">
      <c r="A111" s="540"/>
      <c r="B111" s="540"/>
      <c r="C111" s="540"/>
      <c r="D111" s="540"/>
      <c r="E111" s="540"/>
      <c r="F111" s="540"/>
      <c r="G111" s="540"/>
      <c r="H111" s="540"/>
      <c r="I111" s="540"/>
      <c r="J111" s="540"/>
      <c r="K111" s="540"/>
      <c r="L111" s="540"/>
      <c r="M111" s="540"/>
      <c r="N111" s="540"/>
      <c r="O111" s="540"/>
      <c r="P111" s="540"/>
      <c r="Q111" s="540"/>
      <c r="R111" s="540"/>
      <c r="S111" s="540"/>
      <c r="T111" s="540"/>
      <c r="U111" s="540"/>
      <c r="V111" s="540"/>
      <c r="W111" s="540"/>
      <c r="X111" s="540"/>
      <c r="Y111" s="540"/>
      <c r="Z111" s="540"/>
    </row>
    <row r="112" ht="171.75" customHeight="1">
      <c r="A112" s="540"/>
      <c r="B112" s="540"/>
      <c r="C112" s="540"/>
      <c r="D112" s="540"/>
      <c r="E112" s="540"/>
      <c r="F112" s="540"/>
      <c r="G112" s="540"/>
      <c r="H112" s="540"/>
      <c r="I112" s="540"/>
      <c r="J112" s="540"/>
      <c r="K112" s="540"/>
      <c r="L112" s="540"/>
      <c r="M112" s="540"/>
      <c r="N112" s="540"/>
      <c r="O112" s="540"/>
      <c r="P112" s="540"/>
      <c r="Q112" s="540"/>
      <c r="R112" s="540"/>
      <c r="S112" s="540"/>
      <c r="T112" s="540"/>
      <c r="U112" s="540"/>
      <c r="V112" s="540"/>
      <c r="W112" s="540"/>
      <c r="X112" s="540"/>
      <c r="Y112" s="540"/>
      <c r="Z112" s="540"/>
    </row>
    <row r="113" ht="171.75" customHeight="1">
      <c r="A113" s="540"/>
      <c r="B113" s="540"/>
      <c r="C113" s="540"/>
      <c r="D113" s="540"/>
      <c r="E113" s="540"/>
      <c r="F113" s="540"/>
      <c r="G113" s="540"/>
      <c r="H113" s="540"/>
      <c r="I113" s="540"/>
      <c r="J113" s="540"/>
      <c r="K113" s="540"/>
      <c r="L113" s="540"/>
      <c r="M113" s="540"/>
      <c r="N113" s="540"/>
      <c r="O113" s="540"/>
      <c r="P113" s="540"/>
      <c r="Q113" s="540"/>
      <c r="R113" s="540"/>
      <c r="S113" s="540"/>
      <c r="T113" s="540"/>
      <c r="U113" s="540"/>
      <c r="V113" s="540"/>
      <c r="W113" s="540"/>
      <c r="X113" s="540"/>
      <c r="Y113" s="540"/>
      <c r="Z113" s="540"/>
    </row>
    <row r="114" ht="171.75" customHeight="1">
      <c r="A114" s="540"/>
      <c r="B114" s="540"/>
      <c r="C114" s="540"/>
      <c r="D114" s="540"/>
      <c r="E114" s="540"/>
      <c r="F114" s="540"/>
      <c r="G114" s="540"/>
      <c r="H114" s="540"/>
      <c r="I114" s="540"/>
      <c r="J114" s="540"/>
      <c r="K114" s="540"/>
      <c r="L114" s="540"/>
      <c r="M114" s="540"/>
      <c r="N114" s="540"/>
      <c r="O114" s="540"/>
      <c r="P114" s="540"/>
      <c r="Q114" s="540"/>
      <c r="R114" s="540"/>
      <c r="S114" s="540"/>
      <c r="T114" s="540"/>
      <c r="U114" s="540"/>
      <c r="V114" s="540"/>
      <c r="W114" s="540"/>
      <c r="X114" s="540"/>
      <c r="Y114" s="540"/>
      <c r="Z114" s="540"/>
    </row>
    <row r="115" ht="171.75" customHeight="1">
      <c r="A115" s="540"/>
      <c r="B115" s="540"/>
      <c r="C115" s="540"/>
      <c r="D115" s="540"/>
      <c r="E115" s="540"/>
      <c r="F115" s="540"/>
      <c r="G115" s="540"/>
      <c r="H115" s="540"/>
      <c r="I115" s="540"/>
      <c r="J115" s="540"/>
      <c r="K115" s="540"/>
      <c r="L115" s="540"/>
      <c r="M115" s="540"/>
      <c r="N115" s="540"/>
      <c r="O115" s="540"/>
      <c r="P115" s="540"/>
      <c r="Q115" s="540"/>
      <c r="R115" s="540"/>
      <c r="S115" s="540"/>
      <c r="T115" s="540"/>
      <c r="U115" s="540"/>
      <c r="V115" s="540"/>
      <c r="W115" s="540"/>
      <c r="X115" s="540"/>
      <c r="Y115" s="540"/>
      <c r="Z115" s="540"/>
    </row>
    <row r="116" ht="171.75" customHeight="1">
      <c r="A116" s="540"/>
      <c r="B116" s="540"/>
      <c r="C116" s="540"/>
      <c r="D116" s="540"/>
      <c r="E116" s="540"/>
      <c r="F116" s="540"/>
      <c r="G116" s="540"/>
      <c r="H116" s="540"/>
      <c r="I116" s="540"/>
      <c r="J116" s="540"/>
      <c r="K116" s="540"/>
      <c r="L116" s="540"/>
      <c r="M116" s="540"/>
      <c r="N116" s="540"/>
      <c r="O116" s="540"/>
      <c r="P116" s="540"/>
      <c r="Q116" s="540"/>
      <c r="R116" s="540"/>
      <c r="S116" s="540"/>
      <c r="T116" s="540"/>
      <c r="U116" s="540"/>
      <c r="V116" s="540"/>
      <c r="W116" s="540"/>
      <c r="X116" s="540"/>
      <c r="Y116" s="540"/>
      <c r="Z116" s="540"/>
    </row>
    <row r="117" ht="171.75" customHeight="1">
      <c r="A117" s="540"/>
      <c r="B117" s="540"/>
      <c r="C117" s="540"/>
      <c r="D117" s="540"/>
      <c r="E117" s="540"/>
      <c r="F117" s="540"/>
      <c r="G117" s="540"/>
      <c r="H117" s="540"/>
      <c r="I117" s="540"/>
      <c r="J117" s="540"/>
      <c r="K117" s="540"/>
      <c r="L117" s="540"/>
      <c r="M117" s="540"/>
      <c r="N117" s="540"/>
      <c r="O117" s="540"/>
      <c r="P117" s="540"/>
      <c r="Q117" s="540"/>
      <c r="R117" s="540"/>
      <c r="S117" s="540"/>
      <c r="T117" s="540"/>
      <c r="U117" s="540"/>
      <c r="V117" s="540"/>
      <c r="W117" s="540"/>
      <c r="X117" s="540"/>
      <c r="Y117" s="540"/>
      <c r="Z117" s="540"/>
    </row>
    <row r="118" ht="171.75" customHeight="1">
      <c r="A118" s="540"/>
      <c r="B118" s="540"/>
      <c r="C118" s="540"/>
      <c r="D118" s="540"/>
      <c r="E118" s="540"/>
      <c r="F118" s="540"/>
      <c r="G118" s="540"/>
      <c r="H118" s="540"/>
      <c r="I118" s="540"/>
      <c r="J118" s="540"/>
      <c r="K118" s="540"/>
      <c r="L118" s="540"/>
      <c r="M118" s="540"/>
      <c r="N118" s="540"/>
      <c r="O118" s="540"/>
      <c r="P118" s="540"/>
      <c r="Q118" s="540"/>
      <c r="R118" s="540"/>
      <c r="S118" s="540"/>
      <c r="T118" s="540"/>
      <c r="U118" s="540"/>
      <c r="V118" s="540"/>
      <c r="W118" s="540"/>
      <c r="X118" s="540"/>
      <c r="Y118" s="540"/>
      <c r="Z118" s="540"/>
    </row>
    <row r="119" ht="171.75" customHeight="1">
      <c r="A119" s="540"/>
      <c r="B119" s="540"/>
      <c r="C119" s="540"/>
      <c r="D119" s="540"/>
      <c r="E119" s="540"/>
      <c r="F119" s="540"/>
      <c r="G119" s="540"/>
      <c r="H119" s="540"/>
      <c r="I119" s="540"/>
      <c r="J119" s="540"/>
      <c r="K119" s="540"/>
      <c r="L119" s="540"/>
      <c r="M119" s="540"/>
      <c r="N119" s="540"/>
      <c r="O119" s="540"/>
      <c r="P119" s="540"/>
      <c r="Q119" s="540"/>
      <c r="R119" s="540"/>
      <c r="S119" s="540"/>
      <c r="T119" s="540"/>
      <c r="U119" s="540"/>
      <c r="V119" s="540"/>
      <c r="W119" s="540"/>
      <c r="X119" s="540"/>
      <c r="Y119" s="540"/>
      <c r="Z119" s="540"/>
    </row>
    <row r="120" ht="171.75" customHeight="1">
      <c r="A120" s="540"/>
      <c r="B120" s="540"/>
      <c r="C120" s="540"/>
      <c r="D120" s="540"/>
      <c r="E120" s="540"/>
      <c r="F120" s="540"/>
      <c r="G120" s="540"/>
      <c r="H120" s="540"/>
      <c r="I120" s="540"/>
      <c r="J120" s="540"/>
      <c r="K120" s="540"/>
      <c r="L120" s="540"/>
      <c r="M120" s="540"/>
      <c r="N120" s="540"/>
      <c r="O120" s="540"/>
      <c r="P120" s="540"/>
      <c r="Q120" s="540"/>
      <c r="R120" s="540"/>
      <c r="S120" s="540"/>
      <c r="T120" s="540"/>
      <c r="U120" s="540"/>
      <c r="V120" s="540"/>
      <c r="W120" s="540"/>
      <c r="X120" s="540"/>
      <c r="Y120" s="540"/>
      <c r="Z120" s="540"/>
    </row>
    <row r="121" ht="171.75" customHeight="1">
      <c r="A121" s="540"/>
      <c r="B121" s="540"/>
      <c r="C121" s="540"/>
      <c r="D121" s="540"/>
      <c r="E121" s="540"/>
      <c r="F121" s="540"/>
      <c r="G121" s="540"/>
      <c r="H121" s="540"/>
      <c r="I121" s="540"/>
      <c r="J121" s="540"/>
      <c r="K121" s="540"/>
      <c r="L121" s="540"/>
      <c r="M121" s="540"/>
      <c r="N121" s="540"/>
      <c r="O121" s="540"/>
      <c r="P121" s="540"/>
      <c r="Q121" s="540"/>
      <c r="R121" s="540"/>
      <c r="S121" s="540"/>
      <c r="T121" s="540"/>
      <c r="U121" s="540"/>
      <c r="V121" s="540"/>
      <c r="W121" s="540"/>
      <c r="X121" s="540"/>
      <c r="Y121" s="540"/>
      <c r="Z121" s="540"/>
    </row>
    <row r="122" ht="171.75" customHeight="1">
      <c r="A122" s="540"/>
      <c r="B122" s="540"/>
      <c r="C122" s="540"/>
      <c r="D122" s="540"/>
      <c r="E122" s="540"/>
      <c r="F122" s="540"/>
      <c r="G122" s="540"/>
      <c r="H122" s="540"/>
      <c r="I122" s="540"/>
      <c r="J122" s="540"/>
      <c r="K122" s="540"/>
      <c r="L122" s="540"/>
      <c r="M122" s="540"/>
      <c r="N122" s="540"/>
      <c r="O122" s="540"/>
      <c r="P122" s="540"/>
      <c r="Q122" s="540"/>
      <c r="R122" s="540"/>
      <c r="S122" s="540"/>
      <c r="T122" s="540"/>
      <c r="U122" s="540"/>
      <c r="V122" s="540"/>
      <c r="W122" s="540"/>
      <c r="X122" s="540"/>
      <c r="Y122" s="540"/>
      <c r="Z122" s="540"/>
    </row>
    <row r="123" ht="171.75" customHeight="1">
      <c r="A123" s="540"/>
      <c r="B123" s="540"/>
      <c r="C123" s="540"/>
      <c r="D123" s="540"/>
      <c r="E123" s="540"/>
      <c r="F123" s="540"/>
      <c r="G123" s="540"/>
      <c r="H123" s="540"/>
      <c r="I123" s="540"/>
      <c r="J123" s="540"/>
      <c r="K123" s="540"/>
      <c r="L123" s="540"/>
      <c r="M123" s="540"/>
      <c r="N123" s="540"/>
      <c r="O123" s="540"/>
      <c r="P123" s="540"/>
      <c r="Q123" s="540"/>
      <c r="R123" s="540"/>
      <c r="S123" s="540"/>
      <c r="T123" s="540"/>
      <c r="U123" s="540"/>
      <c r="V123" s="540"/>
      <c r="W123" s="540"/>
      <c r="X123" s="540"/>
      <c r="Y123" s="540"/>
      <c r="Z123" s="540"/>
    </row>
    <row r="124" ht="171.75" customHeight="1">
      <c r="A124" s="540"/>
      <c r="B124" s="540"/>
      <c r="C124" s="540"/>
      <c r="D124" s="540"/>
      <c r="E124" s="540"/>
      <c r="F124" s="540"/>
      <c r="G124" s="540"/>
      <c r="H124" s="540"/>
      <c r="I124" s="540"/>
      <c r="J124" s="540"/>
      <c r="K124" s="540"/>
      <c r="L124" s="540"/>
      <c r="M124" s="540"/>
      <c r="N124" s="540"/>
      <c r="O124" s="540"/>
      <c r="P124" s="540"/>
      <c r="Q124" s="540"/>
      <c r="R124" s="540"/>
      <c r="S124" s="540"/>
      <c r="T124" s="540"/>
      <c r="U124" s="540"/>
      <c r="V124" s="540"/>
      <c r="W124" s="540"/>
      <c r="X124" s="540"/>
      <c r="Y124" s="540"/>
      <c r="Z124" s="540"/>
    </row>
    <row r="125" ht="171.75" customHeight="1">
      <c r="A125" s="540"/>
      <c r="B125" s="540"/>
      <c r="C125" s="540"/>
      <c r="D125" s="540"/>
      <c r="E125" s="540"/>
      <c r="F125" s="540"/>
      <c r="G125" s="540"/>
      <c r="H125" s="540"/>
      <c r="I125" s="540"/>
      <c r="J125" s="540"/>
      <c r="K125" s="540"/>
      <c r="L125" s="540"/>
      <c r="M125" s="540"/>
      <c r="N125" s="540"/>
      <c r="O125" s="540"/>
      <c r="P125" s="540"/>
      <c r="Q125" s="540"/>
      <c r="R125" s="540"/>
      <c r="S125" s="540"/>
      <c r="T125" s="540"/>
      <c r="U125" s="540"/>
      <c r="V125" s="540"/>
      <c r="W125" s="540"/>
      <c r="X125" s="540"/>
      <c r="Y125" s="540"/>
      <c r="Z125" s="540"/>
    </row>
    <row r="126" ht="171.75" customHeight="1">
      <c r="A126" s="540"/>
      <c r="B126" s="540"/>
      <c r="C126" s="540"/>
      <c r="D126" s="540"/>
      <c r="E126" s="540"/>
      <c r="F126" s="540"/>
      <c r="G126" s="540"/>
      <c r="H126" s="540"/>
      <c r="I126" s="540"/>
      <c r="J126" s="540"/>
      <c r="K126" s="540"/>
      <c r="L126" s="540"/>
      <c r="M126" s="540"/>
      <c r="N126" s="540"/>
      <c r="O126" s="540"/>
      <c r="P126" s="540"/>
      <c r="Q126" s="540"/>
      <c r="R126" s="540"/>
      <c r="S126" s="540"/>
      <c r="T126" s="540"/>
      <c r="U126" s="540"/>
      <c r="V126" s="540"/>
      <c r="W126" s="540"/>
      <c r="X126" s="540"/>
      <c r="Y126" s="540"/>
      <c r="Z126" s="540"/>
    </row>
    <row r="127" ht="171.75" customHeight="1">
      <c r="A127" s="540"/>
      <c r="B127" s="540"/>
      <c r="C127" s="540"/>
      <c r="D127" s="540"/>
      <c r="E127" s="540"/>
      <c r="F127" s="540"/>
      <c r="G127" s="540"/>
      <c r="H127" s="540"/>
      <c r="I127" s="540"/>
      <c r="J127" s="540"/>
      <c r="K127" s="540"/>
      <c r="L127" s="540"/>
      <c r="M127" s="540"/>
      <c r="N127" s="540"/>
      <c r="O127" s="540"/>
      <c r="P127" s="540"/>
      <c r="Q127" s="540"/>
      <c r="R127" s="540"/>
      <c r="S127" s="540"/>
      <c r="T127" s="540"/>
      <c r="U127" s="540"/>
      <c r="V127" s="540"/>
      <c r="W127" s="540"/>
      <c r="X127" s="540"/>
      <c r="Y127" s="540"/>
      <c r="Z127" s="540"/>
    </row>
    <row r="128" ht="171.75" customHeight="1">
      <c r="A128" s="540"/>
      <c r="B128" s="540"/>
      <c r="C128" s="540"/>
      <c r="D128" s="540"/>
      <c r="E128" s="540"/>
      <c r="F128" s="540"/>
      <c r="G128" s="540"/>
      <c r="H128" s="540"/>
      <c r="I128" s="540"/>
      <c r="J128" s="540"/>
      <c r="K128" s="540"/>
      <c r="L128" s="540"/>
      <c r="M128" s="540"/>
      <c r="N128" s="540"/>
      <c r="O128" s="540"/>
      <c r="P128" s="540"/>
      <c r="Q128" s="540"/>
      <c r="R128" s="540"/>
      <c r="S128" s="540"/>
      <c r="T128" s="540"/>
      <c r="U128" s="540"/>
      <c r="V128" s="540"/>
      <c r="W128" s="540"/>
      <c r="X128" s="540"/>
      <c r="Y128" s="540"/>
      <c r="Z128" s="540"/>
    </row>
    <row r="129" ht="171.75" customHeight="1">
      <c r="A129" s="540"/>
      <c r="B129" s="540"/>
      <c r="C129" s="540"/>
      <c r="D129" s="540"/>
      <c r="E129" s="540"/>
      <c r="F129" s="540"/>
      <c r="G129" s="540"/>
      <c r="H129" s="540"/>
      <c r="I129" s="540"/>
      <c r="J129" s="540"/>
      <c r="K129" s="540"/>
      <c r="L129" s="540"/>
      <c r="M129" s="540"/>
      <c r="N129" s="540"/>
      <c r="O129" s="540"/>
      <c r="P129" s="540"/>
      <c r="Q129" s="540"/>
      <c r="R129" s="540"/>
      <c r="S129" s="540"/>
      <c r="T129" s="540"/>
      <c r="U129" s="540"/>
      <c r="V129" s="540"/>
      <c r="W129" s="540"/>
      <c r="X129" s="540"/>
      <c r="Y129" s="540"/>
      <c r="Z129" s="540"/>
    </row>
    <row r="130" ht="171.75" customHeight="1">
      <c r="A130" s="540"/>
      <c r="B130" s="540"/>
      <c r="C130" s="540"/>
      <c r="D130" s="540"/>
      <c r="E130" s="540"/>
      <c r="F130" s="540"/>
      <c r="G130" s="540"/>
      <c r="H130" s="540"/>
      <c r="I130" s="540"/>
      <c r="J130" s="540"/>
      <c r="K130" s="540"/>
      <c r="L130" s="540"/>
      <c r="M130" s="540"/>
      <c r="N130" s="540"/>
      <c r="O130" s="540"/>
      <c r="P130" s="540"/>
      <c r="Q130" s="540"/>
      <c r="R130" s="540"/>
      <c r="S130" s="540"/>
      <c r="T130" s="540"/>
      <c r="U130" s="540"/>
      <c r="V130" s="540"/>
      <c r="W130" s="540"/>
      <c r="X130" s="540"/>
      <c r="Y130" s="540"/>
      <c r="Z130" s="540"/>
    </row>
    <row r="131" ht="171.75" customHeight="1">
      <c r="A131" s="540"/>
      <c r="B131" s="540"/>
      <c r="C131" s="540"/>
      <c r="D131" s="540"/>
      <c r="E131" s="540"/>
      <c r="F131" s="540"/>
      <c r="G131" s="540"/>
      <c r="H131" s="540"/>
      <c r="I131" s="540"/>
      <c r="J131" s="540"/>
      <c r="K131" s="540"/>
      <c r="L131" s="540"/>
      <c r="M131" s="540"/>
      <c r="N131" s="540"/>
      <c r="O131" s="540"/>
      <c r="P131" s="540"/>
      <c r="Q131" s="540"/>
      <c r="R131" s="540"/>
      <c r="S131" s="540"/>
      <c r="T131" s="540"/>
      <c r="U131" s="540"/>
      <c r="V131" s="540"/>
      <c r="W131" s="540"/>
      <c r="X131" s="540"/>
      <c r="Y131" s="540"/>
      <c r="Z131" s="540"/>
    </row>
    <row r="132" ht="171.75" customHeight="1">
      <c r="A132" s="540"/>
      <c r="B132" s="540"/>
      <c r="C132" s="540"/>
      <c r="D132" s="540"/>
      <c r="E132" s="540"/>
      <c r="F132" s="540"/>
      <c r="G132" s="540"/>
      <c r="H132" s="540"/>
      <c r="I132" s="540"/>
      <c r="J132" s="540"/>
      <c r="K132" s="540"/>
      <c r="L132" s="540"/>
      <c r="M132" s="540"/>
      <c r="N132" s="540"/>
      <c r="O132" s="540"/>
      <c r="P132" s="540"/>
      <c r="Q132" s="540"/>
      <c r="R132" s="540"/>
      <c r="S132" s="540"/>
      <c r="T132" s="540"/>
      <c r="U132" s="540"/>
      <c r="V132" s="540"/>
      <c r="W132" s="540"/>
      <c r="X132" s="540"/>
      <c r="Y132" s="540"/>
      <c r="Z132" s="540"/>
    </row>
    <row r="133" ht="171.75" customHeight="1">
      <c r="A133" s="540"/>
      <c r="B133" s="540"/>
      <c r="C133" s="540"/>
      <c r="D133" s="540"/>
      <c r="E133" s="540"/>
      <c r="F133" s="540"/>
      <c r="G133" s="540"/>
      <c r="H133" s="540"/>
      <c r="I133" s="540"/>
      <c r="J133" s="540"/>
      <c r="K133" s="540"/>
      <c r="L133" s="540"/>
      <c r="M133" s="540"/>
      <c r="N133" s="540"/>
      <c r="O133" s="540"/>
      <c r="P133" s="540"/>
      <c r="Q133" s="540"/>
      <c r="R133" s="540"/>
      <c r="S133" s="540"/>
      <c r="T133" s="540"/>
      <c r="U133" s="540"/>
      <c r="V133" s="540"/>
      <c r="W133" s="540"/>
      <c r="X133" s="540"/>
      <c r="Y133" s="540"/>
      <c r="Z133" s="540"/>
    </row>
    <row r="134" ht="171.75" customHeight="1">
      <c r="A134" s="540"/>
      <c r="B134" s="540"/>
      <c r="C134" s="540"/>
      <c r="D134" s="540"/>
      <c r="E134" s="540"/>
      <c r="F134" s="540"/>
      <c r="G134" s="540"/>
      <c r="H134" s="540"/>
      <c r="I134" s="540"/>
      <c r="J134" s="540"/>
      <c r="K134" s="540"/>
      <c r="L134" s="540"/>
      <c r="M134" s="540"/>
      <c r="N134" s="540"/>
      <c r="O134" s="540"/>
      <c r="P134" s="540"/>
      <c r="Q134" s="540"/>
      <c r="R134" s="540"/>
      <c r="S134" s="540"/>
      <c r="T134" s="540"/>
      <c r="U134" s="540"/>
      <c r="V134" s="540"/>
      <c r="W134" s="540"/>
      <c r="X134" s="540"/>
      <c r="Y134" s="540"/>
      <c r="Z134" s="540"/>
    </row>
    <row r="135" ht="171.75" customHeight="1">
      <c r="A135" s="540"/>
      <c r="B135" s="540"/>
      <c r="C135" s="540"/>
      <c r="D135" s="540"/>
      <c r="E135" s="540"/>
      <c r="F135" s="540"/>
      <c r="G135" s="540"/>
      <c r="H135" s="540"/>
      <c r="I135" s="540"/>
      <c r="J135" s="540"/>
      <c r="K135" s="540"/>
      <c r="L135" s="540"/>
      <c r="M135" s="540"/>
      <c r="N135" s="540"/>
      <c r="O135" s="540"/>
      <c r="P135" s="540"/>
      <c r="Q135" s="540"/>
      <c r="R135" s="540"/>
      <c r="S135" s="540"/>
      <c r="T135" s="540"/>
      <c r="U135" s="540"/>
      <c r="V135" s="540"/>
      <c r="W135" s="540"/>
      <c r="X135" s="540"/>
      <c r="Y135" s="540"/>
      <c r="Z135" s="540"/>
    </row>
    <row r="136" ht="171.75" customHeight="1">
      <c r="A136" s="540"/>
      <c r="B136" s="540"/>
      <c r="C136" s="540"/>
      <c r="D136" s="540"/>
      <c r="E136" s="540"/>
      <c r="F136" s="540"/>
      <c r="G136" s="540"/>
      <c r="H136" s="540"/>
      <c r="I136" s="540"/>
      <c r="J136" s="540"/>
      <c r="K136" s="540"/>
      <c r="L136" s="540"/>
      <c r="M136" s="540"/>
      <c r="N136" s="540"/>
      <c r="O136" s="540"/>
      <c r="P136" s="540"/>
      <c r="Q136" s="540"/>
      <c r="R136" s="540"/>
      <c r="S136" s="540"/>
      <c r="T136" s="540"/>
      <c r="U136" s="540"/>
      <c r="V136" s="540"/>
      <c r="W136" s="540"/>
      <c r="X136" s="540"/>
      <c r="Y136" s="540"/>
      <c r="Z136" s="540"/>
    </row>
    <row r="137" ht="171.75" customHeight="1">
      <c r="A137" s="540"/>
      <c r="B137" s="540"/>
      <c r="C137" s="540"/>
      <c r="D137" s="540"/>
      <c r="E137" s="540"/>
      <c r="F137" s="540"/>
      <c r="G137" s="540"/>
      <c r="H137" s="540"/>
      <c r="I137" s="540"/>
      <c r="J137" s="540"/>
      <c r="K137" s="540"/>
      <c r="L137" s="540"/>
      <c r="M137" s="540"/>
      <c r="N137" s="540"/>
      <c r="O137" s="540"/>
      <c r="P137" s="540"/>
      <c r="Q137" s="540"/>
      <c r="R137" s="540"/>
      <c r="S137" s="540"/>
      <c r="T137" s="540"/>
      <c r="U137" s="540"/>
      <c r="V137" s="540"/>
      <c r="W137" s="540"/>
      <c r="X137" s="540"/>
      <c r="Y137" s="540"/>
      <c r="Z137" s="540"/>
    </row>
    <row r="138" ht="171.75" customHeight="1">
      <c r="A138" s="540"/>
      <c r="B138" s="540"/>
      <c r="C138" s="540"/>
      <c r="D138" s="540"/>
      <c r="E138" s="540"/>
      <c r="F138" s="540"/>
      <c r="G138" s="540"/>
      <c r="H138" s="540"/>
      <c r="I138" s="540"/>
      <c r="J138" s="540"/>
      <c r="K138" s="540"/>
      <c r="L138" s="540"/>
      <c r="M138" s="540"/>
      <c r="N138" s="540"/>
      <c r="O138" s="540"/>
      <c r="P138" s="540"/>
      <c r="Q138" s="540"/>
      <c r="R138" s="540"/>
      <c r="S138" s="540"/>
      <c r="T138" s="540"/>
      <c r="U138" s="540"/>
      <c r="V138" s="540"/>
      <c r="W138" s="540"/>
      <c r="X138" s="540"/>
      <c r="Y138" s="540"/>
      <c r="Z138" s="540"/>
    </row>
    <row r="139" ht="171.75" customHeight="1">
      <c r="A139" s="540"/>
      <c r="B139" s="540"/>
      <c r="C139" s="540"/>
      <c r="D139" s="540"/>
      <c r="E139" s="540"/>
      <c r="F139" s="540"/>
      <c r="G139" s="540"/>
      <c r="H139" s="540"/>
      <c r="I139" s="540"/>
      <c r="J139" s="540"/>
      <c r="K139" s="540"/>
      <c r="L139" s="540"/>
      <c r="M139" s="540"/>
      <c r="N139" s="540"/>
      <c r="O139" s="540"/>
      <c r="P139" s="540"/>
      <c r="Q139" s="540"/>
      <c r="R139" s="540"/>
      <c r="S139" s="540"/>
      <c r="T139" s="540"/>
      <c r="U139" s="540"/>
      <c r="V139" s="540"/>
      <c r="W139" s="540"/>
      <c r="X139" s="540"/>
      <c r="Y139" s="540"/>
      <c r="Z139" s="540"/>
    </row>
    <row r="140" ht="171.75" customHeight="1">
      <c r="A140" s="540"/>
      <c r="B140" s="540"/>
      <c r="C140" s="540"/>
      <c r="D140" s="540"/>
      <c r="E140" s="540"/>
      <c r="F140" s="540"/>
      <c r="G140" s="540"/>
      <c r="H140" s="540"/>
      <c r="I140" s="540"/>
      <c r="J140" s="540"/>
      <c r="K140" s="540"/>
      <c r="L140" s="540"/>
      <c r="M140" s="540"/>
      <c r="N140" s="540"/>
      <c r="O140" s="540"/>
      <c r="P140" s="540"/>
      <c r="Q140" s="540"/>
      <c r="R140" s="540"/>
      <c r="S140" s="540"/>
      <c r="T140" s="540"/>
      <c r="U140" s="540"/>
      <c r="V140" s="540"/>
      <c r="W140" s="540"/>
      <c r="X140" s="540"/>
      <c r="Y140" s="540"/>
      <c r="Z140" s="540"/>
    </row>
    <row r="141" ht="171.75" customHeight="1">
      <c r="A141" s="540"/>
      <c r="B141" s="540"/>
      <c r="C141" s="540"/>
      <c r="D141" s="540"/>
      <c r="E141" s="540"/>
      <c r="F141" s="540"/>
      <c r="G141" s="540"/>
      <c r="H141" s="540"/>
      <c r="I141" s="540"/>
      <c r="J141" s="540"/>
      <c r="K141" s="540"/>
      <c r="L141" s="540"/>
      <c r="M141" s="540"/>
      <c r="N141" s="540"/>
      <c r="O141" s="540"/>
      <c r="P141" s="540"/>
      <c r="Q141" s="540"/>
      <c r="R141" s="540"/>
      <c r="S141" s="540"/>
      <c r="T141" s="540"/>
      <c r="U141" s="540"/>
      <c r="V141" s="540"/>
      <c r="W141" s="540"/>
      <c r="X141" s="540"/>
      <c r="Y141" s="540"/>
      <c r="Z141" s="540"/>
    </row>
    <row r="142" ht="171.75" customHeight="1">
      <c r="A142" s="540"/>
      <c r="B142" s="540"/>
      <c r="C142" s="540"/>
      <c r="D142" s="540"/>
      <c r="E142" s="540"/>
      <c r="F142" s="540"/>
      <c r="G142" s="540"/>
      <c r="H142" s="540"/>
      <c r="I142" s="540"/>
      <c r="J142" s="540"/>
      <c r="K142" s="540"/>
      <c r="L142" s="540"/>
      <c r="M142" s="540"/>
      <c r="N142" s="540"/>
      <c r="O142" s="540"/>
      <c r="P142" s="540"/>
      <c r="Q142" s="540"/>
      <c r="R142" s="540"/>
      <c r="S142" s="540"/>
      <c r="T142" s="540"/>
      <c r="U142" s="540"/>
      <c r="V142" s="540"/>
      <c r="W142" s="540"/>
      <c r="X142" s="540"/>
      <c r="Y142" s="540"/>
      <c r="Z142" s="540"/>
    </row>
    <row r="143" ht="171.75" customHeight="1">
      <c r="A143" s="540"/>
      <c r="B143" s="540"/>
      <c r="C143" s="540"/>
      <c r="D143" s="540"/>
      <c r="E143" s="540"/>
      <c r="F143" s="540"/>
      <c r="G143" s="540"/>
      <c r="H143" s="540"/>
      <c r="I143" s="540"/>
      <c r="J143" s="540"/>
      <c r="K143" s="540"/>
      <c r="L143" s="540"/>
      <c r="M143" s="540"/>
      <c r="N143" s="540"/>
      <c r="O143" s="540"/>
      <c r="P143" s="540"/>
      <c r="Q143" s="540"/>
      <c r="R143" s="540"/>
      <c r="S143" s="540"/>
      <c r="T143" s="540"/>
      <c r="U143" s="540"/>
      <c r="V143" s="540"/>
      <c r="W143" s="540"/>
      <c r="X143" s="540"/>
      <c r="Y143" s="540"/>
      <c r="Z143" s="540"/>
    </row>
    <row r="144" ht="171.75" customHeight="1">
      <c r="A144" s="540"/>
      <c r="B144" s="540"/>
      <c r="C144" s="540"/>
      <c r="D144" s="540"/>
      <c r="E144" s="540"/>
      <c r="F144" s="540"/>
      <c r="G144" s="540"/>
      <c r="H144" s="540"/>
      <c r="I144" s="540"/>
      <c r="J144" s="540"/>
      <c r="K144" s="540"/>
      <c r="L144" s="540"/>
      <c r="M144" s="540"/>
      <c r="N144" s="540"/>
      <c r="O144" s="540"/>
      <c r="P144" s="540"/>
      <c r="Q144" s="540"/>
      <c r="R144" s="540"/>
      <c r="S144" s="540"/>
      <c r="T144" s="540"/>
      <c r="U144" s="540"/>
      <c r="V144" s="540"/>
      <c r="W144" s="540"/>
      <c r="X144" s="540"/>
      <c r="Y144" s="540"/>
      <c r="Z144" s="540"/>
    </row>
    <row r="145" ht="171.75" customHeight="1">
      <c r="A145" s="540"/>
      <c r="B145" s="540"/>
      <c r="C145" s="540"/>
      <c r="D145" s="540"/>
      <c r="E145" s="540"/>
      <c r="F145" s="540"/>
      <c r="G145" s="540"/>
      <c r="H145" s="540"/>
      <c r="I145" s="540"/>
      <c r="J145" s="540"/>
      <c r="K145" s="540"/>
      <c r="L145" s="540"/>
      <c r="M145" s="540"/>
      <c r="N145" s="540"/>
      <c r="O145" s="540"/>
      <c r="P145" s="540"/>
      <c r="Q145" s="540"/>
      <c r="R145" s="540"/>
      <c r="S145" s="540"/>
      <c r="T145" s="540"/>
      <c r="U145" s="540"/>
      <c r="V145" s="540"/>
      <c r="W145" s="540"/>
      <c r="X145" s="540"/>
      <c r="Y145" s="540"/>
      <c r="Z145" s="540"/>
    </row>
    <row r="146" ht="171.75" customHeight="1">
      <c r="A146" s="540"/>
      <c r="B146" s="540"/>
      <c r="C146" s="540"/>
      <c r="D146" s="540"/>
      <c r="E146" s="540"/>
      <c r="F146" s="540"/>
      <c r="G146" s="540"/>
      <c r="H146" s="540"/>
      <c r="I146" s="540"/>
      <c r="J146" s="540"/>
      <c r="K146" s="540"/>
      <c r="L146" s="540"/>
      <c r="M146" s="540"/>
      <c r="N146" s="540"/>
      <c r="O146" s="540"/>
      <c r="P146" s="540"/>
      <c r="Q146" s="540"/>
      <c r="R146" s="540"/>
      <c r="S146" s="540"/>
      <c r="T146" s="540"/>
      <c r="U146" s="540"/>
      <c r="V146" s="540"/>
      <c r="W146" s="540"/>
      <c r="X146" s="540"/>
      <c r="Y146" s="540"/>
      <c r="Z146" s="540"/>
    </row>
    <row r="147" ht="171.75" customHeight="1">
      <c r="A147" s="540"/>
      <c r="B147" s="540"/>
      <c r="C147" s="540"/>
      <c r="D147" s="540"/>
      <c r="E147" s="540"/>
      <c r="F147" s="540"/>
      <c r="G147" s="540"/>
      <c r="H147" s="540"/>
      <c r="I147" s="540"/>
      <c r="J147" s="540"/>
      <c r="K147" s="540"/>
      <c r="L147" s="540"/>
      <c r="M147" s="540"/>
      <c r="N147" s="540"/>
      <c r="O147" s="540"/>
      <c r="P147" s="540"/>
      <c r="Q147" s="540"/>
      <c r="R147" s="540"/>
      <c r="S147" s="540"/>
      <c r="T147" s="540"/>
      <c r="U147" s="540"/>
      <c r="V147" s="540"/>
      <c r="W147" s="540"/>
      <c r="X147" s="540"/>
      <c r="Y147" s="540"/>
      <c r="Z147" s="540"/>
    </row>
    <row r="148" ht="171.75" customHeight="1">
      <c r="A148" s="540"/>
      <c r="B148" s="540"/>
      <c r="C148" s="540"/>
      <c r="D148" s="540"/>
      <c r="E148" s="540"/>
      <c r="F148" s="540"/>
      <c r="G148" s="540"/>
      <c r="H148" s="540"/>
      <c r="I148" s="540"/>
      <c r="J148" s="540"/>
      <c r="K148" s="540"/>
      <c r="L148" s="540"/>
      <c r="M148" s="540"/>
      <c r="N148" s="540"/>
      <c r="O148" s="540"/>
      <c r="P148" s="540"/>
      <c r="Q148" s="540"/>
      <c r="R148" s="540"/>
      <c r="S148" s="540"/>
      <c r="T148" s="540"/>
      <c r="U148" s="540"/>
      <c r="V148" s="540"/>
      <c r="W148" s="540"/>
      <c r="X148" s="540"/>
      <c r="Y148" s="540"/>
      <c r="Z148" s="540"/>
    </row>
    <row r="149" ht="171.75" customHeight="1">
      <c r="A149" s="540"/>
      <c r="B149" s="540"/>
      <c r="C149" s="540"/>
      <c r="D149" s="540"/>
      <c r="E149" s="540"/>
      <c r="F149" s="540"/>
      <c r="G149" s="540"/>
      <c r="H149" s="540"/>
      <c r="I149" s="540"/>
      <c r="J149" s="540"/>
      <c r="K149" s="540"/>
      <c r="L149" s="540"/>
      <c r="M149" s="540"/>
      <c r="N149" s="540"/>
      <c r="O149" s="540"/>
      <c r="P149" s="540"/>
      <c r="Q149" s="540"/>
      <c r="R149" s="540"/>
      <c r="S149" s="540"/>
      <c r="T149" s="540"/>
      <c r="U149" s="540"/>
      <c r="V149" s="540"/>
      <c r="W149" s="540"/>
      <c r="X149" s="540"/>
      <c r="Y149" s="540"/>
      <c r="Z149" s="540"/>
    </row>
    <row r="150" ht="171.75" customHeight="1">
      <c r="A150" s="540"/>
      <c r="B150" s="540"/>
      <c r="C150" s="540"/>
      <c r="D150" s="540"/>
      <c r="E150" s="540"/>
      <c r="F150" s="540"/>
      <c r="G150" s="540"/>
      <c r="H150" s="540"/>
      <c r="I150" s="540"/>
      <c r="J150" s="540"/>
      <c r="K150" s="540"/>
      <c r="L150" s="540"/>
      <c r="M150" s="540"/>
      <c r="N150" s="540"/>
      <c r="O150" s="540"/>
      <c r="P150" s="540"/>
      <c r="Q150" s="540"/>
      <c r="R150" s="540"/>
      <c r="S150" s="540"/>
      <c r="T150" s="540"/>
      <c r="U150" s="540"/>
      <c r="V150" s="540"/>
      <c r="W150" s="540"/>
      <c r="X150" s="540"/>
      <c r="Y150" s="540"/>
      <c r="Z150" s="540"/>
    </row>
    <row r="151" ht="171.75" customHeight="1">
      <c r="A151" s="540"/>
      <c r="B151" s="540"/>
      <c r="C151" s="540"/>
      <c r="D151" s="540"/>
      <c r="E151" s="540"/>
      <c r="F151" s="540"/>
      <c r="G151" s="540"/>
      <c r="H151" s="540"/>
      <c r="I151" s="540"/>
      <c r="J151" s="540"/>
      <c r="K151" s="540"/>
      <c r="L151" s="540"/>
      <c r="M151" s="540"/>
      <c r="N151" s="540"/>
      <c r="O151" s="540"/>
      <c r="P151" s="540"/>
      <c r="Q151" s="540"/>
      <c r="R151" s="540"/>
      <c r="S151" s="540"/>
      <c r="T151" s="540"/>
      <c r="U151" s="540"/>
      <c r="V151" s="540"/>
      <c r="W151" s="540"/>
      <c r="X151" s="540"/>
      <c r="Y151" s="540"/>
      <c r="Z151" s="540"/>
    </row>
    <row r="152" ht="171.75" customHeight="1">
      <c r="A152" s="540"/>
      <c r="B152" s="540"/>
      <c r="C152" s="540"/>
      <c r="D152" s="540"/>
      <c r="E152" s="540"/>
      <c r="F152" s="540"/>
      <c r="G152" s="540"/>
      <c r="H152" s="540"/>
      <c r="I152" s="540"/>
      <c r="J152" s="540"/>
      <c r="K152" s="540"/>
      <c r="L152" s="540"/>
      <c r="M152" s="540"/>
      <c r="N152" s="540"/>
      <c r="O152" s="540"/>
      <c r="P152" s="540"/>
      <c r="Q152" s="540"/>
      <c r="R152" s="540"/>
      <c r="S152" s="540"/>
      <c r="T152" s="540"/>
      <c r="U152" s="540"/>
      <c r="V152" s="540"/>
      <c r="W152" s="540"/>
      <c r="X152" s="540"/>
      <c r="Y152" s="540"/>
      <c r="Z152" s="540"/>
    </row>
    <row r="153" ht="171.75" customHeight="1">
      <c r="A153" s="540"/>
      <c r="B153" s="540"/>
      <c r="C153" s="540"/>
      <c r="D153" s="540"/>
      <c r="E153" s="540"/>
      <c r="F153" s="540"/>
      <c r="G153" s="540"/>
      <c r="H153" s="540"/>
      <c r="I153" s="540"/>
      <c r="J153" s="540"/>
      <c r="K153" s="540"/>
      <c r="L153" s="540"/>
      <c r="M153" s="540"/>
      <c r="N153" s="540"/>
      <c r="O153" s="540"/>
      <c r="P153" s="540"/>
      <c r="Q153" s="540"/>
      <c r="R153" s="540"/>
      <c r="S153" s="540"/>
      <c r="T153" s="540"/>
      <c r="U153" s="540"/>
      <c r="V153" s="540"/>
      <c r="W153" s="540"/>
      <c r="X153" s="540"/>
      <c r="Y153" s="540"/>
      <c r="Z153" s="540"/>
    </row>
    <row r="154" ht="171.75" customHeight="1">
      <c r="A154" s="540"/>
      <c r="B154" s="540"/>
      <c r="C154" s="540"/>
      <c r="D154" s="540"/>
      <c r="E154" s="540"/>
      <c r="F154" s="540"/>
      <c r="G154" s="540"/>
      <c r="H154" s="540"/>
      <c r="I154" s="540"/>
      <c r="J154" s="540"/>
      <c r="K154" s="540"/>
      <c r="L154" s="540"/>
      <c r="M154" s="540"/>
      <c r="N154" s="540"/>
      <c r="O154" s="540"/>
      <c r="P154" s="540"/>
      <c r="Q154" s="540"/>
      <c r="R154" s="540"/>
      <c r="S154" s="540"/>
      <c r="T154" s="540"/>
      <c r="U154" s="540"/>
      <c r="V154" s="540"/>
      <c r="W154" s="540"/>
      <c r="X154" s="540"/>
      <c r="Y154" s="540"/>
      <c r="Z154" s="540"/>
    </row>
    <row r="155" ht="171.75" customHeight="1">
      <c r="A155" s="540"/>
      <c r="B155" s="540"/>
      <c r="C155" s="540"/>
      <c r="D155" s="540"/>
      <c r="E155" s="540"/>
      <c r="F155" s="540"/>
      <c r="G155" s="540"/>
      <c r="H155" s="540"/>
      <c r="I155" s="540"/>
      <c r="J155" s="540"/>
      <c r="K155" s="540"/>
      <c r="L155" s="540"/>
      <c r="M155" s="540"/>
      <c r="N155" s="540"/>
      <c r="O155" s="540"/>
      <c r="P155" s="540"/>
      <c r="Q155" s="540"/>
      <c r="R155" s="540"/>
      <c r="S155" s="540"/>
      <c r="T155" s="540"/>
      <c r="U155" s="540"/>
      <c r="V155" s="540"/>
      <c r="W155" s="540"/>
      <c r="X155" s="540"/>
      <c r="Y155" s="540"/>
      <c r="Z155" s="540"/>
    </row>
    <row r="156" ht="171.75" customHeight="1">
      <c r="A156" s="540"/>
      <c r="B156" s="540"/>
      <c r="C156" s="540"/>
      <c r="D156" s="540"/>
      <c r="E156" s="540"/>
      <c r="F156" s="540"/>
      <c r="G156" s="540"/>
      <c r="H156" s="540"/>
      <c r="I156" s="540"/>
      <c r="J156" s="540"/>
      <c r="K156" s="540"/>
      <c r="L156" s="540"/>
      <c r="M156" s="540"/>
      <c r="N156" s="540"/>
      <c r="O156" s="540"/>
      <c r="P156" s="540"/>
      <c r="Q156" s="540"/>
      <c r="R156" s="540"/>
      <c r="S156" s="540"/>
      <c r="T156" s="540"/>
      <c r="U156" s="540"/>
      <c r="V156" s="540"/>
      <c r="W156" s="540"/>
      <c r="X156" s="540"/>
      <c r="Y156" s="540"/>
      <c r="Z156" s="540"/>
    </row>
    <row r="157" ht="171.75" customHeight="1">
      <c r="A157" s="540"/>
      <c r="B157" s="540"/>
      <c r="C157" s="540"/>
      <c r="D157" s="540"/>
      <c r="E157" s="540"/>
      <c r="F157" s="540"/>
      <c r="G157" s="540"/>
      <c r="H157" s="540"/>
      <c r="I157" s="540"/>
      <c r="J157" s="540"/>
      <c r="K157" s="540"/>
      <c r="L157" s="540"/>
      <c r="M157" s="540"/>
      <c r="N157" s="540"/>
      <c r="O157" s="540"/>
      <c r="P157" s="540"/>
      <c r="Q157" s="540"/>
      <c r="R157" s="540"/>
      <c r="S157" s="540"/>
      <c r="T157" s="540"/>
      <c r="U157" s="540"/>
      <c r="V157" s="540"/>
      <c r="W157" s="540"/>
      <c r="X157" s="540"/>
      <c r="Y157" s="540"/>
      <c r="Z157" s="540"/>
    </row>
    <row r="158" ht="171.75" customHeight="1">
      <c r="A158" s="540"/>
      <c r="B158" s="540"/>
      <c r="C158" s="540"/>
      <c r="D158" s="540"/>
      <c r="E158" s="540"/>
      <c r="F158" s="540"/>
      <c r="G158" s="540"/>
      <c r="H158" s="540"/>
      <c r="I158" s="540"/>
      <c r="J158" s="540"/>
      <c r="K158" s="540"/>
      <c r="L158" s="540"/>
      <c r="M158" s="540"/>
      <c r="N158" s="540"/>
      <c r="O158" s="540"/>
      <c r="P158" s="540"/>
      <c r="Q158" s="540"/>
      <c r="R158" s="540"/>
      <c r="S158" s="540"/>
      <c r="T158" s="540"/>
      <c r="U158" s="540"/>
      <c r="V158" s="540"/>
      <c r="W158" s="540"/>
      <c r="X158" s="540"/>
      <c r="Y158" s="540"/>
      <c r="Z158" s="540"/>
    </row>
    <row r="159" ht="171.75" customHeight="1">
      <c r="A159" s="540"/>
      <c r="B159" s="540"/>
      <c r="C159" s="540"/>
      <c r="D159" s="540"/>
      <c r="E159" s="540"/>
      <c r="F159" s="540"/>
      <c r="G159" s="540"/>
      <c r="H159" s="540"/>
      <c r="I159" s="540"/>
      <c r="J159" s="540"/>
      <c r="K159" s="540"/>
      <c r="L159" s="540"/>
      <c r="M159" s="540"/>
      <c r="N159" s="540"/>
      <c r="O159" s="540"/>
      <c r="P159" s="540"/>
      <c r="Q159" s="540"/>
      <c r="R159" s="540"/>
      <c r="S159" s="540"/>
      <c r="T159" s="540"/>
      <c r="U159" s="540"/>
      <c r="V159" s="540"/>
      <c r="W159" s="540"/>
      <c r="X159" s="540"/>
      <c r="Y159" s="540"/>
      <c r="Z159" s="540"/>
    </row>
    <row r="160" ht="171.75" customHeight="1">
      <c r="A160" s="540"/>
      <c r="B160" s="540"/>
      <c r="C160" s="540"/>
      <c r="D160" s="540"/>
      <c r="E160" s="540"/>
      <c r="F160" s="540"/>
      <c r="G160" s="540"/>
      <c r="H160" s="540"/>
      <c r="I160" s="540"/>
      <c r="J160" s="540"/>
      <c r="K160" s="540"/>
      <c r="L160" s="540"/>
      <c r="M160" s="540"/>
      <c r="N160" s="540"/>
      <c r="O160" s="540"/>
      <c r="P160" s="540"/>
      <c r="Q160" s="540"/>
      <c r="R160" s="540"/>
      <c r="S160" s="540"/>
      <c r="T160" s="540"/>
      <c r="U160" s="540"/>
      <c r="V160" s="540"/>
      <c r="W160" s="540"/>
      <c r="X160" s="540"/>
      <c r="Y160" s="540"/>
      <c r="Z160" s="540"/>
    </row>
    <row r="161" ht="171.75" customHeight="1">
      <c r="A161" s="540"/>
      <c r="B161" s="540"/>
      <c r="C161" s="540"/>
      <c r="D161" s="540"/>
      <c r="E161" s="540"/>
      <c r="F161" s="540"/>
      <c r="G161" s="540"/>
      <c r="H161" s="540"/>
      <c r="I161" s="540"/>
      <c r="J161" s="540"/>
      <c r="K161" s="540"/>
      <c r="L161" s="540"/>
      <c r="M161" s="540"/>
      <c r="N161" s="540"/>
      <c r="O161" s="540"/>
      <c r="P161" s="540"/>
      <c r="Q161" s="540"/>
      <c r="R161" s="540"/>
      <c r="S161" s="540"/>
      <c r="T161" s="540"/>
      <c r="U161" s="540"/>
      <c r="V161" s="540"/>
      <c r="W161" s="540"/>
      <c r="X161" s="540"/>
      <c r="Y161" s="540"/>
      <c r="Z161" s="540"/>
    </row>
    <row r="162" ht="171.75" customHeight="1">
      <c r="A162" s="540"/>
      <c r="B162" s="540"/>
      <c r="C162" s="540"/>
      <c r="D162" s="540"/>
      <c r="E162" s="540"/>
      <c r="F162" s="540"/>
      <c r="G162" s="540"/>
      <c r="H162" s="540"/>
      <c r="I162" s="540"/>
      <c r="J162" s="540"/>
      <c r="K162" s="540"/>
      <c r="L162" s="540"/>
      <c r="M162" s="540"/>
      <c r="N162" s="540"/>
      <c r="O162" s="540"/>
      <c r="P162" s="540"/>
      <c r="Q162" s="540"/>
      <c r="R162" s="540"/>
      <c r="S162" s="540"/>
      <c r="T162" s="540"/>
      <c r="U162" s="540"/>
      <c r="V162" s="540"/>
      <c r="W162" s="540"/>
      <c r="X162" s="540"/>
      <c r="Y162" s="540"/>
      <c r="Z162" s="540"/>
    </row>
    <row r="163" ht="171.75" customHeight="1">
      <c r="A163" s="540"/>
      <c r="B163" s="540"/>
      <c r="C163" s="540"/>
      <c r="D163" s="540"/>
      <c r="E163" s="540"/>
      <c r="F163" s="540"/>
      <c r="G163" s="540"/>
      <c r="H163" s="540"/>
      <c r="I163" s="540"/>
      <c r="J163" s="540"/>
      <c r="K163" s="540"/>
      <c r="L163" s="540"/>
      <c r="M163" s="540"/>
      <c r="N163" s="540"/>
      <c r="O163" s="540"/>
      <c r="P163" s="540"/>
      <c r="Q163" s="540"/>
      <c r="R163" s="540"/>
      <c r="S163" s="540"/>
      <c r="T163" s="540"/>
      <c r="U163" s="540"/>
      <c r="V163" s="540"/>
      <c r="W163" s="540"/>
      <c r="X163" s="540"/>
      <c r="Y163" s="540"/>
      <c r="Z163" s="540"/>
    </row>
    <row r="164" ht="171.75" customHeight="1">
      <c r="A164" s="540"/>
      <c r="B164" s="540"/>
      <c r="C164" s="540"/>
      <c r="D164" s="540"/>
      <c r="E164" s="540"/>
      <c r="F164" s="540"/>
      <c r="G164" s="540"/>
      <c r="H164" s="540"/>
      <c r="I164" s="540"/>
      <c r="J164" s="540"/>
      <c r="K164" s="540"/>
      <c r="L164" s="540"/>
      <c r="M164" s="540"/>
      <c r="N164" s="540"/>
      <c r="O164" s="540"/>
      <c r="P164" s="540"/>
      <c r="Q164" s="540"/>
      <c r="R164" s="540"/>
      <c r="S164" s="540"/>
      <c r="T164" s="540"/>
      <c r="U164" s="540"/>
      <c r="V164" s="540"/>
      <c r="W164" s="540"/>
      <c r="X164" s="540"/>
      <c r="Y164" s="540"/>
      <c r="Z164" s="540"/>
    </row>
    <row r="165" ht="171.75" customHeight="1">
      <c r="A165" s="540"/>
      <c r="B165" s="540"/>
      <c r="C165" s="540"/>
      <c r="D165" s="540"/>
      <c r="E165" s="540"/>
      <c r="F165" s="540"/>
      <c r="G165" s="540"/>
      <c r="H165" s="540"/>
      <c r="I165" s="540"/>
      <c r="J165" s="540"/>
      <c r="K165" s="540"/>
      <c r="L165" s="540"/>
      <c r="M165" s="540"/>
      <c r="N165" s="540"/>
      <c r="O165" s="540"/>
      <c r="P165" s="540"/>
      <c r="Q165" s="540"/>
      <c r="R165" s="540"/>
      <c r="S165" s="540"/>
      <c r="T165" s="540"/>
      <c r="U165" s="540"/>
      <c r="V165" s="540"/>
      <c r="W165" s="540"/>
      <c r="X165" s="540"/>
      <c r="Y165" s="540"/>
      <c r="Z165" s="540"/>
    </row>
    <row r="166" ht="171.75" customHeight="1">
      <c r="A166" s="540"/>
      <c r="B166" s="540"/>
      <c r="C166" s="540"/>
      <c r="D166" s="540"/>
      <c r="E166" s="540"/>
      <c r="F166" s="540"/>
      <c r="G166" s="540"/>
      <c r="H166" s="540"/>
      <c r="I166" s="540"/>
      <c r="J166" s="540"/>
      <c r="K166" s="540"/>
      <c r="L166" s="540"/>
      <c r="M166" s="540"/>
      <c r="N166" s="540"/>
      <c r="O166" s="540"/>
      <c r="P166" s="540"/>
      <c r="Q166" s="540"/>
      <c r="R166" s="540"/>
      <c r="S166" s="540"/>
      <c r="T166" s="540"/>
      <c r="U166" s="540"/>
      <c r="V166" s="540"/>
      <c r="W166" s="540"/>
      <c r="X166" s="540"/>
      <c r="Y166" s="540"/>
      <c r="Z166" s="540"/>
    </row>
    <row r="167" ht="171.75" customHeight="1">
      <c r="A167" s="540"/>
      <c r="B167" s="540"/>
      <c r="C167" s="540"/>
      <c r="D167" s="540"/>
      <c r="E167" s="540"/>
      <c r="F167" s="540"/>
      <c r="G167" s="540"/>
      <c r="H167" s="540"/>
      <c r="I167" s="540"/>
      <c r="J167" s="540"/>
      <c r="K167" s="540"/>
      <c r="L167" s="540"/>
      <c r="M167" s="540"/>
      <c r="N167" s="540"/>
      <c r="O167" s="540"/>
      <c r="P167" s="540"/>
      <c r="Q167" s="540"/>
      <c r="R167" s="540"/>
      <c r="S167" s="540"/>
      <c r="T167" s="540"/>
      <c r="U167" s="540"/>
      <c r="V167" s="540"/>
      <c r="W167" s="540"/>
      <c r="X167" s="540"/>
      <c r="Y167" s="540"/>
      <c r="Z167" s="540"/>
    </row>
    <row r="168" ht="171.75" customHeight="1">
      <c r="A168" s="540"/>
      <c r="B168" s="540"/>
      <c r="C168" s="540"/>
      <c r="D168" s="540"/>
      <c r="E168" s="540"/>
      <c r="F168" s="540"/>
      <c r="G168" s="540"/>
      <c r="H168" s="540"/>
      <c r="I168" s="540"/>
      <c r="J168" s="540"/>
      <c r="K168" s="540"/>
      <c r="L168" s="540"/>
      <c r="M168" s="540"/>
      <c r="N168" s="540"/>
      <c r="O168" s="540"/>
      <c r="P168" s="540"/>
      <c r="Q168" s="540"/>
      <c r="R168" s="540"/>
      <c r="S168" s="540"/>
      <c r="T168" s="540"/>
      <c r="U168" s="540"/>
      <c r="V168" s="540"/>
      <c r="W168" s="540"/>
      <c r="X168" s="540"/>
      <c r="Y168" s="540"/>
      <c r="Z168" s="540"/>
    </row>
    <row r="169" ht="171.75" customHeight="1">
      <c r="A169" s="540"/>
      <c r="B169" s="540"/>
      <c r="C169" s="540"/>
      <c r="D169" s="540"/>
      <c r="E169" s="540"/>
      <c r="F169" s="540"/>
      <c r="G169" s="540"/>
      <c r="H169" s="540"/>
      <c r="I169" s="540"/>
      <c r="J169" s="540"/>
      <c r="K169" s="540"/>
      <c r="L169" s="540"/>
      <c r="M169" s="540"/>
      <c r="N169" s="540"/>
      <c r="O169" s="540"/>
      <c r="P169" s="540"/>
      <c r="Q169" s="540"/>
      <c r="R169" s="540"/>
      <c r="S169" s="540"/>
      <c r="T169" s="540"/>
      <c r="U169" s="540"/>
      <c r="V169" s="540"/>
      <c r="W169" s="540"/>
      <c r="X169" s="540"/>
      <c r="Y169" s="540"/>
      <c r="Z169" s="540"/>
    </row>
    <row r="170" ht="171.75" customHeight="1">
      <c r="A170" s="540"/>
      <c r="B170" s="540"/>
      <c r="C170" s="540"/>
      <c r="D170" s="540"/>
      <c r="E170" s="540"/>
      <c r="F170" s="540"/>
      <c r="G170" s="540"/>
      <c r="H170" s="540"/>
      <c r="I170" s="540"/>
      <c r="J170" s="540"/>
      <c r="K170" s="540"/>
      <c r="L170" s="540"/>
      <c r="M170" s="540"/>
      <c r="N170" s="540"/>
      <c r="O170" s="540"/>
      <c r="P170" s="540"/>
      <c r="Q170" s="540"/>
      <c r="R170" s="540"/>
      <c r="S170" s="540"/>
      <c r="T170" s="540"/>
      <c r="U170" s="540"/>
      <c r="V170" s="540"/>
      <c r="W170" s="540"/>
      <c r="X170" s="540"/>
      <c r="Y170" s="540"/>
      <c r="Z170" s="540"/>
    </row>
    <row r="171" ht="171.75" customHeight="1">
      <c r="A171" s="540"/>
      <c r="B171" s="540"/>
      <c r="C171" s="540"/>
      <c r="D171" s="540"/>
      <c r="E171" s="540"/>
      <c r="F171" s="540"/>
      <c r="G171" s="540"/>
      <c r="H171" s="540"/>
      <c r="I171" s="540"/>
      <c r="J171" s="540"/>
      <c r="K171" s="540"/>
      <c r="L171" s="540"/>
      <c r="M171" s="540"/>
      <c r="N171" s="540"/>
      <c r="O171" s="540"/>
      <c r="P171" s="540"/>
      <c r="Q171" s="540"/>
      <c r="R171" s="540"/>
      <c r="S171" s="540"/>
      <c r="T171" s="540"/>
      <c r="U171" s="540"/>
      <c r="V171" s="540"/>
      <c r="W171" s="540"/>
      <c r="X171" s="540"/>
      <c r="Y171" s="540"/>
      <c r="Z171" s="540"/>
    </row>
    <row r="172" ht="171.75" customHeight="1">
      <c r="A172" s="540"/>
      <c r="B172" s="540"/>
      <c r="C172" s="540"/>
      <c r="D172" s="540"/>
      <c r="E172" s="540"/>
      <c r="F172" s="540"/>
      <c r="G172" s="540"/>
      <c r="H172" s="540"/>
      <c r="I172" s="540"/>
      <c r="J172" s="540"/>
      <c r="K172" s="540"/>
      <c r="L172" s="540"/>
      <c r="M172" s="540"/>
      <c r="N172" s="540"/>
      <c r="O172" s="540"/>
      <c r="P172" s="540"/>
      <c r="Q172" s="540"/>
      <c r="R172" s="540"/>
      <c r="S172" s="540"/>
      <c r="T172" s="540"/>
      <c r="U172" s="540"/>
      <c r="V172" s="540"/>
      <c r="W172" s="540"/>
      <c r="X172" s="540"/>
      <c r="Y172" s="540"/>
      <c r="Z172" s="540"/>
    </row>
    <row r="173" ht="171.75" customHeight="1">
      <c r="A173" s="540"/>
      <c r="B173" s="540"/>
      <c r="C173" s="540"/>
      <c r="D173" s="540"/>
      <c r="E173" s="540"/>
      <c r="F173" s="540"/>
      <c r="G173" s="540"/>
      <c r="H173" s="540"/>
      <c r="I173" s="540"/>
      <c r="J173" s="540"/>
      <c r="K173" s="540"/>
      <c r="L173" s="540"/>
      <c r="M173" s="540"/>
      <c r="N173" s="540"/>
      <c r="O173" s="540"/>
      <c r="P173" s="540"/>
      <c r="Q173" s="540"/>
      <c r="R173" s="540"/>
      <c r="S173" s="540"/>
      <c r="T173" s="540"/>
      <c r="U173" s="540"/>
      <c r="V173" s="540"/>
      <c r="W173" s="540"/>
      <c r="X173" s="540"/>
      <c r="Y173" s="540"/>
      <c r="Z173" s="540"/>
    </row>
    <row r="174" ht="171.75" customHeight="1">
      <c r="A174" s="540"/>
      <c r="B174" s="540"/>
      <c r="C174" s="540"/>
      <c r="D174" s="540"/>
      <c r="E174" s="540"/>
      <c r="F174" s="540"/>
      <c r="G174" s="540"/>
      <c r="H174" s="540"/>
      <c r="I174" s="540"/>
      <c r="J174" s="540"/>
      <c r="K174" s="540"/>
      <c r="L174" s="540"/>
      <c r="M174" s="540"/>
      <c r="N174" s="540"/>
      <c r="O174" s="540"/>
      <c r="P174" s="540"/>
      <c r="Q174" s="540"/>
      <c r="R174" s="540"/>
      <c r="S174" s="540"/>
      <c r="T174" s="540"/>
      <c r="U174" s="540"/>
      <c r="V174" s="540"/>
      <c r="W174" s="540"/>
      <c r="X174" s="540"/>
      <c r="Y174" s="540"/>
      <c r="Z174" s="540"/>
    </row>
    <row r="175" ht="171.75" customHeight="1">
      <c r="A175" s="540"/>
      <c r="B175" s="540"/>
      <c r="C175" s="540"/>
      <c r="D175" s="540"/>
      <c r="E175" s="540"/>
      <c r="F175" s="540"/>
      <c r="G175" s="540"/>
      <c r="H175" s="540"/>
      <c r="I175" s="540"/>
      <c r="J175" s="540"/>
      <c r="K175" s="540"/>
      <c r="L175" s="540"/>
      <c r="M175" s="540"/>
      <c r="N175" s="540"/>
      <c r="O175" s="540"/>
      <c r="P175" s="540"/>
      <c r="Q175" s="540"/>
      <c r="R175" s="540"/>
      <c r="S175" s="540"/>
      <c r="T175" s="540"/>
      <c r="U175" s="540"/>
      <c r="V175" s="540"/>
      <c r="W175" s="540"/>
      <c r="X175" s="540"/>
      <c r="Y175" s="540"/>
      <c r="Z175" s="540"/>
    </row>
    <row r="176" ht="171.75" customHeight="1">
      <c r="A176" s="540"/>
      <c r="B176" s="540"/>
      <c r="C176" s="540"/>
      <c r="D176" s="540"/>
      <c r="E176" s="540"/>
      <c r="F176" s="540"/>
      <c r="G176" s="540"/>
      <c r="H176" s="540"/>
      <c r="I176" s="540"/>
      <c r="J176" s="540"/>
      <c r="K176" s="540"/>
      <c r="L176" s="540"/>
      <c r="M176" s="540"/>
      <c r="N176" s="540"/>
      <c r="O176" s="540"/>
      <c r="P176" s="540"/>
      <c r="Q176" s="540"/>
      <c r="R176" s="540"/>
      <c r="S176" s="540"/>
      <c r="T176" s="540"/>
      <c r="U176" s="540"/>
      <c r="V176" s="540"/>
      <c r="W176" s="540"/>
      <c r="X176" s="540"/>
      <c r="Y176" s="540"/>
      <c r="Z176" s="540"/>
    </row>
    <row r="177" ht="171.75" customHeight="1">
      <c r="A177" s="540"/>
      <c r="B177" s="540"/>
      <c r="C177" s="540"/>
      <c r="D177" s="540"/>
      <c r="E177" s="540"/>
      <c r="F177" s="540"/>
      <c r="G177" s="540"/>
      <c r="H177" s="540"/>
      <c r="I177" s="540"/>
      <c r="J177" s="540"/>
      <c r="K177" s="540"/>
      <c r="L177" s="540"/>
      <c r="M177" s="540"/>
      <c r="N177" s="540"/>
      <c r="O177" s="540"/>
      <c r="P177" s="540"/>
      <c r="Q177" s="540"/>
      <c r="R177" s="540"/>
      <c r="S177" s="540"/>
      <c r="T177" s="540"/>
      <c r="U177" s="540"/>
      <c r="V177" s="540"/>
      <c r="W177" s="540"/>
      <c r="X177" s="540"/>
      <c r="Y177" s="540"/>
      <c r="Z177" s="540"/>
    </row>
    <row r="178" ht="171.75" customHeight="1">
      <c r="A178" s="540"/>
      <c r="B178" s="540"/>
      <c r="C178" s="540"/>
      <c r="D178" s="540"/>
      <c r="E178" s="540"/>
      <c r="F178" s="540"/>
      <c r="G178" s="540"/>
      <c r="H178" s="540"/>
      <c r="I178" s="540"/>
      <c r="J178" s="540"/>
      <c r="K178" s="540"/>
      <c r="L178" s="540"/>
      <c r="M178" s="540"/>
      <c r="N178" s="540"/>
      <c r="O178" s="540"/>
      <c r="P178" s="540"/>
      <c r="Q178" s="540"/>
      <c r="R178" s="540"/>
      <c r="S178" s="540"/>
      <c r="T178" s="540"/>
      <c r="U178" s="540"/>
      <c r="V178" s="540"/>
      <c r="W178" s="540"/>
      <c r="X178" s="540"/>
      <c r="Y178" s="540"/>
      <c r="Z178" s="540"/>
    </row>
    <row r="179" ht="171.75" customHeight="1">
      <c r="A179" s="540"/>
      <c r="B179" s="540"/>
      <c r="C179" s="540"/>
      <c r="D179" s="540"/>
      <c r="E179" s="540"/>
      <c r="F179" s="540"/>
      <c r="G179" s="540"/>
      <c r="H179" s="540"/>
      <c r="I179" s="540"/>
      <c r="J179" s="540"/>
      <c r="K179" s="540"/>
      <c r="L179" s="540"/>
      <c r="M179" s="540"/>
      <c r="N179" s="540"/>
      <c r="O179" s="540"/>
      <c r="P179" s="540"/>
      <c r="Q179" s="540"/>
      <c r="R179" s="540"/>
      <c r="S179" s="540"/>
      <c r="T179" s="540"/>
      <c r="U179" s="540"/>
      <c r="V179" s="540"/>
      <c r="W179" s="540"/>
      <c r="X179" s="540"/>
      <c r="Y179" s="540"/>
      <c r="Z179" s="540"/>
    </row>
    <row r="180" ht="171.75" customHeight="1">
      <c r="A180" s="540"/>
      <c r="B180" s="540"/>
      <c r="C180" s="540"/>
      <c r="D180" s="540"/>
      <c r="E180" s="540"/>
      <c r="F180" s="540"/>
      <c r="G180" s="540"/>
      <c r="H180" s="540"/>
      <c r="I180" s="540"/>
      <c r="J180" s="540"/>
      <c r="K180" s="540"/>
      <c r="L180" s="540"/>
      <c r="M180" s="540"/>
      <c r="N180" s="540"/>
      <c r="O180" s="540"/>
      <c r="P180" s="540"/>
      <c r="Q180" s="540"/>
      <c r="R180" s="540"/>
      <c r="S180" s="540"/>
      <c r="T180" s="540"/>
      <c r="U180" s="540"/>
      <c r="V180" s="540"/>
      <c r="W180" s="540"/>
      <c r="X180" s="540"/>
      <c r="Y180" s="540"/>
      <c r="Z180" s="540"/>
    </row>
    <row r="181" ht="171.75" customHeight="1">
      <c r="A181" s="540"/>
      <c r="B181" s="540"/>
      <c r="C181" s="540"/>
      <c r="D181" s="540"/>
      <c r="E181" s="540"/>
      <c r="F181" s="540"/>
      <c r="G181" s="540"/>
      <c r="H181" s="540"/>
      <c r="I181" s="540"/>
      <c r="J181" s="540"/>
      <c r="K181" s="540"/>
      <c r="L181" s="540"/>
      <c r="M181" s="540"/>
      <c r="N181" s="540"/>
      <c r="O181" s="540"/>
      <c r="P181" s="540"/>
      <c r="Q181" s="540"/>
      <c r="R181" s="540"/>
      <c r="S181" s="540"/>
      <c r="T181" s="540"/>
      <c r="U181" s="540"/>
      <c r="V181" s="540"/>
      <c r="W181" s="540"/>
      <c r="X181" s="540"/>
      <c r="Y181" s="540"/>
      <c r="Z181" s="540"/>
    </row>
    <row r="182" ht="171.75" customHeight="1">
      <c r="A182" s="540"/>
      <c r="B182" s="540"/>
      <c r="C182" s="540"/>
      <c r="D182" s="540"/>
      <c r="E182" s="540"/>
      <c r="F182" s="540"/>
      <c r="G182" s="540"/>
      <c r="H182" s="540"/>
      <c r="I182" s="540"/>
      <c r="J182" s="540"/>
      <c r="K182" s="540"/>
      <c r="L182" s="540"/>
      <c r="M182" s="540"/>
      <c r="N182" s="540"/>
      <c r="O182" s="540"/>
      <c r="P182" s="540"/>
      <c r="Q182" s="540"/>
      <c r="R182" s="540"/>
      <c r="S182" s="540"/>
      <c r="T182" s="540"/>
      <c r="U182" s="540"/>
      <c r="V182" s="540"/>
      <c r="W182" s="540"/>
      <c r="X182" s="540"/>
      <c r="Y182" s="540"/>
      <c r="Z182" s="540"/>
    </row>
    <row r="183" ht="171.75" customHeight="1">
      <c r="A183" s="540"/>
      <c r="B183" s="540"/>
      <c r="C183" s="540"/>
      <c r="D183" s="540"/>
      <c r="E183" s="540"/>
      <c r="F183" s="540"/>
      <c r="G183" s="540"/>
      <c r="H183" s="540"/>
      <c r="I183" s="540"/>
      <c r="J183" s="540"/>
      <c r="K183" s="540"/>
      <c r="L183" s="540"/>
      <c r="M183" s="540"/>
      <c r="N183" s="540"/>
      <c r="O183" s="540"/>
      <c r="P183" s="540"/>
      <c r="Q183" s="540"/>
      <c r="R183" s="540"/>
      <c r="S183" s="540"/>
      <c r="T183" s="540"/>
      <c r="U183" s="540"/>
      <c r="V183" s="540"/>
      <c r="W183" s="540"/>
      <c r="X183" s="540"/>
      <c r="Y183" s="540"/>
      <c r="Z183" s="540"/>
    </row>
    <row r="184" ht="171.75" customHeight="1">
      <c r="A184" s="540"/>
      <c r="B184" s="540"/>
      <c r="C184" s="540"/>
      <c r="D184" s="540"/>
      <c r="E184" s="540"/>
      <c r="F184" s="540"/>
      <c r="G184" s="540"/>
      <c r="H184" s="540"/>
      <c r="I184" s="540"/>
      <c r="J184" s="540"/>
      <c r="K184" s="540"/>
      <c r="L184" s="540"/>
      <c r="M184" s="540"/>
      <c r="N184" s="540"/>
      <c r="O184" s="540"/>
      <c r="P184" s="540"/>
      <c r="Q184" s="540"/>
      <c r="R184" s="540"/>
      <c r="S184" s="540"/>
      <c r="T184" s="540"/>
      <c r="U184" s="540"/>
      <c r="V184" s="540"/>
      <c r="W184" s="540"/>
      <c r="X184" s="540"/>
      <c r="Y184" s="540"/>
      <c r="Z184" s="540"/>
    </row>
    <row r="185" ht="171.75" customHeight="1">
      <c r="A185" s="540"/>
      <c r="B185" s="540"/>
      <c r="C185" s="540"/>
      <c r="D185" s="540"/>
      <c r="E185" s="540"/>
      <c r="F185" s="540"/>
      <c r="G185" s="540"/>
      <c r="H185" s="540"/>
      <c r="I185" s="540"/>
      <c r="J185" s="540"/>
      <c r="K185" s="540"/>
      <c r="L185" s="540"/>
      <c r="M185" s="540"/>
      <c r="N185" s="540"/>
      <c r="O185" s="540"/>
      <c r="P185" s="540"/>
      <c r="Q185" s="540"/>
      <c r="R185" s="540"/>
      <c r="S185" s="540"/>
      <c r="T185" s="540"/>
      <c r="U185" s="540"/>
      <c r="V185" s="540"/>
      <c r="W185" s="540"/>
      <c r="X185" s="540"/>
      <c r="Y185" s="540"/>
      <c r="Z185" s="540"/>
    </row>
    <row r="186" ht="171.75" customHeight="1">
      <c r="A186" s="540"/>
      <c r="B186" s="540"/>
      <c r="C186" s="540"/>
      <c r="D186" s="540"/>
      <c r="E186" s="540"/>
      <c r="F186" s="540"/>
      <c r="G186" s="540"/>
      <c r="H186" s="540"/>
      <c r="I186" s="540"/>
      <c r="J186" s="540"/>
      <c r="K186" s="540"/>
      <c r="L186" s="540"/>
      <c r="M186" s="540"/>
      <c r="N186" s="540"/>
      <c r="O186" s="540"/>
      <c r="P186" s="540"/>
      <c r="Q186" s="540"/>
      <c r="R186" s="540"/>
      <c r="S186" s="540"/>
      <c r="T186" s="540"/>
      <c r="U186" s="540"/>
      <c r="V186" s="540"/>
      <c r="W186" s="540"/>
      <c r="X186" s="540"/>
      <c r="Y186" s="540"/>
      <c r="Z186" s="540"/>
    </row>
    <row r="187" ht="171.75" customHeight="1">
      <c r="A187" s="540"/>
      <c r="B187" s="540"/>
      <c r="C187" s="540"/>
      <c r="D187" s="540"/>
      <c r="E187" s="540"/>
      <c r="F187" s="540"/>
      <c r="G187" s="540"/>
      <c r="H187" s="540"/>
      <c r="I187" s="540"/>
      <c r="J187" s="540"/>
      <c r="K187" s="540"/>
      <c r="L187" s="540"/>
      <c r="M187" s="540"/>
      <c r="N187" s="540"/>
      <c r="O187" s="540"/>
      <c r="P187" s="540"/>
      <c r="Q187" s="540"/>
      <c r="R187" s="540"/>
      <c r="S187" s="540"/>
      <c r="T187" s="540"/>
      <c r="U187" s="540"/>
      <c r="V187" s="540"/>
      <c r="W187" s="540"/>
      <c r="X187" s="540"/>
      <c r="Y187" s="540"/>
      <c r="Z187" s="540"/>
    </row>
    <row r="188" ht="171.75" customHeight="1">
      <c r="A188" s="540"/>
      <c r="B188" s="540"/>
      <c r="C188" s="540"/>
      <c r="D188" s="540"/>
      <c r="E188" s="540"/>
      <c r="F188" s="540"/>
      <c r="G188" s="540"/>
      <c r="H188" s="540"/>
      <c r="I188" s="540"/>
      <c r="J188" s="540"/>
      <c r="K188" s="540"/>
      <c r="L188" s="540"/>
      <c r="M188" s="540"/>
      <c r="N188" s="540"/>
      <c r="O188" s="540"/>
      <c r="P188" s="540"/>
      <c r="Q188" s="540"/>
      <c r="R188" s="540"/>
      <c r="S188" s="540"/>
      <c r="T188" s="540"/>
      <c r="U188" s="540"/>
      <c r="V188" s="540"/>
      <c r="W188" s="540"/>
      <c r="X188" s="540"/>
      <c r="Y188" s="540"/>
      <c r="Z188" s="540"/>
    </row>
    <row r="189" ht="171.75" customHeight="1">
      <c r="A189" s="540"/>
      <c r="B189" s="540"/>
      <c r="C189" s="540"/>
      <c r="D189" s="540"/>
      <c r="E189" s="540"/>
      <c r="F189" s="540"/>
      <c r="G189" s="540"/>
      <c r="H189" s="540"/>
      <c r="I189" s="540"/>
      <c r="J189" s="540"/>
      <c r="K189" s="540"/>
      <c r="L189" s="540"/>
      <c r="M189" s="540"/>
      <c r="N189" s="540"/>
      <c r="O189" s="540"/>
      <c r="P189" s="540"/>
      <c r="Q189" s="540"/>
      <c r="R189" s="540"/>
      <c r="S189" s="540"/>
      <c r="T189" s="540"/>
      <c r="U189" s="540"/>
      <c r="V189" s="540"/>
      <c r="W189" s="540"/>
      <c r="X189" s="540"/>
      <c r="Y189" s="540"/>
      <c r="Z189" s="540"/>
    </row>
    <row r="190" ht="171.75" customHeight="1">
      <c r="A190" s="540"/>
      <c r="B190" s="540"/>
      <c r="C190" s="540"/>
      <c r="D190" s="540"/>
      <c r="E190" s="540"/>
      <c r="F190" s="540"/>
      <c r="G190" s="540"/>
      <c r="H190" s="540"/>
      <c r="I190" s="540"/>
      <c r="J190" s="540"/>
      <c r="K190" s="540"/>
      <c r="L190" s="540"/>
      <c r="M190" s="540"/>
      <c r="N190" s="540"/>
      <c r="O190" s="540"/>
      <c r="P190" s="540"/>
      <c r="Q190" s="540"/>
      <c r="R190" s="540"/>
      <c r="S190" s="540"/>
      <c r="T190" s="540"/>
      <c r="U190" s="540"/>
      <c r="V190" s="540"/>
      <c r="W190" s="540"/>
      <c r="X190" s="540"/>
      <c r="Y190" s="540"/>
      <c r="Z190" s="540"/>
    </row>
    <row r="191" ht="171.75" customHeight="1">
      <c r="A191" s="540"/>
      <c r="B191" s="540"/>
      <c r="C191" s="540"/>
      <c r="D191" s="540"/>
      <c r="E191" s="540"/>
      <c r="F191" s="540"/>
      <c r="G191" s="540"/>
      <c r="H191" s="540"/>
      <c r="I191" s="540"/>
      <c r="J191" s="540"/>
      <c r="K191" s="540"/>
      <c r="L191" s="540"/>
      <c r="M191" s="540"/>
      <c r="N191" s="540"/>
      <c r="O191" s="540"/>
      <c r="P191" s="540"/>
      <c r="Q191" s="540"/>
      <c r="R191" s="540"/>
      <c r="S191" s="540"/>
      <c r="T191" s="540"/>
      <c r="U191" s="540"/>
      <c r="V191" s="540"/>
      <c r="W191" s="540"/>
      <c r="X191" s="540"/>
      <c r="Y191" s="540"/>
      <c r="Z191" s="540"/>
    </row>
    <row r="192" ht="171.75" customHeight="1">
      <c r="A192" s="540"/>
      <c r="B192" s="540"/>
      <c r="C192" s="540"/>
      <c r="D192" s="540"/>
      <c r="E192" s="540"/>
      <c r="F192" s="540"/>
      <c r="G192" s="540"/>
      <c r="H192" s="540"/>
      <c r="I192" s="540"/>
      <c r="J192" s="540"/>
      <c r="K192" s="540"/>
      <c r="L192" s="540"/>
      <c r="M192" s="540"/>
      <c r="N192" s="540"/>
      <c r="O192" s="540"/>
      <c r="P192" s="540"/>
      <c r="Q192" s="540"/>
      <c r="R192" s="540"/>
      <c r="S192" s="540"/>
      <c r="T192" s="540"/>
      <c r="U192" s="540"/>
      <c r="V192" s="540"/>
      <c r="W192" s="540"/>
      <c r="X192" s="540"/>
      <c r="Y192" s="540"/>
      <c r="Z192" s="540"/>
    </row>
    <row r="193" ht="171.75" customHeight="1">
      <c r="A193" s="540"/>
      <c r="B193" s="540"/>
      <c r="C193" s="540"/>
      <c r="D193" s="540"/>
      <c r="E193" s="540"/>
      <c r="F193" s="540"/>
      <c r="G193" s="540"/>
      <c r="H193" s="540"/>
      <c r="I193" s="540"/>
      <c r="J193" s="540"/>
      <c r="K193" s="540"/>
      <c r="L193" s="540"/>
      <c r="M193" s="540"/>
      <c r="N193" s="540"/>
      <c r="O193" s="540"/>
      <c r="P193" s="540"/>
      <c r="Q193" s="540"/>
      <c r="R193" s="540"/>
      <c r="S193" s="540"/>
      <c r="T193" s="540"/>
      <c r="U193" s="540"/>
      <c r="V193" s="540"/>
      <c r="W193" s="540"/>
      <c r="X193" s="540"/>
      <c r="Y193" s="540"/>
      <c r="Z193" s="540"/>
    </row>
    <row r="194" ht="171.75" customHeight="1">
      <c r="A194" s="540"/>
      <c r="B194" s="540"/>
      <c r="C194" s="540"/>
      <c r="D194" s="540"/>
      <c r="E194" s="540"/>
      <c r="F194" s="540"/>
      <c r="G194" s="540"/>
      <c r="H194" s="540"/>
      <c r="I194" s="540"/>
      <c r="J194" s="540"/>
      <c r="K194" s="540"/>
      <c r="L194" s="540"/>
      <c r="M194" s="540"/>
      <c r="N194" s="540"/>
      <c r="O194" s="540"/>
      <c r="P194" s="540"/>
      <c r="Q194" s="540"/>
      <c r="R194" s="540"/>
      <c r="S194" s="540"/>
      <c r="T194" s="540"/>
      <c r="U194" s="540"/>
      <c r="V194" s="540"/>
      <c r="W194" s="540"/>
      <c r="X194" s="540"/>
      <c r="Y194" s="540"/>
      <c r="Z194" s="540"/>
    </row>
    <row r="195" ht="171.75" customHeight="1">
      <c r="A195" s="540"/>
      <c r="B195" s="540"/>
      <c r="C195" s="540"/>
      <c r="D195" s="540"/>
      <c r="E195" s="540"/>
      <c r="F195" s="540"/>
      <c r="G195" s="540"/>
      <c r="H195" s="540"/>
      <c r="I195" s="540"/>
      <c r="J195" s="540"/>
      <c r="K195" s="540"/>
      <c r="L195" s="540"/>
      <c r="M195" s="540"/>
      <c r="N195" s="540"/>
      <c r="O195" s="540"/>
      <c r="P195" s="540"/>
      <c r="Q195" s="540"/>
      <c r="R195" s="540"/>
      <c r="S195" s="540"/>
      <c r="T195" s="540"/>
      <c r="U195" s="540"/>
      <c r="V195" s="540"/>
      <c r="W195" s="540"/>
      <c r="X195" s="540"/>
      <c r="Y195" s="540"/>
      <c r="Z195" s="540"/>
    </row>
    <row r="196" ht="171.75" customHeight="1">
      <c r="A196" s="540"/>
      <c r="B196" s="540"/>
      <c r="C196" s="540"/>
      <c r="D196" s="540"/>
      <c r="E196" s="540"/>
      <c r="F196" s="540"/>
      <c r="G196" s="540"/>
      <c r="H196" s="540"/>
      <c r="I196" s="540"/>
      <c r="J196" s="540"/>
      <c r="K196" s="540"/>
      <c r="L196" s="540"/>
      <c r="M196" s="540"/>
      <c r="N196" s="540"/>
      <c r="O196" s="540"/>
      <c r="P196" s="540"/>
      <c r="Q196" s="540"/>
      <c r="R196" s="540"/>
      <c r="S196" s="540"/>
      <c r="T196" s="540"/>
      <c r="U196" s="540"/>
      <c r="V196" s="540"/>
      <c r="W196" s="540"/>
      <c r="X196" s="540"/>
      <c r="Y196" s="540"/>
      <c r="Z196" s="540"/>
    </row>
    <row r="197" ht="171.75" customHeight="1">
      <c r="A197" s="540"/>
      <c r="B197" s="540"/>
      <c r="C197" s="540"/>
      <c r="D197" s="540"/>
      <c r="E197" s="540"/>
      <c r="F197" s="540"/>
      <c r="G197" s="540"/>
      <c r="H197" s="540"/>
      <c r="I197" s="540"/>
      <c r="J197" s="540"/>
      <c r="K197" s="540"/>
      <c r="L197" s="540"/>
      <c r="M197" s="540"/>
      <c r="N197" s="540"/>
      <c r="O197" s="540"/>
      <c r="P197" s="540"/>
      <c r="Q197" s="540"/>
      <c r="R197" s="540"/>
      <c r="S197" s="540"/>
      <c r="T197" s="540"/>
      <c r="U197" s="540"/>
      <c r="V197" s="540"/>
      <c r="W197" s="540"/>
      <c r="X197" s="540"/>
      <c r="Y197" s="540"/>
      <c r="Z197" s="540"/>
    </row>
    <row r="198" ht="171.75" customHeight="1">
      <c r="A198" s="540"/>
      <c r="B198" s="540"/>
      <c r="C198" s="540"/>
      <c r="D198" s="540"/>
      <c r="E198" s="540"/>
      <c r="F198" s="540"/>
      <c r="G198" s="540"/>
      <c r="H198" s="540"/>
      <c r="I198" s="540"/>
      <c r="J198" s="540"/>
      <c r="K198" s="540"/>
      <c r="L198" s="540"/>
      <c r="M198" s="540"/>
      <c r="N198" s="540"/>
      <c r="O198" s="540"/>
      <c r="P198" s="540"/>
      <c r="Q198" s="540"/>
      <c r="R198" s="540"/>
      <c r="S198" s="540"/>
      <c r="T198" s="540"/>
      <c r="U198" s="540"/>
      <c r="V198" s="540"/>
      <c r="W198" s="540"/>
      <c r="X198" s="540"/>
      <c r="Y198" s="540"/>
      <c r="Z198" s="540"/>
    </row>
    <row r="199" ht="171.75" customHeight="1">
      <c r="A199" s="540"/>
      <c r="B199" s="540"/>
      <c r="C199" s="540"/>
      <c r="D199" s="540"/>
      <c r="E199" s="540"/>
      <c r="F199" s="540"/>
      <c r="G199" s="540"/>
      <c r="H199" s="540"/>
      <c r="I199" s="540"/>
      <c r="J199" s="540"/>
      <c r="K199" s="540"/>
      <c r="L199" s="540"/>
      <c r="M199" s="540"/>
      <c r="N199" s="540"/>
      <c r="O199" s="540"/>
      <c r="P199" s="540"/>
      <c r="Q199" s="540"/>
      <c r="R199" s="540"/>
      <c r="S199" s="540"/>
      <c r="T199" s="540"/>
      <c r="U199" s="540"/>
      <c r="V199" s="540"/>
      <c r="W199" s="540"/>
      <c r="X199" s="540"/>
      <c r="Y199" s="540"/>
      <c r="Z199" s="540"/>
    </row>
    <row r="200" ht="171.75" customHeight="1">
      <c r="A200" s="540"/>
      <c r="B200" s="540"/>
      <c r="C200" s="540"/>
      <c r="D200" s="540"/>
      <c r="E200" s="540"/>
      <c r="F200" s="540"/>
      <c r="G200" s="540"/>
      <c r="H200" s="540"/>
      <c r="I200" s="540"/>
      <c r="J200" s="540"/>
      <c r="K200" s="540"/>
      <c r="L200" s="540"/>
      <c r="M200" s="540"/>
      <c r="N200" s="540"/>
      <c r="O200" s="540"/>
      <c r="P200" s="540"/>
      <c r="Q200" s="540"/>
      <c r="R200" s="540"/>
      <c r="S200" s="540"/>
      <c r="T200" s="540"/>
      <c r="U200" s="540"/>
      <c r="V200" s="540"/>
      <c r="W200" s="540"/>
      <c r="X200" s="540"/>
      <c r="Y200" s="540"/>
      <c r="Z200" s="540"/>
    </row>
    <row r="201" ht="171.75" customHeight="1">
      <c r="A201" s="540"/>
      <c r="B201" s="540"/>
      <c r="C201" s="540"/>
      <c r="D201" s="540"/>
      <c r="E201" s="540"/>
      <c r="F201" s="540"/>
      <c r="G201" s="540"/>
      <c r="H201" s="540"/>
      <c r="I201" s="540"/>
      <c r="J201" s="540"/>
      <c r="K201" s="540"/>
      <c r="L201" s="540"/>
      <c r="M201" s="540"/>
      <c r="N201" s="540"/>
      <c r="O201" s="540"/>
      <c r="P201" s="540"/>
      <c r="Q201" s="540"/>
      <c r="R201" s="540"/>
      <c r="S201" s="540"/>
      <c r="T201" s="540"/>
      <c r="U201" s="540"/>
      <c r="V201" s="540"/>
      <c r="W201" s="540"/>
      <c r="X201" s="540"/>
      <c r="Y201" s="540"/>
      <c r="Z201" s="540"/>
    </row>
    <row r="202" ht="171.75" customHeight="1">
      <c r="A202" s="540"/>
      <c r="B202" s="540"/>
      <c r="C202" s="540"/>
      <c r="D202" s="540"/>
      <c r="E202" s="540"/>
      <c r="F202" s="540"/>
      <c r="G202" s="540"/>
      <c r="H202" s="540"/>
      <c r="I202" s="540"/>
      <c r="J202" s="540"/>
      <c r="K202" s="540"/>
      <c r="L202" s="540"/>
      <c r="M202" s="540"/>
      <c r="N202" s="540"/>
      <c r="O202" s="540"/>
      <c r="P202" s="540"/>
      <c r="Q202" s="540"/>
      <c r="R202" s="540"/>
      <c r="S202" s="540"/>
      <c r="T202" s="540"/>
      <c r="U202" s="540"/>
      <c r="V202" s="540"/>
      <c r="W202" s="540"/>
      <c r="X202" s="540"/>
      <c r="Y202" s="540"/>
      <c r="Z202" s="540"/>
    </row>
    <row r="203" ht="171.75" customHeight="1">
      <c r="A203" s="540"/>
      <c r="B203" s="540"/>
      <c r="C203" s="540"/>
      <c r="D203" s="540"/>
      <c r="E203" s="540"/>
      <c r="F203" s="540"/>
      <c r="G203" s="540"/>
      <c r="H203" s="540"/>
      <c r="I203" s="540"/>
      <c r="J203" s="540"/>
      <c r="K203" s="540"/>
      <c r="L203" s="540"/>
      <c r="M203" s="540"/>
      <c r="N203" s="540"/>
      <c r="O203" s="540"/>
      <c r="P203" s="540"/>
      <c r="Q203" s="540"/>
      <c r="R203" s="540"/>
      <c r="S203" s="540"/>
      <c r="T203" s="540"/>
      <c r="U203" s="540"/>
      <c r="V203" s="540"/>
      <c r="W203" s="540"/>
      <c r="X203" s="540"/>
      <c r="Y203" s="540"/>
      <c r="Z203" s="540"/>
    </row>
    <row r="204" ht="171.75" customHeight="1">
      <c r="A204" s="540"/>
      <c r="B204" s="540"/>
      <c r="C204" s="540"/>
      <c r="D204" s="540"/>
      <c r="E204" s="540"/>
      <c r="F204" s="540"/>
      <c r="G204" s="540"/>
      <c r="H204" s="540"/>
      <c r="I204" s="540"/>
      <c r="J204" s="540"/>
      <c r="K204" s="540"/>
      <c r="L204" s="540"/>
      <c r="M204" s="540"/>
      <c r="N204" s="540"/>
      <c r="O204" s="540"/>
      <c r="P204" s="540"/>
      <c r="Q204" s="540"/>
      <c r="R204" s="540"/>
      <c r="S204" s="540"/>
      <c r="T204" s="540"/>
      <c r="U204" s="540"/>
      <c r="V204" s="540"/>
      <c r="W204" s="540"/>
      <c r="X204" s="540"/>
      <c r="Y204" s="540"/>
      <c r="Z204" s="540"/>
    </row>
    <row r="205" ht="171.75" customHeight="1">
      <c r="A205" s="540"/>
      <c r="B205" s="540"/>
      <c r="C205" s="540"/>
      <c r="D205" s="540"/>
      <c r="E205" s="540"/>
      <c r="F205" s="540"/>
      <c r="G205" s="540"/>
      <c r="H205" s="540"/>
      <c r="I205" s="540"/>
      <c r="J205" s="540"/>
      <c r="K205" s="540"/>
      <c r="L205" s="540"/>
      <c r="M205" s="540"/>
      <c r="N205" s="540"/>
      <c r="O205" s="540"/>
      <c r="P205" s="540"/>
      <c r="Q205" s="540"/>
      <c r="R205" s="540"/>
      <c r="S205" s="540"/>
      <c r="T205" s="540"/>
      <c r="U205" s="540"/>
      <c r="V205" s="540"/>
      <c r="W205" s="540"/>
      <c r="X205" s="540"/>
      <c r="Y205" s="540"/>
      <c r="Z205" s="540"/>
    </row>
    <row r="206" ht="171.75" customHeight="1">
      <c r="A206" s="540"/>
      <c r="B206" s="540"/>
      <c r="C206" s="540"/>
      <c r="D206" s="540"/>
      <c r="E206" s="540"/>
      <c r="F206" s="540"/>
      <c r="G206" s="540"/>
      <c r="H206" s="540"/>
      <c r="I206" s="540"/>
      <c r="J206" s="540"/>
      <c r="K206" s="540"/>
      <c r="L206" s="540"/>
      <c r="M206" s="540"/>
      <c r="N206" s="540"/>
      <c r="O206" s="540"/>
      <c r="P206" s="540"/>
      <c r="Q206" s="540"/>
      <c r="R206" s="540"/>
      <c r="S206" s="540"/>
      <c r="T206" s="540"/>
      <c r="U206" s="540"/>
      <c r="V206" s="540"/>
      <c r="W206" s="540"/>
      <c r="X206" s="540"/>
      <c r="Y206" s="540"/>
      <c r="Z206" s="540"/>
    </row>
    <row r="207" ht="171.75" customHeight="1">
      <c r="A207" s="540"/>
      <c r="B207" s="540"/>
      <c r="C207" s="540"/>
      <c r="D207" s="540"/>
      <c r="E207" s="540"/>
      <c r="F207" s="540"/>
      <c r="G207" s="540"/>
      <c r="H207" s="540"/>
      <c r="I207" s="540"/>
      <c r="J207" s="540"/>
      <c r="K207" s="540"/>
      <c r="L207" s="540"/>
      <c r="M207" s="540"/>
      <c r="N207" s="540"/>
      <c r="O207" s="540"/>
      <c r="P207" s="540"/>
      <c r="Q207" s="540"/>
      <c r="R207" s="540"/>
      <c r="S207" s="540"/>
      <c r="T207" s="540"/>
      <c r="U207" s="540"/>
      <c r="V207" s="540"/>
      <c r="W207" s="540"/>
      <c r="X207" s="540"/>
      <c r="Y207" s="540"/>
      <c r="Z207" s="540"/>
    </row>
    <row r="208" ht="171.75" customHeight="1">
      <c r="A208" s="540"/>
      <c r="B208" s="540"/>
      <c r="C208" s="540"/>
      <c r="D208" s="540"/>
      <c r="E208" s="540"/>
      <c r="F208" s="540"/>
      <c r="G208" s="540"/>
      <c r="H208" s="540"/>
      <c r="I208" s="540"/>
      <c r="J208" s="540"/>
      <c r="K208" s="540"/>
      <c r="L208" s="540"/>
      <c r="M208" s="540"/>
      <c r="N208" s="540"/>
      <c r="O208" s="540"/>
      <c r="P208" s="540"/>
      <c r="Q208" s="540"/>
      <c r="R208" s="540"/>
      <c r="S208" s="540"/>
      <c r="T208" s="540"/>
      <c r="U208" s="540"/>
      <c r="V208" s="540"/>
      <c r="W208" s="540"/>
      <c r="X208" s="540"/>
      <c r="Y208" s="540"/>
      <c r="Z208" s="540"/>
    </row>
    <row r="209" ht="171.75" customHeight="1">
      <c r="A209" s="540"/>
      <c r="B209" s="540"/>
      <c r="C209" s="540"/>
      <c r="D209" s="540"/>
      <c r="E209" s="540"/>
      <c r="F209" s="540"/>
      <c r="G209" s="540"/>
      <c r="H209" s="540"/>
      <c r="I209" s="540"/>
      <c r="J209" s="540"/>
      <c r="K209" s="540"/>
      <c r="L209" s="540"/>
      <c r="M209" s="540"/>
      <c r="N209" s="540"/>
      <c r="O209" s="540"/>
      <c r="P209" s="540"/>
      <c r="Q209" s="540"/>
      <c r="R209" s="540"/>
      <c r="S209" s="540"/>
      <c r="T209" s="540"/>
      <c r="U209" s="540"/>
      <c r="V209" s="540"/>
      <c r="W209" s="540"/>
      <c r="X209" s="540"/>
      <c r="Y209" s="540"/>
      <c r="Z209" s="540"/>
    </row>
    <row r="210" ht="171.75" customHeight="1">
      <c r="A210" s="540"/>
      <c r="B210" s="540"/>
      <c r="C210" s="540"/>
      <c r="D210" s="540"/>
      <c r="E210" s="540"/>
      <c r="F210" s="540"/>
      <c r="G210" s="540"/>
      <c r="H210" s="540"/>
      <c r="I210" s="540"/>
      <c r="J210" s="540"/>
      <c r="K210" s="540"/>
      <c r="L210" s="540"/>
      <c r="M210" s="540"/>
      <c r="N210" s="540"/>
      <c r="O210" s="540"/>
      <c r="P210" s="540"/>
      <c r="Q210" s="540"/>
      <c r="R210" s="540"/>
      <c r="S210" s="540"/>
      <c r="T210" s="540"/>
      <c r="U210" s="540"/>
      <c r="V210" s="540"/>
      <c r="W210" s="540"/>
      <c r="X210" s="540"/>
      <c r="Y210" s="540"/>
      <c r="Z210" s="540"/>
    </row>
    <row r="211" ht="171.75" customHeight="1">
      <c r="A211" s="540"/>
      <c r="B211" s="540"/>
      <c r="C211" s="540"/>
      <c r="D211" s="540"/>
      <c r="E211" s="540"/>
      <c r="F211" s="540"/>
      <c r="G211" s="540"/>
      <c r="H211" s="540"/>
      <c r="I211" s="540"/>
      <c r="J211" s="540"/>
      <c r="K211" s="540"/>
      <c r="L211" s="540"/>
      <c r="M211" s="540"/>
      <c r="N211" s="540"/>
      <c r="O211" s="540"/>
      <c r="P211" s="540"/>
      <c r="Q211" s="540"/>
      <c r="R211" s="540"/>
      <c r="S211" s="540"/>
      <c r="T211" s="540"/>
      <c r="U211" s="540"/>
      <c r="V211" s="540"/>
      <c r="W211" s="540"/>
      <c r="X211" s="540"/>
      <c r="Y211" s="540"/>
      <c r="Z211" s="540"/>
    </row>
    <row r="212" ht="171.75" customHeight="1">
      <c r="A212" s="540"/>
      <c r="B212" s="540"/>
      <c r="C212" s="540"/>
      <c r="D212" s="540"/>
      <c r="E212" s="540"/>
      <c r="F212" s="540"/>
      <c r="G212" s="540"/>
      <c r="H212" s="540"/>
      <c r="I212" s="540"/>
      <c r="J212" s="540"/>
      <c r="K212" s="540"/>
      <c r="L212" s="540"/>
      <c r="M212" s="540"/>
      <c r="N212" s="540"/>
      <c r="O212" s="540"/>
      <c r="P212" s="540"/>
      <c r="Q212" s="540"/>
      <c r="R212" s="540"/>
      <c r="S212" s="540"/>
      <c r="T212" s="540"/>
      <c r="U212" s="540"/>
      <c r="V212" s="540"/>
      <c r="W212" s="540"/>
      <c r="X212" s="540"/>
      <c r="Y212" s="540"/>
      <c r="Z212" s="540"/>
    </row>
    <row r="213" ht="171.75" customHeight="1">
      <c r="A213" s="540"/>
      <c r="B213" s="540"/>
      <c r="C213" s="540"/>
      <c r="D213" s="540"/>
      <c r="E213" s="540"/>
      <c r="F213" s="540"/>
      <c r="G213" s="540"/>
      <c r="H213" s="540"/>
      <c r="I213" s="540"/>
      <c r="J213" s="540"/>
      <c r="K213" s="540"/>
      <c r="L213" s="540"/>
      <c r="M213" s="540"/>
      <c r="N213" s="540"/>
      <c r="O213" s="540"/>
      <c r="P213" s="540"/>
      <c r="Q213" s="540"/>
      <c r="R213" s="540"/>
      <c r="S213" s="540"/>
      <c r="T213" s="540"/>
      <c r="U213" s="540"/>
      <c r="V213" s="540"/>
      <c r="W213" s="540"/>
      <c r="X213" s="540"/>
      <c r="Y213" s="540"/>
      <c r="Z213" s="540"/>
    </row>
    <row r="214" ht="171.75" customHeight="1">
      <c r="A214" s="540"/>
      <c r="B214" s="540"/>
      <c r="C214" s="540"/>
      <c r="D214" s="540"/>
      <c r="E214" s="540"/>
      <c r="F214" s="540"/>
      <c r="G214" s="540"/>
      <c r="H214" s="540"/>
      <c r="I214" s="540"/>
      <c r="J214" s="540"/>
      <c r="K214" s="540"/>
      <c r="L214" s="540"/>
      <c r="M214" s="540"/>
      <c r="N214" s="540"/>
      <c r="O214" s="540"/>
      <c r="P214" s="540"/>
      <c r="Q214" s="540"/>
      <c r="R214" s="540"/>
      <c r="S214" s="540"/>
      <c r="T214" s="540"/>
      <c r="U214" s="540"/>
      <c r="V214" s="540"/>
      <c r="W214" s="540"/>
      <c r="X214" s="540"/>
      <c r="Y214" s="540"/>
      <c r="Z214" s="540"/>
    </row>
    <row r="215" ht="171.75" customHeight="1">
      <c r="A215" s="540"/>
      <c r="B215" s="540"/>
      <c r="C215" s="540"/>
      <c r="D215" s="540"/>
      <c r="E215" s="540"/>
      <c r="F215" s="540"/>
      <c r="G215" s="540"/>
      <c r="H215" s="540"/>
      <c r="I215" s="540"/>
      <c r="J215" s="540"/>
      <c r="K215" s="540"/>
      <c r="L215" s="540"/>
      <c r="M215" s="540"/>
      <c r="N215" s="540"/>
      <c r="O215" s="540"/>
      <c r="P215" s="540"/>
      <c r="Q215" s="540"/>
      <c r="R215" s="540"/>
      <c r="S215" s="540"/>
      <c r="T215" s="540"/>
      <c r="U215" s="540"/>
      <c r="V215" s="540"/>
      <c r="W215" s="540"/>
      <c r="X215" s="540"/>
      <c r="Y215" s="540"/>
      <c r="Z215" s="540"/>
    </row>
    <row r="216" ht="171.75" customHeight="1">
      <c r="A216" s="540"/>
      <c r="B216" s="540"/>
      <c r="C216" s="540"/>
      <c r="D216" s="540"/>
      <c r="E216" s="540"/>
      <c r="F216" s="540"/>
      <c r="G216" s="540"/>
      <c r="H216" s="540"/>
      <c r="I216" s="540"/>
      <c r="J216" s="540"/>
      <c r="K216" s="540"/>
      <c r="L216" s="540"/>
      <c r="M216" s="540"/>
      <c r="N216" s="540"/>
      <c r="O216" s="540"/>
      <c r="P216" s="540"/>
      <c r="Q216" s="540"/>
      <c r="R216" s="540"/>
      <c r="S216" s="540"/>
      <c r="T216" s="540"/>
      <c r="U216" s="540"/>
      <c r="V216" s="540"/>
      <c r="W216" s="540"/>
      <c r="X216" s="540"/>
      <c r="Y216" s="540"/>
      <c r="Z216" s="540"/>
    </row>
    <row r="217" ht="171.75" customHeight="1">
      <c r="A217" s="540"/>
      <c r="B217" s="540"/>
      <c r="C217" s="540"/>
      <c r="D217" s="540"/>
      <c r="E217" s="540"/>
      <c r="F217" s="540"/>
      <c r="G217" s="540"/>
      <c r="H217" s="540"/>
      <c r="I217" s="540"/>
      <c r="J217" s="540"/>
      <c r="K217" s="540"/>
      <c r="L217" s="540"/>
      <c r="M217" s="540"/>
      <c r="N217" s="540"/>
      <c r="O217" s="540"/>
      <c r="P217" s="540"/>
      <c r="Q217" s="540"/>
      <c r="R217" s="540"/>
      <c r="S217" s="540"/>
      <c r="T217" s="540"/>
      <c r="U217" s="540"/>
      <c r="V217" s="540"/>
      <c r="W217" s="540"/>
      <c r="X217" s="540"/>
      <c r="Y217" s="540"/>
      <c r="Z217" s="540"/>
    </row>
    <row r="218" ht="171.75" customHeight="1">
      <c r="A218" s="540"/>
      <c r="B218" s="540"/>
      <c r="C218" s="540"/>
      <c r="D218" s="540"/>
      <c r="E218" s="540"/>
      <c r="F218" s="540"/>
      <c r="G218" s="540"/>
      <c r="H218" s="540"/>
      <c r="I218" s="540"/>
      <c r="J218" s="540"/>
      <c r="K218" s="540"/>
      <c r="L218" s="540"/>
      <c r="M218" s="540"/>
      <c r="N218" s="540"/>
      <c r="O218" s="540"/>
      <c r="P218" s="540"/>
      <c r="Q218" s="540"/>
      <c r="R218" s="540"/>
      <c r="S218" s="540"/>
      <c r="T218" s="540"/>
      <c r="U218" s="540"/>
      <c r="V218" s="540"/>
      <c r="W218" s="540"/>
      <c r="X218" s="540"/>
      <c r="Y218" s="540"/>
      <c r="Z218" s="540"/>
    </row>
    <row r="219" ht="171.75" customHeight="1">
      <c r="A219" s="540"/>
      <c r="B219" s="540"/>
      <c r="C219" s="540"/>
      <c r="D219" s="540"/>
      <c r="E219" s="540"/>
      <c r="F219" s="540"/>
      <c r="G219" s="540"/>
      <c r="H219" s="540"/>
      <c r="I219" s="540"/>
      <c r="J219" s="540"/>
      <c r="K219" s="540"/>
      <c r="L219" s="540"/>
      <c r="M219" s="540"/>
      <c r="N219" s="540"/>
      <c r="O219" s="540"/>
      <c r="P219" s="540"/>
      <c r="Q219" s="540"/>
      <c r="R219" s="540"/>
      <c r="S219" s="540"/>
      <c r="T219" s="540"/>
      <c r="U219" s="540"/>
      <c r="V219" s="540"/>
      <c r="W219" s="540"/>
      <c r="X219" s="540"/>
      <c r="Y219" s="540"/>
      <c r="Z219" s="540"/>
    </row>
    <row r="220" ht="171.75" customHeight="1">
      <c r="A220" s="540"/>
      <c r="B220" s="540"/>
      <c r="C220" s="540"/>
      <c r="D220" s="540"/>
      <c r="E220" s="540"/>
      <c r="F220" s="540"/>
      <c r="G220" s="540"/>
      <c r="H220" s="540"/>
      <c r="I220" s="540"/>
      <c r="J220" s="540"/>
      <c r="K220" s="540"/>
      <c r="L220" s="540"/>
      <c r="M220" s="540"/>
      <c r="N220" s="540"/>
      <c r="O220" s="540"/>
      <c r="P220" s="540"/>
      <c r="Q220" s="540"/>
      <c r="R220" s="540"/>
      <c r="S220" s="540"/>
      <c r="T220" s="540"/>
      <c r="U220" s="540"/>
      <c r="V220" s="540"/>
      <c r="W220" s="540"/>
      <c r="X220" s="540"/>
      <c r="Y220" s="540"/>
      <c r="Z220" s="540"/>
    </row>
    <row r="221" ht="171.75" customHeight="1">
      <c r="A221" s="540"/>
      <c r="B221" s="540"/>
      <c r="C221" s="540"/>
      <c r="D221" s="540"/>
      <c r="E221" s="540"/>
      <c r="F221" s="540"/>
      <c r="G221" s="540"/>
      <c r="H221" s="540"/>
      <c r="I221" s="540"/>
      <c r="J221" s="540"/>
      <c r="K221" s="540"/>
      <c r="L221" s="540"/>
      <c r="M221" s="540"/>
      <c r="N221" s="540"/>
      <c r="O221" s="540"/>
      <c r="P221" s="540"/>
      <c r="Q221" s="540"/>
      <c r="R221" s="540"/>
      <c r="S221" s="540"/>
      <c r="T221" s="540"/>
      <c r="U221" s="540"/>
      <c r="V221" s="540"/>
      <c r="W221" s="540"/>
      <c r="X221" s="540"/>
      <c r="Y221" s="540"/>
      <c r="Z221" s="540"/>
    </row>
    <row r="222" ht="171.75" customHeight="1">
      <c r="A222" s="540"/>
      <c r="B222" s="540"/>
      <c r="C222" s="540"/>
      <c r="D222" s="540"/>
      <c r="E222" s="540"/>
      <c r="F222" s="540"/>
      <c r="G222" s="540"/>
      <c r="H222" s="540"/>
      <c r="I222" s="540"/>
      <c r="J222" s="540"/>
      <c r="K222" s="540"/>
      <c r="L222" s="540"/>
      <c r="M222" s="540"/>
      <c r="N222" s="540"/>
      <c r="O222" s="540"/>
      <c r="P222" s="540"/>
      <c r="Q222" s="540"/>
      <c r="R222" s="540"/>
      <c r="S222" s="540"/>
      <c r="T222" s="540"/>
      <c r="U222" s="540"/>
      <c r="V222" s="540"/>
      <c r="W222" s="540"/>
      <c r="X222" s="540"/>
      <c r="Y222" s="540"/>
      <c r="Z222" s="540"/>
    </row>
    <row r="223" ht="171.75" customHeight="1">
      <c r="A223" s="540"/>
      <c r="B223" s="540"/>
      <c r="C223" s="540"/>
      <c r="D223" s="540"/>
      <c r="E223" s="540"/>
      <c r="F223" s="540"/>
      <c r="G223" s="540"/>
      <c r="H223" s="540"/>
      <c r="I223" s="540"/>
      <c r="J223" s="540"/>
      <c r="K223" s="540"/>
      <c r="L223" s="540"/>
      <c r="M223" s="540"/>
      <c r="N223" s="540"/>
      <c r="O223" s="540"/>
      <c r="P223" s="540"/>
      <c r="Q223" s="540"/>
      <c r="R223" s="540"/>
      <c r="S223" s="540"/>
      <c r="T223" s="540"/>
      <c r="U223" s="540"/>
      <c r="V223" s="540"/>
      <c r="W223" s="540"/>
      <c r="X223" s="540"/>
      <c r="Y223" s="540"/>
      <c r="Z223" s="540"/>
    </row>
    <row r="224" ht="171.75" customHeight="1">
      <c r="A224" s="540"/>
      <c r="B224" s="540"/>
      <c r="C224" s="540"/>
      <c r="D224" s="540"/>
      <c r="E224" s="540"/>
      <c r="F224" s="540"/>
      <c r="G224" s="540"/>
      <c r="H224" s="540"/>
      <c r="I224" s="540"/>
      <c r="J224" s="540"/>
      <c r="K224" s="540"/>
      <c r="L224" s="540"/>
      <c r="M224" s="540"/>
      <c r="N224" s="540"/>
      <c r="O224" s="540"/>
      <c r="P224" s="540"/>
      <c r="Q224" s="540"/>
      <c r="R224" s="540"/>
      <c r="S224" s="540"/>
      <c r="T224" s="540"/>
      <c r="U224" s="540"/>
      <c r="V224" s="540"/>
      <c r="W224" s="540"/>
      <c r="X224" s="540"/>
      <c r="Y224" s="540"/>
      <c r="Z224" s="540"/>
    </row>
    <row r="225" ht="171.75" customHeight="1">
      <c r="A225" s="540"/>
      <c r="B225" s="540"/>
      <c r="C225" s="540"/>
      <c r="D225" s="540"/>
      <c r="E225" s="540"/>
      <c r="F225" s="540"/>
      <c r="G225" s="540"/>
      <c r="H225" s="540"/>
      <c r="I225" s="540"/>
      <c r="J225" s="540"/>
      <c r="K225" s="540"/>
      <c r="L225" s="540"/>
      <c r="M225" s="540"/>
      <c r="N225" s="540"/>
      <c r="O225" s="540"/>
      <c r="P225" s="540"/>
      <c r="Q225" s="540"/>
      <c r="R225" s="540"/>
      <c r="S225" s="540"/>
      <c r="T225" s="540"/>
      <c r="U225" s="540"/>
      <c r="V225" s="540"/>
      <c r="W225" s="540"/>
      <c r="X225" s="540"/>
      <c r="Y225" s="540"/>
      <c r="Z225" s="540"/>
    </row>
    <row r="226" ht="171.75" customHeight="1">
      <c r="A226" s="540"/>
      <c r="B226" s="540"/>
      <c r="C226" s="540"/>
      <c r="D226" s="540"/>
      <c r="E226" s="540"/>
      <c r="F226" s="540"/>
      <c r="G226" s="540"/>
      <c r="H226" s="540"/>
      <c r="I226" s="540"/>
      <c r="J226" s="540"/>
      <c r="K226" s="540"/>
      <c r="L226" s="540"/>
      <c r="M226" s="540"/>
      <c r="N226" s="540"/>
      <c r="O226" s="540"/>
      <c r="P226" s="540"/>
      <c r="Q226" s="540"/>
      <c r="R226" s="540"/>
      <c r="S226" s="540"/>
      <c r="T226" s="540"/>
      <c r="U226" s="540"/>
      <c r="V226" s="540"/>
      <c r="W226" s="540"/>
      <c r="X226" s="540"/>
      <c r="Y226" s="540"/>
      <c r="Z226" s="540"/>
    </row>
    <row r="227" ht="171.75" customHeight="1">
      <c r="A227" s="540"/>
      <c r="B227" s="540"/>
      <c r="C227" s="540"/>
      <c r="D227" s="540"/>
      <c r="E227" s="540"/>
      <c r="F227" s="540"/>
      <c r="G227" s="540"/>
      <c r="H227" s="540"/>
      <c r="I227" s="540"/>
      <c r="J227" s="540"/>
      <c r="K227" s="540"/>
      <c r="L227" s="540"/>
      <c r="M227" s="540"/>
      <c r="N227" s="540"/>
      <c r="O227" s="540"/>
      <c r="P227" s="540"/>
      <c r="Q227" s="540"/>
      <c r="R227" s="540"/>
      <c r="S227" s="540"/>
      <c r="T227" s="540"/>
      <c r="U227" s="540"/>
      <c r="V227" s="540"/>
      <c r="W227" s="540"/>
      <c r="X227" s="540"/>
      <c r="Y227" s="540"/>
      <c r="Z227" s="540"/>
    </row>
    <row r="228" ht="171.75" customHeight="1">
      <c r="A228" s="540"/>
      <c r="B228" s="540"/>
      <c r="C228" s="540"/>
      <c r="D228" s="540"/>
      <c r="E228" s="540"/>
      <c r="F228" s="540"/>
      <c r="G228" s="540"/>
      <c r="H228" s="540"/>
      <c r="I228" s="540"/>
      <c r="J228" s="540"/>
      <c r="K228" s="540"/>
      <c r="L228" s="540"/>
      <c r="M228" s="540"/>
      <c r="N228" s="540"/>
      <c r="O228" s="540"/>
      <c r="P228" s="540"/>
      <c r="Q228" s="540"/>
      <c r="R228" s="540"/>
      <c r="S228" s="540"/>
      <c r="T228" s="540"/>
      <c r="U228" s="540"/>
      <c r="V228" s="540"/>
      <c r="W228" s="540"/>
      <c r="X228" s="540"/>
      <c r="Y228" s="540"/>
      <c r="Z228" s="540"/>
    </row>
    <row r="229" ht="171.75" customHeight="1">
      <c r="A229" s="540"/>
      <c r="B229" s="540"/>
      <c r="C229" s="540"/>
      <c r="D229" s="540"/>
      <c r="E229" s="540"/>
      <c r="F229" s="540"/>
      <c r="G229" s="540"/>
      <c r="H229" s="540"/>
      <c r="I229" s="540"/>
      <c r="J229" s="540"/>
      <c r="K229" s="540"/>
      <c r="L229" s="540"/>
      <c r="M229" s="540"/>
      <c r="N229" s="540"/>
      <c r="O229" s="540"/>
      <c r="P229" s="540"/>
      <c r="Q229" s="540"/>
      <c r="R229" s="540"/>
      <c r="S229" s="540"/>
      <c r="T229" s="540"/>
      <c r="U229" s="540"/>
      <c r="V229" s="540"/>
      <c r="W229" s="540"/>
      <c r="X229" s="540"/>
      <c r="Y229" s="540"/>
      <c r="Z229" s="540"/>
    </row>
    <row r="230" ht="171.75" customHeight="1">
      <c r="A230" s="540"/>
      <c r="B230" s="540"/>
      <c r="C230" s="540"/>
      <c r="D230" s="540"/>
      <c r="E230" s="540"/>
      <c r="F230" s="540"/>
      <c r="G230" s="540"/>
      <c r="H230" s="540"/>
      <c r="I230" s="540"/>
      <c r="J230" s="540"/>
      <c r="K230" s="540"/>
      <c r="L230" s="540"/>
      <c r="M230" s="540"/>
      <c r="N230" s="540"/>
      <c r="O230" s="540"/>
      <c r="P230" s="540"/>
      <c r="Q230" s="540"/>
      <c r="R230" s="540"/>
      <c r="S230" s="540"/>
      <c r="T230" s="540"/>
      <c r="U230" s="540"/>
      <c r="V230" s="540"/>
      <c r="W230" s="540"/>
      <c r="X230" s="540"/>
      <c r="Y230" s="540"/>
      <c r="Z230" s="540"/>
    </row>
    <row r="231" ht="171.75" customHeight="1">
      <c r="A231" s="540"/>
      <c r="B231" s="540"/>
      <c r="C231" s="540"/>
      <c r="D231" s="540"/>
      <c r="E231" s="540"/>
      <c r="F231" s="540"/>
      <c r="G231" s="540"/>
      <c r="H231" s="540"/>
      <c r="I231" s="540"/>
      <c r="J231" s="540"/>
      <c r="K231" s="540"/>
      <c r="L231" s="540"/>
      <c r="M231" s="540"/>
      <c r="N231" s="540"/>
      <c r="O231" s="540"/>
      <c r="P231" s="540"/>
      <c r="Q231" s="540"/>
      <c r="R231" s="540"/>
      <c r="S231" s="540"/>
      <c r="T231" s="540"/>
      <c r="U231" s="540"/>
      <c r="V231" s="540"/>
      <c r="W231" s="540"/>
      <c r="X231" s="540"/>
      <c r="Y231" s="540"/>
      <c r="Z231" s="540"/>
    </row>
    <row r="232" ht="171.75" customHeight="1">
      <c r="A232" s="540"/>
      <c r="B232" s="540"/>
      <c r="C232" s="540"/>
      <c r="D232" s="540"/>
      <c r="E232" s="540"/>
      <c r="F232" s="540"/>
      <c r="G232" s="540"/>
      <c r="H232" s="540"/>
      <c r="I232" s="540"/>
      <c r="J232" s="540"/>
      <c r="K232" s="540"/>
      <c r="L232" s="540"/>
      <c r="M232" s="540"/>
      <c r="N232" s="540"/>
      <c r="O232" s="540"/>
      <c r="P232" s="540"/>
      <c r="Q232" s="540"/>
      <c r="R232" s="540"/>
      <c r="S232" s="540"/>
      <c r="T232" s="540"/>
      <c r="U232" s="540"/>
      <c r="V232" s="540"/>
      <c r="W232" s="540"/>
      <c r="X232" s="540"/>
      <c r="Y232" s="540"/>
      <c r="Z232" s="540"/>
    </row>
    <row r="233" ht="171.75" customHeight="1">
      <c r="A233" s="540"/>
      <c r="B233" s="540"/>
      <c r="C233" s="540"/>
      <c r="D233" s="540"/>
      <c r="E233" s="540"/>
      <c r="F233" s="540"/>
      <c r="G233" s="540"/>
      <c r="H233" s="540"/>
      <c r="I233" s="540"/>
      <c r="J233" s="540"/>
      <c r="K233" s="540"/>
      <c r="L233" s="540"/>
      <c r="M233" s="540"/>
      <c r="N233" s="540"/>
      <c r="O233" s="540"/>
      <c r="P233" s="540"/>
      <c r="Q233" s="540"/>
      <c r="R233" s="540"/>
      <c r="S233" s="540"/>
      <c r="T233" s="540"/>
      <c r="U233" s="540"/>
      <c r="V233" s="540"/>
      <c r="W233" s="540"/>
      <c r="X233" s="540"/>
      <c r="Y233" s="540"/>
      <c r="Z233" s="540"/>
    </row>
    <row r="234" ht="171.75" customHeight="1">
      <c r="A234" s="540"/>
      <c r="B234" s="540"/>
      <c r="C234" s="540"/>
      <c r="D234" s="540"/>
      <c r="E234" s="540"/>
      <c r="F234" s="540"/>
      <c r="G234" s="540"/>
      <c r="H234" s="540"/>
      <c r="I234" s="540"/>
      <c r="J234" s="540"/>
      <c r="K234" s="540"/>
      <c r="L234" s="540"/>
      <c r="M234" s="540"/>
      <c r="N234" s="540"/>
      <c r="O234" s="540"/>
      <c r="P234" s="540"/>
      <c r="Q234" s="540"/>
      <c r="R234" s="540"/>
      <c r="S234" s="540"/>
      <c r="T234" s="540"/>
      <c r="U234" s="540"/>
      <c r="V234" s="540"/>
      <c r="W234" s="540"/>
      <c r="X234" s="540"/>
      <c r="Y234" s="540"/>
      <c r="Z234" s="540"/>
    </row>
    <row r="235" ht="171.75" customHeight="1">
      <c r="A235" s="540"/>
      <c r="B235" s="540"/>
      <c r="C235" s="540"/>
      <c r="D235" s="540"/>
      <c r="E235" s="540"/>
      <c r="F235" s="540"/>
      <c r="G235" s="540"/>
      <c r="H235" s="540"/>
      <c r="I235" s="540"/>
      <c r="J235" s="540"/>
      <c r="K235" s="540"/>
      <c r="L235" s="540"/>
      <c r="M235" s="540"/>
      <c r="N235" s="540"/>
      <c r="O235" s="540"/>
      <c r="P235" s="540"/>
      <c r="Q235" s="540"/>
      <c r="R235" s="540"/>
      <c r="S235" s="540"/>
      <c r="T235" s="540"/>
      <c r="U235" s="540"/>
      <c r="V235" s="540"/>
      <c r="W235" s="540"/>
      <c r="X235" s="540"/>
      <c r="Y235" s="540"/>
      <c r="Z235" s="540"/>
    </row>
    <row r="236" ht="171.75" customHeight="1">
      <c r="A236" s="540"/>
      <c r="B236" s="540"/>
      <c r="C236" s="540"/>
      <c r="D236" s="540"/>
      <c r="E236" s="540"/>
      <c r="F236" s="540"/>
      <c r="G236" s="540"/>
      <c r="H236" s="540"/>
      <c r="I236" s="540"/>
      <c r="J236" s="540"/>
      <c r="K236" s="540"/>
      <c r="L236" s="540"/>
      <c r="M236" s="540"/>
      <c r="N236" s="540"/>
      <c r="O236" s="540"/>
      <c r="P236" s="540"/>
      <c r="Q236" s="540"/>
      <c r="R236" s="540"/>
      <c r="S236" s="540"/>
      <c r="T236" s="540"/>
      <c r="U236" s="540"/>
      <c r="V236" s="540"/>
      <c r="W236" s="540"/>
      <c r="X236" s="540"/>
      <c r="Y236" s="540"/>
      <c r="Z236" s="540"/>
    </row>
    <row r="237" ht="171.75" customHeight="1">
      <c r="A237" s="540"/>
      <c r="B237" s="540"/>
      <c r="C237" s="540"/>
      <c r="D237" s="540"/>
      <c r="E237" s="540"/>
      <c r="F237" s="540"/>
      <c r="G237" s="540"/>
      <c r="H237" s="540"/>
      <c r="I237" s="540"/>
      <c r="J237" s="540"/>
      <c r="K237" s="540"/>
      <c r="L237" s="540"/>
      <c r="M237" s="540"/>
      <c r="N237" s="540"/>
      <c r="O237" s="540"/>
      <c r="P237" s="540"/>
      <c r="Q237" s="540"/>
      <c r="R237" s="540"/>
      <c r="S237" s="540"/>
      <c r="T237" s="540"/>
      <c r="U237" s="540"/>
      <c r="V237" s="540"/>
      <c r="W237" s="540"/>
      <c r="X237" s="540"/>
      <c r="Y237" s="540"/>
      <c r="Z237" s="540"/>
    </row>
    <row r="238" ht="171.75" customHeight="1">
      <c r="A238" s="540"/>
      <c r="B238" s="540"/>
      <c r="C238" s="540"/>
      <c r="D238" s="540"/>
      <c r="E238" s="540"/>
      <c r="F238" s="540"/>
      <c r="G238" s="540"/>
      <c r="H238" s="540"/>
      <c r="I238" s="540"/>
      <c r="J238" s="540"/>
      <c r="K238" s="540"/>
      <c r="L238" s="540"/>
      <c r="M238" s="540"/>
      <c r="N238" s="540"/>
      <c r="O238" s="540"/>
      <c r="P238" s="540"/>
      <c r="Q238" s="540"/>
      <c r="R238" s="540"/>
      <c r="S238" s="540"/>
      <c r="T238" s="540"/>
      <c r="U238" s="540"/>
      <c r="V238" s="540"/>
      <c r="W238" s="540"/>
      <c r="X238" s="540"/>
      <c r="Y238" s="540"/>
      <c r="Z238" s="540"/>
    </row>
    <row r="239" ht="171.75" customHeight="1">
      <c r="A239" s="540"/>
      <c r="B239" s="540"/>
      <c r="C239" s="540"/>
      <c r="D239" s="540"/>
      <c r="E239" s="540"/>
      <c r="F239" s="540"/>
      <c r="G239" s="540"/>
      <c r="H239" s="540"/>
      <c r="I239" s="540"/>
      <c r="J239" s="540"/>
      <c r="K239" s="540"/>
      <c r="L239" s="540"/>
      <c r="M239" s="540"/>
      <c r="N239" s="540"/>
      <c r="O239" s="540"/>
      <c r="P239" s="540"/>
      <c r="Q239" s="540"/>
      <c r="R239" s="540"/>
      <c r="S239" s="540"/>
      <c r="T239" s="540"/>
      <c r="U239" s="540"/>
      <c r="V239" s="540"/>
      <c r="W239" s="540"/>
      <c r="X239" s="540"/>
      <c r="Y239" s="540"/>
      <c r="Z239" s="540"/>
    </row>
    <row r="240" ht="171.75" customHeight="1">
      <c r="A240" s="540"/>
      <c r="B240" s="540"/>
      <c r="C240" s="540"/>
      <c r="D240" s="540"/>
      <c r="E240" s="540"/>
      <c r="F240" s="540"/>
      <c r="G240" s="540"/>
      <c r="H240" s="540"/>
      <c r="I240" s="540"/>
      <c r="J240" s="540"/>
      <c r="K240" s="540"/>
      <c r="L240" s="540"/>
      <c r="M240" s="540"/>
      <c r="N240" s="540"/>
      <c r="O240" s="540"/>
      <c r="P240" s="540"/>
      <c r="Q240" s="540"/>
      <c r="R240" s="540"/>
      <c r="S240" s="540"/>
      <c r="T240" s="540"/>
      <c r="U240" s="540"/>
      <c r="V240" s="540"/>
      <c r="W240" s="540"/>
      <c r="X240" s="540"/>
      <c r="Y240" s="540"/>
      <c r="Z240" s="540"/>
    </row>
    <row r="241" ht="171.75" customHeight="1">
      <c r="A241" s="540"/>
      <c r="B241" s="540"/>
      <c r="C241" s="540"/>
      <c r="D241" s="540"/>
      <c r="E241" s="540"/>
      <c r="F241" s="540"/>
      <c r="G241" s="540"/>
      <c r="H241" s="540"/>
      <c r="I241" s="540"/>
      <c r="J241" s="540"/>
      <c r="K241" s="540"/>
      <c r="L241" s="540"/>
      <c r="M241" s="540"/>
      <c r="N241" s="540"/>
      <c r="O241" s="540"/>
      <c r="P241" s="540"/>
      <c r="Q241" s="540"/>
      <c r="R241" s="540"/>
      <c r="S241" s="540"/>
      <c r="T241" s="540"/>
      <c r="U241" s="540"/>
      <c r="V241" s="540"/>
      <c r="W241" s="540"/>
      <c r="X241" s="540"/>
      <c r="Y241" s="540"/>
      <c r="Z241" s="540"/>
    </row>
    <row r="242" ht="171.75" customHeight="1">
      <c r="A242" s="540"/>
      <c r="B242" s="540"/>
      <c r="C242" s="540"/>
      <c r="D242" s="540"/>
      <c r="E242" s="540"/>
      <c r="F242" s="540"/>
      <c r="G242" s="540"/>
      <c r="H242" s="540"/>
      <c r="I242" s="540"/>
      <c r="J242" s="540"/>
      <c r="K242" s="540"/>
      <c r="L242" s="540"/>
      <c r="M242" s="540"/>
      <c r="N242" s="540"/>
      <c r="O242" s="540"/>
      <c r="P242" s="540"/>
      <c r="Q242" s="540"/>
      <c r="R242" s="540"/>
      <c r="S242" s="540"/>
      <c r="T242" s="540"/>
      <c r="U242" s="540"/>
      <c r="V242" s="540"/>
      <c r="W242" s="540"/>
      <c r="X242" s="540"/>
      <c r="Y242" s="540"/>
      <c r="Z242" s="540"/>
    </row>
    <row r="243" ht="171.75" customHeight="1">
      <c r="A243" s="540"/>
      <c r="B243" s="540"/>
      <c r="C243" s="540"/>
      <c r="D243" s="540"/>
      <c r="E243" s="540"/>
      <c r="F243" s="540"/>
      <c r="G243" s="540"/>
      <c r="H243" s="540"/>
      <c r="I243" s="540"/>
      <c r="J243" s="540"/>
      <c r="K243" s="540"/>
      <c r="L243" s="540"/>
      <c r="M243" s="540"/>
      <c r="N243" s="540"/>
      <c r="O243" s="540"/>
      <c r="P243" s="540"/>
      <c r="Q243" s="540"/>
      <c r="R243" s="540"/>
      <c r="S243" s="540"/>
      <c r="T243" s="540"/>
      <c r="U243" s="540"/>
      <c r="V243" s="540"/>
      <c r="W243" s="540"/>
      <c r="X243" s="540"/>
      <c r="Y243" s="540"/>
      <c r="Z243" s="540"/>
    </row>
    <row r="244" ht="171.75" customHeight="1">
      <c r="A244" s="540"/>
      <c r="B244" s="540"/>
      <c r="C244" s="540"/>
      <c r="D244" s="540"/>
      <c r="E244" s="540"/>
      <c r="F244" s="540"/>
      <c r="G244" s="540"/>
      <c r="H244" s="540"/>
      <c r="I244" s="540"/>
      <c r="J244" s="540"/>
      <c r="K244" s="540"/>
      <c r="L244" s="540"/>
      <c r="M244" s="540"/>
      <c r="N244" s="540"/>
      <c r="O244" s="540"/>
      <c r="P244" s="540"/>
      <c r="Q244" s="540"/>
      <c r="R244" s="540"/>
      <c r="S244" s="540"/>
      <c r="T244" s="540"/>
      <c r="U244" s="540"/>
      <c r="V244" s="540"/>
      <c r="W244" s="540"/>
      <c r="X244" s="540"/>
      <c r="Y244" s="540"/>
      <c r="Z244" s="540"/>
    </row>
    <row r="245" ht="171.75" customHeight="1">
      <c r="A245" s="540"/>
      <c r="B245" s="540"/>
      <c r="C245" s="540"/>
      <c r="D245" s="540"/>
      <c r="E245" s="540"/>
      <c r="F245" s="540"/>
      <c r="G245" s="540"/>
      <c r="H245" s="540"/>
      <c r="I245" s="540"/>
      <c r="J245" s="540"/>
      <c r="K245" s="540"/>
      <c r="L245" s="540"/>
      <c r="M245" s="540"/>
      <c r="N245" s="540"/>
      <c r="O245" s="540"/>
      <c r="P245" s="540"/>
      <c r="Q245" s="540"/>
      <c r="R245" s="540"/>
      <c r="S245" s="540"/>
      <c r="T245" s="540"/>
      <c r="U245" s="540"/>
      <c r="V245" s="540"/>
      <c r="W245" s="540"/>
      <c r="X245" s="540"/>
      <c r="Y245" s="540"/>
      <c r="Z245" s="540"/>
    </row>
    <row r="246" ht="171.75" customHeight="1">
      <c r="A246" s="540"/>
      <c r="B246" s="540"/>
      <c r="C246" s="540"/>
      <c r="D246" s="540"/>
      <c r="E246" s="540"/>
      <c r="F246" s="540"/>
      <c r="G246" s="540"/>
      <c r="H246" s="540"/>
      <c r="I246" s="540"/>
      <c r="J246" s="540"/>
      <c r="K246" s="540"/>
      <c r="L246" s="540"/>
      <c r="M246" s="540"/>
      <c r="N246" s="540"/>
      <c r="O246" s="540"/>
      <c r="P246" s="540"/>
      <c r="Q246" s="540"/>
      <c r="R246" s="540"/>
      <c r="S246" s="540"/>
      <c r="T246" s="540"/>
      <c r="U246" s="540"/>
      <c r="V246" s="540"/>
      <c r="W246" s="540"/>
      <c r="X246" s="540"/>
      <c r="Y246" s="540"/>
      <c r="Z246" s="540"/>
    </row>
    <row r="247" ht="171.75" customHeight="1">
      <c r="A247" s="540"/>
      <c r="B247" s="540"/>
      <c r="C247" s="540"/>
      <c r="D247" s="540"/>
      <c r="E247" s="540"/>
      <c r="F247" s="540"/>
      <c r="G247" s="540"/>
      <c r="H247" s="540"/>
      <c r="I247" s="540"/>
      <c r="J247" s="540"/>
      <c r="K247" s="540"/>
      <c r="L247" s="540"/>
      <c r="M247" s="540"/>
      <c r="N247" s="540"/>
      <c r="O247" s="540"/>
      <c r="P247" s="540"/>
      <c r="Q247" s="540"/>
      <c r="R247" s="540"/>
      <c r="S247" s="540"/>
      <c r="T247" s="540"/>
      <c r="U247" s="540"/>
      <c r="V247" s="540"/>
      <c r="W247" s="540"/>
      <c r="X247" s="540"/>
      <c r="Y247" s="540"/>
      <c r="Z247" s="540"/>
    </row>
    <row r="248" ht="171.75" customHeight="1">
      <c r="A248" s="540"/>
      <c r="B248" s="540"/>
      <c r="C248" s="540"/>
      <c r="D248" s="540"/>
      <c r="E248" s="540"/>
      <c r="F248" s="540"/>
      <c r="G248" s="540"/>
      <c r="H248" s="540"/>
      <c r="I248" s="540"/>
      <c r="J248" s="540"/>
      <c r="K248" s="540"/>
      <c r="L248" s="540"/>
      <c r="M248" s="540"/>
      <c r="N248" s="540"/>
      <c r="O248" s="540"/>
      <c r="P248" s="540"/>
      <c r="Q248" s="540"/>
      <c r="R248" s="540"/>
      <c r="S248" s="540"/>
      <c r="T248" s="540"/>
      <c r="U248" s="540"/>
      <c r="V248" s="540"/>
      <c r="W248" s="540"/>
      <c r="X248" s="540"/>
      <c r="Y248" s="540"/>
      <c r="Z248" s="540"/>
    </row>
    <row r="249" ht="171.75" customHeight="1">
      <c r="A249" s="540"/>
      <c r="B249" s="540"/>
      <c r="C249" s="540"/>
      <c r="D249" s="540"/>
      <c r="E249" s="540"/>
      <c r="F249" s="540"/>
      <c r="G249" s="540"/>
      <c r="H249" s="540"/>
      <c r="I249" s="540"/>
      <c r="J249" s="540"/>
      <c r="K249" s="540"/>
      <c r="L249" s="540"/>
      <c r="M249" s="540"/>
      <c r="N249" s="540"/>
      <c r="O249" s="540"/>
      <c r="P249" s="540"/>
      <c r="Q249" s="540"/>
      <c r="R249" s="540"/>
      <c r="S249" s="540"/>
      <c r="T249" s="540"/>
      <c r="U249" s="540"/>
      <c r="V249" s="540"/>
      <c r="W249" s="540"/>
      <c r="X249" s="540"/>
      <c r="Y249" s="540"/>
      <c r="Z249" s="540"/>
    </row>
    <row r="250" ht="171.75" customHeight="1">
      <c r="A250" s="540"/>
      <c r="B250" s="540"/>
      <c r="C250" s="540"/>
      <c r="D250" s="540"/>
      <c r="E250" s="540"/>
      <c r="F250" s="540"/>
      <c r="G250" s="540"/>
      <c r="H250" s="540"/>
      <c r="I250" s="540"/>
      <c r="J250" s="540"/>
      <c r="K250" s="540"/>
      <c r="L250" s="540"/>
      <c r="M250" s="540"/>
      <c r="N250" s="540"/>
      <c r="O250" s="540"/>
      <c r="P250" s="540"/>
      <c r="Q250" s="540"/>
      <c r="R250" s="540"/>
      <c r="S250" s="540"/>
      <c r="T250" s="540"/>
      <c r="U250" s="540"/>
      <c r="V250" s="540"/>
      <c r="W250" s="540"/>
      <c r="X250" s="540"/>
      <c r="Y250" s="540"/>
      <c r="Z250" s="540"/>
    </row>
    <row r="251" ht="171.75" customHeight="1">
      <c r="A251" s="540"/>
      <c r="B251" s="540"/>
      <c r="C251" s="540"/>
      <c r="D251" s="540"/>
      <c r="E251" s="540"/>
      <c r="F251" s="540"/>
      <c r="G251" s="540"/>
      <c r="H251" s="540"/>
      <c r="I251" s="540"/>
      <c r="J251" s="540"/>
      <c r="K251" s="540"/>
      <c r="L251" s="540"/>
      <c r="M251" s="540"/>
      <c r="N251" s="540"/>
      <c r="O251" s="540"/>
      <c r="P251" s="540"/>
      <c r="Q251" s="540"/>
      <c r="R251" s="540"/>
      <c r="S251" s="540"/>
      <c r="T251" s="540"/>
      <c r="U251" s="540"/>
      <c r="V251" s="540"/>
      <c r="W251" s="540"/>
      <c r="X251" s="540"/>
      <c r="Y251" s="540"/>
      <c r="Z251" s="540"/>
    </row>
    <row r="252" ht="171.75" customHeight="1">
      <c r="A252" s="540"/>
      <c r="B252" s="540"/>
      <c r="C252" s="540"/>
      <c r="D252" s="540"/>
      <c r="E252" s="540"/>
      <c r="F252" s="540"/>
      <c r="G252" s="540"/>
      <c r="H252" s="540"/>
      <c r="I252" s="540"/>
      <c r="J252" s="540"/>
      <c r="K252" s="540"/>
      <c r="L252" s="540"/>
      <c r="M252" s="540"/>
      <c r="N252" s="540"/>
      <c r="O252" s="540"/>
      <c r="P252" s="540"/>
      <c r="Q252" s="540"/>
      <c r="R252" s="540"/>
      <c r="S252" s="540"/>
      <c r="T252" s="540"/>
      <c r="U252" s="540"/>
      <c r="V252" s="540"/>
      <c r="W252" s="540"/>
      <c r="X252" s="540"/>
      <c r="Y252" s="540"/>
      <c r="Z252" s="540"/>
    </row>
    <row r="253" ht="171.75" customHeight="1">
      <c r="A253" s="540"/>
      <c r="B253" s="540"/>
      <c r="C253" s="540"/>
      <c r="D253" s="540"/>
      <c r="E253" s="540"/>
      <c r="F253" s="540"/>
      <c r="G253" s="540"/>
      <c r="H253" s="540"/>
      <c r="I253" s="540"/>
      <c r="J253" s="540"/>
      <c r="K253" s="540"/>
      <c r="L253" s="540"/>
      <c r="M253" s="540"/>
      <c r="N253" s="540"/>
      <c r="O253" s="540"/>
      <c r="P253" s="540"/>
      <c r="Q253" s="540"/>
      <c r="R253" s="540"/>
      <c r="S253" s="540"/>
      <c r="T253" s="540"/>
      <c r="U253" s="540"/>
      <c r="V253" s="540"/>
      <c r="W253" s="540"/>
      <c r="X253" s="540"/>
      <c r="Y253" s="540"/>
      <c r="Z253" s="540"/>
    </row>
    <row r="254" ht="171.75" customHeight="1">
      <c r="A254" s="540"/>
      <c r="B254" s="540"/>
      <c r="C254" s="540"/>
      <c r="D254" s="540"/>
      <c r="E254" s="540"/>
      <c r="F254" s="540"/>
      <c r="G254" s="540"/>
      <c r="H254" s="540"/>
      <c r="I254" s="540"/>
      <c r="J254" s="540"/>
      <c r="K254" s="540"/>
      <c r="L254" s="540"/>
      <c r="M254" s="540"/>
      <c r="N254" s="540"/>
      <c r="O254" s="540"/>
      <c r="P254" s="540"/>
      <c r="Q254" s="540"/>
      <c r="R254" s="540"/>
      <c r="S254" s="540"/>
      <c r="T254" s="540"/>
      <c r="U254" s="540"/>
      <c r="V254" s="540"/>
      <c r="W254" s="540"/>
      <c r="X254" s="540"/>
      <c r="Y254" s="540"/>
      <c r="Z254" s="540"/>
    </row>
    <row r="255" ht="171.75" customHeight="1">
      <c r="A255" s="540"/>
      <c r="B255" s="540"/>
      <c r="C255" s="540"/>
      <c r="D255" s="540"/>
      <c r="E255" s="540"/>
      <c r="F255" s="540"/>
      <c r="G255" s="540"/>
      <c r="H255" s="540"/>
      <c r="I255" s="540"/>
      <c r="J255" s="540"/>
      <c r="K255" s="540"/>
      <c r="L255" s="540"/>
      <c r="M255" s="540"/>
      <c r="N255" s="540"/>
      <c r="O255" s="540"/>
      <c r="P255" s="540"/>
      <c r="Q255" s="540"/>
      <c r="R255" s="540"/>
      <c r="S255" s="540"/>
      <c r="T255" s="540"/>
      <c r="U255" s="540"/>
      <c r="V255" s="540"/>
      <c r="W255" s="540"/>
      <c r="X255" s="540"/>
      <c r="Y255" s="540"/>
      <c r="Z255" s="540"/>
    </row>
    <row r="256" ht="171.75" customHeight="1">
      <c r="A256" s="540"/>
      <c r="B256" s="540"/>
      <c r="C256" s="540"/>
      <c r="D256" s="540"/>
      <c r="E256" s="540"/>
      <c r="F256" s="540"/>
      <c r="G256" s="540"/>
      <c r="H256" s="540"/>
      <c r="I256" s="540"/>
      <c r="J256" s="540"/>
      <c r="K256" s="540"/>
      <c r="L256" s="540"/>
      <c r="M256" s="540"/>
      <c r="N256" s="540"/>
      <c r="O256" s="540"/>
      <c r="P256" s="540"/>
      <c r="Q256" s="540"/>
      <c r="R256" s="540"/>
      <c r="S256" s="540"/>
      <c r="T256" s="540"/>
      <c r="U256" s="540"/>
      <c r="V256" s="540"/>
      <c r="W256" s="540"/>
      <c r="X256" s="540"/>
      <c r="Y256" s="540"/>
      <c r="Z256" s="540"/>
    </row>
    <row r="257" ht="171.75" customHeight="1">
      <c r="A257" s="540"/>
      <c r="B257" s="540"/>
      <c r="C257" s="540"/>
      <c r="D257" s="540"/>
      <c r="E257" s="540"/>
      <c r="F257" s="540"/>
      <c r="G257" s="540"/>
      <c r="H257" s="540"/>
      <c r="I257" s="540"/>
      <c r="J257" s="540"/>
      <c r="K257" s="540"/>
      <c r="L257" s="540"/>
      <c r="M257" s="540"/>
      <c r="N257" s="540"/>
      <c r="O257" s="540"/>
      <c r="P257" s="540"/>
      <c r="Q257" s="540"/>
      <c r="R257" s="540"/>
      <c r="S257" s="540"/>
      <c r="T257" s="540"/>
      <c r="U257" s="540"/>
      <c r="V257" s="540"/>
      <c r="W257" s="540"/>
      <c r="X257" s="540"/>
      <c r="Y257" s="540"/>
      <c r="Z257" s="540"/>
    </row>
    <row r="258" ht="171.75" customHeight="1">
      <c r="A258" s="540"/>
      <c r="B258" s="540"/>
      <c r="C258" s="540"/>
      <c r="D258" s="540"/>
      <c r="E258" s="540"/>
      <c r="F258" s="540"/>
      <c r="G258" s="540"/>
      <c r="H258" s="540"/>
      <c r="I258" s="540"/>
      <c r="J258" s="540"/>
      <c r="K258" s="540"/>
      <c r="L258" s="540"/>
      <c r="M258" s="540"/>
      <c r="N258" s="540"/>
      <c r="O258" s="540"/>
      <c r="P258" s="540"/>
      <c r="Q258" s="540"/>
      <c r="R258" s="540"/>
      <c r="S258" s="540"/>
      <c r="T258" s="540"/>
      <c r="U258" s="540"/>
      <c r="V258" s="540"/>
      <c r="W258" s="540"/>
      <c r="X258" s="540"/>
      <c r="Y258" s="540"/>
      <c r="Z258" s="540"/>
    </row>
    <row r="259" ht="171.75" customHeight="1">
      <c r="A259" s="540"/>
      <c r="B259" s="540"/>
      <c r="C259" s="540"/>
      <c r="D259" s="540"/>
      <c r="E259" s="540"/>
      <c r="F259" s="540"/>
      <c r="G259" s="540"/>
      <c r="H259" s="540"/>
      <c r="I259" s="540"/>
      <c r="J259" s="540"/>
      <c r="K259" s="540"/>
      <c r="L259" s="540"/>
      <c r="M259" s="540"/>
      <c r="N259" s="540"/>
      <c r="O259" s="540"/>
      <c r="P259" s="540"/>
      <c r="Q259" s="540"/>
      <c r="R259" s="540"/>
      <c r="S259" s="540"/>
      <c r="T259" s="540"/>
      <c r="U259" s="540"/>
      <c r="V259" s="540"/>
      <c r="W259" s="540"/>
      <c r="X259" s="540"/>
      <c r="Y259" s="540"/>
      <c r="Z259" s="540"/>
    </row>
    <row r="260" ht="171.75" customHeight="1">
      <c r="A260" s="540"/>
      <c r="B260" s="540"/>
      <c r="C260" s="540"/>
      <c r="D260" s="540"/>
      <c r="E260" s="540"/>
      <c r="F260" s="540"/>
      <c r="G260" s="540"/>
      <c r="H260" s="540"/>
      <c r="I260" s="540"/>
      <c r="J260" s="540"/>
      <c r="K260" s="540"/>
      <c r="L260" s="540"/>
      <c r="M260" s="540"/>
      <c r="N260" s="540"/>
      <c r="O260" s="540"/>
      <c r="P260" s="540"/>
      <c r="Q260" s="540"/>
      <c r="R260" s="540"/>
      <c r="S260" s="540"/>
      <c r="T260" s="540"/>
      <c r="U260" s="540"/>
      <c r="V260" s="540"/>
      <c r="W260" s="540"/>
      <c r="X260" s="540"/>
      <c r="Y260" s="540"/>
      <c r="Z260" s="540"/>
    </row>
    <row r="261" ht="171.75" customHeight="1">
      <c r="A261" s="540"/>
      <c r="B261" s="540"/>
      <c r="C261" s="540"/>
      <c r="D261" s="540"/>
      <c r="E261" s="540"/>
      <c r="F261" s="540"/>
      <c r="G261" s="540"/>
      <c r="H261" s="540"/>
      <c r="I261" s="540"/>
      <c r="J261" s="540"/>
      <c r="K261" s="540"/>
      <c r="L261" s="540"/>
      <c r="M261" s="540"/>
      <c r="N261" s="540"/>
      <c r="O261" s="540"/>
      <c r="P261" s="540"/>
      <c r="Q261" s="540"/>
      <c r="R261" s="540"/>
      <c r="S261" s="540"/>
      <c r="T261" s="540"/>
      <c r="U261" s="540"/>
      <c r="V261" s="540"/>
      <c r="W261" s="540"/>
      <c r="X261" s="540"/>
      <c r="Y261" s="540"/>
      <c r="Z261" s="540"/>
    </row>
    <row r="262" ht="171.75" customHeight="1">
      <c r="A262" s="540"/>
      <c r="B262" s="540"/>
      <c r="C262" s="540"/>
      <c r="D262" s="540"/>
      <c r="E262" s="540"/>
      <c r="F262" s="540"/>
      <c r="G262" s="540"/>
      <c r="H262" s="540"/>
      <c r="I262" s="540"/>
      <c r="J262" s="540"/>
      <c r="K262" s="540"/>
      <c r="L262" s="540"/>
      <c r="M262" s="540"/>
      <c r="N262" s="540"/>
      <c r="O262" s="540"/>
      <c r="P262" s="540"/>
      <c r="Q262" s="540"/>
      <c r="R262" s="540"/>
      <c r="S262" s="540"/>
      <c r="T262" s="540"/>
      <c r="U262" s="540"/>
      <c r="V262" s="540"/>
      <c r="W262" s="540"/>
      <c r="X262" s="540"/>
      <c r="Y262" s="540"/>
      <c r="Z262" s="540"/>
    </row>
    <row r="263" ht="171.75" customHeight="1">
      <c r="A263" s="540"/>
      <c r="B263" s="540"/>
      <c r="C263" s="540"/>
      <c r="D263" s="540"/>
      <c r="E263" s="540"/>
      <c r="F263" s="540"/>
      <c r="G263" s="540"/>
      <c r="H263" s="540"/>
      <c r="I263" s="540"/>
      <c r="J263" s="540"/>
      <c r="K263" s="540"/>
      <c r="L263" s="540"/>
      <c r="M263" s="540"/>
      <c r="N263" s="540"/>
      <c r="O263" s="540"/>
      <c r="P263" s="540"/>
      <c r="Q263" s="540"/>
      <c r="R263" s="540"/>
      <c r="S263" s="540"/>
      <c r="T263" s="540"/>
      <c r="U263" s="540"/>
      <c r="V263" s="540"/>
      <c r="W263" s="540"/>
      <c r="X263" s="540"/>
      <c r="Y263" s="540"/>
      <c r="Z263" s="540"/>
    </row>
    <row r="264" ht="171.75" customHeight="1">
      <c r="A264" s="540"/>
      <c r="B264" s="540"/>
      <c r="C264" s="540"/>
      <c r="D264" s="540"/>
      <c r="E264" s="540"/>
      <c r="F264" s="540"/>
      <c r="G264" s="540"/>
      <c r="H264" s="540"/>
      <c r="I264" s="540"/>
      <c r="J264" s="540"/>
      <c r="K264" s="540"/>
      <c r="L264" s="540"/>
      <c r="M264" s="540"/>
      <c r="N264" s="540"/>
      <c r="O264" s="540"/>
      <c r="P264" s="540"/>
      <c r="Q264" s="540"/>
      <c r="R264" s="540"/>
      <c r="S264" s="540"/>
      <c r="T264" s="540"/>
      <c r="U264" s="540"/>
      <c r="V264" s="540"/>
      <c r="W264" s="540"/>
      <c r="X264" s="540"/>
      <c r="Y264" s="540"/>
      <c r="Z264" s="540"/>
    </row>
    <row r="265" ht="171.75" customHeight="1">
      <c r="A265" s="540"/>
      <c r="B265" s="540"/>
      <c r="C265" s="540"/>
      <c r="D265" s="540"/>
      <c r="E265" s="540"/>
      <c r="F265" s="540"/>
      <c r="G265" s="540"/>
      <c r="H265" s="540"/>
      <c r="I265" s="540"/>
      <c r="J265" s="540"/>
      <c r="K265" s="540"/>
      <c r="L265" s="540"/>
      <c r="M265" s="540"/>
      <c r="N265" s="540"/>
      <c r="O265" s="540"/>
      <c r="P265" s="540"/>
      <c r="Q265" s="540"/>
      <c r="R265" s="540"/>
      <c r="S265" s="540"/>
      <c r="T265" s="540"/>
      <c r="U265" s="540"/>
      <c r="V265" s="540"/>
      <c r="W265" s="540"/>
      <c r="X265" s="540"/>
      <c r="Y265" s="540"/>
      <c r="Z265" s="540"/>
    </row>
    <row r="266" ht="171.75" customHeight="1">
      <c r="A266" s="540"/>
      <c r="B266" s="540"/>
      <c r="C266" s="540"/>
      <c r="D266" s="540"/>
      <c r="E266" s="540"/>
      <c r="F266" s="540"/>
      <c r="G266" s="540"/>
      <c r="H266" s="540"/>
      <c r="I266" s="540"/>
      <c r="J266" s="540"/>
      <c r="K266" s="540"/>
      <c r="L266" s="540"/>
      <c r="M266" s="540"/>
      <c r="N266" s="540"/>
      <c r="O266" s="540"/>
      <c r="P266" s="540"/>
      <c r="Q266" s="540"/>
      <c r="R266" s="540"/>
      <c r="S266" s="540"/>
      <c r="T266" s="540"/>
      <c r="U266" s="540"/>
      <c r="V266" s="540"/>
      <c r="W266" s="540"/>
      <c r="X266" s="540"/>
      <c r="Y266" s="540"/>
      <c r="Z266" s="540"/>
    </row>
    <row r="267" ht="171.75" customHeight="1">
      <c r="A267" s="540"/>
      <c r="B267" s="540"/>
      <c r="C267" s="540"/>
      <c r="D267" s="540"/>
      <c r="E267" s="540"/>
      <c r="F267" s="540"/>
      <c r="G267" s="540"/>
      <c r="H267" s="540"/>
      <c r="I267" s="540"/>
      <c r="J267" s="540"/>
      <c r="K267" s="540"/>
      <c r="L267" s="540"/>
      <c r="M267" s="540"/>
      <c r="N267" s="540"/>
      <c r="O267" s="540"/>
      <c r="P267" s="540"/>
      <c r="Q267" s="540"/>
      <c r="R267" s="540"/>
      <c r="S267" s="540"/>
      <c r="T267" s="540"/>
      <c r="U267" s="540"/>
      <c r="V267" s="540"/>
      <c r="W267" s="540"/>
      <c r="X267" s="540"/>
      <c r="Y267" s="540"/>
      <c r="Z267" s="540"/>
    </row>
    <row r="268" ht="171.75" customHeight="1">
      <c r="A268" s="540"/>
      <c r="B268" s="540"/>
      <c r="C268" s="540"/>
      <c r="D268" s="540"/>
      <c r="E268" s="540"/>
      <c r="F268" s="540"/>
      <c r="G268" s="540"/>
      <c r="H268" s="540"/>
      <c r="I268" s="540"/>
      <c r="J268" s="540"/>
      <c r="K268" s="540"/>
      <c r="L268" s="540"/>
      <c r="M268" s="540"/>
      <c r="N268" s="540"/>
      <c r="O268" s="540"/>
      <c r="P268" s="540"/>
      <c r="Q268" s="540"/>
      <c r="R268" s="540"/>
      <c r="S268" s="540"/>
      <c r="T268" s="540"/>
      <c r="U268" s="540"/>
      <c r="V268" s="540"/>
      <c r="W268" s="540"/>
      <c r="X268" s="540"/>
      <c r="Y268" s="540"/>
      <c r="Z268" s="540"/>
    </row>
    <row r="269" ht="171.75" customHeight="1">
      <c r="A269" s="540"/>
      <c r="B269" s="540"/>
      <c r="C269" s="540"/>
      <c r="D269" s="540"/>
      <c r="E269" s="540"/>
      <c r="F269" s="540"/>
      <c r="G269" s="540"/>
      <c r="H269" s="540"/>
      <c r="I269" s="540"/>
      <c r="J269" s="540"/>
      <c r="K269" s="540"/>
      <c r="L269" s="540"/>
      <c r="M269" s="540"/>
      <c r="N269" s="540"/>
      <c r="O269" s="540"/>
      <c r="P269" s="540"/>
      <c r="Q269" s="540"/>
      <c r="R269" s="540"/>
      <c r="S269" s="540"/>
      <c r="T269" s="540"/>
      <c r="U269" s="540"/>
      <c r="V269" s="540"/>
      <c r="W269" s="540"/>
      <c r="X269" s="540"/>
      <c r="Y269" s="540"/>
      <c r="Z269" s="540"/>
    </row>
    <row r="270" ht="171.75" customHeight="1">
      <c r="A270" s="540"/>
      <c r="B270" s="540"/>
      <c r="C270" s="540"/>
      <c r="D270" s="540"/>
      <c r="E270" s="540"/>
      <c r="F270" s="540"/>
      <c r="G270" s="540"/>
      <c r="H270" s="540"/>
      <c r="I270" s="540"/>
      <c r="J270" s="540"/>
      <c r="K270" s="540"/>
      <c r="L270" s="540"/>
      <c r="M270" s="540"/>
      <c r="N270" s="540"/>
      <c r="O270" s="540"/>
      <c r="P270" s="540"/>
      <c r="Q270" s="540"/>
      <c r="R270" s="540"/>
      <c r="S270" s="540"/>
      <c r="T270" s="540"/>
      <c r="U270" s="540"/>
      <c r="V270" s="540"/>
      <c r="W270" s="540"/>
      <c r="X270" s="540"/>
      <c r="Y270" s="540"/>
      <c r="Z270" s="540"/>
    </row>
    <row r="271" ht="171.75" customHeight="1">
      <c r="A271" s="540"/>
      <c r="B271" s="540"/>
      <c r="C271" s="540"/>
      <c r="D271" s="540"/>
      <c r="E271" s="540"/>
      <c r="F271" s="540"/>
      <c r="G271" s="540"/>
      <c r="H271" s="540"/>
      <c r="I271" s="540"/>
      <c r="J271" s="540"/>
      <c r="K271" s="540"/>
      <c r="L271" s="540"/>
      <c r="M271" s="540"/>
      <c r="N271" s="540"/>
      <c r="O271" s="540"/>
      <c r="P271" s="540"/>
      <c r="Q271" s="540"/>
      <c r="R271" s="540"/>
      <c r="S271" s="540"/>
      <c r="T271" s="540"/>
      <c r="U271" s="540"/>
      <c r="V271" s="540"/>
      <c r="W271" s="540"/>
      <c r="X271" s="540"/>
      <c r="Y271" s="540"/>
      <c r="Z271" s="540"/>
    </row>
    <row r="272" ht="171.75" customHeight="1">
      <c r="A272" s="540"/>
      <c r="B272" s="540"/>
      <c r="C272" s="540"/>
      <c r="D272" s="540"/>
      <c r="E272" s="540"/>
      <c r="F272" s="540"/>
      <c r="G272" s="540"/>
      <c r="H272" s="540"/>
      <c r="I272" s="540"/>
      <c r="J272" s="540"/>
      <c r="K272" s="540"/>
      <c r="L272" s="540"/>
      <c r="M272" s="540"/>
      <c r="N272" s="540"/>
      <c r="O272" s="540"/>
      <c r="P272" s="540"/>
      <c r="Q272" s="540"/>
      <c r="R272" s="540"/>
      <c r="S272" s="540"/>
      <c r="T272" s="540"/>
      <c r="U272" s="540"/>
      <c r="V272" s="540"/>
      <c r="W272" s="540"/>
      <c r="X272" s="540"/>
      <c r="Y272" s="540"/>
      <c r="Z272" s="540"/>
    </row>
    <row r="273" ht="171.75" customHeight="1">
      <c r="A273" s="540"/>
      <c r="B273" s="540"/>
      <c r="C273" s="540"/>
      <c r="D273" s="540"/>
      <c r="E273" s="540"/>
      <c r="F273" s="540"/>
      <c r="G273" s="540"/>
      <c r="H273" s="540"/>
      <c r="I273" s="540"/>
      <c r="J273" s="540"/>
      <c r="K273" s="540"/>
      <c r="L273" s="540"/>
      <c r="M273" s="540"/>
      <c r="N273" s="540"/>
      <c r="O273" s="540"/>
      <c r="P273" s="540"/>
      <c r="Q273" s="540"/>
      <c r="R273" s="540"/>
      <c r="S273" s="540"/>
      <c r="T273" s="540"/>
      <c r="U273" s="540"/>
      <c r="V273" s="540"/>
      <c r="W273" s="540"/>
      <c r="X273" s="540"/>
      <c r="Y273" s="540"/>
      <c r="Z273" s="540"/>
    </row>
    <row r="274" ht="171.75" customHeight="1">
      <c r="A274" s="540"/>
      <c r="B274" s="540"/>
      <c r="C274" s="540"/>
      <c r="D274" s="540"/>
      <c r="E274" s="540"/>
      <c r="F274" s="540"/>
      <c r="G274" s="540"/>
      <c r="H274" s="540"/>
      <c r="I274" s="540"/>
      <c r="J274" s="540"/>
      <c r="K274" s="540"/>
      <c r="L274" s="540"/>
      <c r="M274" s="540"/>
      <c r="N274" s="540"/>
      <c r="O274" s="540"/>
      <c r="P274" s="540"/>
      <c r="Q274" s="540"/>
      <c r="R274" s="540"/>
      <c r="S274" s="540"/>
      <c r="T274" s="540"/>
      <c r="U274" s="540"/>
      <c r="V274" s="540"/>
      <c r="W274" s="540"/>
      <c r="X274" s="540"/>
      <c r="Y274" s="540"/>
      <c r="Z274" s="540"/>
    </row>
    <row r="275" ht="171.75" customHeight="1">
      <c r="A275" s="540"/>
      <c r="B275" s="540"/>
      <c r="C275" s="540"/>
      <c r="D275" s="540"/>
      <c r="E275" s="540"/>
      <c r="F275" s="540"/>
      <c r="G275" s="540"/>
      <c r="H275" s="540"/>
      <c r="I275" s="540"/>
      <c r="J275" s="540"/>
      <c r="K275" s="540"/>
      <c r="L275" s="540"/>
      <c r="M275" s="540"/>
      <c r="N275" s="540"/>
      <c r="O275" s="540"/>
      <c r="P275" s="540"/>
      <c r="Q275" s="540"/>
      <c r="R275" s="540"/>
      <c r="S275" s="540"/>
      <c r="T275" s="540"/>
      <c r="U275" s="540"/>
      <c r="V275" s="540"/>
      <c r="W275" s="540"/>
      <c r="X275" s="540"/>
      <c r="Y275" s="540"/>
      <c r="Z275" s="540"/>
    </row>
    <row r="276" ht="171.75" customHeight="1">
      <c r="A276" s="540"/>
      <c r="B276" s="540"/>
      <c r="C276" s="540"/>
      <c r="D276" s="540"/>
      <c r="E276" s="540"/>
      <c r="F276" s="540"/>
      <c r="G276" s="540"/>
      <c r="H276" s="540"/>
      <c r="I276" s="540"/>
      <c r="J276" s="540"/>
      <c r="K276" s="540"/>
      <c r="L276" s="540"/>
      <c r="M276" s="540"/>
      <c r="N276" s="540"/>
      <c r="O276" s="540"/>
      <c r="P276" s="540"/>
      <c r="Q276" s="540"/>
      <c r="R276" s="540"/>
      <c r="S276" s="540"/>
      <c r="T276" s="540"/>
      <c r="U276" s="540"/>
      <c r="V276" s="540"/>
      <c r="W276" s="540"/>
      <c r="X276" s="540"/>
      <c r="Y276" s="540"/>
      <c r="Z276" s="540"/>
    </row>
    <row r="277" ht="171.75" customHeight="1">
      <c r="A277" s="540"/>
      <c r="B277" s="540"/>
      <c r="C277" s="540"/>
      <c r="D277" s="540"/>
      <c r="E277" s="540"/>
      <c r="F277" s="540"/>
      <c r="G277" s="540"/>
      <c r="H277" s="540"/>
      <c r="I277" s="540"/>
      <c r="J277" s="540"/>
      <c r="K277" s="540"/>
      <c r="L277" s="540"/>
      <c r="M277" s="540"/>
      <c r="N277" s="540"/>
      <c r="O277" s="540"/>
      <c r="P277" s="540"/>
      <c r="Q277" s="540"/>
      <c r="R277" s="540"/>
      <c r="S277" s="540"/>
      <c r="T277" s="540"/>
      <c r="U277" s="540"/>
      <c r="V277" s="540"/>
      <c r="W277" s="540"/>
      <c r="X277" s="540"/>
      <c r="Y277" s="540"/>
      <c r="Z277" s="540"/>
    </row>
    <row r="278" ht="171.75" customHeight="1">
      <c r="A278" s="540"/>
      <c r="B278" s="540"/>
      <c r="C278" s="540"/>
      <c r="D278" s="540"/>
      <c r="E278" s="540"/>
      <c r="F278" s="540"/>
      <c r="G278" s="540"/>
      <c r="H278" s="540"/>
      <c r="I278" s="540"/>
      <c r="J278" s="540"/>
      <c r="K278" s="540"/>
      <c r="L278" s="540"/>
      <c r="M278" s="540"/>
      <c r="N278" s="540"/>
      <c r="O278" s="540"/>
      <c r="P278" s="540"/>
      <c r="Q278" s="540"/>
      <c r="R278" s="540"/>
      <c r="S278" s="540"/>
      <c r="T278" s="540"/>
      <c r="U278" s="540"/>
      <c r="V278" s="540"/>
      <c r="W278" s="540"/>
      <c r="X278" s="540"/>
      <c r="Y278" s="540"/>
      <c r="Z278" s="540"/>
    </row>
    <row r="279" ht="171.75" customHeight="1">
      <c r="A279" s="540"/>
      <c r="B279" s="540"/>
      <c r="C279" s="540"/>
      <c r="D279" s="540"/>
      <c r="E279" s="540"/>
      <c r="F279" s="540"/>
      <c r="G279" s="540"/>
      <c r="H279" s="540"/>
      <c r="I279" s="540"/>
      <c r="J279" s="540"/>
      <c r="K279" s="540"/>
      <c r="L279" s="540"/>
      <c r="M279" s="540"/>
      <c r="N279" s="540"/>
      <c r="O279" s="540"/>
      <c r="P279" s="540"/>
      <c r="Q279" s="540"/>
      <c r="R279" s="540"/>
      <c r="S279" s="540"/>
      <c r="T279" s="540"/>
      <c r="U279" s="540"/>
      <c r="V279" s="540"/>
      <c r="W279" s="540"/>
      <c r="X279" s="540"/>
      <c r="Y279" s="540"/>
      <c r="Z279" s="540"/>
    </row>
    <row r="280" ht="171.75" customHeight="1">
      <c r="A280" s="540"/>
      <c r="B280" s="540"/>
      <c r="C280" s="540"/>
      <c r="D280" s="540"/>
      <c r="E280" s="540"/>
      <c r="F280" s="540"/>
      <c r="G280" s="540"/>
      <c r="H280" s="540"/>
      <c r="I280" s="540"/>
      <c r="J280" s="540"/>
      <c r="K280" s="540"/>
      <c r="L280" s="540"/>
      <c r="M280" s="540"/>
      <c r="N280" s="540"/>
      <c r="O280" s="540"/>
      <c r="P280" s="540"/>
      <c r="Q280" s="540"/>
      <c r="R280" s="540"/>
      <c r="S280" s="540"/>
      <c r="T280" s="540"/>
      <c r="U280" s="540"/>
      <c r="V280" s="540"/>
      <c r="W280" s="540"/>
      <c r="X280" s="540"/>
      <c r="Y280" s="540"/>
      <c r="Z280" s="540"/>
    </row>
    <row r="281" ht="171.75" customHeight="1">
      <c r="A281" s="540"/>
      <c r="B281" s="540"/>
      <c r="C281" s="540"/>
      <c r="D281" s="540"/>
      <c r="E281" s="540"/>
      <c r="F281" s="540"/>
      <c r="G281" s="540"/>
      <c r="H281" s="540"/>
      <c r="I281" s="540"/>
      <c r="J281" s="540"/>
      <c r="K281" s="540"/>
      <c r="L281" s="540"/>
      <c r="M281" s="540"/>
      <c r="N281" s="540"/>
      <c r="O281" s="540"/>
      <c r="P281" s="540"/>
      <c r="Q281" s="540"/>
      <c r="R281" s="540"/>
      <c r="S281" s="540"/>
      <c r="T281" s="540"/>
      <c r="U281" s="540"/>
      <c r="V281" s="540"/>
      <c r="W281" s="540"/>
      <c r="X281" s="540"/>
      <c r="Y281" s="540"/>
      <c r="Z281" s="540"/>
    </row>
    <row r="282" ht="171.75" customHeight="1">
      <c r="A282" s="540"/>
      <c r="B282" s="540"/>
      <c r="C282" s="540"/>
      <c r="D282" s="540"/>
      <c r="E282" s="540"/>
      <c r="F282" s="540"/>
      <c r="G282" s="540"/>
      <c r="H282" s="540"/>
      <c r="I282" s="540"/>
      <c r="J282" s="540"/>
      <c r="K282" s="540"/>
      <c r="L282" s="540"/>
      <c r="M282" s="540"/>
      <c r="N282" s="540"/>
      <c r="O282" s="540"/>
      <c r="P282" s="540"/>
      <c r="Q282" s="540"/>
      <c r="R282" s="540"/>
      <c r="S282" s="540"/>
      <c r="T282" s="540"/>
      <c r="U282" s="540"/>
      <c r="V282" s="540"/>
      <c r="W282" s="540"/>
      <c r="X282" s="540"/>
      <c r="Y282" s="540"/>
      <c r="Z282" s="540"/>
    </row>
    <row r="283" ht="171.75" customHeight="1">
      <c r="A283" s="540"/>
      <c r="B283" s="540"/>
      <c r="C283" s="540"/>
      <c r="D283" s="540"/>
      <c r="E283" s="540"/>
      <c r="F283" s="540"/>
      <c r="G283" s="540"/>
      <c r="H283" s="540"/>
      <c r="I283" s="540"/>
      <c r="J283" s="540"/>
      <c r="K283" s="540"/>
      <c r="L283" s="540"/>
      <c r="M283" s="540"/>
      <c r="N283" s="540"/>
      <c r="O283" s="540"/>
      <c r="P283" s="540"/>
      <c r="Q283" s="540"/>
      <c r="R283" s="540"/>
      <c r="S283" s="540"/>
      <c r="T283" s="540"/>
      <c r="U283" s="540"/>
      <c r="V283" s="540"/>
      <c r="W283" s="540"/>
      <c r="X283" s="540"/>
      <c r="Y283" s="540"/>
      <c r="Z283" s="540"/>
    </row>
    <row r="284" ht="171.75" customHeight="1">
      <c r="A284" s="540"/>
      <c r="B284" s="540"/>
      <c r="C284" s="540"/>
      <c r="D284" s="540"/>
      <c r="E284" s="540"/>
      <c r="F284" s="540"/>
      <c r="G284" s="540"/>
      <c r="H284" s="540"/>
      <c r="I284" s="540"/>
      <c r="J284" s="540"/>
      <c r="K284" s="540"/>
      <c r="L284" s="540"/>
      <c r="M284" s="540"/>
      <c r="N284" s="540"/>
      <c r="O284" s="540"/>
      <c r="P284" s="540"/>
      <c r="Q284" s="540"/>
      <c r="R284" s="540"/>
      <c r="S284" s="540"/>
      <c r="T284" s="540"/>
      <c r="U284" s="540"/>
      <c r="V284" s="540"/>
      <c r="W284" s="540"/>
      <c r="X284" s="540"/>
      <c r="Y284" s="540"/>
      <c r="Z284" s="540"/>
    </row>
    <row r="285" ht="171.75" customHeight="1">
      <c r="A285" s="540"/>
      <c r="B285" s="540"/>
      <c r="C285" s="540"/>
      <c r="D285" s="540"/>
      <c r="E285" s="540"/>
      <c r="F285" s="540"/>
      <c r="G285" s="540"/>
      <c r="H285" s="540"/>
      <c r="I285" s="540"/>
      <c r="J285" s="540"/>
      <c r="K285" s="540"/>
      <c r="L285" s="540"/>
      <c r="M285" s="540"/>
      <c r="N285" s="540"/>
      <c r="O285" s="540"/>
      <c r="P285" s="540"/>
      <c r="Q285" s="540"/>
      <c r="R285" s="540"/>
      <c r="S285" s="540"/>
      <c r="T285" s="540"/>
      <c r="U285" s="540"/>
      <c r="V285" s="540"/>
      <c r="W285" s="540"/>
      <c r="X285" s="540"/>
      <c r="Y285" s="540"/>
      <c r="Z285" s="540"/>
    </row>
    <row r="286" ht="171.75" customHeight="1">
      <c r="A286" s="540"/>
      <c r="B286" s="540"/>
      <c r="C286" s="540"/>
      <c r="D286" s="540"/>
      <c r="E286" s="540"/>
      <c r="F286" s="540"/>
      <c r="G286" s="540"/>
      <c r="H286" s="540"/>
      <c r="I286" s="540"/>
      <c r="J286" s="540"/>
      <c r="K286" s="540"/>
      <c r="L286" s="540"/>
      <c r="M286" s="540"/>
      <c r="N286" s="540"/>
      <c r="O286" s="540"/>
      <c r="P286" s="540"/>
      <c r="Q286" s="540"/>
      <c r="R286" s="540"/>
      <c r="S286" s="540"/>
      <c r="T286" s="540"/>
      <c r="U286" s="540"/>
      <c r="V286" s="540"/>
      <c r="W286" s="540"/>
      <c r="X286" s="540"/>
      <c r="Y286" s="540"/>
      <c r="Z286" s="540"/>
    </row>
    <row r="287" ht="171.75" customHeight="1">
      <c r="A287" s="540"/>
      <c r="B287" s="540"/>
      <c r="C287" s="540"/>
      <c r="D287" s="540"/>
      <c r="E287" s="540"/>
      <c r="F287" s="540"/>
      <c r="G287" s="540"/>
      <c r="H287" s="540"/>
      <c r="I287" s="540"/>
      <c r="J287" s="540"/>
      <c r="K287" s="540"/>
      <c r="L287" s="540"/>
      <c r="M287" s="540"/>
      <c r="N287" s="540"/>
      <c r="O287" s="540"/>
      <c r="P287" s="540"/>
      <c r="Q287" s="540"/>
      <c r="R287" s="540"/>
      <c r="S287" s="540"/>
      <c r="T287" s="540"/>
      <c r="U287" s="540"/>
      <c r="V287" s="540"/>
      <c r="W287" s="540"/>
      <c r="X287" s="540"/>
      <c r="Y287" s="540"/>
      <c r="Z287" s="540"/>
    </row>
    <row r="288" ht="171.75" customHeight="1">
      <c r="A288" s="540"/>
      <c r="B288" s="540"/>
      <c r="C288" s="540"/>
      <c r="D288" s="540"/>
      <c r="E288" s="540"/>
      <c r="F288" s="540"/>
      <c r="G288" s="540"/>
      <c r="H288" s="540"/>
      <c r="I288" s="540"/>
      <c r="J288" s="540"/>
      <c r="K288" s="540"/>
      <c r="L288" s="540"/>
      <c r="M288" s="540"/>
      <c r="N288" s="540"/>
      <c r="O288" s="540"/>
      <c r="P288" s="540"/>
      <c r="Q288" s="540"/>
      <c r="R288" s="540"/>
      <c r="S288" s="540"/>
      <c r="T288" s="540"/>
      <c r="U288" s="540"/>
      <c r="V288" s="540"/>
      <c r="W288" s="540"/>
      <c r="X288" s="540"/>
      <c r="Y288" s="540"/>
      <c r="Z288" s="540"/>
    </row>
    <row r="289" ht="171.75" customHeight="1">
      <c r="A289" s="540"/>
      <c r="B289" s="540"/>
      <c r="C289" s="540"/>
      <c r="D289" s="540"/>
      <c r="E289" s="540"/>
      <c r="F289" s="540"/>
      <c r="G289" s="540"/>
      <c r="H289" s="540"/>
      <c r="I289" s="540"/>
      <c r="J289" s="540"/>
      <c r="K289" s="540"/>
      <c r="L289" s="540"/>
      <c r="M289" s="540"/>
      <c r="N289" s="540"/>
      <c r="O289" s="540"/>
      <c r="P289" s="540"/>
      <c r="Q289" s="540"/>
      <c r="R289" s="540"/>
      <c r="S289" s="540"/>
      <c r="T289" s="540"/>
      <c r="U289" s="540"/>
      <c r="V289" s="540"/>
      <c r="W289" s="540"/>
      <c r="X289" s="540"/>
      <c r="Y289" s="540"/>
      <c r="Z289" s="540"/>
    </row>
    <row r="290" ht="171.75" customHeight="1">
      <c r="A290" s="540"/>
      <c r="B290" s="540"/>
      <c r="C290" s="540"/>
      <c r="D290" s="540"/>
      <c r="E290" s="540"/>
      <c r="F290" s="540"/>
      <c r="G290" s="540"/>
      <c r="H290" s="540"/>
      <c r="I290" s="540"/>
      <c r="J290" s="540"/>
      <c r="K290" s="540"/>
      <c r="L290" s="540"/>
      <c r="M290" s="540"/>
      <c r="N290" s="540"/>
      <c r="O290" s="540"/>
      <c r="P290" s="540"/>
      <c r="Q290" s="540"/>
      <c r="R290" s="540"/>
      <c r="S290" s="540"/>
      <c r="T290" s="540"/>
      <c r="U290" s="540"/>
      <c r="V290" s="540"/>
      <c r="W290" s="540"/>
      <c r="X290" s="540"/>
      <c r="Y290" s="540"/>
      <c r="Z290" s="540"/>
    </row>
    <row r="291" ht="171.75" customHeight="1">
      <c r="A291" s="540"/>
      <c r="B291" s="540"/>
      <c r="C291" s="540"/>
      <c r="D291" s="540"/>
      <c r="E291" s="540"/>
      <c r="F291" s="540"/>
      <c r="G291" s="540"/>
      <c r="H291" s="540"/>
      <c r="I291" s="540"/>
      <c r="J291" s="540"/>
      <c r="K291" s="540"/>
      <c r="L291" s="540"/>
      <c r="M291" s="540"/>
      <c r="N291" s="540"/>
      <c r="O291" s="540"/>
      <c r="P291" s="540"/>
      <c r="Q291" s="540"/>
      <c r="R291" s="540"/>
      <c r="S291" s="540"/>
      <c r="T291" s="540"/>
      <c r="U291" s="540"/>
      <c r="V291" s="540"/>
      <c r="W291" s="540"/>
      <c r="X291" s="540"/>
      <c r="Y291" s="540"/>
      <c r="Z291" s="540"/>
    </row>
    <row r="292" ht="171.75" customHeight="1">
      <c r="A292" s="540"/>
      <c r="B292" s="540"/>
      <c r="C292" s="540"/>
      <c r="D292" s="540"/>
      <c r="E292" s="540"/>
      <c r="F292" s="540"/>
      <c r="G292" s="540"/>
      <c r="H292" s="540"/>
      <c r="I292" s="540"/>
      <c r="J292" s="540"/>
      <c r="K292" s="540"/>
      <c r="L292" s="540"/>
      <c r="M292" s="540"/>
      <c r="N292" s="540"/>
      <c r="O292" s="540"/>
      <c r="P292" s="540"/>
      <c r="Q292" s="540"/>
      <c r="R292" s="540"/>
      <c r="S292" s="540"/>
      <c r="T292" s="540"/>
      <c r="U292" s="540"/>
      <c r="V292" s="540"/>
      <c r="W292" s="540"/>
      <c r="X292" s="540"/>
      <c r="Y292" s="540"/>
      <c r="Z292" s="540"/>
    </row>
    <row r="293" ht="171.75" customHeight="1">
      <c r="A293" s="540"/>
      <c r="B293" s="540"/>
      <c r="C293" s="540"/>
      <c r="D293" s="540"/>
      <c r="E293" s="540"/>
      <c r="F293" s="540"/>
      <c r="G293" s="540"/>
      <c r="H293" s="540"/>
      <c r="I293" s="540"/>
      <c r="J293" s="540"/>
      <c r="K293" s="540"/>
      <c r="L293" s="540"/>
      <c r="M293" s="540"/>
      <c r="N293" s="540"/>
      <c r="O293" s="540"/>
      <c r="P293" s="540"/>
      <c r="Q293" s="540"/>
      <c r="R293" s="540"/>
      <c r="S293" s="540"/>
      <c r="T293" s="540"/>
      <c r="U293" s="540"/>
      <c r="V293" s="540"/>
      <c r="W293" s="540"/>
      <c r="X293" s="540"/>
      <c r="Y293" s="540"/>
      <c r="Z293" s="540"/>
    </row>
    <row r="294" ht="171.75" customHeight="1">
      <c r="A294" s="540"/>
      <c r="B294" s="540"/>
      <c r="C294" s="540"/>
      <c r="D294" s="540"/>
      <c r="E294" s="540"/>
      <c r="F294" s="540"/>
      <c r="G294" s="540"/>
      <c r="H294" s="540"/>
      <c r="I294" s="540"/>
      <c r="J294" s="540"/>
      <c r="K294" s="540"/>
      <c r="L294" s="540"/>
      <c r="M294" s="540"/>
      <c r="N294" s="540"/>
      <c r="O294" s="540"/>
      <c r="P294" s="540"/>
      <c r="Q294" s="540"/>
      <c r="R294" s="540"/>
      <c r="S294" s="540"/>
      <c r="T294" s="540"/>
      <c r="U294" s="540"/>
      <c r="V294" s="540"/>
      <c r="W294" s="540"/>
      <c r="X294" s="540"/>
      <c r="Y294" s="540"/>
      <c r="Z294" s="540"/>
    </row>
    <row r="295" ht="171.75" customHeight="1">
      <c r="A295" s="540"/>
      <c r="B295" s="540"/>
      <c r="C295" s="540"/>
      <c r="D295" s="540"/>
      <c r="E295" s="540"/>
      <c r="F295" s="540"/>
      <c r="G295" s="540"/>
      <c r="H295" s="540"/>
      <c r="I295" s="540"/>
      <c r="J295" s="540"/>
      <c r="K295" s="540"/>
      <c r="L295" s="540"/>
      <c r="M295" s="540"/>
      <c r="N295" s="540"/>
      <c r="O295" s="540"/>
      <c r="P295" s="540"/>
      <c r="Q295" s="540"/>
      <c r="R295" s="540"/>
      <c r="S295" s="540"/>
      <c r="T295" s="540"/>
      <c r="U295" s="540"/>
      <c r="V295" s="540"/>
      <c r="W295" s="540"/>
      <c r="X295" s="540"/>
      <c r="Y295" s="540"/>
      <c r="Z295" s="540"/>
    </row>
    <row r="296" ht="171.75" customHeight="1">
      <c r="A296" s="540"/>
      <c r="B296" s="540"/>
      <c r="C296" s="540"/>
      <c r="D296" s="540"/>
      <c r="E296" s="540"/>
      <c r="F296" s="540"/>
      <c r="G296" s="540"/>
      <c r="H296" s="540"/>
      <c r="I296" s="540"/>
      <c r="J296" s="540"/>
      <c r="K296" s="540"/>
      <c r="L296" s="540"/>
      <c r="M296" s="540"/>
      <c r="N296" s="540"/>
      <c r="O296" s="540"/>
      <c r="P296" s="540"/>
      <c r="Q296" s="540"/>
      <c r="R296" s="540"/>
      <c r="S296" s="540"/>
      <c r="T296" s="540"/>
      <c r="U296" s="540"/>
      <c r="V296" s="540"/>
      <c r="W296" s="540"/>
      <c r="X296" s="540"/>
      <c r="Y296" s="540"/>
      <c r="Z296" s="540"/>
    </row>
    <row r="297" ht="171.75" customHeight="1">
      <c r="A297" s="540"/>
      <c r="B297" s="540"/>
      <c r="C297" s="540"/>
      <c r="D297" s="540"/>
      <c r="E297" s="540"/>
      <c r="F297" s="540"/>
      <c r="G297" s="540"/>
      <c r="H297" s="540"/>
      <c r="I297" s="540"/>
      <c r="J297" s="540"/>
      <c r="K297" s="540"/>
      <c r="L297" s="540"/>
      <c r="M297" s="540"/>
      <c r="N297" s="540"/>
      <c r="O297" s="540"/>
      <c r="P297" s="540"/>
      <c r="Q297" s="540"/>
      <c r="R297" s="540"/>
      <c r="S297" s="540"/>
      <c r="T297" s="540"/>
      <c r="U297" s="540"/>
      <c r="V297" s="540"/>
      <c r="W297" s="540"/>
      <c r="X297" s="540"/>
      <c r="Y297" s="540"/>
      <c r="Z297" s="540"/>
    </row>
    <row r="298" ht="171.75" customHeight="1">
      <c r="A298" s="540"/>
      <c r="B298" s="540"/>
      <c r="C298" s="540"/>
      <c r="D298" s="540"/>
      <c r="E298" s="540"/>
      <c r="F298" s="540"/>
      <c r="G298" s="540"/>
      <c r="H298" s="540"/>
      <c r="I298" s="540"/>
      <c r="J298" s="540"/>
      <c r="K298" s="540"/>
      <c r="L298" s="540"/>
      <c r="M298" s="540"/>
      <c r="N298" s="540"/>
      <c r="O298" s="540"/>
      <c r="P298" s="540"/>
      <c r="Q298" s="540"/>
      <c r="R298" s="540"/>
      <c r="S298" s="540"/>
      <c r="T298" s="540"/>
      <c r="U298" s="540"/>
      <c r="V298" s="540"/>
      <c r="W298" s="540"/>
      <c r="X298" s="540"/>
      <c r="Y298" s="540"/>
      <c r="Z298" s="540"/>
    </row>
    <row r="299" ht="171.75" customHeight="1">
      <c r="A299" s="540"/>
      <c r="B299" s="540"/>
      <c r="C299" s="540"/>
      <c r="D299" s="540"/>
      <c r="E299" s="540"/>
      <c r="F299" s="540"/>
      <c r="G299" s="540"/>
      <c r="H299" s="540"/>
      <c r="I299" s="540"/>
      <c r="J299" s="540"/>
      <c r="K299" s="540"/>
      <c r="L299" s="540"/>
      <c r="M299" s="540"/>
      <c r="N299" s="540"/>
      <c r="O299" s="540"/>
      <c r="P299" s="540"/>
      <c r="Q299" s="540"/>
      <c r="R299" s="540"/>
      <c r="S299" s="540"/>
      <c r="T299" s="540"/>
      <c r="U299" s="540"/>
      <c r="V299" s="540"/>
      <c r="W299" s="540"/>
      <c r="X299" s="540"/>
      <c r="Y299" s="540"/>
      <c r="Z299" s="540"/>
    </row>
    <row r="300" ht="171.75" customHeight="1">
      <c r="A300" s="540"/>
      <c r="B300" s="540"/>
      <c r="C300" s="540"/>
      <c r="D300" s="540"/>
      <c r="E300" s="540"/>
      <c r="F300" s="540"/>
      <c r="G300" s="540"/>
      <c r="H300" s="540"/>
      <c r="I300" s="540"/>
      <c r="J300" s="540"/>
      <c r="K300" s="540"/>
      <c r="L300" s="540"/>
      <c r="M300" s="540"/>
      <c r="N300" s="540"/>
      <c r="O300" s="540"/>
      <c r="P300" s="540"/>
      <c r="Q300" s="540"/>
      <c r="R300" s="540"/>
      <c r="S300" s="540"/>
      <c r="T300" s="540"/>
      <c r="U300" s="540"/>
      <c r="V300" s="540"/>
      <c r="W300" s="540"/>
      <c r="X300" s="540"/>
      <c r="Y300" s="540"/>
      <c r="Z300" s="540"/>
    </row>
    <row r="301" ht="171.75" customHeight="1">
      <c r="A301" s="540"/>
      <c r="B301" s="540"/>
      <c r="C301" s="540"/>
      <c r="D301" s="540"/>
      <c r="E301" s="540"/>
      <c r="F301" s="540"/>
      <c r="G301" s="540"/>
      <c r="H301" s="540"/>
      <c r="I301" s="540"/>
      <c r="J301" s="540"/>
      <c r="K301" s="540"/>
      <c r="L301" s="540"/>
      <c r="M301" s="540"/>
      <c r="N301" s="540"/>
      <c r="O301" s="540"/>
      <c r="P301" s="540"/>
      <c r="Q301" s="540"/>
      <c r="R301" s="540"/>
      <c r="S301" s="540"/>
      <c r="T301" s="540"/>
      <c r="U301" s="540"/>
      <c r="V301" s="540"/>
      <c r="W301" s="540"/>
      <c r="X301" s="540"/>
      <c r="Y301" s="540"/>
      <c r="Z301" s="540"/>
    </row>
    <row r="302" ht="171.75" customHeight="1">
      <c r="A302" s="540"/>
      <c r="B302" s="540"/>
      <c r="C302" s="540"/>
      <c r="D302" s="540"/>
      <c r="E302" s="540"/>
      <c r="F302" s="540"/>
      <c r="G302" s="540"/>
      <c r="H302" s="540"/>
      <c r="I302" s="540"/>
      <c r="J302" s="540"/>
      <c r="K302" s="540"/>
      <c r="L302" s="540"/>
      <c r="M302" s="540"/>
      <c r="N302" s="540"/>
      <c r="O302" s="540"/>
      <c r="P302" s="540"/>
      <c r="Q302" s="540"/>
      <c r="R302" s="540"/>
      <c r="S302" s="540"/>
      <c r="T302" s="540"/>
      <c r="U302" s="540"/>
      <c r="V302" s="540"/>
      <c r="W302" s="540"/>
      <c r="X302" s="540"/>
      <c r="Y302" s="540"/>
      <c r="Z302" s="540"/>
    </row>
    <row r="303" ht="171.75" customHeight="1">
      <c r="A303" s="540"/>
      <c r="B303" s="540"/>
      <c r="C303" s="540"/>
      <c r="D303" s="540"/>
      <c r="E303" s="540"/>
      <c r="F303" s="540"/>
      <c r="G303" s="540"/>
      <c r="H303" s="540"/>
      <c r="I303" s="540"/>
      <c r="J303" s="540"/>
      <c r="K303" s="540"/>
      <c r="L303" s="540"/>
      <c r="M303" s="540"/>
      <c r="N303" s="540"/>
      <c r="O303" s="540"/>
      <c r="P303" s="540"/>
      <c r="Q303" s="540"/>
      <c r="R303" s="540"/>
      <c r="S303" s="540"/>
      <c r="T303" s="540"/>
      <c r="U303" s="540"/>
      <c r="V303" s="540"/>
      <c r="W303" s="540"/>
      <c r="X303" s="540"/>
      <c r="Y303" s="540"/>
      <c r="Z303" s="540"/>
    </row>
    <row r="304" ht="171.75" customHeight="1">
      <c r="A304" s="540"/>
      <c r="B304" s="540"/>
      <c r="C304" s="540"/>
      <c r="D304" s="540"/>
      <c r="E304" s="540"/>
      <c r="F304" s="540"/>
      <c r="G304" s="540"/>
      <c r="H304" s="540"/>
      <c r="I304" s="540"/>
      <c r="J304" s="540"/>
      <c r="K304" s="540"/>
      <c r="L304" s="540"/>
      <c r="M304" s="540"/>
      <c r="N304" s="540"/>
      <c r="O304" s="540"/>
      <c r="P304" s="540"/>
      <c r="Q304" s="540"/>
      <c r="R304" s="540"/>
      <c r="S304" s="540"/>
      <c r="T304" s="540"/>
      <c r="U304" s="540"/>
      <c r="V304" s="540"/>
      <c r="W304" s="540"/>
      <c r="X304" s="540"/>
      <c r="Y304" s="540"/>
      <c r="Z304" s="540"/>
    </row>
    <row r="305" ht="171.75" customHeight="1">
      <c r="A305" s="540"/>
      <c r="B305" s="540"/>
      <c r="C305" s="540"/>
      <c r="D305" s="540"/>
      <c r="E305" s="540"/>
      <c r="F305" s="540"/>
      <c r="G305" s="540"/>
      <c r="H305" s="540"/>
      <c r="I305" s="540"/>
      <c r="J305" s="540"/>
      <c r="K305" s="540"/>
      <c r="L305" s="540"/>
      <c r="M305" s="540"/>
      <c r="N305" s="540"/>
      <c r="O305" s="540"/>
      <c r="P305" s="540"/>
      <c r="Q305" s="540"/>
      <c r="R305" s="540"/>
      <c r="S305" s="540"/>
      <c r="T305" s="540"/>
      <c r="U305" s="540"/>
      <c r="V305" s="540"/>
      <c r="W305" s="540"/>
      <c r="X305" s="540"/>
      <c r="Y305" s="540"/>
      <c r="Z305" s="540"/>
    </row>
    <row r="306" ht="171.75" customHeight="1">
      <c r="A306" s="540"/>
      <c r="B306" s="540"/>
      <c r="C306" s="540"/>
      <c r="D306" s="540"/>
      <c r="E306" s="540"/>
      <c r="F306" s="540"/>
      <c r="G306" s="540"/>
      <c r="H306" s="540"/>
      <c r="I306" s="540"/>
      <c r="J306" s="540"/>
      <c r="K306" s="540"/>
      <c r="L306" s="540"/>
      <c r="M306" s="540"/>
      <c r="N306" s="540"/>
      <c r="O306" s="540"/>
      <c r="P306" s="540"/>
      <c r="Q306" s="540"/>
      <c r="R306" s="540"/>
      <c r="S306" s="540"/>
      <c r="T306" s="540"/>
      <c r="U306" s="540"/>
      <c r="V306" s="540"/>
      <c r="W306" s="540"/>
      <c r="X306" s="540"/>
      <c r="Y306" s="540"/>
      <c r="Z306" s="540"/>
    </row>
    <row r="307" ht="171.75" customHeight="1">
      <c r="A307" s="540"/>
      <c r="B307" s="540"/>
      <c r="C307" s="540"/>
      <c r="D307" s="540"/>
      <c r="E307" s="540"/>
      <c r="F307" s="540"/>
      <c r="G307" s="540"/>
      <c r="H307" s="540"/>
      <c r="I307" s="540"/>
      <c r="J307" s="540"/>
      <c r="K307" s="540"/>
      <c r="L307" s="540"/>
      <c r="M307" s="540"/>
      <c r="N307" s="540"/>
      <c r="O307" s="540"/>
      <c r="P307" s="540"/>
      <c r="Q307" s="540"/>
      <c r="R307" s="540"/>
      <c r="S307" s="540"/>
      <c r="T307" s="540"/>
      <c r="U307" s="540"/>
      <c r="V307" s="540"/>
      <c r="W307" s="540"/>
      <c r="X307" s="540"/>
      <c r="Y307" s="540"/>
      <c r="Z307" s="540"/>
    </row>
    <row r="308" ht="171.75" customHeight="1">
      <c r="A308" s="540"/>
      <c r="B308" s="540"/>
      <c r="C308" s="540"/>
      <c r="D308" s="540"/>
      <c r="E308" s="540"/>
      <c r="F308" s="540"/>
      <c r="G308" s="540"/>
      <c r="H308" s="540"/>
      <c r="I308" s="540"/>
      <c r="J308" s="540"/>
      <c r="K308" s="540"/>
      <c r="L308" s="540"/>
      <c r="M308" s="540"/>
      <c r="N308" s="540"/>
      <c r="O308" s="540"/>
      <c r="P308" s="540"/>
      <c r="Q308" s="540"/>
      <c r="R308" s="540"/>
      <c r="S308" s="540"/>
      <c r="T308" s="540"/>
      <c r="U308" s="540"/>
      <c r="V308" s="540"/>
      <c r="W308" s="540"/>
      <c r="X308" s="540"/>
      <c r="Y308" s="540"/>
      <c r="Z308" s="540"/>
    </row>
    <row r="309" ht="171.75" customHeight="1">
      <c r="A309" s="540"/>
      <c r="B309" s="540"/>
      <c r="C309" s="540"/>
      <c r="D309" s="540"/>
      <c r="E309" s="540"/>
      <c r="F309" s="540"/>
      <c r="G309" s="540"/>
      <c r="H309" s="540"/>
      <c r="I309" s="540"/>
      <c r="J309" s="540"/>
      <c r="K309" s="540"/>
      <c r="L309" s="540"/>
      <c r="M309" s="540"/>
      <c r="N309" s="540"/>
      <c r="O309" s="540"/>
      <c r="P309" s="540"/>
      <c r="Q309" s="540"/>
      <c r="R309" s="540"/>
      <c r="S309" s="540"/>
      <c r="T309" s="540"/>
      <c r="U309" s="540"/>
      <c r="V309" s="540"/>
      <c r="W309" s="540"/>
      <c r="X309" s="540"/>
      <c r="Y309" s="540"/>
      <c r="Z309" s="540"/>
    </row>
    <row r="310" ht="171.75" customHeight="1">
      <c r="A310" s="540"/>
      <c r="B310" s="540"/>
      <c r="C310" s="540"/>
      <c r="D310" s="540"/>
      <c r="E310" s="540"/>
      <c r="F310" s="540"/>
      <c r="G310" s="540"/>
      <c r="H310" s="540"/>
      <c r="I310" s="540"/>
      <c r="J310" s="540"/>
      <c r="K310" s="540"/>
      <c r="L310" s="540"/>
      <c r="M310" s="540"/>
      <c r="N310" s="540"/>
      <c r="O310" s="540"/>
      <c r="P310" s="540"/>
      <c r="Q310" s="540"/>
      <c r="R310" s="540"/>
      <c r="S310" s="540"/>
      <c r="T310" s="540"/>
      <c r="U310" s="540"/>
      <c r="V310" s="540"/>
      <c r="W310" s="540"/>
      <c r="X310" s="540"/>
      <c r="Y310" s="540"/>
      <c r="Z310" s="540"/>
    </row>
    <row r="311" ht="171.75" customHeight="1">
      <c r="A311" s="540"/>
      <c r="B311" s="540"/>
      <c r="C311" s="540"/>
      <c r="D311" s="540"/>
      <c r="E311" s="540"/>
      <c r="F311" s="540"/>
      <c r="G311" s="540"/>
      <c r="H311" s="540"/>
      <c r="I311" s="540"/>
      <c r="J311" s="540"/>
      <c r="K311" s="540"/>
      <c r="L311" s="540"/>
      <c r="M311" s="540"/>
      <c r="N311" s="540"/>
      <c r="O311" s="540"/>
      <c r="P311" s="540"/>
      <c r="Q311" s="540"/>
      <c r="R311" s="540"/>
      <c r="S311" s="540"/>
      <c r="T311" s="540"/>
      <c r="U311" s="540"/>
      <c r="V311" s="540"/>
      <c r="W311" s="540"/>
      <c r="X311" s="540"/>
      <c r="Y311" s="540"/>
      <c r="Z311" s="540"/>
    </row>
    <row r="312" ht="171.75" customHeight="1">
      <c r="A312" s="540"/>
      <c r="B312" s="540"/>
      <c r="C312" s="540"/>
      <c r="D312" s="540"/>
      <c r="E312" s="540"/>
      <c r="F312" s="540"/>
      <c r="G312" s="540"/>
      <c r="H312" s="540"/>
      <c r="I312" s="540"/>
      <c r="J312" s="540"/>
      <c r="K312" s="540"/>
      <c r="L312" s="540"/>
      <c r="M312" s="540"/>
      <c r="N312" s="540"/>
      <c r="O312" s="540"/>
      <c r="P312" s="540"/>
      <c r="Q312" s="540"/>
      <c r="R312" s="540"/>
      <c r="S312" s="540"/>
      <c r="T312" s="540"/>
      <c r="U312" s="540"/>
      <c r="V312" s="540"/>
      <c r="W312" s="540"/>
      <c r="X312" s="540"/>
      <c r="Y312" s="540"/>
      <c r="Z312" s="540"/>
    </row>
    <row r="313" ht="171.75" customHeight="1">
      <c r="A313" s="540"/>
      <c r="B313" s="540"/>
      <c r="C313" s="540"/>
      <c r="D313" s="540"/>
      <c r="E313" s="540"/>
      <c r="F313" s="540"/>
      <c r="G313" s="540"/>
      <c r="H313" s="540"/>
      <c r="I313" s="540"/>
      <c r="J313" s="540"/>
      <c r="K313" s="540"/>
      <c r="L313" s="540"/>
      <c r="M313" s="540"/>
      <c r="N313" s="540"/>
      <c r="O313" s="540"/>
      <c r="P313" s="540"/>
      <c r="Q313" s="540"/>
      <c r="R313" s="540"/>
      <c r="S313" s="540"/>
      <c r="T313" s="540"/>
      <c r="U313" s="540"/>
      <c r="V313" s="540"/>
      <c r="W313" s="540"/>
      <c r="X313" s="540"/>
      <c r="Y313" s="540"/>
      <c r="Z313" s="540"/>
    </row>
    <row r="314" ht="171.75" customHeight="1">
      <c r="A314" s="540"/>
      <c r="B314" s="540"/>
      <c r="C314" s="540"/>
      <c r="D314" s="540"/>
      <c r="E314" s="540"/>
      <c r="F314" s="540"/>
      <c r="G314" s="540"/>
      <c r="H314" s="540"/>
      <c r="I314" s="540"/>
      <c r="J314" s="540"/>
      <c r="K314" s="540"/>
      <c r="L314" s="540"/>
      <c r="M314" s="540"/>
      <c r="N314" s="540"/>
      <c r="O314" s="540"/>
      <c r="P314" s="540"/>
      <c r="Q314" s="540"/>
      <c r="R314" s="540"/>
      <c r="S314" s="540"/>
      <c r="T314" s="540"/>
      <c r="U314" s="540"/>
      <c r="V314" s="540"/>
      <c r="W314" s="540"/>
      <c r="X314" s="540"/>
      <c r="Y314" s="540"/>
      <c r="Z314" s="540"/>
    </row>
    <row r="315" ht="171.75" customHeight="1">
      <c r="A315" s="540"/>
      <c r="B315" s="540"/>
      <c r="C315" s="540"/>
      <c r="D315" s="540"/>
      <c r="E315" s="540"/>
      <c r="F315" s="540"/>
      <c r="G315" s="540"/>
      <c r="H315" s="540"/>
      <c r="I315" s="540"/>
      <c r="J315" s="540"/>
      <c r="K315" s="540"/>
      <c r="L315" s="540"/>
      <c r="M315" s="540"/>
      <c r="N315" s="540"/>
      <c r="O315" s="540"/>
      <c r="P315" s="540"/>
      <c r="Q315" s="540"/>
      <c r="R315" s="540"/>
      <c r="S315" s="540"/>
      <c r="T315" s="540"/>
      <c r="U315" s="540"/>
      <c r="V315" s="540"/>
      <c r="W315" s="540"/>
      <c r="X315" s="540"/>
      <c r="Y315" s="540"/>
      <c r="Z315" s="540"/>
    </row>
    <row r="316" ht="171.75" customHeight="1">
      <c r="A316" s="540"/>
      <c r="B316" s="540"/>
      <c r="C316" s="540"/>
      <c r="D316" s="540"/>
      <c r="E316" s="540"/>
      <c r="F316" s="540"/>
      <c r="G316" s="540"/>
      <c r="H316" s="540"/>
      <c r="I316" s="540"/>
      <c r="J316" s="540"/>
      <c r="K316" s="540"/>
      <c r="L316" s="540"/>
      <c r="M316" s="540"/>
      <c r="N316" s="540"/>
      <c r="O316" s="540"/>
      <c r="P316" s="540"/>
      <c r="Q316" s="540"/>
      <c r="R316" s="540"/>
      <c r="S316" s="540"/>
      <c r="T316" s="540"/>
      <c r="U316" s="540"/>
      <c r="V316" s="540"/>
      <c r="W316" s="540"/>
      <c r="X316" s="540"/>
      <c r="Y316" s="540"/>
      <c r="Z316" s="540"/>
    </row>
    <row r="317" ht="171.75" customHeight="1">
      <c r="A317" s="540"/>
      <c r="B317" s="540"/>
      <c r="C317" s="540"/>
      <c r="D317" s="540"/>
      <c r="E317" s="540"/>
      <c r="F317" s="540"/>
      <c r="G317" s="540"/>
      <c r="H317" s="540"/>
      <c r="I317" s="540"/>
      <c r="J317" s="540"/>
      <c r="K317" s="540"/>
      <c r="L317" s="540"/>
      <c r="M317" s="540"/>
      <c r="N317" s="540"/>
      <c r="O317" s="540"/>
      <c r="P317" s="540"/>
      <c r="Q317" s="540"/>
      <c r="R317" s="540"/>
      <c r="S317" s="540"/>
      <c r="T317" s="540"/>
      <c r="U317" s="540"/>
      <c r="V317" s="540"/>
      <c r="W317" s="540"/>
      <c r="X317" s="540"/>
      <c r="Y317" s="540"/>
      <c r="Z317" s="540"/>
    </row>
    <row r="318" ht="171.75" customHeight="1">
      <c r="A318" s="540"/>
      <c r="B318" s="540"/>
      <c r="C318" s="540"/>
      <c r="D318" s="540"/>
      <c r="E318" s="540"/>
      <c r="F318" s="540"/>
      <c r="G318" s="540"/>
      <c r="H318" s="540"/>
      <c r="I318" s="540"/>
      <c r="J318" s="540"/>
      <c r="K318" s="540"/>
      <c r="L318" s="540"/>
      <c r="M318" s="540"/>
      <c r="N318" s="540"/>
      <c r="O318" s="540"/>
      <c r="P318" s="540"/>
      <c r="Q318" s="540"/>
      <c r="R318" s="540"/>
      <c r="S318" s="540"/>
      <c r="T318" s="540"/>
      <c r="U318" s="540"/>
      <c r="V318" s="540"/>
      <c r="W318" s="540"/>
      <c r="X318" s="540"/>
      <c r="Y318" s="540"/>
      <c r="Z318" s="540"/>
    </row>
    <row r="319" ht="171.75" customHeight="1">
      <c r="A319" s="540"/>
      <c r="B319" s="540"/>
      <c r="C319" s="540"/>
      <c r="D319" s="540"/>
      <c r="E319" s="540"/>
      <c r="F319" s="540"/>
      <c r="G319" s="540"/>
      <c r="H319" s="540"/>
      <c r="I319" s="540"/>
      <c r="J319" s="540"/>
      <c r="K319" s="540"/>
      <c r="L319" s="540"/>
      <c r="M319" s="540"/>
      <c r="N319" s="540"/>
      <c r="O319" s="540"/>
      <c r="P319" s="540"/>
      <c r="Q319" s="540"/>
      <c r="R319" s="540"/>
      <c r="S319" s="540"/>
      <c r="T319" s="540"/>
      <c r="U319" s="540"/>
      <c r="V319" s="540"/>
      <c r="W319" s="540"/>
      <c r="X319" s="540"/>
      <c r="Y319" s="540"/>
      <c r="Z319" s="540"/>
    </row>
    <row r="320" ht="171.75" customHeight="1">
      <c r="A320" s="540"/>
      <c r="B320" s="540"/>
      <c r="C320" s="540"/>
      <c r="D320" s="540"/>
      <c r="E320" s="540"/>
      <c r="F320" s="540"/>
      <c r="G320" s="540"/>
      <c r="H320" s="540"/>
      <c r="I320" s="540"/>
      <c r="J320" s="540"/>
      <c r="K320" s="540"/>
      <c r="L320" s="540"/>
      <c r="M320" s="540"/>
      <c r="N320" s="540"/>
      <c r="O320" s="540"/>
      <c r="P320" s="540"/>
      <c r="Q320" s="540"/>
      <c r="R320" s="540"/>
      <c r="S320" s="540"/>
      <c r="T320" s="540"/>
      <c r="U320" s="540"/>
      <c r="V320" s="540"/>
      <c r="W320" s="540"/>
      <c r="X320" s="540"/>
      <c r="Y320" s="540"/>
      <c r="Z320" s="540"/>
    </row>
    <row r="321" ht="171.75" customHeight="1">
      <c r="A321" s="540"/>
      <c r="B321" s="540"/>
      <c r="C321" s="540"/>
      <c r="D321" s="540"/>
      <c r="E321" s="540"/>
      <c r="F321" s="540"/>
      <c r="G321" s="540"/>
      <c r="H321" s="540"/>
      <c r="I321" s="540"/>
      <c r="J321" s="540"/>
      <c r="K321" s="540"/>
      <c r="L321" s="540"/>
      <c r="M321" s="540"/>
      <c r="N321" s="540"/>
      <c r="O321" s="540"/>
      <c r="P321" s="540"/>
      <c r="Q321" s="540"/>
      <c r="R321" s="540"/>
      <c r="S321" s="540"/>
      <c r="T321" s="540"/>
      <c r="U321" s="540"/>
      <c r="V321" s="540"/>
      <c r="W321" s="540"/>
      <c r="X321" s="540"/>
      <c r="Y321" s="540"/>
      <c r="Z321" s="540"/>
    </row>
    <row r="322" ht="171.75" customHeight="1">
      <c r="A322" s="540"/>
      <c r="B322" s="540"/>
      <c r="C322" s="540"/>
      <c r="D322" s="540"/>
      <c r="E322" s="540"/>
      <c r="F322" s="540"/>
      <c r="G322" s="540"/>
      <c r="H322" s="540"/>
      <c r="I322" s="540"/>
      <c r="J322" s="540"/>
      <c r="K322" s="540"/>
      <c r="L322" s="540"/>
      <c r="M322" s="540"/>
      <c r="N322" s="540"/>
      <c r="O322" s="540"/>
      <c r="P322" s="540"/>
      <c r="Q322" s="540"/>
      <c r="R322" s="540"/>
      <c r="S322" s="540"/>
      <c r="T322" s="540"/>
      <c r="U322" s="540"/>
      <c r="V322" s="540"/>
      <c r="W322" s="540"/>
      <c r="X322" s="540"/>
      <c r="Y322" s="540"/>
      <c r="Z322" s="540"/>
    </row>
    <row r="323" ht="171.75" customHeight="1">
      <c r="A323" s="540"/>
      <c r="B323" s="540"/>
      <c r="C323" s="540"/>
      <c r="D323" s="540"/>
      <c r="E323" s="540"/>
      <c r="F323" s="540"/>
      <c r="G323" s="540"/>
      <c r="H323" s="540"/>
      <c r="I323" s="540"/>
      <c r="J323" s="540"/>
      <c r="K323" s="540"/>
      <c r="L323" s="540"/>
      <c r="M323" s="540"/>
      <c r="N323" s="540"/>
      <c r="O323" s="540"/>
      <c r="P323" s="540"/>
      <c r="Q323" s="540"/>
      <c r="R323" s="540"/>
      <c r="S323" s="540"/>
      <c r="T323" s="540"/>
      <c r="U323" s="540"/>
      <c r="V323" s="540"/>
      <c r="W323" s="540"/>
      <c r="X323" s="540"/>
      <c r="Y323" s="540"/>
      <c r="Z323" s="540"/>
    </row>
    <row r="324" ht="171.75" customHeight="1">
      <c r="A324" s="540"/>
      <c r="B324" s="540"/>
      <c r="C324" s="540"/>
      <c r="D324" s="540"/>
      <c r="E324" s="540"/>
      <c r="F324" s="540"/>
      <c r="G324" s="540"/>
      <c r="H324" s="540"/>
      <c r="I324" s="540"/>
      <c r="J324" s="540"/>
      <c r="K324" s="540"/>
      <c r="L324" s="540"/>
      <c r="M324" s="540"/>
      <c r="N324" s="540"/>
      <c r="O324" s="540"/>
      <c r="P324" s="540"/>
      <c r="Q324" s="540"/>
      <c r="R324" s="540"/>
      <c r="S324" s="540"/>
      <c r="T324" s="540"/>
      <c r="U324" s="540"/>
      <c r="V324" s="540"/>
      <c r="W324" s="540"/>
      <c r="X324" s="540"/>
      <c r="Y324" s="540"/>
      <c r="Z324" s="540"/>
    </row>
    <row r="325" ht="171.75" customHeight="1">
      <c r="A325" s="540"/>
      <c r="B325" s="540"/>
      <c r="C325" s="540"/>
      <c r="D325" s="540"/>
      <c r="E325" s="540"/>
      <c r="F325" s="540"/>
      <c r="G325" s="540"/>
      <c r="H325" s="540"/>
      <c r="I325" s="540"/>
      <c r="J325" s="540"/>
      <c r="K325" s="540"/>
      <c r="L325" s="540"/>
      <c r="M325" s="540"/>
      <c r="N325" s="540"/>
      <c r="O325" s="540"/>
      <c r="P325" s="540"/>
      <c r="Q325" s="540"/>
      <c r="R325" s="540"/>
      <c r="S325" s="540"/>
      <c r="T325" s="540"/>
      <c r="U325" s="540"/>
      <c r="V325" s="540"/>
      <c r="W325" s="540"/>
      <c r="X325" s="540"/>
      <c r="Y325" s="540"/>
      <c r="Z325" s="540"/>
    </row>
    <row r="326" ht="171.75" customHeight="1">
      <c r="A326" s="540"/>
      <c r="B326" s="540"/>
      <c r="C326" s="540"/>
      <c r="D326" s="540"/>
      <c r="E326" s="540"/>
      <c r="F326" s="540"/>
      <c r="G326" s="540"/>
      <c r="H326" s="540"/>
      <c r="I326" s="540"/>
      <c r="J326" s="540"/>
      <c r="K326" s="540"/>
      <c r="L326" s="540"/>
      <c r="M326" s="540"/>
      <c r="N326" s="540"/>
      <c r="O326" s="540"/>
      <c r="P326" s="540"/>
      <c r="Q326" s="540"/>
      <c r="R326" s="540"/>
      <c r="S326" s="540"/>
      <c r="T326" s="540"/>
      <c r="U326" s="540"/>
      <c r="V326" s="540"/>
      <c r="W326" s="540"/>
      <c r="X326" s="540"/>
      <c r="Y326" s="540"/>
      <c r="Z326" s="540"/>
    </row>
    <row r="327" ht="171.75" customHeight="1">
      <c r="A327" s="540"/>
      <c r="B327" s="540"/>
      <c r="C327" s="540"/>
      <c r="D327" s="540"/>
      <c r="E327" s="540"/>
      <c r="F327" s="540"/>
      <c r="G327" s="540"/>
      <c r="H327" s="540"/>
      <c r="I327" s="540"/>
      <c r="J327" s="540"/>
      <c r="K327" s="540"/>
      <c r="L327" s="540"/>
      <c r="M327" s="540"/>
      <c r="N327" s="540"/>
      <c r="O327" s="540"/>
      <c r="P327" s="540"/>
      <c r="Q327" s="540"/>
      <c r="R327" s="540"/>
      <c r="S327" s="540"/>
      <c r="T327" s="540"/>
      <c r="U327" s="540"/>
      <c r="V327" s="540"/>
      <c r="W327" s="540"/>
      <c r="X327" s="540"/>
      <c r="Y327" s="540"/>
      <c r="Z327" s="540"/>
    </row>
    <row r="328" ht="171.75" customHeight="1">
      <c r="A328" s="540"/>
      <c r="B328" s="540"/>
      <c r="C328" s="540"/>
      <c r="D328" s="540"/>
      <c r="E328" s="540"/>
      <c r="F328" s="540"/>
      <c r="G328" s="540"/>
      <c r="H328" s="540"/>
      <c r="I328" s="540"/>
      <c r="J328" s="540"/>
      <c r="K328" s="540"/>
      <c r="L328" s="540"/>
      <c r="M328" s="540"/>
      <c r="N328" s="540"/>
      <c r="O328" s="540"/>
      <c r="P328" s="540"/>
      <c r="Q328" s="540"/>
      <c r="R328" s="540"/>
      <c r="S328" s="540"/>
      <c r="T328" s="540"/>
      <c r="U328" s="540"/>
      <c r="V328" s="540"/>
      <c r="W328" s="540"/>
      <c r="X328" s="540"/>
      <c r="Y328" s="540"/>
      <c r="Z328" s="540"/>
    </row>
    <row r="329" ht="171.75" customHeight="1">
      <c r="A329" s="540"/>
      <c r="B329" s="540"/>
      <c r="C329" s="540"/>
      <c r="D329" s="540"/>
      <c r="E329" s="540"/>
      <c r="F329" s="540"/>
      <c r="G329" s="540"/>
      <c r="H329" s="540"/>
      <c r="I329" s="540"/>
      <c r="J329" s="540"/>
      <c r="K329" s="540"/>
      <c r="L329" s="540"/>
      <c r="M329" s="540"/>
      <c r="N329" s="540"/>
      <c r="O329" s="540"/>
      <c r="P329" s="540"/>
      <c r="Q329" s="540"/>
      <c r="R329" s="540"/>
      <c r="S329" s="540"/>
      <c r="T329" s="540"/>
      <c r="U329" s="540"/>
      <c r="V329" s="540"/>
      <c r="W329" s="540"/>
      <c r="X329" s="540"/>
      <c r="Y329" s="540"/>
      <c r="Z329" s="540"/>
    </row>
    <row r="330" ht="171.75" customHeight="1">
      <c r="A330" s="540"/>
      <c r="B330" s="540"/>
      <c r="C330" s="540"/>
      <c r="D330" s="540"/>
      <c r="E330" s="540"/>
      <c r="F330" s="540"/>
      <c r="G330" s="540"/>
      <c r="H330" s="540"/>
      <c r="I330" s="540"/>
      <c r="J330" s="540"/>
      <c r="K330" s="540"/>
      <c r="L330" s="540"/>
      <c r="M330" s="540"/>
      <c r="N330" s="540"/>
      <c r="O330" s="540"/>
      <c r="P330" s="540"/>
      <c r="Q330" s="540"/>
      <c r="R330" s="540"/>
      <c r="S330" s="540"/>
      <c r="T330" s="540"/>
      <c r="U330" s="540"/>
      <c r="V330" s="540"/>
      <c r="W330" s="540"/>
      <c r="X330" s="540"/>
      <c r="Y330" s="540"/>
      <c r="Z330" s="540"/>
    </row>
    <row r="331" ht="171.75" customHeight="1">
      <c r="A331" s="540"/>
      <c r="B331" s="540"/>
      <c r="C331" s="540"/>
      <c r="D331" s="540"/>
      <c r="E331" s="540"/>
      <c r="F331" s="540"/>
      <c r="G331" s="540"/>
      <c r="H331" s="540"/>
      <c r="I331" s="540"/>
      <c r="J331" s="540"/>
      <c r="K331" s="540"/>
      <c r="L331" s="540"/>
      <c r="M331" s="540"/>
      <c r="N331" s="540"/>
      <c r="O331" s="540"/>
      <c r="P331" s="540"/>
      <c r="Q331" s="540"/>
      <c r="R331" s="540"/>
      <c r="S331" s="540"/>
      <c r="T331" s="540"/>
      <c r="U331" s="540"/>
      <c r="V331" s="540"/>
      <c r="W331" s="540"/>
      <c r="X331" s="540"/>
      <c r="Y331" s="540"/>
      <c r="Z331" s="540"/>
    </row>
    <row r="332" ht="171.75" customHeight="1">
      <c r="A332" s="540"/>
      <c r="B332" s="540"/>
      <c r="C332" s="540"/>
      <c r="D332" s="540"/>
      <c r="E332" s="540"/>
      <c r="F332" s="540"/>
      <c r="G332" s="540"/>
      <c r="H332" s="540"/>
      <c r="I332" s="540"/>
      <c r="J332" s="540"/>
      <c r="K332" s="540"/>
      <c r="L332" s="540"/>
      <c r="M332" s="540"/>
      <c r="N332" s="540"/>
      <c r="O332" s="540"/>
      <c r="P332" s="540"/>
      <c r="Q332" s="540"/>
      <c r="R332" s="540"/>
      <c r="S332" s="540"/>
      <c r="T332" s="540"/>
      <c r="U332" s="540"/>
      <c r="V332" s="540"/>
      <c r="W332" s="540"/>
      <c r="X332" s="540"/>
      <c r="Y332" s="540"/>
      <c r="Z332" s="540"/>
    </row>
    <row r="333" ht="171.75" customHeight="1">
      <c r="A333" s="540"/>
      <c r="B333" s="540"/>
      <c r="C333" s="540"/>
      <c r="D333" s="540"/>
      <c r="E333" s="540"/>
      <c r="F333" s="540"/>
      <c r="G333" s="540"/>
      <c r="H333" s="540"/>
      <c r="I333" s="540"/>
      <c r="J333" s="540"/>
      <c r="K333" s="540"/>
      <c r="L333" s="540"/>
      <c r="M333" s="540"/>
      <c r="N333" s="540"/>
      <c r="O333" s="540"/>
      <c r="P333" s="540"/>
      <c r="Q333" s="540"/>
      <c r="R333" s="540"/>
      <c r="S333" s="540"/>
      <c r="T333" s="540"/>
      <c r="U333" s="540"/>
      <c r="V333" s="540"/>
      <c r="W333" s="540"/>
      <c r="X333" s="540"/>
      <c r="Y333" s="540"/>
      <c r="Z333" s="540"/>
    </row>
    <row r="334" ht="171.75" customHeight="1">
      <c r="A334" s="540"/>
      <c r="B334" s="540"/>
      <c r="C334" s="540"/>
      <c r="D334" s="540"/>
      <c r="E334" s="540"/>
      <c r="F334" s="540"/>
      <c r="G334" s="540"/>
      <c r="H334" s="540"/>
      <c r="I334" s="540"/>
      <c r="J334" s="540"/>
      <c r="K334" s="540"/>
      <c r="L334" s="540"/>
      <c r="M334" s="540"/>
      <c r="N334" s="540"/>
      <c r="O334" s="540"/>
      <c r="P334" s="540"/>
      <c r="Q334" s="540"/>
      <c r="R334" s="540"/>
      <c r="S334" s="540"/>
      <c r="T334" s="540"/>
      <c r="U334" s="540"/>
      <c r="V334" s="540"/>
      <c r="W334" s="540"/>
      <c r="X334" s="540"/>
      <c r="Y334" s="540"/>
      <c r="Z334" s="540"/>
    </row>
    <row r="335" ht="171.75" customHeight="1">
      <c r="A335" s="540"/>
      <c r="B335" s="540"/>
      <c r="C335" s="540"/>
      <c r="D335" s="540"/>
      <c r="E335" s="540"/>
      <c r="F335" s="540"/>
      <c r="G335" s="540"/>
      <c r="H335" s="540"/>
      <c r="I335" s="540"/>
      <c r="J335" s="540"/>
      <c r="K335" s="540"/>
      <c r="L335" s="540"/>
      <c r="M335" s="540"/>
      <c r="N335" s="540"/>
      <c r="O335" s="540"/>
      <c r="P335" s="540"/>
      <c r="Q335" s="540"/>
      <c r="R335" s="540"/>
      <c r="S335" s="540"/>
      <c r="T335" s="540"/>
      <c r="U335" s="540"/>
      <c r="V335" s="540"/>
      <c r="W335" s="540"/>
      <c r="X335" s="540"/>
      <c r="Y335" s="540"/>
      <c r="Z335" s="540"/>
    </row>
    <row r="336" ht="171.75" customHeight="1">
      <c r="A336" s="540"/>
      <c r="B336" s="540"/>
      <c r="C336" s="540"/>
      <c r="D336" s="540"/>
      <c r="E336" s="540"/>
      <c r="F336" s="540"/>
      <c r="G336" s="540"/>
      <c r="H336" s="540"/>
      <c r="I336" s="540"/>
      <c r="J336" s="540"/>
      <c r="K336" s="540"/>
      <c r="L336" s="540"/>
      <c r="M336" s="540"/>
      <c r="N336" s="540"/>
      <c r="O336" s="540"/>
      <c r="P336" s="540"/>
      <c r="Q336" s="540"/>
      <c r="R336" s="540"/>
      <c r="S336" s="540"/>
      <c r="T336" s="540"/>
      <c r="U336" s="540"/>
      <c r="V336" s="540"/>
      <c r="W336" s="540"/>
      <c r="X336" s="540"/>
      <c r="Y336" s="540"/>
      <c r="Z336" s="540"/>
    </row>
    <row r="337" ht="171.75" customHeight="1">
      <c r="A337" s="540"/>
      <c r="B337" s="540"/>
      <c r="C337" s="540"/>
      <c r="D337" s="540"/>
      <c r="E337" s="540"/>
      <c r="F337" s="540"/>
      <c r="G337" s="540"/>
      <c r="H337" s="540"/>
      <c r="I337" s="540"/>
      <c r="J337" s="540"/>
      <c r="K337" s="540"/>
      <c r="L337" s="540"/>
      <c r="M337" s="540"/>
      <c r="N337" s="540"/>
      <c r="O337" s="540"/>
      <c r="P337" s="540"/>
      <c r="Q337" s="540"/>
      <c r="R337" s="540"/>
      <c r="S337" s="540"/>
      <c r="T337" s="540"/>
      <c r="U337" s="540"/>
      <c r="V337" s="540"/>
      <c r="W337" s="540"/>
      <c r="X337" s="540"/>
      <c r="Y337" s="540"/>
      <c r="Z337" s="540"/>
    </row>
    <row r="338" ht="171.75" customHeight="1">
      <c r="A338" s="540"/>
      <c r="B338" s="540"/>
      <c r="C338" s="540"/>
      <c r="D338" s="540"/>
      <c r="E338" s="540"/>
      <c r="F338" s="540"/>
      <c r="G338" s="540"/>
      <c r="H338" s="540"/>
      <c r="I338" s="540"/>
      <c r="J338" s="540"/>
      <c r="K338" s="540"/>
      <c r="L338" s="540"/>
      <c r="M338" s="540"/>
      <c r="N338" s="540"/>
      <c r="O338" s="540"/>
      <c r="P338" s="540"/>
      <c r="Q338" s="540"/>
      <c r="R338" s="540"/>
      <c r="S338" s="540"/>
      <c r="T338" s="540"/>
      <c r="U338" s="540"/>
      <c r="V338" s="540"/>
      <c r="W338" s="540"/>
      <c r="X338" s="540"/>
      <c r="Y338" s="540"/>
      <c r="Z338" s="540"/>
    </row>
    <row r="339" ht="171.75" customHeight="1">
      <c r="A339" s="540"/>
      <c r="B339" s="540"/>
      <c r="C339" s="540"/>
      <c r="D339" s="540"/>
      <c r="E339" s="540"/>
      <c r="F339" s="540"/>
      <c r="G339" s="540"/>
      <c r="H339" s="540"/>
      <c r="I339" s="540"/>
      <c r="J339" s="540"/>
      <c r="K339" s="540"/>
      <c r="L339" s="540"/>
      <c r="M339" s="540"/>
      <c r="N339" s="540"/>
      <c r="O339" s="540"/>
      <c r="P339" s="540"/>
      <c r="Q339" s="540"/>
      <c r="R339" s="540"/>
      <c r="S339" s="540"/>
      <c r="T339" s="540"/>
      <c r="U339" s="540"/>
      <c r="V339" s="540"/>
      <c r="W339" s="540"/>
      <c r="X339" s="540"/>
      <c r="Y339" s="540"/>
      <c r="Z339" s="540"/>
    </row>
    <row r="340" ht="171.75" customHeight="1">
      <c r="A340" s="540"/>
      <c r="B340" s="540"/>
      <c r="C340" s="540"/>
      <c r="D340" s="540"/>
      <c r="E340" s="540"/>
      <c r="F340" s="540"/>
      <c r="G340" s="540"/>
      <c r="H340" s="540"/>
      <c r="I340" s="540"/>
      <c r="J340" s="540"/>
      <c r="K340" s="540"/>
      <c r="L340" s="540"/>
      <c r="M340" s="540"/>
      <c r="N340" s="540"/>
      <c r="O340" s="540"/>
      <c r="P340" s="540"/>
      <c r="Q340" s="540"/>
      <c r="R340" s="540"/>
      <c r="S340" s="540"/>
      <c r="T340" s="540"/>
      <c r="U340" s="540"/>
      <c r="V340" s="540"/>
      <c r="W340" s="540"/>
      <c r="X340" s="540"/>
      <c r="Y340" s="540"/>
      <c r="Z340" s="540"/>
    </row>
    <row r="341" ht="171.75" customHeight="1">
      <c r="A341" s="540"/>
      <c r="B341" s="540"/>
      <c r="C341" s="540"/>
      <c r="D341" s="540"/>
      <c r="E341" s="540"/>
      <c r="F341" s="540"/>
      <c r="G341" s="540"/>
      <c r="H341" s="540"/>
      <c r="I341" s="540"/>
      <c r="J341" s="540"/>
      <c r="K341" s="540"/>
      <c r="L341" s="540"/>
      <c r="M341" s="540"/>
      <c r="N341" s="540"/>
      <c r="O341" s="540"/>
      <c r="P341" s="540"/>
      <c r="Q341" s="540"/>
      <c r="R341" s="540"/>
      <c r="S341" s="540"/>
      <c r="T341" s="540"/>
      <c r="U341" s="540"/>
      <c r="V341" s="540"/>
      <c r="W341" s="540"/>
      <c r="X341" s="540"/>
      <c r="Y341" s="540"/>
      <c r="Z341" s="540"/>
    </row>
    <row r="342" ht="171.75" customHeight="1">
      <c r="A342" s="540"/>
      <c r="B342" s="540"/>
      <c r="C342" s="540"/>
      <c r="D342" s="540"/>
      <c r="E342" s="540"/>
      <c r="F342" s="540"/>
      <c r="G342" s="540"/>
      <c r="H342" s="540"/>
      <c r="I342" s="540"/>
      <c r="J342" s="540"/>
      <c r="K342" s="540"/>
      <c r="L342" s="540"/>
      <c r="M342" s="540"/>
      <c r="N342" s="540"/>
      <c r="O342" s="540"/>
      <c r="P342" s="540"/>
      <c r="Q342" s="540"/>
      <c r="R342" s="540"/>
      <c r="S342" s="540"/>
      <c r="T342" s="540"/>
      <c r="U342" s="540"/>
      <c r="V342" s="540"/>
      <c r="W342" s="540"/>
      <c r="X342" s="540"/>
      <c r="Y342" s="540"/>
      <c r="Z342" s="540"/>
    </row>
    <row r="343" ht="171.75" customHeight="1">
      <c r="A343" s="540"/>
      <c r="B343" s="540"/>
      <c r="C343" s="540"/>
      <c r="D343" s="540"/>
      <c r="E343" s="540"/>
      <c r="F343" s="540"/>
      <c r="G343" s="540"/>
      <c r="H343" s="540"/>
      <c r="I343" s="540"/>
      <c r="J343" s="540"/>
      <c r="K343" s="540"/>
      <c r="L343" s="540"/>
      <c r="M343" s="540"/>
      <c r="N343" s="540"/>
      <c r="O343" s="540"/>
      <c r="P343" s="540"/>
      <c r="Q343" s="540"/>
      <c r="R343" s="540"/>
      <c r="S343" s="540"/>
      <c r="T343" s="540"/>
      <c r="U343" s="540"/>
      <c r="V343" s="540"/>
      <c r="W343" s="540"/>
      <c r="X343" s="540"/>
      <c r="Y343" s="540"/>
      <c r="Z343" s="540"/>
    </row>
    <row r="344" ht="171.75" customHeight="1">
      <c r="A344" s="540"/>
      <c r="B344" s="540"/>
      <c r="C344" s="540"/>
      <c r="D344" s="540"/>
      <c r="E344" s="540"/>
      <c r="F344" s="540"/>
      <c r="G344" s="540"/>
      <c r="H344" s="540"/>
      <c r="I344" s="540"/>
      <c r="J344" s="540"/>
      <c r="K344" s="540"/>
      <c r="L344" s="540"/>
      <c r="M344" s="540"/>
      <c r="N344" s="540"/>
      <c r="O344" s="540"/>
      <c r="P344" s="540"/>
      <c r="Q344" s="540"/>
      <c r="R344" s="540"/>
      <c r="S344" s="540"/>
      <c r="T344" s="540"/>
      <c r="U344" s="540"/>
      <c r="V344" s="540"/>
      <c r="W344" s="540"/>
      <c r="X344" s="540"/>
      <c r="Y344" s="540"/>
      <c r="Z344" s="540"/>
    </row>
    <row r="345" ht="171.75" customHeight="1">
      <c r="A345" s="540"/>
      <c r="B345" s="540"/>
      <c r="C345" s="540"/>
      <c r="D345" s="540"/>
      <c r="E345" s="540"/>
      <c r="F345" s="540"/>
      <c r="G345" s="540"/>
      <c r="H345" s="540"/>
      <c r="I345" s="540"/>
      <c r="J345" s="540"/>
      <c r="K345" s="540"/>
      <c r="L345" s="540"/>
      <c r="M345" s="540"/>
      <c r="N345" s="540"/>
      <c r="O345" s="540"/>
      <c r="P345" s="540"/>
      <c r="Q345" s="540"/>
      <c r="R345" s="540"/>
      <c r="S345" s="540"/>
      <c r="T345" s="540"/>
      <c r="U345" s="540"/>
      <c r="V345" s="540"/>
      <c r="W345" s="540"/>
      <c r="X345" s="540"/>
      <c r="Y345" s="540"/>
      <c r="Z345" s="540"/>
    </row>
    <row r="346" ht="171.75" customHeight="1">
      <c r="A346" s="540"/>
      <c r="B346" s="540"/>
      <c r="C346" s="540"/>
      <c r="D346" s="540"/>
      <c r="E346" s="540"/>
      <c r="F346" s="540"/>
      <c r="G346" s="540"/>
      <c r="H346" s="540"/>
      <c r="I346" s="540"/>
      <c r="J346" s="540"/>
      <c r="K346" s="540"/>
      <c r="L346" s="540"/>
      <c r="M346" s="540"/>
      <c r="N346" s="540"/>
      <c r="O346" s="540"/>
      <c r="P346" s="540"/>
      <c r="Q346" s="540"/>
      <c r="R346" s="540"/>
      <c r="S346" s="540"/>
      <c r="T346" s="540"/>
      <c r="U346" s="540"/>
      <c r="V346" s="540"/>
      <c r="W346" s="540"/>
      <c r="X346" s="540"/>
      <c r="Y346" s="540"/>
      <c r="Z346" s="540"/>
    </row>
    <row r="347" ht="171.75" customHeight="1">
      <c r="A347" s="540"/>
      <c r="B347" s="540"/>
      <c r="C347" s="540"/>
      <c r="D347" s="540"/>
      <c r="E347" s="540"/>
      <c r="F347" s="540"/>
      <c r="G347" s="540"/>
      <c r="H347" s="540"/>
      <c r="I347" s="540"/>
      <c r="J347" s="540"/>
      <c r="K347" s="540"/>
      <c r="L347" s="540"/>
      <c r="M347" s="540"/>
      <c r="N347" s="540"/>
      <c r="O347" s="540"/>
      <c r="P347" s="540"/>
      <c r="Q347" s="540"/>
      <c r="R347" s="540"/>
      <c r="S347" s="540"/>
      <c r="T347" s="540"/>
      <c r="U347" s="540"/>
      <c r="V347" s="540"/>
      <c r="W347" s="540"/>
      <c r="X347" s="540"/>
      <c r="Y347" s="540"/>
      <c r="Z347" s="540"/>
    </row>
    <row r="348" ht="171.75" customHeight="1">
      <c r="A348" s="540"/>
      <c r="B348" s="540"/>
      <c r="C348" s="540"/>
      <c r="D348" s="540"/>
      <c r="E348" s="540"/>
      <c r="F348" s="540"/>
      <c r="G348" s="540"/>
      <c r="H348" s="540"/>
      <c r="I348" s="540"/>
      <c r="J348" s="540"/>
      <c r="K348" s="540"/>
      <c r="L348" s="540"/>
      <c r="M348" s="540"/>
      <c r="N348" s="540"/>
      <c r="O348" s="540"/>
      <c r="P348" s="540"/>
      <c r="Q348" s="540"/>
      <c r="R348" s="540"/>
      <c r="S348" s="540"/>
      <c r="T348" s="540"/>
      <c r="U348" s="540"/>
      <c r="V348" s="540"/>
      <c r="W348" s="540"/>
      <c r="X348" s="540"/>
      <c r="Y348" s="540"/>
      <c r="Z348" s="540"/>
    </row>
    <row r="349" ht="171.75" customHeight="1">
      <c r="A349" s="540"/>
      <c r="B349" s="540"/>
      <c r="C349" s="540"/>
      <c r="D349" s="540"/>
      <c r="E349" s="540"/>
      <c r="F349" s="540"/>
      <c r="G349" s="540"/>
      <c r="H349" s="540"/>
      <c r="I349" s="540"/>
      <c r="J349" s="540"/>
      <c r="K349" s="540"/>
      <c r="L349" s="540"/>
      <c r="M349" s="540"/>
      <c r="N349" s="540"/>
      <c r="O349" s="540"/>
      <c r="P349" s="540"/>
      <c r="Q349" s="540"/>
      <c r="R349" s="540"/>
      <c r="S349" s="540"/>
      <c r="T349" s="540"/>
      <c r="U349" s="540"/>
      <c r="V349" s="540"/>
      <c r="W349" s="540"/>
      <c r="X349" s="540"/>
      <c r="Y349" s="540"/>
      <c r="Z349" s="540"/>
    </row>
    <row r="350" ht="171.75" customHeight="1">
      <c r="A350" s="540"/>
      <c r="B350" s="540"/>
      <c r="C350" s="540"/>
      <c r="D350" s="540"/>
      <c r="E350" s="540"/>
      <c r="F350" s="540"/>
      <c r="G350" s="540"/>
      <c r="H350" s="540"/>
      <c r="I350" s="540"/>
      <c r="J350" s="540"/>
      <c r="K350" s="540"/>
      <c r="L350" s="540"/>
      <c r="M350" s="540"/>
      <c r="N350" s="540"/>
      <c r="O350" s="540"/>
      <c r="P350" s="540"/>
      <c r="Q350" s="540"/>
      <c r="R350" s="540"/>
      <c r="S350" s="540"/>
      <c r="T350" s="540"/>
      <c r="U350" s="540"/>
      <c r="V350" s="540"/>
      <c r="W350" s="540"/>
      <c r="X350" s="540"/>
      <c r="Y350" s="540"/>
      <c r="Z350" s="540"/>
    </row>
    <row r="351" ht="171.75" customHeight="1">
      <c r="A351" s="540"/>
      <c r="B351" s="540"/>
      <c r="C351" s="540"/>
      <c r="D351" s="540"/>
      <c r="E351" s="540"/>
      <c r="F351" s="540"/>
      <c r="G351" s="540"/>
      <c r="H351" s="540"/>
      <c r="I351" s="540"/>
      <c r="J351" s="540"/>
      <c r="K351" s="540"/>
      <c r="L351" s="540"/>
      <c r="M351" s="540"/>
      <c r="N351" s="540"/>
      <c r="O351" s="540"/>
      <c r="P351" s="540"/>
      <c r="Q351" s="540"/>
      <c r="R351" s="540"/>
      <c r="S351" s="540"/>
      <c r="T351" s="540"/>
      <c r="U351" s="540"/>
      <c r="V351" s="540"/>
      <c r="W351" s="540"/>
      <c r="X351" s="540"/>
      <c r="Y351" s="540"/>
      <c r="Z351" s="540"/>
    </row>
    <row r="352" ht="171.75" customHeight="1">
      <c r="A352" s="540"/>
      <c r="B352" s="540"/>
      <c r="C352" s="540"/>
      <c r="D352" s="540"/>
      <c r="E352" s="540"/>
      <c r="F352" s="540"/>
      <c r="G352" s="540"/>
      <c r="H352" s="540"/>
      <c r="I352" s="540"/>
      <c r="J352" s="540"/>
      <c r="K352" s="540"/>
      <c r="L352" s="540"/>
      <c r="M352" s="540"/>
      <c r="N352" s="540"/>
      <c r="O352" s="540"/>
      <c r="P352" s="540"/>
      <c r="Q352" s="540"/>
      <c r="R352" s="540"/>
      <c r="S352" s="540"/>
      <c r="T352" s="540"/>
      <c r="U352" s="540"/>
      <c r="V352" s="540"/>
      <c r="W352" s="540"/>
      <c r="X352" s="540"/>
      <c r="Y352" s="540"/>
      <c r="Z352" s="540"/>
    </row>
    <row r="353" ht="171.75" customHeight="1">
      <c r="A353" s="540"/>
      <c r="B353" s="540"/>
      <c r="C353" s="540"/>
      <c r="D353" s="540"/>
      <c r="E353" s="540"/>
      <c r="F353" s="540"/>
      <c r="G353" s="540"/>
      <c r="H353" s="540"/>
      <c r="I353" s="540"/>
      <c r="J353" s="540"/>
      <c r="K353" s="540"/>
      <c r="L353" s="540"/>
      <c r="M353" s="540"/>
      <c r="N353" s="540"/>
      <c r="O353" s="540"/>
      <c r="P353" s="540"/>
      <c r="Q353" s="540"/>
      <c r="R353" s="540"/>
      <c r="S353" s="540"/>
      <c r="T353" s="540"/>
      <c r="U353" s="540"/>
      <c r="V353" s="540"/>
      <c r="W353" s="540"/>
      <c r="X353" s="540"/>
      <c r="Y353" s="540"/>
      <c r="Z353" s="540"/>
    </row>
    <row r="354" ht="171.75" customHeight="1">
      <c r="A354" s="540"/>
      <c r="B354" s="540"/>
      <c r="C354" s="540"/>
      <c r="D354" s="540"/>
      <c r="E354" s="540"/>
      <c r="F354" s="540"/>
      <c r="G354" s="540"/>
      <c r="H354" s="540"/>
      <c r="I354" s="540"/>
      <c r="J354" s="540"/>
      <c r="K354" s="540"/>
      <c r="L354" s="540"/>
      <c r="M354" s="540"/>
      <c r="N354" s="540"/>
      <c r="O354" s="540"/>
      <c r="P354" s="540"/>
      <c r="Q354" s="540"/>
      <c r="R354" s="540"/>
      <c r="S354" s="540"/>
      <c r="T354" s="540"/>
      <c r="U354" s="540"/>
      <c r="V354" s="540"/>
      <c r="W354" s="540"/>
      <c r="X354" s="540"/>
      <c r="Y354" s="540"/>
      <c r="Z354" s="540"/>
    </row>
    <row r="355" ht="171.75" customHeight="1">
      <c r="A355" s="540"/>
      <c r="B355" s="540"/>
      <c r="C355" s="540"/>
      <c r="D355" s="540"/>
      <c r="E355" s="540"/>
      <c r="F355" s="540"/>
      <c r="G355" s="540"/>
      <c r="H355" s="540"/>
      <c r="I355" s="540"/>
      <c r="J355" s="540"/>
      <c r="K355" s="540"/>
      <c r="L355" s="540"/>
      <c r="M355" s="540"/>
      <c r="N355" s="540"/>
      <c r="O355" s="540"/>
      <c r="P355" s="540"/>
      <c r="Q355" s="540"/>
      <c r="R355" s="540"/>
      <c r="S355" s="540"/>
      <c r="T355" s="540"/>
      <c r="U355" s="540"/>
      <c r="V355" s="540"/>
      <c r="W355" s="540"/>
      <c r="X355" s="540"/>
      <c r="Y355" s="540"/>
      <c r="Z355" s="540"/>
    </row>
    <row r="356" ht="171.75" customHeight="1">
      <c r="A356" s="540"/>
      <c r="B356" s="540"/>
      <c r="C356" s="540"/>
      <c r="D356" s="540"/>
      <c r="E356" s="540"/>
      <c r="F356" s="540"/>
      <c r="G356" s="540"/>
      <c r="H356" s="540"/>
      <c r="I356" s="540"/>
      <c r="J356" s="540"/>
      <c r="K356" s="540"/>
      <c r="L356" s="540"/>
      <c r="M356" s="540"/>
      <c r="N356" s="540"/>
      <c r="O356" s="540"/>
      <c r="P356" s="540"/>
      <c r="Q356" s="540"/>
      <c r="R356" s="540"/>
      <c r="S356" s="540"/>
      <c r="T356" s="540"/>
      <c r="U356" s="540"/>
      <c r="V356" s="540"/>
      <c r="W356" s="540"/>
      <c r="X356" s="540"/>
      <c r="Y356" s="540"/>
      <c r="Z356" s="540"/>
    </row>
    <row r="357" ht="171.75" customHeight="1">
      <c r="A357" s="540"/>
      <c r="B357" s="540"/>
      <c r="C357" s="540"/>
      <c r="D357" s="540"/>
      <c r="E357" s="540"/>
      <c r="F357" s="540"/>
      <c r="G357" s="540"/>
      <c r="H357" s="540"/>
      <c r="I357" s="540"/>
      <c r="J357" s="540"/>
      <c r="K357" s="540"/>
      <c r="L357" s="540"/>
      <c r="M357" s="540"/>
      <c r="N357" s="540"/>
      <c r="O357" s="540"/>
      <c r="P357" s="540"/>
      <c r="Q357" s="540"/>
      <c r="R357" s="540"/>
      <c r="S357" s="540"/>
      <c r="T357" s="540"/>
      <c r="U357" s="540"/>
      <c r="V357" s="540"/>
      <c r="W357" s="540"/>
      <c r="X357" s="540"/>
      <c r="Y357" s="540"/>
      <c r="Z357" s="540"/>
    </row>
    <row r="358" ht="171.75" customHeight="1">
      <c r="A358" s="540"/>
      <c r="B358" s="540"/>
      <c r="C358" s="540"/>
      <c r="D358" s="540"/>
      <c r="E358" s="540"/>
      <c r="F358" s="540"/>
      <c r="G358" s="540"/>
      <c r="H358" s="540"/>
      <c r="I358" s="540"/>
      <c r="J358" s="540"/>
      <c r="K358" s="540"/>
      <c r="L358" s="540"/>
      <c r="M358" s="540"/>
      <c r="N358" s="540"/>
      <c r="O358" s="540"/>
      <c r="P358" s="540"/>
      <c r="Q358" s="540"/>
      <c r="R358" s="540"/>
      <c r="S358" s="540"/>
      <c r="T358" s="540"/>
      <c r="U358" s="540"/>
      <c r="V358" s="540"/>
      <c r="W358" s="540"/>
      <c r="X358" s="540"/>
      <c r="Y358" s="540"/>
      <c r="Z358" s="540"/>
    </row>
    <row r="359" ht="171.75" customHeight="1">
      <c r="A359" s="540"/>
      <c r="B359" s="540"/>
      <c r="C359" s="540"/>
      <c r="D359" s="540"/>
      <c r="E359" s="540"/>
      <c r="F359" s="540"/>
      <c r="G359" s="540"/>
      <c r="H359" s="540"/>
      <c r="I359" s="540"/>
      <c r="J359" s="540"/>
      <c r="K359" s="540"/>
      <c r="L359" s="540"/>
      <c r="M359" s="540"/>
      <c r="N359" s="540"/>
      <c r="O359" s="540"/>
      <c r="P359" s="540"/>
      <c r="Q359" s="540"/>
      <c r="R359" s="540"/>
      <c r="S359" s="540"/>
      <c r="T359" s="540"/>
      <c r="U359" s="540"/>
      <c r="V359" s="540"/>
      <c r="W359" s="540"/>
      <c r="X359" s="540"/>
      <c r="Y359" s="540"/>
      <c r="Z359" s="540"/>
    </row>
    <row r="360" ht="171.75" customHeight="1">
      <c r="A360" s="540"/>
      <c r="B360" s="540"/>
      <c r="C360" s="540"/>
      <c r="D360" s="540"/>
      <c r="E360" s="540"/>
      <c r="F360" s="540"/>
      <c r="G360" s="540"/>
      <c r="H360" s="540"/>
      <c r="I360" s="540"/>
      <c r="J360" s="540"/>
      <c r="K360" s="540"/>
      <c r="L360" s="540"/>
      <c r="M360" s="540"/>
      <c r="N360" s="540"/>
      <c r="O360" s="540"/>
      <c r="P360" s="540"/>
      <c r="Q360" s="540"/>
      <c r="R360" s="540"/>
      <c r="S360" s="540"/>
      <c r="T360" s="540"/>
      <c r="U360" s="540"/>
      <c r="V360" s="540"/>
      <c r="W360" s="540"/>
      <c r="X360" s="540"/>
      <c r="Y360" s="540"/>
      <c r="Z360" s="540"/>
    </row>
    <row r="361" ht="171.75" customHeight="1">
      <c r="A361" s="540"/>
      <c r="B361" s="540"/>
      <c r="C361" s="540"/>
      <c r="D361" s="540"/>
      <c r="E361" s="540"/>
      <c r="F361" s="540"/>
      <c r="G361" s="540"/>
      <c r="H361" s="540"/>
      <c r="I361" s="540"/>
      <c r="J361" s="540"/>
      <c r="K361" s="540"/>
      <c r="L361" s="540"/>
      <c r="M361" s="540"/>
      <c r="N361" s="540"/>
      <c r="O361" s="540"/>
      <c r="P361" s="540"/>
      <c r="Q361" s="540"/>
      <c r="R361" s="540"/>
      <c r="S361" s="540"/>
      <c r="T361" s="540"/>
      <c r="U361" s="540"/>
      <c r="V361" s="540"/>
      <c r="W361" s="540"/>
      <c r="X361" s="540"/>
      <c r="Y361" s="540"/>
      <c r="Z361" s="540"/>
    </row>
    <row r="362" ht="171.75" customHeight="1">
      <c r="A362" s="540"/>
      <c r="B362" s="540"/>
      <c r="C362" s="540"/>
      <c r="D362" s="540"/>
      <c r="E362" s="540"/>
      <c r="F362" s="540"/>
      <c r="G362" s="540"/>
      <c r="H362" s="540"/>
      <c r="I362" s="540"/>
      <c r="J362" s="540"/>
      <c r="K362" s="540"/>
      <c r="L362" s="540"/>
      <c r="M362" s="540"/>
      <c r="N362" s="540"/>
      <c r="O362" s="540"/>
      <c r="P362" s="540"/>
      <c r="Q362" s="540"/>
      <c r="R362" s="540"/>
      <c r="S362" s="540"/>
      <c r="T362" s="540"/>
      <c r="U362" s="540"/>
      <c r="V362" s="540"/>
      <c r="W362" s="540"/>
      <c r="X362" s="540"/>
      <c r="Y362" s="540"/>
      <c r="Z362" s="540"/>
    </row>
    <row r="363" ht="171.75" customHeight="1">
      <c r="A363" s="540"/>
      <c r="B363" s="540"/>
      <c r="C363" s="540"/>
      <c r="D363" s="540"/>
      <c r="E363" s="540"/>
      <c r="F363" s="540"/>
      <c r="G363" s="540"/>
      <c r="H363" s="540"/>
      <c r="I363" s="540"/>
      <c r="J363" s="540"/>
      <c r="K363" s="540"/>
      <c r="L363" s="540"/>
      <c r="M363" s="540"/>
      <c r="N363" s="540"/>
      <c r="O363" s="540"/>
      <c r="P363" s="540"/>
      <c r="Q363" s="540"/>
      <c r="R363" s="540"/>
      <c r="S363" s="540"/>
      <c r="T363" s="540"/>
      <c r="U363" s="540"/>
      <c r="V363" s="540"/>
      <c r="W363" s="540"/>
      <c r="X363" s="540"/>
      <c r="Y363" s="540"/>
      <c r="Z363" s="540"/>
    </row>
    <row r="364" ht="171.75" customHeight="1">
      <c r="A364" s="540"/>
      <c r="B364" s="540"/>
      <c r="C364" s="540"/>
      <c r="D364" s="540"/>
      <c r="E364" s="540"/>
      <c r="F364" s="540"/>
      <c r="G364" s="540"/>
      <c r="H364" s="540"/>
      <c r="I364" s="540"/>
      <c r="J364" s="540"/>
      <c r="K364" s="540"/>
      <c r="L364" s="540"/>
      <c r="M364" s="540"/>
      <c r="N364" s="540"/>
      <c r="O364" s="540"/>
      <c r="P364" s="540"/>
      <c r="Q364" s="540"/>
      <c r="R364" s="540"/>
      <c r="S364" s="540"/>
      <c r="T364" s="540"/>
      <c r="U364" s="540"/>
      <c r="V364" s="540"/>
      <c r="W364" s="540"/>
      <c r="X364" s="540"/>
      <c r="Y364" s="540"/>
      <c r="Z364" s="540"/>
    </row>
    <row r="365" ht="171.75" customHeight="1">
      <c r="A365" s="540"/>
      <c r="B365" s="540"/>
      <c r="C365" s="540"/>
      <c r="D365" s="540"/>
      <c r="E365" s="540"/>
      <c r="F365" s="540"/>
      <c r="G365" s="540"/>
      <c r="H365" s="540"/>
      <c r="I365" s="540"/>
      <c r="J365" s="540"/>
      <c r="K365" s="540"/>
      <c r="L365" s="540"/>
      <c r="M365" s="540"/>
      <c r="N365" s="540"/>
      <c r="O365" s="540"/>
      <c r="P365" s="540"/>
      <c r="Q365" s="540"/>
      <c r="R365" s="540"/>
      <c r="S365" s="540"/>
      <c r="T365" s="540"/>
      <c r="U365" s="540"/>
      <c r="V365" s="540"/>
      <c r="W365" s="540"/>
      <c r="X365" s="540"/>
      <c r="Y365" s="540"/>
      <c r="Z365" s="540"/>
    </row>
    <row r="366" ht="171.75" customHeight="1">
      <c r="A366" s="540"/>
      <c r="B366" s="540"/>
      <c r="C366" s="540"/>
      <c r="D366" s="540"/>
      <c r="E366" s="540"/>
      <c r="F366" s="540"/>
      <c r="G366" s="540"/>
      <c r="H366" s="540"/>
      <c r="I366" s="540"/>
      <c r="J366" s="540"/>
      <c r="K366" s="540"/>
      <c r="L366" s="540"/>
      <c r="M366" s="540"/>
      <c r="N366" s="540"/>
      <c r="O366" s="540"/>
      <c r="P366" s="540"/>
      <c r="Q366" s="540"/>
      <c r="R366" s="540"/>
      <c r="S366" s="540"/>
      <c r="T366" s="540"/>
      <c r="U366" s="540"/>
      <c r="V366" s="540"/>
      <c r="W366" s="540"/>
      <c r="X366" s="540"/>
      <c r="Y366" s="540"/>
      <c r="Z366" s="540"/>
    </row>
    <row r="367" ht="171.75" customHeight="1">
      <c r="A367" s="540"/>
      <c r="B367" s="540"/>
      <c r="C367" s="540"/>
      <c r="D367" s="540"/>
      <c r="E367" s="540"/>
      <c r="F367" s="540"/>
      <c r="G367" s="540"/>
      <c r="H367" s="540"/>
      <c r="I367" s="540"/>
      <c r="J367" s="540"/>
      <c r="K367" s="540"/>
      <c r="L367" s="540"/>
      <c r="M367" s="540"/>
      <c r="N367" s="540"/>
      <c r="O367" s="540"/>
      <c r="P367" s="540"/>
      <c r="Q367" s="540"/>
      <c r="R367" s="540"/>
      <c r="S367" s="540"/>
      <c r="T367" s="540"/>
      <c r="U367" s="540"/>
      <c r="V367" s="540"/>
      <c r="W367" s="540"/>
      <c r="X367" s="540"/>
      <c r="Y367" s="540"/>
      <c r="Z367" s="540"/>
    </row>
    <row r="368" ht="171.75" customHeight="1">
      <c r="A368" s="540"/>
      <c r="B368" s="540"/>
      <c r="C368" s="540"/>
      <c r="D368" s="540"/>
      <c r="E368" s="540"/>
      <c r="F368" s="540"/>
      <c r="G368" s="540"/>
      <c r="H368" s="540"/>
      <c r="I368" s="540"/>
      <c r="J368" s="540"/>
      <c r="K368" s="540"/>
      <c r="L368" s="540"/>
      <c r="M368" s="540"/>
      <c r="N368" s="540"/>
      <c r="O368" s="540"/>
      <c r="P368" s="540"/>
      <c r="Q368" s="540"/>
      <c r="R368" s="540"/>
      <c r="S368" s="540"/>
      <c r="T368" s="540"/>
      <c r="U368" s="540"/>
      <c r="V368" s="540"/>
      <c r="W368" s="540"/>
      <c r="X368" s="540"/>
      <c r="Y368" s="540"/>
      <c r="Z368" s="540"/>
    </row>
    <row r="369" ht="171.75" customHeight="1">
      <c r="A369" s="540"/>
      <c r="B369" s="540"/>
      <c r="C369" s="540"/>
      <c r="D369" s="540"/>
      <c r="E369" s="540"/>
      <c r="F369" s="540"/>
      <c r="G369" s="540"/>
      <c r="H369" s="540"/>
      <c r="I369" s="540"/>
      <c r="J369" s="540"/>
      <c r="K369" s="540"/>
      <c r="L369" s="540"/>
      <c r="M369" s="540"/>
      <c r="N369" s="540"/>
      <c r="O369" s="540"/>
      <c r="P369" s="540"/>
      <c r="Q369" s="540"/>
      <c r="R369" s="540"/>
      <c r="S369" s="540"/>
      <c r="T369" s="540"/>
      <c r="U369" s="540"/>
      <c r="V369" s="540"/>
      <c r="W369" s="540"/>
      <c r="X369" s="540"/>
      <c r="Y369" s="540"/>
      <c r="Z369" s="540"/>
    </row>
    <row r="370" ht="171.75" customHeight="1">
      <c r="A370" s="540"/>
      <c r="B370" s="540"/>
      <c r="C370" s="540"/>
      <c r="D370" s="540"/>
      <c r="E370" s="540"/>
      <c r="F370" s="540"/>
      <c r="G370" s="540"/>
      <c r="H370" s="540"/>
      <c r="I370" s="540"/>
      <c r="J370" s="540"/>
      <c r="K370" s="540"/>
      <c r="L370" s="540"/>
      <c r="M370" s="540"/>
      <c r="N370" s="540"/>
      <c r="O370" s="540"/>
      <c r="P370" s="540"/>
      <c r="Q370" s="540"/>
      <c r="R370" s="540"/>
      <c r="S370" s="540"/>
      <c r="T370" s="540"/>
      <c r="U370" s="540"/>
      <c r="V370" s="540"/>
      <c r="W370" s="540"/>
      <c r="X370" s="540"/>
      <c r="Y370" s="540"/>
      <c r="Z370" s="540"/>
    </row>
    <row r="371" ht="171.75" customHeight="1">
      <c r="A371" s="540"/>
      <c r="B371" s="540"/>
      <c r="C371" s="540"/>
      <c r="D371" s="540"/>
      <c r="E371" s="540"/>
      <c r="F371" s="540"/>
      <c r="G371" s="540"/>
      <c r="H371" s="540"/>
      <c r="I371" s="540"/>
      <c r="J371" s="540"/>
      <c r="K371" s="540"/>
      <c r="L371" s="540"/>
      <c r="M371" s="540"/>
      <c r="N371" s="540"/>
      <c r="O371" s="540"/>
      <c r="P371" s="540"/>
      <c r="Q371" s="540"/>
      <c r="R371" s="540"/>
      <c r="S371" s="540"/>
      <c r="T371" s="540"/>
      <c r="U371" s="540"/>
      <c r="V371" s="540"/>
      <c r="W371" s="540"/>
      <c r="X371" s="540"/>
      <c r="Y371" s="540"/>
      <c r="Z371" s="540"/>
    </row>
    <row r="372" ht="171.75" customHeight="1">
      <c r="A372" s="540"/>
      <c r="B372" s="540"/>
      <c r="C372" s="540"/>
      <c r="D372" s="540"/>
      <c r="E372" s="540"/>
      <c r="F372" s="540"/>
      <c r="G372" s="540"/>
      <c r="H372" s="540"/>
      <c r="I372" s="540"/>
      <c r="J372" s="540"/>
      <c r="K372" s="540"/>
      <c r="L372" s="540"/>
      <c r="M372" s="540"/>
      <c r="N372" s="540"/>
      <c r="O372" s="540"/>
      <c r="P372" s="540"/>
      <c r="Q372" s="540"/>
      <c r="R372" s="540"/>
      <c r="S372" s="540"/>
      <c r="T372" s="540"/>
      <c r="U372" s="540"/>
      <c r="V372" s="540"/>
      <c r="W372" s="540"/>
      <c r="X372" s="540"/>
      <c r="Y372" s="540"/>
      <c r="Z372" s="540"/>
    </row>
    <row r="373" ht="171.75" customHeight="1">
      <c r="A373" s="540"/>
      <c r="B373" s="540"/>
      <c r="C373" s="540"/>
      <c r="D373" s="540"/>
      <c r="E373" s="540"/>
      <c r="F373" s="540"/>
      <c r="G373" s="540"/>
      <c r="H373" s="540"/>
      <c r="I373" s="540"/>
      <c r="J373" s="540"/>
      <c r="K373" s="540"/>
      <c r="L373" s="540"/>
      <c r="M373" s="540"/>
      <c r="N373" s="540"/>
      <c r="O373" s="540"/>
      <c r="P373" s="540"/>
      <c r="Q373" s="540"/>
      <c r="R373" s="540"/>
      <c r="S373" s="540"/>
      <c r="T373" s="540"/>
      <c r="U373" s="540"/>
      <c r="V373" s="540"/>
      <c r="W373" s="540"/>
      <c r="X373" s="540"/>
      <c r="Y373" s="540"/>
      <c r="Z373" s="540"/>
    </row>
    <row r="374" ht="171.75" customHeight="1">
      <c r="A374" s="540"/>
      <c r="B374" s="540"/>
      <c r="C374" s="540"/>
      <c r="D374" s="540"/>
      <c r="E374" s="540"/>
      <c r="F374" s="540"/>
      <c r="G374" s="540"/>
      <c r="H374" s="540"/>
      <c r="I374" s="540"/>
      <c r="J374" s="540"/>
      <c r="K374" s="540"/>
      <c r="L374" s="540"/>
      <c r="M374" s="540"/>
      <c r="N374" s="540"/>
      <c r="O374" s="540"/>
      <c r="P374" s="540"/>
      <c r="Q374" s="540"/>
      <c r="R374" s="540"/>
      <c r="S374" s="540"/>
      <c r="T374" s="540"/>
      <c r="U374" s="540"/>
      <c r="V374" s="540"/>
      <c r="W374" s="540"/>
      <c r="X374" s="540"/>
      <c r="Y374" s="540"/>
      <c r="Z374" s="540"/>
    </row>
    <row r="375" ht="171.75" customHeight="1">
      <c r="A375" s="540"/>
      <c r="B375" s="540"/>
      <c r="C375" s="540"/>
      <c r="D375" s="540"/>
      <c r="E375" s="540"/>
      <c r="F375" s="540"/>
      <c r="G375" s="540"/>
      <c r="H375" s="540"/>
      <c r="I375" s="540"/>
      <c r="J375" s="540"/>
      <c r="K375" s="540"/>
      <c r="L375" s="540"/>
      <c r="M375" s="540"/>
      <c r="N375" s="540"/>
      <c r="O375" s="540"/>
      <c r="P375" s="540"/>
      <c r="Q375" s="540"/>
      <c r="R375" s="540"/>
      <c r="S375" s="540"/>
      <c r="T375" s="540"/>
      <c r="U375" s="540"/>
      <c r="V375" s="540"/>
      <c r="W375" s="540"/>
      <c r="X375" s="540"/>
      <c r="Y375" s="540"/>
      <c r="Z375" s="540"/>
    </row>
    <row r="376" ht="171.75" customHeight="1">
      <c r="A376" s="540"/>
      <c r="B376" s="540"/>
      <c r="C376" s="540"/>
      <c r="D376" s="540"/>
      <c r="E376" s="540"/>
      <c r="F376" s="540"/>
      <c r="G376" s="540"/>
      <c r="H376" s="540"/>
      <c r="I376" s="540"/>
      <c r="J376" s="540"/>
      <c r="K376" s="540"/>
      <c r="L376" s="540"/>
      <c r="M376" s="540"/>
      <c r="N376" s="540"/>
      <c r="O376" s="540"/>
      <c r="P376" s="540"/>
      <c r="Q376" s="540"/>
      <c r="R376" s="540"/>
      <c r="S376" s="540"/>
      <c r="T376" s="540"/>
      <c r="U376" s="540"/>
      <c r="V376" s="540"/>
      <c r="W376" s="540"/>
      <c r="X376" s="540"/>
      <c r="Y376" s="540"/>
      <c r="Z376" s="540"/>
    </row>
    <row r="377" ht="171.75" customHeight="1">
      <c r="A377" s="540"/>
      <c r="B377" s="540"/>
      <c r="C377" s="540"/>
      <c r="D377" s="540"/>
      <c r="E377" s="540"/>
      <c r="F377" s="540"/>
      <c r="G377" s="540"/>
      <c r="H377" s="540"/>
      <c r="I377" s="540"/>
      <c r="J377" s="540"/>
      <c r="K377" s="540"/>
      <c r="L377" s="540"/>
      <c r="M377" s="540"/>
      <c r="N377" s="540"/>
      <c r="O377" s="540"/>
      <c r="P377" s="540"/>
      <c r="Q377" s="540"/>
      <c r="R377" s="540"/>
      <c r="S377" s="540"/>
      <c r="T377" s="540"/>
      <c r="U377" s="540"/>
      <c r="V377" s="540"/>
      <c r="W377" s="540"/>
      <c r="X377" s="540"/>
      <c r="Y377" s="540"/>
      <c r="Z377" s="540"/>
    </row>
    <row r="378" ht="171.75" customHeight="1">
      <c r="A378" s="540"/>
      <c r="B378" s="540"/>
      <c r="C378" s="540"/>
      <c r="D378" s="540"/>
      <c r="E378" s="540"/>
      <c r="F378" s="540"/>
      <c r="G378" s="540"/>
      <c r="H378" s="540"/>
      <c r="I378" s="540"/>
      <c r="J378" s="540"/>
      <c r="K378" s="540"/>
      <c r="L378" s="540"/>
      <c r="M378" s="540"/>
      <c r="N378" s="540"/>
      <c r="O378" s="540"/>
      <c r="P378" s="540"/>
      <c r="Q378" s="540"/>
      <c r="R378" s="540"/>
      <c r="S378" s="540"/>
      <c r="T378" s="540"/>
      <c r="U378" s="540"/>
      <c r="V378" s="540"/>
      <c r="W378" s="540"/>
      <c r="X378" s="540"/>
      <c r="Y378" s="540"/>
      <c r="Z378" s="540"/>
    </row>
    <row r="379" ht="171.75" customHeight="1">
      <c r="A379" s="540"/>
      <c r="B379" s="540"/>
      <c r="C379" s="540"/>
      <c r="D379" s="540"/>
      <c r="E379" s="540"/>
      <c r="F379" s="540"/>
      <c r="G379" s="540"/>
      <c r="H379" s="540"/>
      <c r="I379" s="540"/>
      <c r="J379" s="540"/>
      <c r="K379" s="540"/>
      <c r="L379" s="540"/>
      <c r="M379" s="540"/>
      <c r="N379" s="540"/>
      <c r="O379" s="540"/>
      <c r="P379" s="540"/>
      <c r="Q379" s="540"/>
      <c r="R379" s="540"/>
      <c r="S379" s="540"/>
      <c r="T379" s="540"/>
      <c r="U379" s="540"/>
      <c r="V379" s="540"/>
      <c r="W379" s="540"/>
      <c r="X379" s="540"/>
      <c r="Y379" s="540"/>
      <c r="Z379" s="540"/>
    </row>
    <row r="380" ht="171.75" customHeight="1">
      <c r="A380" s="540"/>
      <c r="B380" s="540"/>
      <c r="C380" s="540"/>
      <c r="D380" s="540"/>
      <c r="E380" s="540"/>
      <c r="F380" s="540"/>
      <c r="G380" s="540"/>
      <c r="H380" s="540"/>
      <c r="I380" s="540"/>
      <c r="J380" s="540"/>
      <c r="K380" s="540"/>
      <c r="L380" s="540"/>
      <c r="M380" s="540"/>
      <c r="N380" s="540"/>
      <c r="O380" s="540"/>
      <c r="P380" s="540"/>
      <c r="Q380" s="540"/>
      <c r="R380" s="540"/>
      <c r="S380" s="540"/>
      <c r="T380" s="540"/>
      <c r="U380" s="540"/>
      <c r="V380" s="540"/>
      <c r="W380" s="540"/>
      <c r="X380" s="540"/>
      <c r="Y380" s="540"/>
      <c r="Z380" s="540"/>
    </row>
    <row r="381" ht="171.75" customHeight="1">
      <c r="A381" s="540"/>
      <c r="B381" s="540"/>
      <c r="C381" s="540"/>
      <c r="D381" s="540"/>
      <c r="E381" s="540"/>
      <c r="F381" s="540"/>
      <c r="G381" s="540"/>
      <c r="H381" s="540"/>
      <c r="I381" s="540"/>
      <c r="J381" s="540"/>
      <c r="K381" s="540"/>
      <c r="L381" s="540"/>
      <c r="M381" s="540"/>
      <c r="N381" s="540"/>
      <c r="O381" s="540"/>
      <c r="P381" s="540"/>
      <c r="Q381" s="540"/>
      <c r="R381" s="540"/>
      <c r="S381" s="540"/>
      <c r="T381" s="540"/>
      <c r="U381" s="540"/>
      <c r="V381" s="540"/>
      <c r="W381" s="540"/>
      <c r="X381" s="540"/>
      <c r="Y381" s="540"/>
      <c r="Z381" s="540"/>
    </row>
    <row r="382" ht="171.75" customHeight="1">
      <c r="A382" s="540"/>
      <c r="B382" s="540"/>
      <c r="C382" s="540"/>
      <c r="D382" s="540"/>
      <c r="E382" s="540"/>
      <c r="F382" s="540"/>
      <c r="G382" s="540"/>
      <c r="H382" s="540"/>
      <c r="I382" s="540"/>
      <c r="J382" s="540"/>
      <c r="K382" s="540"/>
      <c r="L382" s="540"/>
      <c r="M382" s="540"/>
      <c r="N382" s="540"/>
      <c r="O382" s="540"/>
      <c r="P382" s="540"/>
      <c r="Q382" s="540"/>
      <c r="R382" s="540"/>
      <c r="S382" s="540"/>
      <c r="T382" s="540"/>
      <c r="U382" s="540"/>
      <c r="V382" s="540"/>
      <c r="W382" s="540"/>
      <c r="X382" s="540"/>
      <c r="Y382" s="540"/>
      <c r="Z382" s="540"/>
    </row>
    <row r="383" ht="171.75" customHeight="1">
      <c r="A383" s="540"/>
      <c r="B383" s="540"/>
      <c r="C383" s="540"/>
      <c r="D383" s="540"/>
      <c r="E383" s="540"/>
      <c r="F383" s="540"/>
      <c r="G383" s="540"/>
      <c r="H383" s="540"/>
      <c r="I383" s="540"/>
      <c r="J383" s="540"/>
      <c r="K383" s="540"/>
      <c r="L383" s="540"/>
      <c r="M383" s="540"/>
      <c r="N383" s="540"/>
      <c r="O383" s="540"/>
      <c r="P383" s="540"/>
      <c r="Q383" s="540"/>
      <c r="R383" s="540"/>
      <c r="S383" s="540"/>
      <c r="T383" s="540"/>
      <c r="U383" s="540"/>
      <c r="V383" s="540"/>
      <c r="W383" s="540"/>
      <c r="X383" s="540"/>
      <c r="Y383" s="540"/>
      <c r="Z383" s="540"/>
    </row>
    <row r="384" ht="171.75" customHeight="1">
      <c r="A384" s="540"/>
      <c r="B384" s="540"/>
      <c r="C384" s="540"/>
      <c r="D384" s="540"/>
      <c r="E384" s="540"/>
      <c r="F384" s="540"/>
      <c r="G384" s="540"/>
      <c r="H384" s="540"/>
      <c r="I384" s="540"/>
      <c r="J384" s="540"/>
      <c r="K384" s="540"/>
      <c r="L384" s="540"/>
      <c r="M384" s="540"/>
      <c r="N384" s="540"/>
      <c r="O384" s="540"/>
      <c r="P384" s="540"/>
      <c r="Q384" s="540"/>
      <c r="R384" s="540"/>
      <c r="S384" s="540"/>
      <c r="T384" s="540"/>
      <c r="U384" s="540"/>
      <c r="V384" s="540"/>
      <c r="W384" s="540"/>
      <c r="X384" s="540"/>
      <c r="Y384" s="540"/>
      <c r="Z384" s="540"/>
    </row>
    <row r="385" ht="171.75" customHeight="1">
      <c r="A385" s="540"/>
      <c r="B385" s="540"/>
      <c r="C385" s="540"/>
      <c r="D385" s="540"/>
      <c r="E385" s="540"/>
      <c r="F385" s="540"/>
      <c r="G385" s="540"/>
      <c r="H385" s="540"/>
      <c r="I385" s="540"/>
      <c r="J385" s="540"/>
      <c r="K385" s="540"/>
      <c r="L385" s="540"/>
      <c r="M385" s="540"/>
      <c r="N385" s="540"/>
      <c r="O385" s="540"/>
      <c r="P385" s="540"/>
      <c r="Q385" s="540"/>
      <c r="R385" s="540"/>
      <c r="S385" s="540"/>
      <c r="T385" s="540"/>
      <c r="U385" s="540"/>
      <c r="V385" s="540"/>
      <c r="W385" s="540"/>
      <c r="X385" s="540"/>
      <c r="Y385" s="540"/>
      <c r="Z385" s="540"/>
    </row>
    <row r="386" ht="171.75" customHeight="1">
      <c r="A386" s="540"/>
      <c r="B386" s="540"/>
      <c r="C386" s="540"/>
      <c r="D386" s="540"/>
      <c r="E386" s="540"/>
      <c r="F386" s="540"/>
      <c r="G386" s="540"/>
      <c r="H386" s="540"/>
      <c r="I386" s="540"/>
      <c r="J386" s="540"/>
      <c r="K386" s="540"/>
      <c r="L386" s="540"/>
      <c r="M386" s="540"/>
      <c r="N386" s="540"/>
      <c r="O386" s="540"/>
      <c r="P386" s="540"/>
      <c r="Q386" s="540"/>
      <c r="R386" s="540"/>
      <c r="S386" s="540"/>
      <c r="T386" s="540"/>
      <c r="U386" s="540"/>
      <c r="V386" s="540"/>
      <c r="W386" s="540"/>
      <c r="X386" s="540"/>
      <c r="Y386" s="540"/>
      <c r="Z386" s="540"/>
    </row>
    <row r="387" ht="171.75" customHeight="1">
      <c r="A387" s="540"/>
      <c r="B387" s="540"/>
      <c r="C387" s="540"/>
      <c r="D387" s="540"/>
      <c r="E387" s="540"/>
      <c r="F387" s="540"/>
      <c r="G387" s="540"/>
      <c r="H387" s="540"/>
      <c r="I387" s="540"/>
      <c r="J387" s="540"/>
      <c r="K387" s="540"/>
      <c r="L387" s="540"/>
      <c r="M387" s="540"/>
      <c r="N387" s="540"/>
      <c r="O387" s="540"/>
      <c r="P387" s="540"/>
      <c r="Q387" s="540"/>
      <c r="R387" s="540"/>
      <c r="S387" s="540"/>
      <c r="T387" s="540"/>
      <c r="U387" s="540"/>
      <c r="V387" s="540"/>
      <c r="W387" s="540"/>
      <c r="X387" s="540"/>
      <c r="Y387" s="540"/>
      <c r="Z387" s="540"/>
    </row>
    <row r="388" ht="171.75" customHeight="1">
      <c r="A388" s="540"/>
      <c r="B388" s="540"/>
      <c r="C388" s="540"/>
      <c r="D388" s="540"/>
      <c r="E388" s="540"/>
      <c r="F388" s="540"/>
      <c r="G388" s="540"/>
      <c r="H388" s="540"/>
      <c r="I388" s="540"/>
      <c r="J388" s="540"/>
      <c r="K388" s="540"/>
      <c r="L388" s="540"/>
      <c r="M388" s="540"/>
      <c r="N388" s="540"/>
      <c r="O388" s="540"/>
      <c r="P388" s="540"/>
      <c r="Q388" s="540"/>
      <c r="R388" s="540"/>
      <c r="S388" s="540"/>
      <c r="T388" s="540"/>
      <c r="U388" s="540"/>
      <c r="V388" s="540"/>
      <c r="W388" s="540"/>
      <c r="X388" s="540"/>
      <c r="Y388" s="540"/>
      <c r="Z388" s="540"/>
    </row>
    <row r="389" ht="171.75" customHeight="1">
      <c r="A389" s="540"/>
      <c r="B389" s="540"/>
      <c r="C389" s="540"/>
      <c r="D389" s="540"/>
      <c r="E389" s="540"/>
      <c r="F389" s="540"/>
      <c r="G389" s="540"/>
      <c r="H389" s="540"/>
      <c r="I389" s="540"/>
      <c r="J389" s="540"/>
      <c r="K389" s="540"/>
      <c r="L389" s="540"/>
      <c r="M389" s="540"/>
      <c r="N389" s="540"/>
      <c r="O389" s="540"/>
      <c r="P389" s="540"/>
      <c r="Q389" s="540"/>
      <c r="R389" s="540"/>
      <c r="S389" s="540"/>
      <c r="T389" s="540"/>
      <c r="U389" s="540"/>
      <c r="V389" s="540"/>
      <c r="W389" s="540"/>
      <c r="X389" s="540"/>
      <c r="Y389" s="540"/>
      <c r="Z389" s="540"/>
    </row>
    <row r="390" ht="171.75" customHeight="1">
      <c r="A390" s="540"/>
      <c r="B390" s="540"/>
      <c r="C390" s="540"/>
      <c r="D390" s="540"/>
      <c r="E390" s="540"/>
      <c r="F390" s="540"/>
      <c r="G390" s="540"/>
      <c r="H390" s="540"/>
      <c r="I390" s="540"/>
      <c r="J390" s="540"/>
      <c r="K390" s="540"/>
      <c r="L390" s="540"/>
      <c r="M390" s="540"/>
      <c r="N390" s="540"/>
      <c r="O390" s="540"/>
      <c r="P390" s="540"/>
      <c r="Q390" s="540"/>
      <c r="R390" s="540"/>
      <c r="S390" s="540"/>
      <c r="T390" s="540"/>
      <c r="U390" s="540"/>
      <c r="V390" s="540"/>
      <c r="W390" s="540"/>
      <c r="X390" s="540"/>
      <c r="Y390" s="540"/>
      <c r="Z390" s="540"/>
    </row>
    <row r="391" ht="171.75" customHeight="1">
      <c r="A391" s="540"/>
      <c r="B391" s="540"/>
      <c r="C391" s="540"/>
      <c r="D391" s="540"/>
      <c r="E391" s="540"/>
      <c r="F391" s="540"/>
      <c r="G391" s="540"/>
      <c r="H391" s="540"/>
      <c r="I391" s="540"/>
      <c r="J391" s="540"/>
      <c r="K391" s="540"/>
      <c r="L391" s="540"/>
      <c r="M391" s="540"/>
      <c r="N391" s="540"/>
      <c r="O391" s="540"/>
      <c r="P391" s="540"/>
      <c r="Q391" s="540"/>
      <c r="R391" s="540"/>
      <c r="S391" s="540"/>
      <c r="T391" s="540"/>
      <c r="U391" s="540"/>
      <c r="V391" s="540"/>
      <c r="W391" s="540"/>
      <c r="X391" s="540"/>
      <c r="Y391" s="540"/>
      <c r="Z391" s="540"/>
    </row>
    <row r="392" ht="171.75" customHeight="1">
      <c r="A392" s="540"/>
      <c r="B392" s="540"/>
      <c r="C392" s="540"/>
      <c r="D392" s="540"/>
      <c r="E392" s="540"/>
      <c r="F392" s="540"/>
      <c r="G392" s="540"/>
      <c r="H392" s="540"/>
      <c r="I392" s="540"/>
      <c r="J392" s="540"/>
      <c r="K392" s="540"/>
      <c r="L392" s="540"/>
      <c r="M392" s="540"/>
      <c r="N392" s="540"/>
      <c r="O392" s="540"/>
      <c r="P392" s="540"/>
      <c r="Q392" s="540"/>
      <c r="R392" s="540"/>
      <c r="S392" s="540"/>
      <c r="T392" s="540"/>
      <c r="U392" s="540"/>
      <c r="V392" s="540"/>
      <c r="W392" s="540"/>
      <c r="X392" s="540"/>
      <c r="Y392" s="540"/>
      <c r="Z392" s="540"/>
    </row>
    <row r="393" ht="171.75" customHeight="1">
      <c r="A393" s="540"/>
      <c r="B393" s="540"/>
      <c r="C393" s="540"/>
      <c r="D393" s="540"/>
      <c r="E393" s="540"/>
      <c r="F393" s="540"/>
      <c r="G393" s="540"/>
      <c r="H393" s="540"/>
      <c r="I393" s="540"/>
      <c r="J393" s="540"/>
      <c r="K393" s="540"/>
      <c r="L393" s="540"/>
      <c r="M393" s="540"/>
      <c r="N393" s="540"/>
      <c r="O393" s="540"/>
      <c r="P393" s="540"/>
      <c r="Q393" s="540"/>
      <c r="R393" s="540"/>
      <c r="S393" s="540"/>
      <c r="T393" s="540"/>
      <c r="U393" s="540"/>
      <c r="V393" s="540"/>
      <c r="W393" s="540"/>
      <c r="X393" s="540"/>
      <c r="Y393" s="540"/>
      <c r="Z393" s="540"/>
    </row>
    <row r="394" ht="171.75" customHeight="1">
      <c r="A394" s="540"/>
      <c r="B394" s="540"/>
      <c r="C394" s="540"/>
      <c r="D394" s="540"/>
      <c r="E394" s="540"/>
      <c r="F394" s="540"/>
      <c r="G394" s="540"/>
      <c r="H394" s="540"/>
      <c r="I394" s="540"/>
      <c r="J394" s="540"/>
      <c r="K394" s="540"/>
      <c r="L394" s="540"/>
      <c r="M394" s="540"/>
      <c r="N394" s="540"/>
      <c r="O394" s="540"/>
      <c r="P394" s="540"/>
      <c r="Q394" s="540"/>
      <c r="R394" s="540"/>
      <c r="S394" s="540"/>
      <c r="T394" s="540"/>
      <c r="U394" s="540"/>
      <c r="V394" s="540"/>
      <c r="W394" s="540"/>
      <c r="X394" s="540"/>
      <c r="Y394" s="540"/>
      <c r="Z394" s="540"/>
    </row>
    <row r="395" ht="171.75" customHeight="1">
      <c r="A395" s="540"/>
      <c r="B395" s="540"/>
      <c r="C395" s="540"/>
      <c r="D395" s="540"/>
      <c r="E395" s="540"/>
      <c r="F395" s="540"/>
      <c r="G395" s="540"/>
      <c r="H395" s="540"/>
      <c r="I395" s="540"/>
      <c r="J395" s="540"/>
      <c r="K395" s="540"/>
      <c r="L395" s="540"/>
      <c r="M395" s="540"/>
      <c r="N395" s="540"/>
      <c r="O395" s="540"/>
      <c r="P395" s="540"/>
      <c r="Q395" s="540"/>
      <c r="R395" s="540"/>
      <c r="S395" s="540"/>
      <c r="T395" s="540"/>
      <c r="U395" s="540"/>
      <c r="V395" s="540"/>
      <c r="W395" s="540"/>
      <c r="X395" s="540"/>
      <c r="Y395" s="540"/>
      <c r="Z395" s="540"/>
    </row>
    <row r="396" ht="171.75" customHeight="1">
      <c r="A396" s="540"/>
      <c r="B396" s="540"/>
      <c r="C396" s="540"/>
      <c r="D396" s="540"/>
      <c r="E396" s="540"/>
      <c r="F396" s="540"/>
      <c r="G396" s="540"/>
      <c r="H396" s="540"/>
      <c r="I396" s="540"/>
      <c r="J396" s="540"/>
      <c r="K396" s="540"/>
      <c r="L396" s="540"/>
      <c r="M396" s="540"/>
      <c r="N396" s="540"/>
      <c r="O396" s="540"/>
      <c r="P396" s="540"/>
      <c r="Q396" s="540"/>
      <c r="R396" s="540"/>
      <c r="S396" s="540"/>
      <c r="T396" s="540"/>
      <c r="U396" s="540"/>
      <c r="V396" s="540"/>
      <c r="W396" s="540"/>
      <c r="X396" s="540"/>
      <c r="Y396" s="540"/>
      <c r="Z396" s="540"/>
    </row>
    <row r="397" ht="171.75" customHeight="1">
      <c r="A397" s="540"/>
      <c r="B397" s="540"/>
      <c r="C397" s="540"/>
      <c r="D397" s="540"/>
      <c r="E397" s="540"/>
      <c r="F397" s="540"/>
      <c r="G397" s="540"/>
      <c r="H397" s="540"/>
      <c r="I397" s="540"/>
      <c r="J397" s="540"/>
      <c r="K397" s="540"/>
      <c r="L397" s="540"/>
      <c r="M397" s="540"/>
      <c r="N397" s="540"/>
      <c r="O397" s="540"/>
      <c r="P397" s="540"/>
      <c r="Q397" s="540"/>
      <c r="R397" s="540"/>
      <c r="S397" s="540"/>
      <c r="T397" s="540"/>
      <c r="U397" s="540"/>
      <c r="V397" s="540"/>
      <c r="W397" s="540"/>
      <c r="X397" s="540"/>
      <c r="Y397" s="540"/>
      <c r="Z397" s="540"/>
    </row>
    <row r="398" ht="171.75" customHeight="1">
      <c r="A398" s="540"/>
      <c r="B398" s="540"/>
      <c r="C398" s="540"/>
      <c r="D398" s="540"/>
      <c r="E398" s="540"/>
      <c r="F398" s="540"/>
      <c r="G398" s="540"/>
      <c r="H398" s="540"/>
      <c r="I398" s="540"/>
      <c r="J398" s="540"/>
      <c r="K398" s="540"/>
      <c r="L398" s="540"/>
      <c r="M398" s="540"/>
      <c r="N398" s="540"/>
      <c r="O398" s="540"/>
      <c r="P398" s="540"/>
      <c r="Q398" s="540"/>
      <c r="R398" s="540"/>
      <c r="S398" s="540"/>
      <c r="T398" s="540"/>
      <c r="U398" s="540"/>
      <c r="V398" s="540"/>
      <c r="W398" s="540"/>
      <c r="X398" s="540"/>
      <c r="Y398" s="540"/>
      <c r="Z398" s="540"/>
    </row>
    <row r="399" ht="171.75" customHeight="1">
      <c r="A399" s="540"/>
      <c r="B399" s="540"/>
      <c r="C399" s="540"/>
      <c r="D399" s="540"/>
      <c r="E399" s="540"/>
      <c r="F399" s="540"/>
      <c r="G399" s="540"/>
      <c r="H399" s="540"/>
      <c r="I399" s="540"/>
      <c r="J399" s="540"/>
      <c r="K399" s="540"/>
      <c r="L399" s="540"/>
      <c r="M399" s="540"/>
      <c r="N399" s="540"/>
      <c r="O399" s="540"/>
      <c r="P399" s="540"/>
      <c r="Q399" s="540"/>
      <c r="R399" s="540"/>
      <c r="S399" s="540"/>
      <c r="T399" s="540"/>
      <c r="U399" s="540"/>
      <c r="V399" s="540"/>
      <c r="W399" s="540"/>
      <c r="X399" s="540"/>
      <c r="Y399" s="540"/>
      <c r="Z399" s="540"/>
    </row>
    <row r="400" ht="171.75" customHeight="1">
      <c r="A400" s="540"/>
      <c r="B400" s="540"/>
      <c r="C400" s="540"/>
      <c r="D400" s="540"/>
      <c r="E400" s="540"/>
      <c r="F400" s="540"/>
      <c r="G400" s="540"/>
      <c r="H400" s="540"/>
      <c r="I400" s="540"/>
      <c r="J400" s="540"/>
      <c r="K400" s="540"/>
      <c r="L400" s="540"/>
      <c r="M400" s="540"/>
      <c r="N400" s="540"/>
      <c r="O400" s="540"/>
      <c r="P400" s="540"/>
      <c r="Q400" s="540"/>
      <c r="R400" s="540"/>
      <c r="S400" s="540"/>
      <c r="T400" s="540"/>
      <c r="U400" s="540"/>
      <c r="V400" s="540"/>
      <c r="W400" s="540"/>
      <c r="X400" s="540"/>
      <c r="Y400" s="540"/>
      <c r="Z400" s="540"/>
    </row>
    <row r="401" ht="171.75" customHeight="1">
      <c r="A401" s="540"/>
      <c r="B401" s="540"/>
      <c r="C401" s="540"/>
      <c r="D401" s="540"/>
      <c r="E401" s="540"/>
      <c r="F401" s="540"/>
      <c r="G401" s="540"/>
      <c r="H401" s="540"/>
      <c r="I401" s="540"/>
      <c r="J401" s="540"/>
      <c r="K401" s="540"/>
      <c r="L401" s="540"/>
      <c r="M401" s="540"/>
      <c r="N401" s="540"/>
      <c r="O401" s="540"/>
      <c r="P401" s="540"/>
      <c r="Q401" s="540"/>
      <c r="R401" s="540"/>
      <c r="S401" s="540"/>
      <c r="T401" s="540"/>
      <c r="U401" s="540"/>
      <c r="V401" s="540"/>
      <c r="W401" s="540"/>
      <c r="X401" s="540"/>
      <c r="Y401" s="540"/>
      <c r="Z401" s="540"/>
    </row>
    <row r="402" ht="171.75" customHeight="1">
      <c r="A402" s="540"/>
      <c r="B402" s="540"/>
      <c r="C402" s="540"/>
      <c r="D402" s="540"/>
      <c r="E402" s="540"/>
      <c r="F402" s="540"/>
      <c r="G402" s="540"/>
      <c r="H402" s="540"/>
      <c r="I402" s="540"/>
      <c r="J402" s="540"/>
      <c r="K402" s="540"/>
      <c r="L402" s="540"/>
      <c r="M402" s="540"/>
      <c r="N402" s="540"/>
      <c r="O402" s="540"/>
      <c r="P402" s="540"/>
      <c r="Q402" s="540"/>
      <c r="R402" s="540"/>
      <c r="S402" s="540"/>
      <c r="T402" s="540"/>
      <c r="U402" s="540"/>
      <c r="V402" s="540"/>
      <c r="W402" s="540"/>
      <c r="X402" s="540"/>
      <c r="Y402" s="540"/>
      <c r="Z402" s="540"/>
    </row>
    <row r="403" ht="171.75" customHeight="1">
      <c r="A403" s="540"/>
      <c r="B403" s="540"/>
      <c r="C403" s="540"/>
      <c r="D403" s="540"/>
      <c r="E403" s="540"/>
      <c r="F403" s="540"/>
      <c r="G403" s="540"/>
      <c r="H403" s="540"/>
      <c r="I403" s="540"/>
      <c r="J403" s="540"/>
      <c r="K403" s="540"/>
      <c r="L403" s="540"/>
      <c r="M403" s="540"/>
      <c r="N403" s="540"/>
      <c r="O403" s="540"/>
      <c r="P403" s="540"/>
      <c r="Q403" s="540"/>
      <c r="R403" s="540"/>
      <c r="S403" s="540"/>
      <c r="T403" s="540"/>
      <c r="U403" s="540"/>
      <c r="V403" s="540"/>
      <c r="W403" s="540"/>
      <c r="X403" s="540"/>
      <c r="Y403" s="540"/>
      <c r="Z403" s="540"/>
    </row>
    <row r="404" ht="171.75" customHeight="1">
      <c r="A404" s="540"/>
      <c r="B404" s="540"/>
      <c r="C404" s="540"/>
      <c r="D404" s="540"/>
      <c r="E404" s="540"/>
      <c r="F404" s="540"/>
      <c r="G404" s="540"/>
      <c r="H404" s="540"/>
      <c r="I404" s="540"/>
      <c r="J404" s="540"/>
      <c r="K404" s="540"/>
      <c r="L404" s="540"/>
      <c r="M404" s="540"/>
      <c r="N404" s="540"/>
      <c r="O404" s="540"/>
      <c r="P404" s="540"/>
      <c r="Q404" s="540"/>
      <c r="R404" s="540"/>
      <c r="S404" s="540"/>
      <c r="T404" s="540"/>
      <c r="U404" s="540"/>
      <c r="V404" s="540"/>
      <c r="W404" s="540"/>
      <c r="X404" s="540"/>
      <c r="Y404" s="540"/>
      <c r="Z404" s="540"/>
    </row>
    <row r="405" ht="171.75" customHeight="1">
      <c r="A405" s="540"/>
      <c r="B405" s="540"/>
      <c r="C405" s="540"/>
      <c r="D405" s="540"/>
      <c r="E405" s="540"/>
      <c r="F405" s="540"/>
      <c r="G405" s="540"/>
      <c r="H405" s="540"/>
      <c r="I405" s="540"/>
      <c r="J405" s="540"/>
      <c r="K405" s="540"/>
      <c r="L405" s="540"/>
      <c r="M405" s="540"/>
      <c r="N405" s="540"/>
      <c r="O405" s="540"/>
      <c r="P405" s="540"/>
      <c r="Q405" s="540"/>
      <c r="R405" s="540"/>
      <c r="S405" s="540"/>
      <c r="T405" s="540"/>
      <c r="U405" s="540"/>
      <c r="V405" s="540"/>
      <c r="W405" s="540"/>
      <c r="X405" s="540"/>
      <c r="Y405" s="540"/>
      <c r="Z405" s="540"/>
    </row>
    <row r="406" ht="171.75" customHeight="1">
      <c r="A406" s="540"/>
      <c r="B406" s="540"/>
      <c r="C406" s="540"/>
      <c r="D406" s="540"/>
      <c r="E406" s="540"/>
      <c r="F406" s="540"/>
      <c r="G406" s="540"/>
      <c r="H406" s="540"/>
      <c r="I406" s="540"/>
      <c r="J406" s="540"/>
      <c r="K406" s="540"/>
      <c r="L406" s="540"/>
      <c r="M406" s="540"/>
      <c r="N406" s="540"/>
      <c r="O406" s="540"/>
      <c r="P406" s="540"/>
      <c r="Q406" s="540"/>
      <c r="R406" s="540"/>
      <c r="S406" s="540"/>
      <c r="T406" s="540"/>
      <c r="U406" s="540"/>
      <c r="V406" s="540"/>
      <c r="W406" s="540"/>
      <c r="X406" s="540"/>
      <c r="Y406" s="540"/>
      <c r="Z406" s="540"/>
    </row>
    <row r="407" ht="171.75" customHeight="1">
      <c r="A407" s="540"/>
      <c r="B407" s="540"/>
      <c r="C407" s="540"/>
      <c r="D407" s="540"/>
      <c r="E407" s="540"/>
      <c r="F407" s="540"/>
      <c r="G407" s="540"/>
      <c r="H407" s="540"/>
      <c r="I407" s="540"/>
      <c r="J407" s="540"/>
      <c r="K407" s="540"/>
      <c r="L407" s="540"/>
      <c r="M407" s="540"/>
      <c r="N407" s="540"/>
      <c r="O407" s="540"/>
      <c r="P407" s="540"/>
      <c r="Q407" s="540"/>
      <c r="R407" s="540"/>
      <c r="S407" s="540"/>
      <c r="T407" s="540"/>
      <c r="U407" s="540"/>
      <c r="V407" s="540"/>
      <c r="W407" s="540"/>
      <c r="X407" s="540"/>
      <c r="Y407" s="540"/>
      <c r="Z407" s="540"/>
    </row>
    <row r="408" ht="171.75" customHeight="1">
      <c r="A408" s="540"/>
      <c r="B408" s="540"/>
      <c r="C408" s="540"/>
      <c r="D408" s="540"/>
      <c r="E408" s="540"/>
      <c r="F408" s="540"/>
      <c r="G408" s="540"/>
      <c r="H408" s="540"/>
      <c r="I408" s="540"/>
      <c r="J408" s="540"/>
      <c r="K408" s="540"/>
      <c r="L408" s="540"/>
      <c r="M408" s="540"/>
      <c r="N408" s="540"/>
      <c r="O408" s="540"/>
      <c r="P408" s="540"/>
      <c r="Q408" s="540"/>
      <c r="R408" s="540"/>
      <c r="S408" s="540"/>
      <c r="T408" s="540"/>
      <c r="U408" s="540"/>
      <c r="V408" s="540"/>
      <c r="W408" s="540"/>
      <c r="X408" s="540"/>
      <c r="Y408" s="540"/>
      <c r="Z408" s="540"/>
    </row>
    <row r="409" ht="171.75" customHeight="1">
      <c r="A409" s="540"/>
      <c r="B409" s="540"/>
      <c r="C409" s="540"/>
      <c r="D409" s="540"/>
      <c r="E409" s="540"/>
      <c r="F409" s="540"/>
      <c r="G409" s="540"/>
      <c r="H409" s="540"/>
      <c r="I409" s="540"/>
      <c r="J409" s="540"/>
      <c r="K409" s="540"/>
      <c r="L409" s="540"/>
      <c r="M409" s="540"/>
      <c r="N409" s="540"/>
      <c r="O409" s="540"/>
      <c r="P409" s="540"/>
      <c r="Q409" s="540"/>
      <c r="R409" s="540"/>
      <c r="S409" s="540"/>
      <c r="T409" s="540"/>
      <c r="U409" s="540"/>
      <c r="V409" s="540"/>
      <c r="W409" s="540"/>
      <c r="X409" s="540"/>
      <c r="Y409" s="540"/>
      <c r="Z409" s="540"/>
    </row>
    <row r="410" ht="171.75" customHeight="1">
      <c r="A410" s="540"/>
      <c r="B410" s="540"/>
      <c r="C410" s="540"/>
      <c r="D410" s="540"/>
      <c r="E410" s="540"/>
      <c r="F410" s="540"/>
      <c r="G410" s="540"/>
      <c r="H410" s="540"/>
      <c r="I410" s="540"/>
      <c r="J410" s="540"/>
      <c r="K410" s="540"/>
      <c r="L410" s="540"/>
      <c r="M410" s="540"/>
      <c r="N410" s="540"/>
      <c r="O410" s="540"/>
      <c r="P410" s="540"/>
      <c r="Q410" s="540"/>
      <c r="R410" s="540"/>
      <c r="S410" s="540"/>
      <c r="T410" s="540"/>
      <c r="U410" s="540"/>
      <c r="V410" s="540"/>
      <c r="W410" s="540"/>
      <c r="X410" s="540"/>
      <c r="Y410" s="540"/>
      <c r="Z410" s="540"/>
    </row>
    <row r="411" ht="171.75" customHeight="1">
      <c r="A411" s="540"/>
      <c r="B411" s="540"/>
      <c r="C411" s="540"/>
      <c r="D411" s="540"/>
      <c r="E411" s="540"/>
      <c r="F411" s="540"/>
      <c r="G411" s="540"/>
      <c r="H411" s="540"/>
      <c r="I411" s="540"/>
      <c r="J411" s="540"/>
      <c r="K411" s="540"/>
      <c r="L411" s="540"/>
      <c r="M411" s="540"/>
      <c r="N411" s="540"/>
      <c r="O411" s="540"/>
      <c r="P411" s="540"/>
      <c r="Q411" s="540"/>
      <c r="R411" s="540"/>
      <c r="S411" s="540"/>
      <c r="T411" s="540"/>
      <c r="U411" s="540"/>
      <c r="V411" s="540"/>
      <c r="W411" s="540"/>
      <c r="X411" s="540"/>
      <c r="Y411" s="540"/>
      <c r="Z411" s="540"/>
    </row>
    <row r="412" ht="171.75" customHeight="1">
      <c r="A412" s="540"/>
      <c r="B412" s="540"/>
      <c r="C412" s="540"/>
      <c r="D412" s="540"/>
      <c r="E412" s="540"/>
      <c r="F412" s="540"/>
      <c r="G412" s="540"/>
      <c r="H412" s="540"/>
      <c r="I412" s="540"/>
      <c r="J412" s="540"/>
      <c r="K412" s="540"/>
      <c r="L412" s="540"/>
      <c r="M412" s="540"/>
      <c r="N412" s="540"/>
      <c r="O412" s="540"/>
      <c r="P412" s="540"/>
      <c r="Q412" s="540"/>
      <c r="R412" s="540"/>
      <c r="S412" s="540"/>
      <c r="T412" s="540"/>
      <c r="U412" s="540"/>
      <c r="V412" s="540"/>
      <c r="W412" s="540"/>
      <c r="X412" s="540"/>
      <c r="Y412" s="540"/>
      <c r="Z412" s="540"/>
    </row>
    <row r="413" ht="171.75" customHeight="1">
      <c r="A413" s="540"/>
      <c r="B413" s="540"/>
      <c r="C413" s="540"/>
      <c r="D413" s="540"/>
      <c r="E413" s="540"/>
      <c r="F413" s="540"/>
      <c r="G413" s="540"/>
      <c r="H413" s="540"/>
      <c r="I413" s="540"/>
      <c r="J413" s="540"/>
      <c r="K413" s="540"/>
      <c r="L413" s="540"/>
      <c r="M413" s="540"/>
      <c r="N413" s="540"/>
      <c r="O413" s="540"/>
      <c r="P413" s="540"/>
      <c r="Q413" s="540"/>
      <c r="R413" s="540"/>
      <c r="S413" s="540"/>
      <c r="T413" s="540"/>
      <c r="U413" s="540"/>
      <c r="V413" s="540"/>
      <c r="W413" s="540"/>
      <c r="X413" s="540"/>
      <c r="Y413" s="540"/>
      <c r="Z413" s="540"/>
    </row>
    <row r="414" ht="171.75" customHeight="1">
      <c r="A414" s="540"/>
      <c r="B414" s="540"/>
      <c r="C414" s="540"/>
      <c r="D414" s="540"/>
      <c r="E414" s="540"/>
      <c r="F414" s="540"/>
      <c r="G414" s="540"/>
      <c r="H414" s="540"/>
      <c r="I414" s="540"/>
      <c r="J414" s="540"/>
      <c r="K414" s="540"/>
      <c r="L414" s="540"/>
      <c r="M414" s="540"/>
      <c r="N414" s="540"/>
      <c r="O414" s="540"/>
      <c r="P414" s="540"/>
      <c r="Q414" s="540"/>
      <c r="R414" s="540"/>
      <c r="S414" s="540"/>
      <c r="T414" s="540"/>
      <c r="U414" s="540"/>
      <c r="V414" s="540"/>
      <c r="W414" s="540"/>
      <c r="X414" s="540"/>
      <c r="Y414" s="540"/>
      <c r="Z414" s="540"/>
    </row>
    <row r="415" ht="171.75" customHeight="1">
      <c r="A415" s="540"/>
      <c r="B415" s="540"/>
      <c r="C415" s="540"/>
      <c r="D415" s="540"/>
      <c r="E415" s="540"/>
      <c r="F415" s="540"/>
      <c r="G415" s="540"/>
      <c r="H415" s="540"/>
      <c r="I415" s="540"/>
      <c r="J415" s="540"/>
      <c r="K415" s="540"/>
      <c r="L415" s="540"/>
      <c r="M415" s="540"/>
      <c r="N415" s="540"/>
      <c r="O415" s="540"/>
      <c r="P415" s="540"/>
      <c r="Q415" s="540"/>
      <c r="R415" s="540"/>
      <c r="S415" s="540"/>
      <c r="T415" s="540"/>
      <c r="U415" s="540"/>
      <c r="V415" s="540"/>
      <c r="W415" s="540"/>
      <c r="X415" s="540"/>
      <c r="Y415" s="540"/>
      <c r="Z415" s="540"/>
    </row>
    <row r="416" ht="171.75" customHeight="1">
      <c r="A416" s="540"/>
      <c r="B416" s="540"/>
      <c r="C416" s="540"/>
      <c r="D416" s="540"/>
      <c r="E416" s="540"/>
      <c r="F416" s="540"/>
      <c r="G416" s="540"/>
      <c r="H416" s="540"/>
      <c r="I416" s="540"/>
      <c r="J416" s="540"/>
      <c r="K416" s="540"/>
      <c r="L416" s="540"/>
      <c r="M416" s="540"/>
      <c r="N416" s="540"/>
      <c r="O416" s="540"/>
      <c r="P416" s="540"/>
      <c r="Q416" s="540"/>
      <c r="R416" s="540"/>
      <c r="S416" s="540"/>
      <c r="T416" s="540"/>
      <c r="U416" s="540"/>
      <c r="V416" s="540"/>
      <c r="W416" s="540"/>
      <c r="X416" s="540"/>
      <c r="Y416" s="540"/>
      <c r="Z416" s="540"/>
    </row>
    <row r="417" ht="171.75" customHeight="1">
      <c r="A417" s="540"/>
      <c r="B417" s="540"/>
      <c r="C417" s="540"/>
      <c r="D417" s="540"/>
      <c r="E417" s="540"/>
      <c r="F417" s="540"/>
      <c r="G417" s="540"/>
      <c r="H417" s="540"/>
      <c r="I417" s="540"/>
      <c r="J417" s="540"/>
      <c r="K417" s="540"/>
      <c r="L417" s="540"/>
      <c r="M417" s="540"/>
      <c r="N417" s="540"/>
      <c r="O417" s="540"/>
      <c r="P417" s="540"/>
      <c r="Q417" s="540"/>
      <c r="R417" s="540"/>
      <c r="S417" s="540"/>
      <c r="T417" s="540"/>
      <c r="U417" s="540"/>
      <c r="V417" s="540"/>
      <c r="W417" s="540"/>
      <c r="X417" s="540"/>
      <c r="Y417" s="540"/>
      <c r="Z417" s="540"/>
    </row>
    <row r="418" ht="171.75" customHeight="1">
      <c r="A418" s="540"/>
      <c r="B418" s="540"/>
      <c r="C418" s="540"/>
      <c r="D418" s="540"/>
      <c r="E418" s="540"/>
      <c r="F418" s="540"/>
      <c r="G418" s="540"/>
      <c r="H418" s="540"/>
      <c r="I418" s="540"/>
      <c r="J418" s="540"/>
      <c r="K418" s="540"/>
      <c r="L418" s="540"/>
      <c r="M418" s="540"/>
      <c r="N418" s="540"/>
      <c r="O418" s="540"/>
      <c r="P418" s="540"/>
      <c r="Q418" s="540"/>
      <c r="R418" s="540"/>
      <c r="S418" s="540"/>
      <c r="T418" s="540"/>
      <c r="U418" s="540"/>
      <c r="V418" s="540"/>
      <c r="W418" s="540"/>
      <c r="X418" s="540"/>
      <c r="Y418" s="540"/>
      <c r="Z418" s="540"/>
    </row>
    <row r="419" ht="171.75" customHeight="1">
      <c r="A419" s="540"/>
      <c r="B419" s="540"/>
      <c r="C419" s="540"/>
      <c r="D419" s="540"/>
      <c r="E419" s="540"/>
      <c r="F419" s="540"/>
      <c r="G419" s="540"/>
      <c r="H419" s="540"/>
      <c r="I419" s="540"/>
      <c r="J419" s="540"/>
      <c r="K419" s="540"/>
      <c r="L419" s="540"/>
      <c r="M419" s="540"/>
      <c r="N419" s="540"/>
      <c r="O419" s="540"/>
      <c r="P419" s="540"/>
      <c r="Q419" s="540"/>
      <c r="R419" s="540"/>
      <c r="S419" s="540"/>
      <c r="T419" s="540"/>
      <c r="U419" s="540"/>
      <c r="V419" s="540"/>
      <c r="W419" s="540"/>
      <c r="X419" s="540"/>
      <c r="Y419" s="540"/>
      <c r="Z419" s="540"/>
    </row>
    <row r="420" ht="171.75" customHeight="1">
      <c r="A420" s="540"/>
      <c r="B420" s="540"/>
      <c r="C420" s="540"/>
      <c r="D420" s="540"/>
      <c r="E420" s="540"/>
      <c r="F420" s="540"/>
      <c r="G420" s="540"/>
      <c r="H420" s="540"/>
      <c r="I420" s="540"/>
      <c r="J420" s="540"/>
      <c r="K420" s="540"/>
      <c r="L420" s="540"/>
      <c r="M420" s="540"/>
      <c r="N420" s="540"/>
      <c r="O420" s="540"/>
      <c r="P420" s="540"/>
      <c r="Q420" s="540"/>
      <c r="R420" s="540"/>
      <c r="S420" s="540"/>
      <c r="T420" s="540"/>
      <c r="U420" s="540"/>
      <c r="V420" s="540"/>
      <c r="W420" s="540"/>
      <c r="X420" s="540"/>
      <c r="Y420" s="540"/>
      <c r="Z420" s="540"/>
    </row>
    <row r="421" ht="171.75" customHeight="1">
      <c r="A421" s="540"/>
      <c r="B421" s="540"/>
      <c r="C421" s="540"/>
      <c r="D421" s="540"/>
      <c r="E421" s="540"/>
      <c r="F421" s="540"/>
      <c r="G421" s="540"/>
      <c r="H421" s="540"/>
      <c r="I421" s="540"/>
      <c r="J421" s="540"/>
      <c r="K421" s="540"/>
      <c r="L421" s="540"/>
      <c r="M421" s="540"/>
      <c r="N421" s="540"/>
      <c r="O421" s="540"/>
      <c r="P421" s="540"/>
      <c r="Q421" s="540"/>
      <c r="R421" s="540"/>
      <c r="S421" s="540"/>
      <c r="T421" s="540"/>
      <c r="U421" s="540"/>
      <c r="V421" s="540"/>
      <c r="W421" s="540"/>
      <c r="X421" s="540"/>
      <c r="Y421" s="540"/>
      <c r="Z421" s="540"/>
    </row>
    <row r="422" ht="171.75" customHeight="1">
      <c r="A422" s="540"/>
      <c r="B422" s="540"/>
      <c r="C422" s="540"/>
      <c r="D422" s="540"/>
      <c r="E422" s="540"/>
      <c r="F422" s="540"/>
      <c r="G422" s="540"/>
      <c r="H422" s="540"/>
      <c r="I422" s="540"/>
      <c r="J422" s="540"/>
      <c r="K422" s="540"/>
      <c r="L422" s="540"/>
      <c r="M422" s="540"/>
      <c r="N422" s="540"/>
      <c r="O422" s="540"/>
      <c r="P422" s="540"/>
      <c r="Q422" s="540"/>
      <c r="R422" s="540"/>
      <c r="S422" s="540"/>
      <c r="T422" s="540"/>
      <c r="U422" s="540"/>
      <c r="V422" s="540"/>
      <c r="W422" s="540"/>
      <c r="X422" s="540"/>
      <c r="Y422" s="540"/>
      <c r="Z422" s="540"/>
    </row>
    <row r="423" ht="171.75" customHeight="1">
      <c r="A423" s="540"/>
      <c r="B423" s="540"/>
      <c r="C423" s="540"/>
      <c r="D423" s="540"/>
      <c r="E423" s="540"/>
      <c r="F423" s="540"/>
      <c r="G423" s="540"/>
      <c r="H423" s="540"/>
      <c r="I423" s="540"/>
      <c r="J423" s="540"/>
      <c r="K423" s="540"/>
      <c r="L423" s="540"/>
      <c r="M423" s="540"/>
      <c r="N423" s="540"/>
      <c r="O423" s="540"/>
      <c r="P423" s="540"/>
      <c r="Q423" s="540"/>
      <c r="R423" s="540"/>
      <c r="S423" s="540"/>
      <c r="T423" s="540"/>
      <c r="U423" s="540"/>
      <c r="V423" s="540"/>
      <c r="W423" s="540"/>
      <c r="X423" s="540"/>
      <c r="Y423" s="540"/>
      <c r="Z423" s="540"/>
    </row>
    <row r="424" ht="171.75" customHeight="1">
      <c r="A424" s="540"/>
      <c r="B424" s="540"/>
      <c r="C424" s="540"/>
      <c r="D424" s="540"/>
      <c r="E424" s="540"/>
      <c r="F424" s="540"/>
      <c r="G424" s="540"/>
      <c r="H424" s="540"/>
      <c r="I424" s="540"/>
      <c r="J424" s="540"/>
      <c r="K424" s="540"/>
      <c r="L424" s="540"/>
      <c r="M424" s="540"/>
      <c r="N424" s="540"/>
      <c r="O424" s="540"/>
      <c r="P424" s="540"/>
      <c r="Q424" s="540"/>
      <c r="R424" s="540"/>
      <c r="S424" s="540"/>
      <c r="T424" s="540"/>
      <c r="U424" s="540"/>
      <c r="V424" s="540"/>
      <c r="W424" s="540"/>
      <c r="X424" s="540"/>
      <c r="Y424" s="540"/>
      <c r="Z424" s="540"/>
    </row>
    <row r="425" ht="171.75" customHeight="1">
      <c r="A425" s="540"/>
      <c r="B425" s="540"/>
      <c r="C425" s="540"/>
      <c r="D425" s="540"/>
      <c r="E425" s="540"/>
      <c r="F425" s="540"/>
      <c r="G425" s="540"/>
      <c r="H425" s="540"/>
      <c r="I425" s="540"/>
      <c r="J425" s="540"/>
      <c r="K425" s="540"/>
      <c r="L425" s="540"/>
      <c r="M425" s="540"/>
      <c r="N425" s="540"/>
      <c r="O425" s="540"/>
      <c r="P425" s="540"/>
      <c r="Q425" s="540"/>
      <c r="R425" s="540"/>
      <c r="S425" s="540"/>
      <c r="T425" s="540"/>
      <c r="U425" s="540"/>
      <c r="V425" s="540"/>
      <c r="W425" s="540"/>
      <c r="X425" s="540"/>
      <c r="Y425" s="540"/>
      <c r="Z425" s="540"/>
    </row>
    <row r="426" ht="171.75" customHeight="1">
      <c r="A426" s="540"/>
      <c r="B426" s="540"/>
      <c r="C426" s="540"/>
      <c r="D426" s="540"/>
      <c r="E426" s="540"/>
      <c r="F426" s="540"/>
      <c r="G426" s="540"/>
      <c r="H426" s="540"/>
      <c r="I426" s="540"/>
      <c r="J426" s="540"/>
      <c r="K426" s="540"/>
      <c r="L426" s="540"/>
      <c r="M426" s="540"/>
      <c r="N426" s="540"/>
      <c r="O426" s="540"/>
      <c r="P426" s="540"/>
      <c r="Q426" s="540"/>
      <c r="R426" s="540"/>
      <c r="S426" s="540"/>
      <c r="T426" s="540"/>
      <c r="U426" s="540"/>
      <c r="V426" s="540"/>
      <c r="W426" s="540"/>
      <c r="X426" s="540"/>
      <c r="Y426" s="540"/>
      <c r="Z426" s="540"/>
    </row>
    <row r="427" ht="171.75" customHeight="1">
      <c r="A427" s="540"/>
      <c r="B427" s="540"/>
      <c r="C427" s="540"/>
      <c r="D427" s="540"/>
      <c r="E427" s="540"/>
      <c r="F427" s="540"/>
      <c r="G427" s="540"/>
      <c r="H427" s="540"/>
      <c r="I427" s="540"/>
      <c r="J427" s="540"/>
      <c r="K427" s="540"/>
      <c r="L427" s="540"/>
      <c r="M427" s="540"/>
      <c r="N427" s="540"/>
      <c r="O427" s="540"/>
      <c r="P427" s="540"/>
      <c r="Q427" s="540"/>
      <c r="R427" s="540"/>
      <c r="S427" s="540"/>
      <c r="T427" s="540"/>
      <c r="U427" s="540"/>
      <c r="V427" s="540"/>
      <c r="W427" s="540"/>
      <c r="X427" s="540"/>
      <c r="Y427" s="540"/>
      <c r="Z427" s="540"/>
    </row>
    <row r="428" ht="171.75" customHeight="1">
      <c r="A428" s="540"/>
      <c r="B428" s="540"/>
      <c r="C428" s="540"/>
      <c r="D428" s="540"/>
      <c r="E428" s="540"/>
      <c r="F428" s="540"/>
      <c r="G428" s="540"/>
      <c r="H428" s="540"/>
      <c r="I428" s="540"/>
      <c r="J428" s="540"/>
      <c r="K428" s="540"/>
      <c r="L428" s="540"/>
      <c r="M428" s="540"/>
      <c r="N428" s="540"/>
      <c r="O428" s="540"/>
      <c r="P428" s="540"/>
      <c r="Q428" s="540"/>
      <c r="R428" s="540"/>
      <c r="S428" s="540"/>
      <c r="T428" s="540"/>
      <c r="U428" s="540"/>
      <c r="V428" s="540"/>
      <c r="W428" s="540"/>
      <c r="X428" s="540"/>
      <c r="Y428" s="540"/>
      <c r="Z428" s="540"/>
    </row>
    <row r="429" ht="171.75" customHeight="1">
      <c r="A429" s="540"/>
      <c r="B429" s="540"/>
      <c r="C429" s="540"/>
      <c r="D429" s="540"/>
      <c r="E429" s="540"/>
      <c r="F429" s="540"/>
      <c r="G429" s="540"/>
      <c r="H429" s="540"/>
      <c r="I429" s="540"/>
      <c r="J429" s="540"/>
      <c r="K429" s="540"/>
      <c r="L429" s="540"/>
      <c r="M429" s="540"/>
      <c r="N429" s="540"/>
      <c r="O429" s="540"/>
      <c r="P429" s="540"/>
      <c r="Q429" s="540"/>
      <c r="R429" s="540"/>
      <c r="S429" s="540"/>
      <c r="T429" s="540"/>
      <c r="U429" s="540"/>
      <c r="V429" s="540"/>
      <c r="W429" s="540"/>
      <c r="X429" s="540"/>
      <c r="Y429" s="540"/>
      <c r="Z429" s="540"/>
    </row>
    <row r="430" ht="171.75" customHeight="1">
      <c r="A430" s="540"/>
      <c r="B430" s="540"/>
      <c r="C430" s="540"/>
      <c r="D430" s="540"/>
      <c r="E430" s="540"/>
      <c r="F430" s="540"/>
      <c r="G430" s="540"/>
      <c r="H430" s="540"/>
      <c r="I430" s="540"/>
      <c r="J430" s="540"/>
      <c r="K430" s="540"/>
      <c r="L430" s="540"/>
      <c r="M430" s="540"/>
      <c r="N430" s="540"/>
      <c r="O430" s="540"/>
      <c r="P430" s="540"/>
      <c r="Q430" s="540"/>
      <c r="R430" s="540"/>
      <c r="S430" s="540"/>
      <c r="T430" s="540"/>
      <c r="U430" s="540"/>
      <c r="V430" s="540"/>
      <c r="W430" s="540"/>
      <c r="X430" s="540"/>
      <c r="Y430" s="540"/>
      <c r="Z430" s="540"/>
    </row>
    <row r="431" ht="171.75" customHeight="1">
      <c r="A431" s="540"/>
      <c r="B431" s="540"/>
      <c r="C431" s="540"/>
      <c r="D431" s="540"/>
      <c r="E431" s="540"/>
      <c r="F431" s="540"/>
      <c r="G431" s="540"/>
      <c r="H431" s="540"/>
      <c r="I431" s="540"/>
      <c r="J431" s="540"/>
      <c r="K431" s="540"/>
      <c r="L431" s="540"/>
      <c r="M431" s="540"/>
      <c r="N431" s="540"/>
      <c r="O431" s="540"/>
      <c r="P431" s="540"/>
      <c r="Q431" s="540"/>
      <c r="R431" s="540"/>
      <c r="S431" s="540"/>
      <c r="T431" s="540"/>
      <c r="U431" s="540"/>
      <c r="V431" s="540"/>
      <c r="W431" s="540"/>
      <c r="X431" s="540"/>
      <c r="Y431" s="540"/>
      <c r="Z431" s="540"/>
    </row>
    <row r="432" ht="171.75" customHeight="1">
      <c r="A432" s="540"/>
      <c r="B432" s="540"/>
      <c r="C432" s="540"/>
      <c r="D432" s="540"/>
      <c r="E432" s="540"/>
      <c r="F432" s="540"/>
      <c r="G432" s="540"/>
      <c r="H432" s="540"/>
      <c r="I432" s="540"/>
      <c r="J432" s="540"/>
      <c r="K432" s="540"/>
      <c r="L432" s="540"/>
      <c r="M432" s="540"/>
      <c r="N432" s="540"/>
      <c r="O432" s="540"/>
      <c r="P432" s="540"/>
      <c r="Q432" s="540"/>
      <c r="R432" s="540"/>
      <c r="S432" s="540"/>
      <c r="T432" s="540"/>
      <c r="U432" s="540"/>
      <c r="V432" s="540"/>
      <c r="W432" s="540"/>
      <c r="X432" s="540"/>
      <c r="Y432" s="540"/>
      <c r="Z432" s="540"/>
    </row>
    <row r="433" ht="171.75" customHeight="1">
      <c r="A433" s="540"/>
      <c r="B433" s="540"/>
      <c r="C433" s="540"/>
      <c r="D433" s="540"/>
      <c r="E433" s="540"/>
      <c r="F433" s="540"/>
      <c r="G433" s="540"/>
      <c r="H433" s="540"/>
      <c r="I433" s="540"/>
      <c r="J433" s="540"/>
      <c r="K433" s="540"/>
      <c r="L433" s="540"/>
      <c r="M433" s="540"/>
      <c r="N433" s="540"/>
      <c r="O433" s="540"/>
      <c r="P433" s="540"/>
      <c r="Q433" s="540"/>
      <c r="R433" s="540"/>
      <c r="S433" s="540"/>
      <c r="T433" s="540"/>
      <c r="U433" s="540"/>
      <c r="V433" s="540"/>
      <c r="W433" s="540"/>
      <c r="X433" s="540"/>
      <c r="Y433" s="540"/>
      <c r="Z433" s="540"/>
    </row>
    <row r="434" ht="171.75" customHeight="1">
      <c r="A434" s="540"/>
      <c r="B434" s="540"/>
      <c r="C434" s="540"/>
      <c r="D434" s="540"/>
      <c r="E434" s="540"/>
      <c r="F434" s="540"/>
      <c r="G434" s="540"/>
      <c r="H434" s="540"/>
      <c r="I434" s="540"/>
      <c r="J434" s="540"/>
      <c r="K434" s="540"/>
      <c r="L434" s="540"/>
      <c r="M434" s="540"/>
      <c r="N434" s="540"/>
      <c r="O434" s="540"/>
      <c r="P434" s="540"/>
      <c r="Q434" s="540"/>
      <c r="R434" s="540"/>
      <c r="S434" s="540"/>
      <c r="T434" s="540"/>
      <c r="U434" s="540"/>
      <c r="V434" s="540"/>
      <c r="W434" s="540"/>
      <c r="X434" s="540"/>
      <c r="Y434" s="540"/>
      <c r="Z434" s="540"/>
    </row>
    <row r="435" ht="171.75" customHeight="1">
      <c r="A435" s="540"/>
      <c r="B435" s="540"/>
      <c r="C435" s="540"/>
      <c r="D435" s="540"/>
      <c r="E435" s="540"/>
      <c r="F435" s="540"/>
      <c r="G435" s="540"/>
      <c r="H435" s="540"/>
      <c r="I435" s="540"/>
      <c r="J435" s="540"/>
      <c r="K435" s="540"/>
      <c r="L435" s="540"/>
      <c r="M435" s="540"/>
      <c r="N435" s="540"/>
      <c r="O435" s="540"/>
      <c r="P435" s="540"/>
      <c r="Q435" s="540"/>
      <c r="R435" s="540"/>
      <c r="S435" s="540"/>
      <c r="T435" s="540"/>
      <c r="U435" s="540"/>
      <c r="V435" s="540"/>
      <c r="W435" s="540"/>
      <c r="X435" s="540"/>
      <c r="Y435" s="540"/>
      <c r="Z435" s="540"/>
    </row>
    <row r="436" ht="171.75" customHeight="1">
      <c r="A436" s="540"/>
      <c r="B436" s="540"/>
      <c r="C436" s="540"/>
      <c r="D436" s="540"/>
      <c r="E436" s="540"/>
      <c r="F436" s="540"/>
      <c r="G436" s="540"/>
      <c r="H436" s="540"/>
      <c r="I436" s="540"/>
      <c r="J436" s="540"/>
      <c r="K436" s="540"/>
      <c r="L436" s="540"/>
      <c r="M436" s="540"/>
      <c r="N436" s="540"/>
      <c r="O436" s="540"/>
      <c r="P436" s="540"/>
      <c r="Q436" s="540"/>
      <c r="R436" s="540"/>
      <c r="S436" s="540"/>
      <c r="T436" s="540"/>
      <c r="U436" s="540"/>
      <c r="V436" s="540"/>
      <c r="W436" s="540"/>
      <c r="X436" s="540"/>
      <c r="Y436" s="540"/>
      <c r="Z436" s="540"/>
    </row>
    <row r="437" ht="171.75" customHeight="1">
      <c r="A437" s="540"/>
      <c r="B437" s="540"/>
      <c r="C437" s="540"/>
      <c r="D437" s="540"/>
      <c r="E437" s="540"/>
      <c r="F437" s="540"/>
      <c r="G437" s="540"/>
      <c r="H437" s="540"/>
      <c r="I437" s="540"/>
      <c r="J437" s="540"/>
      <c r="K437" s="540"/>
      <c r="L437" s="540"/>
      <c r="M437" s="540"/>
      <c r="N437" s="540"/>
      <c r="O437" s="540"/>
      <c r="P437" s="540"/>
      <c r="Q437" s="540"/>
      <c r="R437" s="540"/>
      <c r="S437" s="540"/>
      <c r="T437" s="540"/>
      <c r="U437" s="540"/>
      <c r="V437" s="540"/>
      <c r="W437" s="540"/>
      <c r="X437" s="540"/>
      <c r="Y437" s="540"/>
      <c r="Z437" s="540"/>
    </row>
    <row r="438" ht="171.75" customHeight="1">
      <c r="A438" s="540"/>
      <c r="B438" s="540"/>
      <c r="C438" s="540"/>
      <c r="D438" s="540"/>
      <c r="E438" s="540"/>
      <c r="F438" s="540"/>
      <c r="G438" s="540"/>
      <c r="H438" s="540"/>
      <c r="I438" s="540"/>
      <c r="J438" s="540"/>
      <c r="K438" s="540"/>
      <c r="L438" s="540"/>
      <c r="M438" s="540"/>
      <c r="N438" s="540"/>
      <c r="O438" s="540"/>
      <c r="P438" s="540"/>
      <c r="Q438" s="540"/>
      <c r="R438" s="540"/>
      <c r="S438" s="540"/>
      <c r="T438" s="540"/>
      <c r="U438" s="540"/>
      <c r="V438" s="540"/>
      <c r="W438" s="540"/>
      <c r="X438" s="540"/>
      <c r="Y438" s="540"/>
      <c r="Z438" s="540"/>
    </row>
    <row r="439" ht="171.75" customHeight="1">
      <c r="A439" s="540"/>
      <c r="B439" s="540"/>
      <c r="C439" s="540"/>
      <c r="D439" s="540"/>
      <c r="E439" s="540"/>
      <c r="F439" s="540"/>
      <c r="G439" s="540"/>
      <c r="H439" s="540"/>
      <c r="I439" s="540"/>
      <c r="J439" s="540"/>
      <c r="K439" s="540"/>
      <c r="L439" s="540"/>
      <c r="M439" s="540"/>
      <c r="N439" s="540"/>
      <c r="O439" s="540"/>
      <c r="P439" s="540"/>
      <c r="Q439" s="540"/>
      <c r="R439" s="540"/>
      <c r="S439" s="540"/>
      <c r="T439" s="540"/>
      <c r="U439" s="540"/>
      <c r="V439" s="540"/>
      <c r="W439" s="540"/>
      <c r="X439" s="540"/>
      <c r="Y439" s="540"/>
      <c r="Z439" s="540"/>
    </row>
    <row r="440" ht="171.75" customHeight="1">
      <c r="A440" s="540"/>
      <c r="B440" s="540"/>
      <c r="C440" s="540"/>
      <c r="D440" s="540"/>
      <c r="E440" s="540"/>
      <c r="F440" s="540"/>
      <c r="G440" s="540"/>
      <c r="H440" s="540"/>
      <c r="I440" s="540"/>
      <c r="J440" s="540"/>
      <c r="K440" s="540"/>
      <c r="L440" s="540"/>
      <c r="M440" s="540"/>
      <c r="N440" s="540"/>
      <c r="O440" s="540"/>
      <c r="P440" s="540"/>
      <c r="Q440" s="540"/>
      <c r="R440" s="540"/>
      <c r="S440" s="540"/>
      <c r="T440" s="540"/>
      <c r="U440" s="540"/>
      <c r="V440" s="540"/>
      <c r="W440" s="540"/>
      <c r="X440" s="540"/>
      <c r="Y440" s="540"/>
      <c r="Z440" s="540"/>
    </row>
    <row r="441" ht="171.75" customHeight="1">
      <c r="A441" s="540"/>
      <c r="B441" s="540"/>
      <c r="C441" s="540"/>
      <c r="D441" s="540"/>
      <c r="E441" s="540"/>
      <c r="F441" s="540"/>
      <c r="G441" s="540"/>
      <c r="H441" s="540"/>
      <c r="I441" s="540"/>
      <c r="J441" s="540"/>
      <c r="K441" s="540"/>
      <c r="L441" s="540"/>
      <c r="M441" s="540"/>
      <c r="N441" s="540"/>
      <c r="O441" s="540"/>
      <c r="P441" s="540"/>
      <c r="Q441" s="540"/>
      <c r="R441" s="540"/>
      <c r="S441" s="540"/>
      <c r="T441" s="540"/>
      <c r="U441" s="540"/>
      <c r="V441" s="540"/>
      <c r="W441" s="540"/>
      <c r="X441" s="540"/>
      <c r="Y441" s="540"/>
      <c r="Z441" s="540"/>
    </row>
    <row r="442" ht="171.75" customHeight="1">
      <c r="A442" s="540"/>
      <c r="B442" s="540"/>
      <c r="C442" s="540"/>
      <c r="D442" s="540"/>
      <c r="E442" s="540"/>
      <c r="F442" s="540"/>
      <c r="G442" s="540"/>
      <c r="H442" s="540"/>
      <c r="I442" s="540"/>
      <c r="J442" s="540"/>
      <c r="K442" s="540"/>
      <c r="L442" s="540"/>
      <c r="M442" s="540"/>
      <c r="N442" s="540"/>
      <c r="O442" s="540"/>
      <c r="P442" s="540"/>
      <c r="Q442" s="540"/>
      <c r="R442" s="540"/>
      <c r="S442" s="540"/>
      <c r="T442" s="540"/>
      <c r="U442" s="540"/>
      <c r="V442" s="540"/>
      <c r="W442" s="540"/>
      <c r="X442" s="540"/>
      <c r="Y442" s="540"/>
      <c r="Z442" s="540"/>
    </row>
    <row r="443" ht="171.75" customHeight="1">
      <c r="A443" s="540"/>
      <c r="B443" s="540"/>
      <c r="C443" s="540"/>
      <c r="D443" s="540"/>
      <c r="E443" s="540"/>
      <c r="F443" s="540"/>
      <c r="G443" s="540"/>
      <c r="H443" s="540"/>
      <c r="I443" s="540"/>
      <c r="J443" s="540"/>
      <c r="K443" s="540"/>
      <c r="L443" s="540"/>
      <c r="M443" s="540"/>
      <c r="N443" s="540"/>
      <c r="O443" s="540"/>
      <c r="P443" s="540"/>
      <c r="Q443" s="540"/>
      <c r="R443" s="540"/>
      <c r="S443" s="540"/>
      <c r="T443" s="540"/>
      <c r="U443" s="540"/>
      <c r="V443" s="540"/>
      <c r="W443" s="540"/>
      <c r="X443" s="540"/>
      <c r="Y443" s="540"/>
      <c r="Z443" s="540"/>
    </row>
    <row r="444" ht="171.75" customHeight="1">
      <c r="A444" s="540"/>
      <c r="B444" s="540"/>
      <c r="C444" s="540"/>
      <c r="D444" s="540"/>
      <c r="E444" s="540"/>
      <c r="F444" s="540"/>
      <c r="G444" s="540"/>
      <c r="H444" s="540"/>
      <c r="I444" s="540"/>
      <c r="J444" s="540"/>
      <c r="K444" s="540"/>
      <c r="L444" s="540"/>
      <c r="M444" s="540"/>
      <c r="N444" s="540"/>
      <c r="O444" s="540"/>
      <c r="P444" s="540"/>
      <c r="Q444" s="540"/>
      <c r="R444" s="540"/>
      <c r="S444" s="540"/>
      <c r="T444" s="540"/>
      <c r="U444" s="540"/>
      <c r="V444" s="540"/>
      <c r="W444" s="540"/>
      <c r="X444" s="540"/>
      <c r="Y444" s="540"/>
      <c r="Z444" s="540"/>
    </row>
    <row r="445" ht="171.75" customHeight="1">
      <c r="A445" s="540"/>
      <c r="B445" s="540"/>
      <c r="C445" s="540"/>
      <c r="D445" s="540"/>
      <c r="E445" s="540"/>
      <c r="F445" s="540"/>
      <c r="G445" s="540"/>
      <c r="H445" s="540"/>
      <c r="I445" s="540"/>
      <c r="J445" s="540"/>
      <c r="K445" s="540"/>
      <c r="L445" s="540"/>
      <c r="M445" s="540"/>
      <c r="N445" s="540"/>
      <c r="O445" s="540"/>
      <c r="P445" s="540"/>
      <c r="Q445" s="540"/>
      <c r="R445" s="540"/>
      <c r="S445" s="540"/>
      <c r="T445" s="540"/>
      <c r="U445" s="540"/>
      <c r="V445" s="540"/>
      <c r="W445" s="540"/>
      <c r="X445" s="540"/>
      <c r="Y445" s="540"/>
      <c r="Z445" s="540"/>
    </row>
    <row r="446" ht="171.75" customHeight="1">
      <c r="A446" s="540"/>
      <c r="B446" s="540"/>
      <c r="C446" s="540"/>
      <c r="D446" s="540"/>
      <c r="E446" s="540"/>
      <c r="F446" s="540"/>
      <c r="G446" s="540"/>
      <c r="H446" s="540"/>
      <c r="I446" s="540"/>
      <c r="J446" s="540"/>
      <c r="K446" s="540"/>
      <c r="L446" s="540"/>
      <c r="M446" s="540"/>
      <c r="N446" s="540"/>
      <c r="O446" s="540"/>
      <c r="P446" s="540"/>
      <c r="Q446" s="540"/>
      <c r="R446" s="540"/>
      <c r="S446" s="540"/>
      <c r="T446" s="540"/>
      <c r="U446" s="540"/>
      <c r="V446" s="540"/>
      <c r="W446" s="540"/>
      <c r="X446" s="540"/>
      <c r="Y446" s="540"/>
      <c r="Z446" s="540"/>
    </row>
    <row r="447" ht="171.75" customHeight="1">
      <c r="A447" s="540"/>
      <c r="B447" s="540"/>
      <c r="C447" s="540"/>
      <c r="D447" s="540"/>
      <c r="E447" s="540"/>
      <c r="F447" s="540"/>
      <c r="G447" s="540"/>
      <c r="H447" s="540"/>
      <c r="I447" s="540"/>
      <c r="J447" s="540"/>
      <c r="K447" s="540"/>
      <c r="L447" s="540"/>
      <c r="M447" s="540"/>
      <c r="N447" s="540"/>
      <c r="O447" s="540"/>
      <c r="P447" s="540"/>
      <c r="Q447" s="540"/>
      <c r="R447" s="540"/>
      <c r="S447" s="540"/>
      <c r="T447" s="540"/>
      <c r="U447" s="540"/>
      <c r="V447" s="540"/>
      <c r="W447" s="540"/>
      <c r="X447" s="540"/>
      <c r="Y447" s="540"/>
      <c r="Z447" s="540"/>
    </row>
    <row r="448" ht="171.75" customHeight="1">
      <c r="A448" s="540"/>
      <c r="B448" s="540"/>
      <c r="C448" s="540"/>
      <c r="D448" s="540"/>
      <c r="E448" s="540"/>
      <c r="F448" s="540"/>
      <c r="G448" s="540"/>
      <c r="H448" s="540"/>
      <c r="I448" s="540"/>
      <c r="J448" s="540"/>
      <c r="K448" s="540"/>
      <c r="L448" s="540"/>
      <c r="M448" s="540"/>
      <c r="N448" s="540"/>
      <c r="O448" s="540"/>
      <c r="P448" s="540"/>
      <c r="Q448" s="540"/>
      <c r="R448" s="540"/>
      <c r="S448" s="540"/>
      <c r="T448" s="540"/>
      <c r="U448" s="540"/>
      <c r="V448" s="540"/>
      <c r="W448" s="540"/>
      <c r="X448" s="540"/>
      <c r="Y448" s="540"/>
      <c r="Z448" s="540"/>
    </row>
    <row r="449" ht="171.75" customHeight="1">
      <c r="A449" s="540"/>
      <c r="B449" s="540"/>
      <c r="C449" s="540"/>
      <c r="D449" s="540"/>
      <c r="E449" s="540"/>
      <c r="F449" s="540"/>
      <c r="G449" s="540"/>
      <c r="H449" s="540"/>
      <c r="I449" s="540"/>
      <c r="J449" s="540"/>
      <c r="K449" s="540"/>
      <c r="L449" s="540"/>
      <c r="M449" s="540"/>
      <c r="N449" s="540"/>
      <c r="O449" s="540"/>
      <c r="P449" s="540"/>
      <c r="Q449" s="540"/>
      <c r="R449" s="540"/>
      <c r="S449" s="540"/>
      <c r="T449" s="540"/>
      <c r="U449" s="540"/>
      <c r="V449" s="540"/>
      <c r="W449" s="540"/>
      <c r="X449" s="540"/>
      <c r="Y449" s="540"/>
      <c r="Z449" s="540"/>
    </row>
    <row r="450" ht="171.75" customHeight="1">
      <c r="A450" s="540"/>
      <c r="B450" s="540"/>
      <c r="C450" s="540"/>
      <c r="D450" s="540"/>
      <c r="E450" s="540"/>
      <c r="F450" s="540"/>
      <c r="G450" s="540"/>
      <c r="H450" s="540"/>
      <c r="I450" s="540"/>
      <c r="J450" s="540"/>
      <c r="K450" s="540"/>
      <c r="L450" s="540"/>
      <c r="M450" s="540"/>
      <c r="N450" s="540"/>
      <c r="O450" s="540"/>
      <c r="P450" s="540"/>
      <c r="Q450" s="540"/>
      <c r="R450" s="540"/>
      <c r="S450" s="540"/>
      <c r="T450" s="540"/>
      <c r="U450" s="540"/>
      <c r="V450" s="540"/>
      <c r="W450" s="540"/>
      <c r="X450" s="540"/>
      <c r="Y450" s="540"/>
      <c r="Z450" s="540"/>
    </row>
    <row r="451" ht="171.75" customHeight="1">
      <c r="A451" s="540"/>
      <c r="B451" s="540"/>
      <c r="C451" s="540"/>
      <c r="D451" s="540"/>
      <c r="E451" s="540"/>
      <c r="F451" s="540"/>
      <c r="G451" s="540"/>
      <c r="H451" s="540"/>
      <c r="I451" s="540"/>
      <c r="J451" s="540"/>
      <c r="K451" s="540"/>
      <c r="L451" s="540"/>
      <c r="M451" s="540"/>
      <c r="N451" s="540"/>
      <c r="O451" s="540"/>
      <c r="P451" s="540"/>
      <c r="Q451" s="540"/>
      <c r="R451" s="540"/>
      <c r="S451" s="540"/>
      <c r="T451" s="540"/>
      <c r="U451" s="540"/>
      <c r="V451" s="540"/>
      <c r="W451" s="540"/>
      <c r="X451" s="540"/>
      <c r="Y451" s="540"/>
      <c r="Z451" s="540"/>
    </row>
    <row r="452" ht="171.75" customHeight="1">
      <c r="A452" s="540"/>
      <c r="B452" s="540"/>
      <c r="C452" s="540"/>
      <c r="D452" s="540"/>
      <c r="E452" s="540"/>
      <c r="F452" s="540"/>
      <c r="G452" s="540"/>
      <c r="H452" s="540"/>
      <c r="I452" s="540"/>
      <c r="J452" s="540"/>
      <c r="K452" s="540"/>
      <c r="L452" s="540"/>
      <c r="M452" s="540"/>
      <c r="N452" s="540"/>
      <c r="O452" s="540"/>
      <c r="P452" s="540"/>
      <c r="Q452" s="540"/>
      <c r="R452" s="540"/>
      <c r="S452" s="540"/>
      <c r="T452" s="540"/>
      <c r="U452" s="540"/>
      <c r="V452" s="540"/>
      <c r="W452" s="540"/>
      <c r="X452" s="540"/>
      <c r="Y452" s="540"/>
      <c r="Z452" s="540"/>
    </row>
    <row r="453" ht="171.75" customHeight="1">
      <c r="A453" s="540"/>
      <c r="B453" s="540"/>
      <c r="C453" s="540"/>
      <c r="D453" s="540"/>
      <c r="E453" s="540"/>
      <c r="F453" s="540"/>
      <c r="G453" s="540"/>
      <c r="H453" s="540"/>
      <c r="I453" s="540"/>
      <c r="J453" s="540"/>
      <c r="K453" s="540"/>
      <c r="L453" s="540"/>
      <c r="M453" s="540"/>
      <c r="N453" s="540"/>
      <c r="O453" s="540"/>
      <c r="P453" s="540"/>
      <c r="Q453" s="540"/>
      <c r="R453" s="540"/>
      <c r="S453" s="540"/>
      <c r="T453" s="540"/>
      <c r="U453" s="540"/>
      <c r="V453" s="540"/>
      <c r="W453" s="540"/>
      <c r="X453" s="540"/>
      <c r="Y453" s="540"/>
      <c r="Z453" s="540"/>
    </row>
    <row r="454" ht="171.75" customHeight="1">
      <c r="A454" s="540"/>
      <c r="B454" s="540"/>
      <c r="C454" s="540"/>
      <c r="D454" s="540"/>
      <c r="E454" s="540"/>
      <c r="F454" s="540"/>
      <c r="G454" s="540"/>
      <c r="H454" s="540"/>
      <c r="I454" s="540"/>
      <c r="J454" s="540"/>
      <c r="K454" s="540"/>
      <c r="L454" s="540"/>
      <c r="M454" s="540"/>
      <c r="N454" s="540"/>
      <c r="O454" s="540"/>
      <c r="P454" s="540"/>
      <c r="Q454" s="540"/>
      <c r="R454" s="540"/>
      <c r="S454" s="540"/>
      <c r="T454" s="540"/>
      <c r="U454" s="540"/>
      <c r="V454" s="540"/>
      <c r="W454" s="540"/>
      <c r="X454" s="540"/>
      <c r="Y454" s="540"/>
      <c r="Z454" s="540"/>
    </row>
    <row r="455" ht="171.75" customHeight="1">
      <c r="A455" s="540"/>
      <c r="B455" s="540"/>
      <c r="C455" s="540"/>
      <c r="D455" s="540"/>
      <c r="E455" s="540"/>
      <c r="F455" s="540"/>
      <c r="G455" s="540"/>
      <c r="H455" s="540"/>
      <c r="I455" s="540"/>
      <c r="J455" s="540"/>
      <c r="K455" s="540"/>
      <c r="L455" s="540"/>
      <c r="M455" s="540"/>
      <c r="N455" s="540"/>
      <c r="O455" s="540"/>
      <c r="P455" s="540"/>
      <c r="Q455" s="540"/>
      <c r="R455" s="540"/>
      <c r="S455" s="540"/>
      <c r="T455" s="540"/>
      <c r="U455" s="540"/>
      <c r="V455" s="540"/>
      <c r="W455" s="540"/>
      <c r="X455" s="540"/>
      <c r="Y455" s="540"/>
      <c r="Z455" s="540"/>
    </row>
    <row r="456" ht="171.75" customHeight="1">
      <c r="A456" s="540"/>
      <c r="B456" s="540"/>
      <c r="C456" s="540"/>
      <c r="D456" s="540"/>
      <c r="E456" s="540"/>
      <c r="F456" s="540"/>
      <c r="G456" s="540"/>
      <c r="H456" s="540"/>
      <c r="I456" s="540"/>
      <c r="J456" s="540"/>
      <c r="K456" s="540"/>
      <c r="L456" s="540"/>
      <c r="M456" s="540"/>
      <c r="N456" s="540"/>
      <c r="O456" s="540"/>
      <c r="P456" s="540"/>
      <c r="Q456" s="540"/>
      <c r="R456" s="540"/>
      <c r="S456" s="540"/>
      <c r="T456" s="540"/>
      <c r="U456" s="540"/>
      <c r="V456" s="540"/>
      <c r="W456" s="540"/>
      <c r="X456" s="540"/>
      <c r="Y456" s="540"/>
      <c r="Z456" s="540"/>
    </row>
    <row r="457" ht="171.75" customHeight="1">
      <c r="A457" s="540"/>
      <c r="B457" s="540"/>
      <c r="C457" s="540"/>
      <c r="D457" s="540"/>
      <c r="E457" s="540"/>
      <c r="F457" s="540"/>
      <c r="G457" s="540"/>
      <c r="H457" s="540"/>
      <c r="I457" s="540"/>
      <c r="J457" s="540"/>
      <c r="K457" s="540"/>
      <c r="L457" s="540"/>
      <c r="M457" s="540"/>
      <c r="N457" s="540"/>
      <c r="O457" s="540"/>
      <c r="P457" s="540"/>
      <c r="Q457" s="540"/>
      <c r="R457" s="540"/>
      <c r="S457" s="540"/>
      <c r="T457" s="540"/>
      <c r="U457" s="540"/>
      <c r="V457" s="540"/>
      <c r="W457" s="540"/>
      <c r="X457" s="540"/>
      <c r="Y457" s="540"/>
      <c r="Z457" s="540"/>
    </row>
    <row r="458" ht="171.75" customHeight="1">
      <c r="A458" s="540"/>
      <c r="B458" s="540"/>
      <c r="C458" s="540"/>
      <c r="D458" s="540"/>
      <c r="E458" s="540"/>
      <c r="F458" s="540"/>
      <c r="G458" s="540"/>
      <c r="H458" s="540"/>
      <c r="I458" s="540"/>
      <c r="J458" s="540"/>
      <c r="K458" s="540"/>
      <c r="L458" s="540"/>
      <c r="M458" s="540"/>
      <c r="N458" s="540"/>
      <c r="O458" s="540"/>
      <c r="P458" s="540"/>
      <c r="Q458" s="540"/>
      <c r="R458" s="540"/>
      <c r="S458" s="540"/>
      <c r="T458" s="540"/>
      <c r="U458" s="540"/>
      <c r="V458" s="540"/>
      <c r="W458" s="540"/>
      <c r="X458" s="540"/>
      <c r="Y458" s="540"/>
      <c r="Z458" s="540"/>
    </row>
    <row r="459" ht="171.75" customHeight="1">
      <c r="A459" s="540"/>
      <c r="B459" s="540"/>
      <c r="C459" s="540"/>
      <c r="D459" s="540"/>
      <c r="E459" s="540"/>
      <c r="F459" s="540"/>
      <c r="G459" s="540"/>
      <c r="H459" s="540"/>
      <c r="I459" s="540"/>
      <c r="J459" s="540"/>
      <c r="K459" s="540"/>
      <c r="L459" s="540"/>
      <c r="M459" s="540"/>
      <c r="N459" s="540"/>
      <c r="O459" s="540"/>
      <c r="P459" s="540"/>
      <c r="Q459" s="540"/>
      <c r="R459" s="540"/>
      <c r="S459" s="540"/>
      <c r="T459" s="540"/>
      <c r="U459" s="540"/>
      <c r="V459" s="540"/>
      <c r="W459" s="540"/>
      <c r="X459" s="540"/>
      <c r="Y459" s="540"/>
      <c r="Z459" s="540"/>
    </row>
    <row r="460" ht="171.75" customHeight="1">
      <c r="A460" s="540"/>
      <c r="B460" s="540"/>
      <c r="C460" s="540"/>
      <c r="D460" s="540"/>
      <c r="E460" s="540"/>
      <c r="F460" s="540"/>
      <c r="G460" s="540"/>
      <c r="H460" s="540"/>
      <c r="I460" s="540"/>
      <c r="J460" s="540"/>
      <c r="K460" s="540"/>
      <c r="L460" s="540"/>
      <c r="M460" s="540"/>
      <c r="N460" s="540"/>
      <c r="O460" s="540"/>
      <c r="P460" s="540"/>
      <c r="Q460" s="540"/>
      <c r="R460" s="540"/>
      <c r="S460" s="540"/>
      <c r="T460" s="540"/>
      <c r="U460" s="540"/>
      <c r="V460" s="540"/>
      <c r="W460" s="540"/>
      <c r="X460" s="540"/>
      <c r="Y460" s="540"/>
      <c r="Z460" s="540"/>
    </row>
    <row r="461" ht="171.75" customHeight="1">
      <c r="A461" s="540"/>
      <c r="B461" s="540"/>
      <c r="C461" s="540"/>
      <c r="D461" s="540"/>
      <c r="E461" s="540"/>
      <c r="F461" s="540"/>
      <c r="G461" s="540"/>
      <c r="H461" s="540"/>
      <c r="I461" s="540"/>
      <c r="J461" s="540"/>
      <c r="K461" s="540"/>
      <c r="L461" s="540"/>
      <c r="M461" s="540"/>
      <c r="N461" s="540"/>
      <c r="O461" s="540"/>
      <c r="P461" s="540"/>
      <c r="Q461" s="540"/>
      <c r="R461" s="540"/>
      <c r="S461" s="540"/>
      <c r="T461" s="540"/>
      <c r="U461" s="540"/>
      <c r="V461" s="540"/>
      <c r="W461" s="540"/>
      <c r="X461" s="540"/>
      <c r="Y461" s="540"/>
      <c r="Z461" s="540"/>
    </row>
    <row r="462" ht="171.75" customHeight="1">
      <c r="A462" s="540"/>
      <c r="B462" s="540"/>
      <c r="C462" s="540"/>
      <c r="D462" s="540"/>
      <c r="E462" s="540"/>
      <c r="F462" s="540"/>
      <c r="G462" s="540"/>
      <c r="H462" s="540"/>
      <c r="I462" s="540"/>
      <c r="J462" s="540"/>
      <c r="K462" s="540"/>
      <c r="L462" s="540"/>
      <c r="M462" s="540"/>
      <c r="N462" s="540"/>
      <c r="O462" s="540"/>
      <c r="P462" s="540"/>
      <c r="Q462" s="540"/>
      <c r="R462" s="540"/>
      <c r="S462" s="540"/>
      <c r="T462" s="540"/>
      <c r="U462" s="540"/>
      <c r="V462" s="540"/>
      <c r="W462" s="540"/>
      <c r="X462" s="540"/>
      <c r="Y462" s="540"/>
      <c r="Z462" s="540"/>
    </row>
    <row r="463" ht="171.75" customHeight="1">
      <c r="A463" s="540"/>
      <c r="B463" s="540"/>
      <c r="C463" s="540"/>
      <c r="D463" s="540"/>
      <c r="E463" s="540"/>
      <c r="F463" s="540"/>
      <c r="G463" s="540"/>
      <c r="H463" s="540"/>
      <c r="I463" s="540"/>
      <c r="J463" s="540"/>
      <c r="K463" s="540"/>
      <c r="L463" s="540"/>
      <c r="M463" s="540"/>
      <c r="N463" s="540"/>
      <c r="O463" s="540"/>
      <c r="P463" s="540"/>
      <c r="Q463" s="540"/>
      <c r="R463" s="540"/>
      <c r="S463" s="540"/>
      <c r="T463" s="540"/>
      <c r="U463" s="540"/>
      <c r="V463" s="540"/>
      <c r="W463" s="540"/>
      <c r="X463" s="540"/>
      <c r="Y463" s="540"/>
      <c r="Z463" s="540"/>
    </row>
    <row r="464" ht="171.75" customHeight="1">
      <c r="A464" s="540"/>
      <c r="B464" s="540"/>
      <c r="C464" s="540"/>
      <c r="D464" s="540"/>
      <c r="E464" s="540"/>
      <c r="F464" s="540"/>
      <c r="G464" s="540"/>
      <c r="H464" s="540"/>
      <c r="I464" s="540"/>
      <c r="J464" s="540"/>
      <c r="K464" s="540"/>
      <c r="L464" s="540"/>
      <c r="M464" s="540"/>
      <c r="N464" s="540"/>
      <c r="O464" s="540"/>
      <c r="P464" s="540"/>
      <c r="Q464" s="540"/>
      <c r="R464" s="540"/>
      <c r="S464" s="540"/>
      <c r="T464" s="540"/>
      <c r="U464" s="540"/>
      <c r="V464" s="540"/>
      <c r="W464" s="540"/>
      <c r="X464" s="540"/>
      <c r="Y464" s="540"/>
      <c r="Z464" s="540"/>
    </row>
    <row r="465" ht="171.75" customHeight="1">
      <c r="A465" s="540"/>
      <c r="B465" s="540"/>
      <c r="C465" s="540"/>
      <c r="D465" s="540"/>
      <c r="E465" s="540"/>
      <c r="F465" s="540"/>
      <c r="G465" s="540"/>
      <c r="H465" s="540"/>
      <c r="I465" s="540"/>
      <c r="J465" s="540"/>
      <c r="K465" s="540"/>
      <c r="L465" s="540"/>
      <c r="M465" s="540"/>
      <c r="N465" s="540"/>
      <c r="O465" s="540"/>
      <c r="P465" s="540"/>
      <c r="Q465" s="540"/>
      <c r="R465" s="540"/>
      <c r="S465" s="540"/>
      <c r="T465" s="540"/>
      <c r="U465" s="540"/>
      <c r="V465" s="540"/>
      <c r="W465" s="540"/>
      <c r="X465" s="540"/>
      <c r="Y465" s="540"/>
      <c r="Z465" s="540"/>
    </row>
    <row r="466" ht="171.75" customHeight="1">
      <c r="A466" s="540"/>
      <c r="B466" s="540"/>
      <c r="C466" s="540"/>
      <c r="D466" s="540"/>
      <c r="E466" s="540"/>
      <c r="F466" s="540"/>
      <c r="G466" s="540"/>
      <c r="H466" s="540"/>
      <c r="I466" s="540"/>
      <c r="J466" s="540"/>
      <c r="K466" s="540"/>
      <c r="L466" s="540"/>
      <c r="M466" s="540"/>
      <c r="N466" s="540"/>
      <c r="O466" s="540"/>
      <c r="P466" s="540"/>
      <c r="Q466" s="540"/>
      <c r="R466" s="540"/>
      <c r="S466" s="540"/>
      <c r="T466" s="540"/>
      <c r="U466" s="540"/>
      <c r="V466" s="540"/>
      <c r="W466" s="540"/>
      <c r="X466" s="540"/>
      <c r="Y466" s="540"/>
      <c r="Z466" s="540"/>
    </row>
    <row r="467" ht="171.75" customHeight="1">
      <c r="A467" s="540"/>
      <c r="B467" s="540"/>
      <c r="C467" s="540"/>
      <c r="D467" s="540"/>
      <c r="E467" s="540"/>
      <c r="F467" s="540"/>
      <c r="G467" s="540"/>
      <c r="H467" s="540"/>
      <c r="I467" s="540"/>
      <c r="J467" s="540"/>
      <c r="K467" s="540"/>
      <c r="L467" s="540"/>
      <c r="M467" s="540"/>
      <c r="N467" s="540"/>
      <c r="O467" s="540"/>
      <c r="P467" s="540"/>
      <c r="Q467" s="540"/>
      <c r="R467" s="540"/>
      <c r="S467" s="540"/>
      <c r="T467" s="540"/>
      <c r="U467" s="540"/>
      <c r="V467" s="540"/>
      <c r="W467" s="540"/>
      <c r="X467" s="540"/>
      <c r="Y467" s="540"/>
      <c r="Z467" s="540"/>
    </row>
    <row r="468" ht="171.75" customHeight="1">
      <c r="A468" s="540"/>
      <c r="B468" s="540"/>
      <c r="C468" s="540"/>
      <c r="D468" s="540"/>
      <c r="E468" s="540"/>
      <c r="F468" s="540"/>
      <c r="G468" s="540"/>
      <c r="H468" s="540"/>
      <c r="I468" s="540"/>
      <c r="J468" s="540"/>
      <c r="K468" s="540"/>
      <c r="L468" s="540"/>
      <c r="M468" s="540"/>
      <c r="N468" s="540"/>
      <c r="O468" s="540"/>
      <c r="P468" s="540"/>
      <c r="Q468" s="540"/>
      <c r="R468" s="540"/>
      <c r="S468" s="540"/>
      <c r="T468" s="540"/>
      <c r="U468" s="540"/>
      <c r="V468" s="540"/>
      <c r="W468" s="540"/>
      <c r="X468" s="540"/>
      <c r="Y468" s="540"/>
      <c r="Z468" s="540"/>
    </row>
    <row r="469" ht="171.75" customHeight="1">
      <c r="A469" s="540"/>
      <c r="B469" s="540"/>
      <c r="C469" s="540"/>
      <c r="D469" s="540"/>
      <c r="E469" s="540"/>
      <c r="F469" s="540"/>
      <c r="G469" s="540"/>
      <c r="H469" s="540"/>
      <c r="I469" s="540"/>
      <c r="J469" s="540"/>
      <c r="K469" s="540"/>
      <c r="L469" s="540"/>
      <c r="M469" s="540"/>
      <c r="N469" s="540"/>
      <c r="O469" s="540"/>
      <c r="P469" s="540"/>
      <c r="Q469" s="540"/>
      <c r="R469" s="540"/>
      <c r="S469" s="540"/>
      <c r="T469" s="540"/>
      <c r="U469" s="540"/>
      <c r="V469" s="540"/>
      <c r="W469" s="540"/>
      <c r="X469" s="540"/>
      <c r="Y469" s="540"/>
      <c r="Z469" s="540"/>
    </row>
    <row r="470" ht="171.75" customHeight="1">
      <c r="A470" s="540"/>
      <c r="B470" s="540"/>
      <c r="C470" s="540"/>
      <c r="D470" s="540"/>
      <c r="E470" s="540"/>
      <c r="F470" s="540"/>
      <c r="G470" s="540"/>
      <c r="H470" s="540"/>
      <c r="I470" s="540"/>
      <c r="J470" s="540"/>
      <c r="K470" s="540"/>
      <c r="L470" s="540"/>
      <c r="M470" s="540"/>
      <c r="N470" s="540"/>
      <c r="O470" s="540"/>
      <c r="P470" s="540"/>
      <c r="Q470" s="540"/>
      <c r="R470" s="540"/>
      <c r="S470" s="540"/>
      <c r="T470" s="540"/>
      <c r="U470" s="540"/>
      <c r="V470" s="540"/>
      <c r="W470" s="540"/>
      <c r="X470" s="540"/>
      <c r="Y470" s="540"/>
      <c r="Z470" s="540"/>
    </row>
    <row r="471" ht="171.75" customHeight="1">
      <c r="A471" s="540"/>
      <c r="B471" s="540"/>
      <c r="C471" s="540"/>
      <c r="D471" s="540"/>
      <c r="E471" s="540"/>
      <c r="F471" s="540"/>
      <c r="G471" s="540"/>
      <c r="H471" s="540"/>
      <c r="I471" s="540"/>
      <c r="J471" s="540"/>
      <c r="K471" s="540"/>
      <c r="L471" s="540"/>
      <c r="M471" s="540"/>
      <c r="N471" s="540"/>
      <c r="O471" s="540"/>
      <c r="P471" s="540"/>
      <c r="Q471" s="540"/>
      <c r="R471" s="540"/>
      <c r="S471" s="540"/>
      <c r="T471" s="540"/>
      <c r="U471" s="540"/>
      <c r="V471" s="540"/>
      <c r="W471" s="540"/>
      <c r="X471" s="540"/>
      <c r="Y471" s="540"/>
      <c r="Z471" s="540"/>
    </row>
    <row r="472" ht="171.75" customHeight="1">
      <c r="A472" s="540"/>
      <c r="B472" s="540"/>
      <c r="C472" s="540"/>
      <c r="D472" s="540"/>
      <c r="E472" s="540"/>
      <c r="F472" s="540"/>
      <c r="G472" s="540"/>
      <c r="H472" s="540"/>
      <c r="I472" s="540"/>
      <c r="J472" s="540"/>
      <c r="K472" s="540"/>
      <c r="L472" s="540"/>
      <c r="M472" s="540"/>
      <c r="N472" s="540"/>
      <c r="O472" s="540"/>
      <c r="P472" s="540"/>
      <c r="Q472" s="540"/>
      <c r="R472" s="540"/>
      <c r="S472" s="540"/>
      <c r="T472" s="540"/>
      <c r="U472" s="540"/>
      <c r="V472" s="540"/>
      <c r="W472" s="540"/>
      <c r="X472" s="540"/>
      <c r="Y472" s="540"/>
      <c r="Z472" s="540"/>
    </row>
    <row r="473" ht="171.75" customHeight="1">
      <c r="A473" s="540"/>
      <c r="B473" s="540"/>
      <c r="C473" s="540"/>
      <c r="D473" s="540"/>
      <c r="E473" s="540"/>
      <c r="F473" s="540"/>
      <c r="G473" s="540"/>
      <c r="H473" s="540"/>
      <c r="I473" s="540"/>
      <c r="J473" s="540"/>
      <c r="K473" s="540"/>
      <c r="L473" s="540"/>
      <c r="M473" s="540"/>
      <c r="N473" s="540"/>
      <c r="O473" s="540"/>
      <c r="P473" s="540"/>
      <c r="Q473" s="540"/>
      <c r="R473" s="540"/>
      <c r="S473" s="540"/>
      <c r="T473" s="540"/>
      <c r="U473" s="540"/>
      <c r="V473" s="540"/>
      <c r="W473" s="540"/>
      <c r="X473" s="540"/>
      <c r="Y473" s="540"/>
      <c r="Z473" s="540"/>
    </row>
    <row r="474" ht="171.75" customHeight="1">
      <c r="A474" s="540"/>
      <c r="B474" s="540"/>
      <c r="C474" s="540"/>
      <c r="D474" s="540"/>
      <c r="E474" s="540"/>
      <c r="F474" s="540"/>
      <c r="G474" s="540"/>
      <c r="H474" s="540"/>
      <c r="I474" s="540"/>
      <c r="J474" s="540"/>
      <c r="K474" s="540"/>
      <c r="L474" s="540"/>
      <c r="M474" s="540"/>
      <c r="N474" s="540"/>
      <c r="O474" s="540"/>
      <c r="P474" s="540"/>
      <c r="Q474" s="540"/>
      <c r="R474" s="540"/>
      <c r="S474" s="540"/>
      <c r="T474" s="540"/>
      <c r="U474" s="540"/>
      <c r="V474" s="540"/>
      <c r="W474" s="540"/>
      <c r="X474" s="540"/>
      <c r="Y474" s="540"/>
      <c r="Z474" s="540"/>
    </row>
    <row r="475" ht="171.75" customHeight="1">
      <c r="A475" s="540"/>
      <c r="B475" s="540"/>
      <c r="C475" s="540"/>
      <c r="D475" s="540"/>
      <c r="E475" s="540"/>
      <c r="F475" s="540"/>
      <c r="G475" s="540"/>
      <c r="H475" s="540"/>
      <c r="I475" s="540"/>
      <c r="J475" s="540"/>
      <c r="K475" s="540"/>
      <c r="L475" s="540"/>
      <c r="M475" s="540"/>
      <c r="N475" s="540"/>
      <c r="O475" s="540"/>
      <c r="P475" s="540"/>
      <c r="Q475" s="540"/>
      <c r="R475" s="540"/>
      <c r="S475" s="540"/>
      <c r="T475" s="540"/>
      <c r="U475" s="540"/>
      <c r="V475" s="540"/>
      <c r="W475" s="540"/>
      <c r="X475" s="540"/>
      <c r="Y475" s="540"/>
      <c r="Z475" s="540"/>
    </row>
    <row r="476" ht="171.75" customHeight="1">
      <c r="A476" s="540"/>
      <c r="B476" s="540"/>
      <c r="C476" s="540"/>
      <c r="D476" s="540"/>
      <c r="E476" s="540"/>
      <c r="F476" s="540"/>
      <c r="G476" s="540"/>
      <c r="H476" s="540"/>
      <c r="I476" s="540"/>
      <c r="J476" s="540"/>
      <c r="K476" s="540"/>
      <c r="L476" s="540"/>
      <c r="M476" s="540"/>
      <c r="N476" s="540"/>
      <c r="O476" s="540"/>
      <c r="P476" s="540"/>
      <c r="Q476" s="540"/>
      <c r="R476" s="540"/>
      <c r="S476" s="540"/>
      <c r="T476" s="540"/>
      <c r="U476" s="540"/>
      <c r="V476" s="540"/>
      <c r="W476" s="540"/>
      <c r="X476" s="540"/>
      <c r="Y476" s="540"/>
      <c r="Z476" s="540"/>
    </row>
    <row r="477" ht="171.75" customHeight="1">
      <c r="A477" s="540"/>
      <c r="B477" s="540"/>
      <c r="C477" s="540"/>
      <c r="D477" s="540"/>
      <c r="E477" s="540"/>
      <c r="F477" s="540"/>
      <c r="G477" s="540"/>
      <c r="H477" s="540"/>
      <c r="I477" s="540"/>
      <c r="J477" s="540"/>
      <c r="K477" s="540"/>
      <c r="L477" s="540"/>
      <c r="M477" s="540"/>
      <c r="N477" s="540"/>
      <c r="O477" s="540"/>
      <c r="P477" s="540"/>
      <c r="Q477" s="540"/>
      <c r="R477" s="540"/>
      <c r="S477" s="540"/>
      <c r="T477" s="540"/>
      <c r="U477" s="540"/>
      <c r="V477" s="540"/>
      <c r="W477" s="540"/>
      <c r="X477" s="540"/>
      <c r="Y477" s="540"/>
      <c r="Z477" s="540"/>
    </row>
    <row r="478" ht="171.75" customHeight="1">
      <c r="A478" s="540"/>
      <c r="B478" s="540"/>
      <c r="C478" s="540"/>
      <c r="D478" s="540"/>
      <c r="E478" s="540"/>
      <c r="F478" s="540"/>
      <c r="G478" s="540"/>
      <c r="H478" s="540"/>
      <c r="I478" s="540"/>
      <c r="J478" s="540"/>
      <c r="K478" s="540"/>
      <c r="L478" s="540"/>
      <c r="M478" s="540"/>
      <c r="N478" s="540"/>
      <c r="O478" s="540"/>
      <c r="P478" s="540"/>
      <c r="Q478" s="540"/>
      <c r="R478" s="540"/>
      <c r="S478" s="540"/>
      <c r="T478" s="540"/>
      <c r="U478" s="540"/>
      <c r="V478" s="540"/>
      <c r="W478" s="540"/>
      <c r="X478" s="540"/>
      <c r="Y478" s="540"/>
      <c r="Z478" s="540"/>
    </row>
    <row r="479" ht="171.75" customHeight="1">
      <c r="A479" s="540"/>
      <c r="B479" s="540"/>
      <c r="C479" s="540"/>
      <c r="D479" s="540"/>
      <c r="E479" s="540"/>
      <c r="F479" s="540"/>
      <c r="G479" s="540"/>
      <c r="H479" s="540"/>
      <c r="I479" s="540"/>
      <c r="J479" s="540"/>
      <c r="K479" s="540"/>
      <c r="L479" s="540"/>
      <c r="M479" s="540"/>
      <c r="N479" s="540"/>
      <c r="O479" s="540"/>
      <c r="P479" s="540"/>
      <c r="Q479" s="540"/>
      <c r="R479" s="540"/>
      <c r="S479" s="540"/>
      <c r="T479" s="540"/>
      <c r="U479" s="540"/>
      <c r="V479" s="540"/>
      <c r="W479" s="540"/>
      <c r="X479" s="540"/>
      <c r="Y479" s="540"/>
      <c r="Z479" s="540"/>
    </row>
    <row r="480" ht="171.75" customHeight="1">
      <c r="A480" s="540"/>
      <c r="B480" s="540"/>
      <c r="C480" s="540"/>
      <c r="D480" s="540"/>
      <c r="E480" s="540"/>
      <c r="F480" s="540"/>
      <c r="G480" s="540"/>
      <c r="H480" s="540"/>
      <c r="I480" s="540"/>
      <c r="J480" s="540"/>
      <c r="K480" s="540"/>
      <c r="L480" s="540"/>
      <c r="M480" s="540"/>
      <c r="N480" s="540"/>
      <c r="O480" s="540"/>
      <c r="P480" s="540"/>
      <c r="Q480" s="540"/>
      <c r="R480" s="540"/>
      <c r="S480" s="540"/>
      <c r="T480" s="540"/>
      <c r="U480" s="540"/>
      <c r="V480" s="540"/>
      <c r="W480" s="540"/>
      <c r="X480" s="540"/>
      <c r="Y480" s="540"/>
      <c r="Z480" s="540"/>
    </row>
    <row r="481" ht="171.75" customHeight="1">
      <c r="A481" s="540"/>
      <c r="B481" s="540"/>
      <c r="C481" s="540"/>
      <c r="D481" s="540"/>
      <c r="E481" s="540"/>
      <c r="F481" s="540"/>
      <c r="G481" s="540"/>
      <c r="H481" s="540"/>
      <c r="I481" s="540"/>
      <c r="J481" s="540"/>
      <c r="K481" s="540"/>
      <c r="L481" s="540"/>
      <c r="M481" s="540"/>
      <c r="N481" s="540"/>
      <c r="O481" s="540"/>
      <c r="P481" s="540"/>
      <c r="Q481" s="540"/>
      <c r="R481" s="540"/>
      <c r="S481" s="540"/>
      <c r="T481" s="540"/>
      <c r="U481" s="540"/>
      <c r="V481" s="540"/>
      <c r="W481" s="540"/>
      <c r="X481" s="540"/>
      <c r="Y481" s="540"/>
      <c r="Z481" s="540"/>
    </row>
    <row r="482" ht="171.75" customHeight="1">
      <c r="A482" s="540"/>
      <c r="B482" s="540"/>
      <c r="C482" s="540"/>
      <c r="D482" s="540"/>
      <c r="E482" s="540"/>
      <c r="F482" s="540"/>
      <c r="G482" s="540"/>
      <c r="H482" s="540"/>
      <c r="I482" s="540"/>
      <c r="J482" s="540"/>
      <c r="K482" s="540"/>
      <c r="L482" s="540"/>
      <c r="M482" s="540"/>
      <c r="N482" s="540"/>
      <c r="O482" s="540"/>
      <c r="P482" s="540"/>
      <c r="Q482" s="540"/>
      <c r="R482" s="540"/>
      <c r="S482" s="540"/>
      <c r="T482" s="540"/>
      <c r="U482" s="540"/>
      <c r="V482" s="540"/>
      <c r="W482" s="540"/>
      <c r="X482" s="540"/>
      <c r="Y482" s="540"/>
      <c r="Z482" s="540"/>
    </row>
    <row r="483" ht="171.75" customHeight="1">
      <c r="A483" s="540"/>
      <c r="B483" s="540"/>
      <c r="C483" s="540"/>
      <c r="D483" s="540"/>
      <c r="E483" s="540"/>
      <c r="F483" s="540"/>
      <c r="G483" s="540"/>
      <c r="H483" s="540"/>
      <c r="I483" s="540"/>
      <c r="J483" s="540"/>
      <c r="K483" s="540"/>
      <c r="L483" s="540"/>
      <c r="M483" s="540"/>
      <c r="N483" s="540"/>
      <c r="O483" s="540"/>
      <c r="P483" s="540"/>
      <c r="Q483" s="540"/>
      <c r="R483" s="540"/>
      <c r="S483" s="540"/>
      <c r="T483" s="540"/>
      <c r="U483" s="540"/>
      <c r="V483" s="540"/>
      <c r="W483" s="540"/>
      <c r="X483" s="540"/>
      <c r="Y483" s="540"/>
      <c r="Z483" s="540"/>
    </row>
    <row r="484" ht="171.75" customHeight="1">
      <c r="A484" s="540"/>
      <c r="B484" s="540"/>
      <c r="C484" s="540"/>
      <c r="D484" s="540"/>
      <c r="E484" s="540"/>
      <c r="F484" s="540"/>
      <c r="G484" s="540"/>
      <c r="H484" s="540"/>
      <c r="I484" s="540"/>
      <c r="J484" s="540"/>
      <c r="K484" s="540"/>
      <c r="L484" s="540"/>
      <c r="M484" s="540"/>
      <c r="N484" s="540"/>
      <c r="O484" s="540"/>
      <c r="P484" s="540"/>
      <c r="Q484" s="540"/>
      <c r="R484" s="540"/>
      <c r="S484" s="540"/>
      <c r="T484" s="540"/>
      <c r="U484" s="540"/>
      <c r="V484" s="540"/>
      <c r="W484" s="540"/>
      <c r="X484" s="540"/>
      <c r="Y484" s="540"/>
      <c r="Z484" s="540"/>
    </row>
    <row r="485" ht="171.75" customHeight="1">
      <c r="A485" s="540"/>
      <c r="B485" s="540"/>
      <c r="C485" s="540"/>
      <c r="D485" s="540"/>
      <c r="E485" s="540"/>
      <c r="F485" s="540"/>
      <c r="G485" s="540"/>
      <c r="H485" s="540"/>
      <c r="I485" s="540"/>
      <c r="J485" s="540"/>
      <c r="K485" s="540"/>
      <c r="L485" s="540"/>
      <c r="M485" s="540"/>
      <c r="N485" s="540"/>
      <c r="O485" s="540"/>
      <c r="P485" s="540"/>
      <c r="Q485" s="540"/>
      <c r="R485" s="540"/>
      <c r="S485" s="540"/>
      <c r="T485" s="540"/>
      <c r="U485" s="540"/>
      <c r="V485" s="540"/>
      <c r="W485" s="540"/>
      <c r="X485" s="540"/>
      <c r="Y485" s="540"/>
      <c r="Z485" s="540"/>
    </row>
    <row r="486" ht="171.75" customHeight="1">
      <c r="A486" s="540"/>
      <c r="B486" s="540"/>
      <c r="C486" s="540"/>
      <c r="D486" s="540"/>
      <c r="E486" s="540"/>
      <c r="F486" s="540"/>
      <c r="G486" s="540"/>
      <c r="H486" s="540"/>
      <c r="I486" s="540"/>
      <c r="J486" s="540"/>
      <c r="K486" s="540"/>
      <c r="L486" s="540"/>
      <c r="M486" s="540"/>
      <c r="N486" s="540"/>
      <c r="O486" s="540"/>
      <c r="P486" s="540"/>
      <c r="Q486" s="540"/>
      <c r="R486" s="540"/>
      <c r="S486" s="540"/>
      <c r="T486" s="540"/>
      <c r="U486" s="540"/>
      <c r="V486" s="540"/>
      <c r="W486" s="540"/>
      <c r="X486" s="540"/>
      <c r="Y486" s="540"/>
      <c r="Z486" s="540"/>
    </row>
    <row r="487" ht="171.75" customHeight="1">
      <c r="A487" s="540"/>
      <c r="B487" s="540"/>
      <c r="C487" s="540"/>
      <c r="D487" s="540"/>
      <c r="E487" s="540"/>
      <c r="F487" s="540"/>
      <c r="G487" s="540"/>
      <c r="H487" s="540"/>
      <c r="I487" s="540"/>
      <c r="J487" s="540"/>
      <c r="K487" s="540"/>
      <c r="L487" s="540"/>
      <c r="M487" s="540"/>
      <c r="N487" s="540"/>
      <c r="O487" s="540"/>
      <c r="P487" s="540"/>
      <c r="Q487" s="540"/>
      <c r="R487" s="540"/>
      <c r="S487" s="540"/>
      <c r="T487" s="540"/>
      <c r="U487" s="540"/>
      <c r="V487" s="540"/>
      <c r="W487" s="540"/>
      <c r="X487" s="540"/>
      <c r="Y487" s="540"/>
      <c r="Z487" s="540"/>
    </row>
    <row r="488" ht="171.75" customHeight="1">
      <c r="A488" s="540"/>
      <c r="B488" s="540"/>
      <c r="C488" s="540"/>
      <c r="D488" s="540"/>
      <c r="E488" s="540"/>
      <c r="F488" s="540"/>
      <c r="G488" s="540"/>
      <c r="H488" s="540"/>
      <c r="I488" s="540"/>
      <c r="J488" s="540"/>
      <c r="K488" s="540"/>
      <c r="L488" s="540"/>
      <c r="M488" s="540"/>
      <c r="N488" s="540"/>
      <c r="O488" s="540"/>
      <c r="P488" s="540"/>
      <c r="Q488" s="540"/>
      <c r="R488" s="540"/>
      <c r="S488" s="540"/>
      <c r="T488" s="540"/>
      <c r="U488" s="540"/>
      <c r="V488" s="540"/>
      <c r="W488" s="540"/>
      <c r="X488" s="540"/>
      <c r="Y488" s="540"/>
      <c r="Z488" s="540"/>
    </row>
    <row r="489" ht="171.75" customHeight="1">
      <c r="A489" s="540"/>
      <c r="B489" s="540"/>
      <c r="C489" s="540"/>
      <c r="D489" s="540"/>
      <c r="E489" s="540"/>
      <c r="F489" s="540"/>
      <c r="G489" s="540"/>
      <c r="H489" s="540"/>
      <c r="I489" s="540"/>
      <c r="J489" s="540"/>
      <c r="K489" s="540"/>
      <c r="L489" s="540"/>
      <c r="M489" s="540"/>
      <c r="N489" s="540"/>
      <c r="O489" s="540"/>
      <c r="P489" s="540"/>
      <c r="Q489" s="540"/>
      <c r="R489" s="540"/>
      <c r="S489" s="540"/>
      <c r="T489" s="540"/>
      <c r="U489" s="540"/>
      <c r="V489" s="540"/>
      <c r="W489" s="540"/>
      <c r="X489" s="540"/>
      <c r="Y489" s="540"/>
      <c r="Z489" s="540"/>
    </row>
    <row r="490" ht="171.75" customHeight="1">
      <c r="A490" s="540"/>
      <c r="B490" s="540"/>
      <c r="C490" s="540"/>
      <c r="D490" s="540"/>
      <c r="E490" s="540"/>
      <c r="F490" s="540"/>
      <c r="G490" s="540"/>
      <c r="H490" s="540"/>
      <c r="I490" s="540"/>
      <c r="J490" s="540"/>
      <c r="K490" s="540"/>
      <c r="L490" s="540"/>
      <c r="M490" s="540"/>
      <c r="N490" s="540"/>
      <c r="O490" s="540"/>
      <c r="P490" s="540"/>
      <c r="Q490" s="540"/>
      <c r="R490" s="540"/>
      <c r="S490" s="540"/>
      <c r="T490" s="540"/>
      <c r="U490" s="540"/>
      <c r="V490" s="540"/>
      <c r="W490" s="540"/>
      <c r="X490" s="540"/>
      <c r="Y490" s="540"/>
      <c r="Z490" s="540"/>
    </row>
    <row r="491" ht="171.75" customHeight="1">
      <c r="A491" s="540"/>
      <c r="B491" s="540"/>
      <c r="C491" s="540"/>
      <c r="D491" s="540"/>
      <c r="E491" s="540"/>
      <c r="F491" s="540"/>
      <c r="G491" s="540"/>
      <c r="H491" s="540"/>
      <c r="I491" s="540"/>
      <c r="J491" s="540"/>
      <c r="K491" s="540"/>
      <c r="L491" s="540"/>
      <c r="M491" s="540"/>
      <c r="N491" s="540"/>
      <c r="O491" s="540"/>
      <c r="P491" s="540"/>
      <c r="Q491" s="540"/>
      <c r="R491" s="540"/>
      <c r="S491" s="540"/>
      <c r="T491" s="540"/>
      <c r="U491" s="540"/>
      <c r="V491" s="540"/>
      <c r="W491" s="540"/>
      <c r="X491" s="540"/>
      <c r="Y491" s="540"/>
      <c r="Z491" s="540"/>
    </row>
    <row r="492" ht="171.75" customHeight="1">
      <c r="A492" s="540"/>
      <c r="B492" s="540"/>
      <c r="C492" s="540"/>
      <c r="D492" s="540"/>
      <c r="E492" s="540"/>
      <c r="F492" s="540"/>
      <c r="G492" s="540"/>
      <c r="H492" s="540"/>
      <c r="I492" s="540"/>
      <c r="J492" s="540"/>
      <c r="K492" s="540"/>
      <c r="L492" s="540"/>
      <c r="M492" s="540"/>
      <c r="N492" s="540"/>
      <c r="O492" s="540"/>
      <c r="P492" s="540"/>
      <c r="Q492" s="540"/>
      <c r="R492" s="540"/>
      <c r="S492" s="540"/>
      <c r="T492" s="540"/>
      <c r="U492" s="540"/>
      <c r="V492" s="540"/>
      <c r="W492" s="540"/>
      <c r="X492" s="540"/>
      <c r="Y492" s="540"/>
      <c r="Z492" s="540"/>
    </row>
    <row r="493" ht="171.75" customHeight="1">
      <c r="A493" s="540"/>
      <c r="B493" s="540"/>
      <c r="C493" s="540"/>
      <c r="D493" s="540"/>
      <c r="E493" s="540"/>
      <c r="F493" s="540"/>
      <c r="G493" s="540"/>
      <c r="H493" s="540"/>
      <c r="I493" s="540"/>
      <c r="J493" s="540"/>
      <c r="K493" s="540"/>
      <c r="L493" s="540"/>
      <c r="M493" s="540"/>
      <c r="N493" s="540"/>
      <c r="O493" s="540"/>
      <c r="P493" s="540"/>
      <c r="Q493" s="540"/>
      <c r="R493" s="540"/>
      <c r="S493" s="540"/>
      <c r="T493" s="540"/>
      <c r="U493" s="540"/>
      <c r="V493" s="540"/>
      <c r="W493" s="540"/>
      <c r="X493" s="540"/>
      <c r="Y493" s="540"/>
      <c r="Z493" s="540"/>
    </row>
    <row r="494" ht="171.75" customHeight="1">
      <c r="A494" s="540"/>
      <c r="B494" s="540"/>
      <c r="C494" s="540"/>
      <c r="D494" s="540"/>
      <c r="E494" s="540"/>
      <c r="F494" s="540"/>
      <c r="G494" s="540"/>
      <c r="H494" s="540"/>
      <c r="I494" s="540"/>
      <c r="J494" s="540"/>
      <c r="K494" s="540"/>
      <c r="L494" s="540"/>
      <c r="M494" s="540"/>
      <c r="N494" s="540"/>
      <c r="O494" s="540"/>
      <c r="P494" s="540"/>
      <c r="Q494" s="540"/>
      <c r="R494" s="540"/>
      <c r="S494" s="540"/>
      <c r="T494" s="540"/>
      <c r="U494" s="540"/>
      <c r="V494" s="540"/>
      <c r="W494" s="540"/>
      <c r="X494" s="540"/>
      <c r="Y494" s="540"/>
      <c r="Z494" s="540"/>
    </row>
    <row r="495" ht="171.75" customHeight="1">
      <c r="A495" s="540"/>
      <c r="B495" s="540"/>
      <c r="C495" s="540"/>
      <c r="D495" s="540"/>
      <c r="E495" s="540"/>
      <c r="F495" s="540"/>
      <c r="G495" s="540"/>
      <c r="H495" s="540"/>
      <c r="I495" s="540"/>
      <c r="J495" s="540"/>
      <c r="K495" s="540"/>
      <c r="L495" s="540"/>
      <c r="M495" s="540"/>
      <c r="N495" s="540"/>
      <c r="O495" s="540"/>
      <c r="P495" s="540"/>
      <c r="Q495" s="540"/>
      <c r="R495" s="540"/>
      <c r="S495" s="540"/>
      <c r="T495" s="540"/>
      <c r="U495" s="540"/>
      <c r="V495" s="540"/>
      <c r="W495" s="540"/>
      <c r="X495" s="540"/>
      <c r="Y495" s="540"/>
      <c r="Z495" s="540"/>
    </row>
    <row r="496" ht="171.75" customHeight="1">
      <c r="A496" s="540"/>
      <c r="B496" s="540"/>
      <c r="C496" s="540"/>
      <c r="D496" s="540"/>
      <c r="E496" s="540"/>
      <c r="F496" s="540"/>
      <c r="G496" s="540"/>
      <c r="H496" s="540"/>
      <c r="I496" s="540"/>
      <c r="J496" s="540"/>
      <c r="K496" s="540"/>
      <c r="L496" s="540"/>
      <c r="M496" s="540"/>
      <c r="N496" s="540"/>
      <c r="O496" s="540"/>
      <c r="P496" s="540"/>
      <c r="Q496" s="540"/>
      <c r="R496" s="540"/>
      <c r="S496" s="540"/>
      <c r="T496" s="540"/>
      <c r="U496" s="540"/>
      <c r="V496" s="540"/>
      <c r="W496" s="540"/>
      <c r="X496" s="540"/>
      <c r="Y496" s="540"/>
      <c r="Z496" s="540"/>
    </row>
    <row r="497" ht="171.75" customHeight="1">
      <c r="A497" s="540"/>
      <c r="B497" s="540"/>
      <c r="C497" s="540"/>
      <c r="D497" s="540"/>
      <c r="E497" s="540"/>
      <c r="F497" s="540"/>
      <c r="G497" s="540"/>
      <c r="H497" s="540"/>
      <c r="I497" s="540"/>
      <c r="J497" s="540"/>
      <c r="K497" s="540"/>
      <c r="L497" s="540"/>
      <c r="M497" s="540"/>
      <c r="N497" s="540"/>
      <c r="O497" s="540"/>
      <c r="P497" s="540"/>
      <c r="Q497" s="540"/>
      <c r="R497" s="540"/>
      <c r="S497" s="540"/>
      <c r="T497" s="540"/>
      <c r="U497" s="540"/>
      <c r="V497" s="540"/>
      <c r="W497" s="540"/>
      <c r="X497" s="540"/>
      <c r="Y497" s="540"/>
      <c r="Z497" s="540"/>
    </row>
    <row r="498" ht="171.75" customHeight="1">
      <c r="A498" s="540"/>
      <c r="B498" s="540"/>
      <c r="C498" s="540"/>
      <c r="D498" s="540"/>
      <c r="E498" s="540"/>
      <c r="F498" s="540"/>
      <c r="G498" s="540"/>
      <c r="H498" s="540"/>
      <c r="I498" s="540"/>
      <c r="J498" s="540"/>
      <c r="K498" s="540"/>
      <c r="L498" s="540"/>
      <c r="M498" s="540"/>
      <c r="N498" s="540"/>
      <c r="O498" s="540"/>
      <c r="P498" s="540"/>
      <c r="Q498" s="540"/>
      <c r="R498" s="540"/>
      <c r="S498" s="540"/>
      <c r="T498" s="540"/>
      <c r="U498" s="540"/>
      <c r="V498" s="540"/>
      <c r="W498" s="540"/>
      <c r="X498" s="540"/>
      <c r="Y498" s="540"/>
      <c r="Z498" s="540"/>
    </row>
    <row r="499" ht="171.75" customHeight="1">
      <c r="A499" s="540"/>
      <c r="B499" s="540"/>
      <c r="C499" s="540"/>
      <c r="D499" s="540"/>
      <c r="E499" s="540"/>
      <c r="F499" s="540"/>
      <c r="G499" s="540"/>
      <c r="H499" s="540"/>
      <c r="I499" s="540"/>
      <c r="J499" s="540"/>
      <c r="K499" s="540"/>
      <c r="L499" s="540"/>
      <c r="M499" s="540"/>
      <c r="N499" s="540"/>
      <c r="O499" s="540"/>
      <c r="P499" s="540"/>
      <c r="Q499" s="540"/>
      <c r="R499" s="540"/>
      <c r="S499" s="540"/>
      <c r="T499" s="540"/>
      <c r="U499" s="540"/>
      <c r="V499" s="540"/>
      <c r="W499" s="540"/>
      <c r="X499" s="540"/>
      <c r="Y499" s="540"/>
      <c r="Z499" s="540"/>
    </row>
    <row r="500" ht="171.75" customHeight="1">
      <c r="A500" s="540"/>
      <c r="B500" s="540"/>
      <c r="C500" s="540"/>
      <c r="D500" s="540"/>
      <c r="E500" s="540"/>
      <c r="F500" s="540"/>
      <c r="G500" s="540"/>
      <c r="H500" s="540"/>
      <c r="I500" s="540"/>
      <c r="J500" s="540"/>
      <c r="K500" s="540"/>
      <c r="L500" s="540"/>
      <c r="M500" s="540"/>
      <c r="N500" s="540"/>
      <c r="O500" s="540"/>
      <c r="P500" s="540"/>
      <c r="Q500" s="540"/>
      <c r="R500" s="540"/>
      <c r="S500" s="540"/>
      <c r="T500" s="540"/>
      <c r="U500" s="540"/>
      <c r="V500" s="540"/>
      <c r="W500" s="540"/>
      <c r="X500" s="540"/>
      <c r="Y500" s="540"/>
      <c r="Z500" s="540"/>
    </row>
    <row r="501" ht="171.75" customHeight="1">
      <c r="A501" s="540"/>
      <c r="B501" s="540"/>
      <c r="C501" s="540"/>
      <c r="D501" s="540"/>
      <c r="E501" s="540"/>
      <c r="F501" s="540"/>
      <c r="G501" s="540"/>
      <c r="H501" s="540"/>
      <c r="I501" s="540"/>
      <c r="J501" s="540"/>
      <c r="K501" s="540"/>
      <c r="L501" s="540"/>
      <c r="M501" s="540"/>
      <c r="N501" s="540"/>
      <c r="O501" s="540"/>
      <c r="P501" s="540"/>
      <c r="Q501" s="540"/>
      <c r="R501" s="540"/>
      <c r="S501" s="540"/>
      <c r="T501" s="540"/>
      <c r="U501" s="540"/>
      <c r="V501" s="540"/>
      <c r="W501" s="540"/>
      <c r="X501" s="540"/>
      <c r="Y501" s="540"/>
      <c r="Z501" s="540"/>
    </row>
    <row r="502" ht="171.75" customHeight="1">
      <c r="A502" s="540"/>
      <c r="B502" s="540"/>
      <c r="C502" s="540"/>
      <c r="D502" s="540"/>
      <c r="E502" s="540"/>
      <c r="F502" s="540"/>
      <c r="G502" s="540"/>
      <c r="H502" s="540"/>
      <c r="I502" s="540"/>
      <c r="J502" s="540"/>
      <c r="K502" s="540"/>
      <c r="L502" s="540"/>
      <c r="M502" s="540"/>
      <c r="N502" s="540"/>
      <c r="O502" s="540"/>
      <c r="P502" s="540"/>
      <c r="Q502" s="540"/>
      <c r="R502" s="540"/>
      <c r="S502" s="540"/>
      <c r="T502" s="540"/>
      <c r="U502" s="540"/>
      <c r="V502" s="540"/>
      <c r="W502" s="540"/>
      <c r="X502" s="540"/>
      <c r="Y502" s="540"/>
      <c r="Z502" s="540"/>
    </row>
    <row r="503" ht="171.75" customHeight="1">
      <c r="A503" s="540"/>
      <c r="B503" s="540"/>
      <c r="C503" s="540"/>
      <c r="D503" s="540"/>
      <c r="E503" s="540"/>
      <c r="F503" s="540"/>
      <c r="G503" s="540"/>
      <c r="H503" s="540"/>
      <c r="I503" s="540"/>
      <c r="J503" s="540"/>
      <c r="K503" s="540"/>
      <c r="L503" s="540"/>
      <c r="M503" s="540"/>
      <c r="N503" s="540"/>
      <c r="O503" s="540"/>
      <c r="P503" s="540"/>
      <c r="Q503" s="540"/>
      <c r="R503" s="540"/>
      <c r="S503" s="540"/>
      <c r="T503" s="540"/>
      <c r="U503" s="540"/>
      <c r="V503" s="540"/>
      <c r="W503" s="540"/>
      <c r="X503" s="540"/>
      <c r="Y503" s="540"/>
      <c r="Z503" s="540"/>
    </row>
    <row r="504" ht="171.75" customHeight="1">
      <c r="A504" s="540"/>
      <c r="B504" s="540"/>
      <c r="C504" s="540"/>
      <c r="D504" s="540"/>
      <c r="E504" s="540"/>
      <c r="F504" s="540"/>
      <c r="G504" s="540"/>
      <c r="H504" s="540"/>
      <c r="I504" s="540"/>
      <c r="J504" s="540"/>
      <c r="K504" s="540"/>
      <c r="L504" s="540"/>
      <c r="M504" s="540"/>
      <c r="N504" s="540"/>
      <c r="O504" s="540"/>
      <c r="P504" s="540"/>
      <c r="Q504" s="540"/>
      <c r="R504" s="540"/>
      <c r="S504" s="540"/>
      <c r="T504" s="540"/>
      <c r="U504" s="540"/>
      <c r="V504" s="540"/>
      <c r="W504" s="540"/>
      <c r="X504" s="540"/>
      <c r="Y504" s="540"/>
      <c r="Z504" s="540"/>
    </row>
    <row r="505" ht="171.75" customHeight="1">
      <c r="A505" s="540"/>
      <c r="B505" s="540"/>
      <c r="C505" s="540"/>
      <c r="D505" s="540"/>
      <c r="E505" s="540"/>
      <c r="F505" s="540"/>
      <c r="G505" s="540"/>
      <c r="H505" s="540"/>
      <c r="I505" s="540"/>
      <c r="J505" s="540"/>
      <c r="K505" s="540"/>
      <c r="L505" s="540"/>
      <c r="M505" s="540"/>
      <c r="N505" s="540"/>
      <c r="O505" s="540"/>
      <c r="P505" s="540"/>
      <c r="Q505" s="540"/>
      <c r="R505" s="540"/>
      <c r="S505" s="540"/>
      <c r="T505" s="540"/>
      <c r="U505" s="540"/>
      <c r="V505" s="540"/>
      <c r="W505" s="540"/>
      <c r="X505" s="540"/>
      <c r="Y505" s="540"/>
      <c r="Z505" s="540"/>
    </row>
    <row r="506" ht="171.75" customHeight="1">
      <c r="A506" s="540"/>
      <c r="B506" s="540"/>
      <c r="C506" s="540"/>
      <c r="D506" s="540"/>
      <c r="E506" s="540"/>
      <c r="F506" s="540"/>
      <c r="G506" s="540"/>
      <c r="H506" s="540"/>
      <c r="I506" s="540"/>
      <c r="J506" s="540"/>
      <c r="K506" s="540"/>
      <c r="L506" s="540"/>
      <c r="M506" s="540"/>
      <c r="N506" s="540"/>
      <c r="O506" s="540"/>
      <c r="P506" s="540"/>
      <c r="Q506" s="540"/>
      <c r="R506" s="540"/>
      <c r="S506" s="540"/>
      <c r="T506" s="540"/>
      <c r="U506" s="540"/>
      <c r="V506" s="540"/>
      <c r="W506" s="540"/>
      <c r="X506" s="540"/>
      <c r="Y506" s="540"/>
      <c r="Z506" s="540"/>
    </row>
    <row r="507" ht="171.75" customHeight="1">
      <c r="A507" s="540"/>
      <c r="B507" s="540"/>
      <c r="C507" s="540"/>
      <c r="D507" s="540"/>
      <c r="E507" s="540"/>
      <c r="F507" s="540"/>
      <c r="G507" s="540"/>
      <c r="H507" s="540"/>
      <c r="I507" s="540"/>
      <c r="J507" s="540"/>
      <c r="K507" s="540"/>
      <c r="L507" s="540"/>
      <c r="M507" s="540"/>
      <c r="N507" s="540"/>
      <c r="O507" s="540"/>
      <c r="P507" s="540"/>
      <c r="Q507" s="540"/>
      <c r="R507" s="540"/>
      <c r="S507" s="540"/>
      <c r="T507" s="540"/>
      <c r="U507" s="540"/>
      <c r="V507" s="540"/>
      <c r="W507" s="540"/>
      <c r="X507" s="540"/>
      <c r="Y507" s="540"/>
      <c r="Z507" s="540"/>
    </row>
    <row r="508" ht="171.75" customHeight="1">
      <c r="A508" s="540"/>
      <c r="B508" s="540"/>
      <c r="C508" s="540"/>
      <c r="D508" s="540"/>
      <c r="E508" s="540"/>
      <c r="F508" s="540"/>
      <c r="G508" s="540"/>
      <c r="H508" s="540"/>
      <c r="I508" s="540"/>
      <c r="J508" s="540"/>
      <c r="K508" s="540"/>
      <c r="L508" s="540"/>
      <c r="M508" s="540"/>
      <c r="N508" s="540"/>
      <c r="O508" s="540"/>
      <c r="P508" s="540"/>
      <c r="Q508" s="540"/>
      <c r="R508" s="540"/>
      <c r="S508" s="540"/>
      <c r="T508" s="540"/>
      <c r="U508" s="540"/>
      <c r="V508" s="540"/>
      <c r="W508" s="540"/>
      <c r="X508" s="540"/>
      <c r="Y508" s="540"/>
      <c r="Z508" s="540"/>
    </row>
    <row r="509" ht="171.75" customHeight="1">
      <c r="A509" s="540"/>
      <c r="B509" s="540"/>
      <c r="C509" s="540"/>
      <c r="D509" s="540"/>
      <c r="E509" s="540"/>
      <c r="F509" s="540"/>
      <c r="G509" s="540"/>
      <c r="H509" s="540"/>
      <c r="I509" s="540"/>
      <c r="J509" s="540"/>
      <c r="K509" s="540"/>
      <c r="L509" s="540"/>
      <c r="M509" s="540"/>
      <c r="N509" s="540"/>
      <c r="O509" s="540"/>
      <c r="P509" s="540"/>
      <c r="Q509" s="540"/>
      <c r="R509" s="540"/>
      <c r="S509" s="540"/>
      <c r="T509" s="540"/>
      <c r="U509" s="540"/>
      <c r="V509" s="540"/>
      <c r="W509" s="540"/>
      <c r="X509" s="540"/>
      <c r="Y509" s="540"/>
      <c r="Z509" s="540"/>
    </row>
    <row r="510" ht="171.75" customHeight="1">
      <c r="A510" s="540"/>
      <c r="B510" s="540"/>
      <c r="C510" s="540"/>
      <c r="D510" s="540"/>
      <c r="E510" s="540"/>
      <c r="F510" s="540"/>
      <c r="G510" s="540"/>
      <c r="H510" s="540"/>
      <c r="I510" s="540"/>
      <c r="J510" s="540"/>
      <c r="K510" s="540"/>
      <c r="L510" s="540"/>
      <c r="M510" s="540"/>
      <c r="N510" s="540"/>
      <c r="O510" s="540"/>
      <c r="P510" s="540"/>
      <c r="Q510" s="540"/>
      <c r="R510" s="540"/>
      <c r="S510" s="540"/>
      <c r="T510" s="540"/>
      <c r="U510" s="540"/>
      <c r="V510" s="540"/>
      <c r="W510" s="540"/>
      <c r="X510" s="540"/>
      <c r="Y510" s="540"/>
      <c r="Z510" s="540"/>
    </row>
    <row r="511" ht="171.75" customHeight="1">
      <c r="A511" s="540"/>
      <c r="B511" s="540"/>
      <c r="C511" s="540"/>
      <c r="D511" s="540"/>
      <c r="E511" s="540"/>
      <c r="F511" s="540"/>
      <c r="G511" s="540"/>
      <c r="H511" s="540"/>
      <c r="I511" s="540"/>
      <c r="J511" s="540"/>
      <c r="K511" s="540"/>
      <c r="L511" s="540"/>
      <c r="M511" s="540"/>
      <c r="N511" s="540"/>
      <c r="O511" s="540"/>
      <c r="P511" s="540"/>
      <c r="Q511" s="540"/>
      <c r="R511" s="540"/>
      <c r="S511" s="540"/>
      <c r="T511" s="540"/>
      <c r="U511" s="540"/>
      <c r="V511" s="540"/>
      <c r="W511" s="540"/>
      <c r="X511" s="540"/>
      <c r="Y511" s="540"/>
      <c r="Z511" s="540"/>
    </row>
    <row r="512" ht="171.75" customHeight="1">
      <c r="A512" s="540"/>
      <c r="B512" s="540"/>
      <c r="C512" s="540"/>
      <c r="D512" s="540"/>
      <c r="E512" s="540"/>
      <c r="F512" s="540"/>
      <c r="G512" s="540"/>
      <c r="H512" s="540"/>
      <c r="I512" s="540"/>
      <c r="J512" s="540"/>
      <c r="K512" s="540"/>
      <c r="L512" s="540"/>
      <c r="M512" s="540"/>
      <c r="N512" s="540"/>
      <c r="O512" s="540"/>
      <c r="P512" s="540"/>
      <c r="Q512" s="540"/>
      <c r="R512" s="540"/>
      <c r="S512" s="540"/>
      <c r="T512" s="540"/>
      <c r="U512" s="540"/>
      <c r="V512" s="540"/>
      <c r="W512" s="540"/>
      <c r="X512" s="540"/>
      <c r="Y512" s="540"/>
      <c r="Z512" s="540"/>
    </row>
    <row r="513" ht="171.75" customHeight="1">
      <c r="A513" s="540"/>
      <c r="B513" s="540"/>
      <c r="C513" s="540"/>
      <c r="D513" s="540"/>
      <c r="E513" s="540"/>
      <c r="F513" s="540"/>
      <c r="G513" s="540"/>
      <c r="H513" s="540"/>
      <c r="I513" s="540"/>
      <c r="J513" s="540"/>
      <c r="K513" s="540"/>
      <c r="L513" s="540"/>
      <c r="M513" s="540"/>
      <c r="N513" s="540"/>
      <c r="O513" s="540"/>
      <c r="P513" s="540"/>
      <c r="Q513" s="540"/>
      <c r="R513" s="540"/>
      <c r="S513" s="540"/>
      <c r="T513" s="540"/>
      <c r="U513" s="540"/>
      <c r="V513" s="540"/>
      <c r="W513" s="540"/>
      <c r="X513" s="540"/>
      <c r="Y513" s="540"/>
      <c r="Z513" s="540"/>
    </row>
    <row r="514" ht="171.75" customHeight="1">
      <c r="A514" s="540"/>
      <c r="B514" s="540"/>
      <c r="C514" s="540"/>
      <c r="D514" s="540"/>
      <c r="E514" s="540"/>
      <c r="F514" s="540"/>
      <c r="G514" s="540"/>
      <c r="H514" s="540"/>
      <c r="I514" s="540"/>
      <c r="J514" s="540"/>
      <c r="K514" s="540"/>
      <c r="L514" s="540"/>
      <c r="M514" s="540"/>
      <c r="N514" s="540"/>
      <c r="O514" s="540"/>
      <c r="P514" s="540"/>
      <c r="Q514" s="540"/>
      <c r="R514" s="540"/>
      <c r="S514" s="540"/>
      <c r="T514" s="540"/>
      <c r="U514" s="540"/>
      <c r="V514" s="540"/>
      <c r="W514" s="540"/>
      <c r="X514" s="540"/>
      <c r="Y514" s="540"/>
      <c r="Z514" s="540"/>
    </row>
    <row r="515" ht="171.75" customHeight="1">
      <c r="A515" s="540"/>
      <c r="B515" s="540"/>
      <c r="C515" s="540"/>
      <c r="D515" s="540"/>
      <c r="E515" s="540"/>
      <c r="F515" s="540"/>
      <c r="G515" s="540"/>
      <c r="H515" s="540"/>
      <c r="I515" s="540"/>
      <c r="J515" s="540"/>
      <c r="K515" s="540"/>
      <c r="L515" s="540"/>
      <c r="M515" s="540"/>
      <c r="N515" s="540"/>
      <c r="O515" s="540"/>
      <c r="P515" s="540"/>
      <c r="Q515" s="540"/>
      <c r="R515" s="540"/>
      <c r="S515" s="540"/>
      <c r="T515" s="540"/>
      <c r="U515" s="540"/>
      <c r="V515" s="540"/>
      <c r="W515" s="540"/>
      <c r="X515" s="540"/>
      <c r="Y515" s="540"/>
      <c r="Z515" s="540"/>
    </row>
    <row r="516" ht="171.75" customHeight="1">
      <c r="A516" s="540"/>
      <c r="B516" s="540"/>
      <c r="C516" s="540"/>
      <c r="D516" s="540"/>
      <c r="E516" s="540"/>
      <c r="F516" s="540"/>
      <c r="G516" s="540"/>
      <c r="H516" s="540"/>
      <c r="I516" s="540"/>
      <c r="J516" s="540"/>
      <c r="K516" s="540"/>
      <c r="L516" s="540"/>
      <c r="M516" s="540"/>
      <c r="N516" s="540"/>
      <c r="O516" s="540"/>
      <c r="P516" s="540"/>
      <c r="Q516" s="540"/>
      <c r="R516" s="540"/>
      <c r="S516" s="540"/>
      <c r="T516" s="540"/>
      <c r="U516" s="540"/>
      <c r="V516" s="540"/>
      <c r="W516" s="540"/>
      <c r="X516" s="540"/>
      <c r="Y516" s="540"/>
      <c r="Z516" s="540"/>
    </row>
    <row r="517" ht="171.75" customHeight="1">
      <c r="A517" s="540"/>
      <c r="B517" s="540"/>
      <c r="C517" s="540"/>
      <c r="D517" s="540"/>
      <c r="E517" s="540"/>
      <c r="F517" s="540"/>
      <c r="G517" s="540"/>
      <c r="H517" s="540"/>
      <c r="I517" s="540"/>
      <c r="J517" s="540"/>
      <c r="K517" s="540"/>
      <c r="L517" s="540"/>
      <c r="M517" s="540"/>
      <c r="N517" s="540"/>
      <c r="O517" s="540"/>
      <c r="P517" s="540"/>
      <c r="Q517" s="540"/>
      <c r="R517" s="540"/>
      <c r="S517" s="540"/>
      <c r="T517" s="540"/>
      <c r="U517" s="540"/>
      <c r="V517" s="540"/>
      <c r="W517" s="540"/>
      <c r="X517" s="540"/>
      <c r="Y517" s="540"/>
      <c r="Z517" s="540"/>
    </row>
    <row r="518" ht="171.75" customHeight="1">
      <c r="A518" s="540"/>
      <c r="B518" s="540"/>
      <c r="C518" s="540"/>
      <c r="D518" s="540"/>
      <c r="E518" s="540"/>
      <c r="F518" s="540"/>
      <c r="G518" s="540"/>
      <c r="H518" s="540"/>
      <c r="I518" s="540"/>
      <c r="J518" s="540"/>
      <c r="K518" s="540"/>
      <c r="L518" s="540"/>
      <c r="M518" s="540"/>
      <c r="N518" s="540"/>
      <c r="O518" s="540"/>
      <c r="P518" s="540"/>
      <c r="Q518" s="540"/>
      <c r="R518" s="540"/>
      <c r="S518" s="540"/>
      <c r="T518" s="540"/>
      <c r="U518" s="540"/>
      <c r="V518" s="540"/>
      <c r="W518" s="540"/>
      <c r="X518" s="540"/>
      <c r="Y518" s="540"/>
      <c r="Z518" s="540"/>
    </row>
    <row r="519" ht="171.75" customHeight="1">
      <c r="A519" s="540"/>
      <c r="B519" s="540"/>
      <c r="C519" s="540"/>
      <c r="D519" s="540"/>
      <c r="E519" s="540"/>
      <c r="F519" s="540"/>
      <c r="G519" s="540"/>
      <c r="H519" s="540"/>
      <c r="I519" s="540"/>
      <c r="J519" s="540"/>
      <c r="K519" s="540"/>
      <c r="L519" s="540"/>
      <c r="M519" s="540"/>
      <c r="N519" s="540"/>
      <c r="O519" s="540"/>
      <c r="P519" s="540"/>
      <c r="Q519" s="540"/>
      <c r="R519" s="540"/>
      <c r="S519" s="540"/>
      <c r="T519" s="540"/>
      <c r="U519" s="540"/>
      <c r="V519" s="540"/>
      <c r="W519" s="540"/>
      <c r="X519" s="540"/>
      <c r="Y519" s="540"/>
      <c r="Z519" s="540"/>
    </row>
    <row r="520" ht="171.75" customHeight="1">
      <c r="A520" s="540"/>
      <c r="B520" s="540"/>
      <c r="C520" s="540"/>
      <c r="D520" s="540"/>
      <c r="E520" s="540"/>
      <c r="F520" s="540"/>
      <c r="G520" s="540"/>
      <c r="H520" s="540"/>
      <c r="I520" s="540"/>
      <c r="J520" s="540"/>
      <c r="K520" s="540"/>
      <c r="L520" s="540"/>
      <c r="M520" s="540"/>
      <c r="N520" s="540"/>
      <c r="O520" s="540"/>
      <c r="P520" s="540"/>
      <c r="Q520" s="540"/>
      <c r="R520" s="540"/>
      <c r="S520" s="540"/>
      <c r="T520" s="540"/>
      <c r="U520" s="540"/>
      <c r="V520" s="540"/>
      <c r="W520" s="540"/>
      <c r="X520" s="540"/>
      <c r="Y520" s="540"/>
      <c r="Z520" s="540"/>
    </row>
    <row r="521" ht="171.75" customHeight="1">
      <c r="A521" s="540"/>
      <c r="B521" s="540"/>
      <c r="C521" s="540"/>
      <c r="D521" s="540"/>
      <c r="E521" s="540"/>
      <c r="F521" s="540"/>
      <c r="G521" s="540"/>
      <c r="H521" s="540"/>
      <c r="I521" s="540"/>
      <c r="J521" s="540"/>
      <c r="K521" s="540"/>
      <c r="L521" s="540"/>
      <c r="M521" s="540"/>
      <c r="N521" s="540"/>
      <c r="O521" s="540"/>
      <c r="P521" s="540"/>
      <c r="Q521" s="540"/>
      <c r="R521" s="540"/>
      <c r="S521" s="540"/>
      <c r="T521" s="540"/>
      <c r="U521" s="540"/>
      <c r="V521" s="540"/>
      <c r="W521" s="540"/>
      <c r="X521" s="540"/>
      <c r="Y521" s="540"/>
      <c r="Z521" s="540"/>
    </row>
    <row r="522" ht="171.75" customHeight="1">
      <c r="A522" s="540"/>
      <c r="B522" s="540"/>
      <c r="C522" s="540"/>
      <c r="D522" s="540"/>
      <c r="E522" s="540"/>
      <c r="F522" s="540"/>
      <c r="G522" s="540"/>
      <c r="H522" s="540"/>
      <c r="I522" s="540"/>
      <c r="J522" s="540"/>
      <c r="K522" s="540"/>
      <c r="L522" s="540"/>
      <c r="M522" s="540"/>
      <c r="N522" s="540"/>
      <c r="O522" s="540"/>
      <c r="P522" s="540"/>
      <c r="Q522" s="540"/>
      <c r="R522" s="540"/>
      <c r="S522" s="540"/>
      <c r="T522" s="540"/>
      <c r="U522" s="540"/>
      <c r="V522" s="540"/>
      <c r="W522" s="540"/>
      <c r="X522" s="540"/>
      <c r="Y522" s="540"/>
      <c r="Z522" s="540"/>
    </row>
    <row r="523" ht="171.75" customHeight="1">
      <c r="A523" s="540"/>
      <c r="B523" s="540"/>
      <c r="C523" s="540"/>
      <c r="D523" s="540"/>
      <c r="E523" s="540"/>
      <c r="F523" s="540"/>
      <c r="G523" s="540"/>
      <c r="H523" s="540"/>
      <c r="I523" s="540"/>
      <c r="J523" s="540"/>
      <c r="K523" s="540"/>
      <c r="L523" s="540"/>
      <c r="M523" s="540"/>
      <c r="N523" s="540"/>
      <c r="O523" s="540"/>
      <c r="P523" s="540"/>
      <c r="Q523" s="540"/>
      <c r="R523" s="540"/>
      <c r="S523" s="540"/>
      <c r="T523" s="540"/>
      <c r="U523" s="540"/>
      <c r="V523" s="540"/>
      <c r="W523" s="540"/>
      <c r="X523" s="540"/>
      <c r="Y523" s="540"/>
      <c r="Z523" s="540"/>
    </row>
    <row r="524" ht="171.75" customHeight="1">
      <c r="A524" s="540"/>
      <c r="B524" s="540"/>
      <c r="C524" s="540"/>
      <c r="D524" s="540"/>
      <c r="E524" s="540"/>
      <c r="F524" s="540"/>
      <c r="G524" s="540"/>
      <c r="H524" s="540"/>
      <c r="I524" s="540"/>
      <c r="J524" s="540"/>
      <c r="K524" s="540"/>
      <c r="L524" s="540"/>
      <c r="M524" s="540"/>
      <c r="N524" s="540"/>
      <c r="O524" s="540"/>
      <c r="P524" s="540"/>
      <c r="Q524" s="540"/>
      <c r="R524" s="540"/>
      <c r="S524" s="540"/>
      <c r="T524" s="540"/>
      <c r="U524" s="540"/>
      <c r="V524" s="540"/>
      <c r="W524" s="540"/>
      <c r="X524" s="540"/>
      <c r="Y524" s="540"/>
      <c r="Z524" s="540"/>
    </row>
    <row r="525" ht="171.75" customHeight="1">
      <c r="A525" s="540"/>
      <c r="B525" s="540"/>
      <c r="C525" s="540"/>
      <c r="D525" s="540"/>
      <c r="E525" s="540"/>
      <c r="F525" s="540"/>
      <c r="G525" s="540"/>
      <c r="H525" s="540"/>
      <c r="I525" s="540"/>
      <c r="J525" s="540"/>
      <c r="K525" s="540"/>
      <c r="L525" s="540"/>
      <c r="M525" s="540"/>
      <c r="N525" s="540"/>
      <c r="O525" s="540"/>
      <c r="P525" s="540"/>
      <c r="Q525" s="540"/>
      <c r="R525" s="540"/>
      <c r="S525" s="540"/>
      <c r="T525" s="540"/>
      <c r="U525" s="540"/>
      <c r="V525" s="540"/>
      <c r="W525" s="540"/>
      <c r="X525" s="540"/>
      <c r="Y525" s="540"/>
      <c r="Z525" s="540"/>
    </row>
    <row r="526" ht="171.75" customHeight="1">
      <c r="A526" s="540"/>
      <c r="B526" s="540"/>
      <c r="C526" s="540"/>
      <c r="D526" s="540"/>
      <c r="E526" s="540"/>
      <c r="F526" s="540"/>
      <c r="G526" s="540"/>
      <c r="H526" s="540"/>
      <c r="I526" s="540"/>
      <c r="J526" s="540"/>
      <c r="K526" s="540"/>
      <c r="L526" s="540"/>
      <c r="M526" s="540"/>
      <c r="N526" s="540"/>
      <c r="O526" s="540"/>
      <c r="P526" s="540"/>
      <c r="Q526" s="540"/>
      <c r="R526" s="540"/>
      <c r="S526" s="540"/>
      <c r="T526" s="540"/>
      <c r="U526" s="540"/>
      <c r="V526" s="540"/>
      <c r="W526" s="540"/>
      <c r="X526" s="540"/>
      <c r="Y526" s="540"/>
      <c r="Z526" s="540"/>
    </row>
    <row r="527" ht="171.75" customHeight="1">
      <c r="A527" s="540"/>
      <c r="B527" s="540"/>
      <c r="C527" s="540"/>
      <c r="D527" s="540"/>
      <c r="E527" s="540"/>
      <c r="F527" s="540"/>
      <c r="G527" s="540"/>
      <c r="H527" s="540"/>
      <c r="I527" s="540"/>
      <c r="J527" s="540"/>
      <c r="K527" s="540"/>
      <c r="L527" s="540"/>
      <c r="M527" s="540"/>
      <c r="N527" s="540"/>
      <c r="O527" s="540"/>
      <c r="P527" s="540"/>
      <c r="Q527" s="540"/>
      <c r="R527" s="540"/>
      <c r="S527" s="540"/>
      <c r="T527" s="540"/>
      <c r="U527" s="540"/>
      <c r="V527" s="540"/>
      <c r="W527" s="540"/>
      <c r="X527" s="540"/>
      <c r="Y527" s="540"/>
      <c r="Z527" s="540"/>
    </row>
    <row r="528" ht="171.75" customHeight="1">
      <c r="A528" s="540"/>
      <c r="B528" s="540"/>
      <c r="C528" s="540"/>
      <c r="D528" s="540"/>
      <c r="E528" s="540"/>
      <c r="F528" s="540"/>
      <c r="G528" s="540"/>
      <c r="H528" s="540"/>
      <c r="I528" s="540"/>
      <c r="J528" s="540"/>
      <c r="K528" s="540"/>
      <c r="L528" s="540"/>
      <c r="M528" s="540"/>
      <c r="N528" s="540"/>
      <c r="O528" s="540"/>
      <c r="P528" s="540"/>
      <c r="Q528" s="540"/>
      <c r="R528" s="540"/>
      <c r="S528" s="540"/>
      <c r="T528" s="540"/>
      <c r="U528" s="540"/>
      <c r="V528" s="540"/>
      <c r="W528" s="540"/>
      <c r="X528" s="540"/>
      <c r="Y528" s="540"/>
      <c r="Z528" s="540"/>
    </row>
    <row r="529" ht="171.75" customHeight="1">
      <c r="A529" s="540"/>
      <c r="B529" s="540"/>
      <c r="C529" s="540"/>
      <c r="D529" s="540"/>
      <c r="E529" s="540"/>
      <c r="F529" s="540"/>
      <c r="G529" s="540"/>
      <c r="H529" s="540"/>
      <c r="I529" s="540"/>
      <c r="J529" s="540"/>
      <c r="K529" s="540"/>
      <c r="L529" s="540"/>
      <c r="M529" s="540"/>
      <c r="N529" s="540"/>
      <c r="O529" s="540"/>
      <c r="P529" s="540"/>
      <c r="Q529" s="540"/>
      <c r="R529" s="540"/>
      <c r="S529" s="540"/>
      <c r="T529" s="540"/>
      <c r="U529" s="540"/>
      <c r="V529" s="540"/>
      <c r="W529" s="540"/>
      <c r="X529" s="540"/>
      <c r="Y529" s="540"/>
      <c r="Z529" s="540"/>
    </row>
    <row r="530" ht="171.75" customHeight="1">
      <c r="A530" s="540"/>
      <c r="B530" s="540"/>
      <c r="C530" s="540"/>
      <c r="D530" s="540"/>
      <c r="E530" s="540"/>
      <c r="F530" s="540"/>
      <c r="G530" s="540"/>
      <c r="H530" s="540"/>
      <c r="I530" s="540"/>
      <c r="J530" s="540"/>
      <c r="K530" s="540"/>
      <c r="L530" s="540"/>
      <c r="M530" s="540"/>
      <c r="N530" s="540"/>
      <c r="O530" s="540"/>
      <c r="P530" s="540"/>
      <c r="Q530" s="540"/>
      <c r="R530" s="540"/>
      <c r="S530" s="540"/>
      <c r="T530" s="540"/>
      <c r="U530" s="540"/>
      <c r="V530" s="540"/>
      <c r="W530" s="540"/>
      <c r="X530" s="540"/>
      <c r="Y530" s="540"/>
      <c r="Z530" s="540"/>
    </row>
    <row r="531" ht="171.75" customHeight="1">
      <c r="A531" s="540"/>
      <c r="B531" s="540"/>
      <c r="C531" s="540"/>
      <c r="D531" s="540"/>
      <c r="E531" s="540"/>
      <c r="F531" s="540"/>
      <c r="G531" s="540"/>
      <c r="H531" s="540"/>
      <c r="I531" s="540"/>
      <c r="J531" s="540"/>
      <c r="K531" s="540"/>
      <c r="L531" s="540"/>
      <c r="M531" s="540"/>
      <c r="N531" s="540"/>
      <c r="O531" s="540"/>
      <c r="P531" s="540"/>
      <c r="Q531" s="540"/>
      <c r="R531" s="540"/>
      <c r="S531" s="540"/>
      <c r="T531" s="540"/>
      <c r="U531" s="540"/>
      <c r="V531" s="540"/>
      <c r="W531" s="540"/>
      <c r="X531" s="540"/>
      <c r="Y531" s="540"/>
      <c r="Z531" s="540"/>
    </row>
    <row r="532" ht="171.75" customHeight="1">
      <c r="A532" s="540"/>
      <c r="B532" s="540"/>
      <c r="C532" s="540"/>
      <c r="D532" s="540"/>
      <c r="E532" s="540"/>
      <c r="F532" s="540"/>
      <c r="G532" s="540"/>
      <c r="H532" s="540"/>
      <c r="I532" s="540"/>
      <c r="J532" s="540"/>
      <c r="K532" s="540"/>
      <c r="L532" s="540"/>
      <c r="M532" s="540"/>
      <c r="N532" s="540"/>
      <c r="O532" s="540"/>
      <c r="P532" s="540"/>
      <c r="Q532" s="540"/>
      <c r="R532" s="540"/>
      <c r="S532" s="540"/>
      <c r="T532" s="540"/>
      <c r="U532" s="540"/>
      <c r="V532" s="540"/>
      <c r="W532" s="540"/>
      <c r="X532" s="540"/>
      <c r="Y532" s="540"/>
      <c r="Z532" s="540"/>
    </row>
    <row r="533" ht="171.75" customHeight="1">
      <c r="A533" s="540"/>
      <c r="B533" s="540"/>
      <c r="C533" s="540"/>
      <c r="D533" s="540"/>
      <c r="E533" s="540"/>
      <c r="F533" s="540"/>
      <c r="G533" s="540"/>
      <c r="H533" s="540"/>
      <c r="I533" s="540"/>
      <c r="J533" s="540"/>
      <c r="K533" s="540"/>
      <c r="L533" s="540"/>
      <c r="M533" s="540"/>
      <c r="N533" s="540"/>
      <c r="O533" s="540"/>
      <c r="P533" s="540"/>
      <c r="Q533" s="540"/>
      <c r="R533" s="540"/>
      <c r="S533" s="540"/>
      <c r="T533" s="540"/>
      <c r="U533" s="540"/>
      <c r="V533" s="540"/>
      <c r="W533" s="540"/>
      <c r="X533" s="540"/>
      <c r="Y533" s="540"/>
      <c r="Z533" s="540"/>
    </row>
    <row r="534" ht="171.75" customHeight="1">
      <c r="A534" s="540"/>
      <c r="B534" s="540"/>
      <c r="C534" s="540"/>
      <c r="D534" s="540"/>
      <c r="E534" s="540"/>
      <c r="F534" s="540"/>
      <c r="G534" s="540"/>
      <c r="H534" s="540"/>
      <c r="I534" s="540"/>
      <c r="J534" s="540"/>
      <c r="K534" s="540"/>
      <c r="L534" s="540"/>
      <c r="M534" s="540"/>
      <c r="N534" s="540"/>
      <c r="O534" s="540"/>
      <c r="P534" s="540"/>
      <c r="Q534" s="540"/>
      <c r="R534" s="540"/>
      <c r="S534" s="540"/>
      <c r="T534" s="540"/>
      <c r="U534" s="540"/>
      <c r="V534" s="540"/>
      <c r="W534" s="540"/>
      <c r="X534" s="540"/>
      <c r="Y534" s="540"/>
      <c r="Z534" s="540"/>
    </row>
    <row r="535" ht="171.75" customHeight="1">
      <c r="A535" s="540"/>
      <c r="B535" s="540"/>
      <c r="C535" s="540"/>
      <c r="D535" s="540"/>
      <c r="E535" s="540"/>
      <c r="F535" s="540"/>
      <c r="G535" s="540"/>
      <c r="H535" s="540"/>
      <c r="I535" s="540"/>
      <c r="J535" s="540"/>
      <c r="K535" s="540"/>
      <c r="L535" s="540"/>
      <c r="M535" s="540"/>
      <c r="N535" s="540"/>
      <c r="O535" s="540"/>
      <c r="P535" s="540"/>
      <c r="Q535" s="540"/>
      <c r="R535" s="540"/>
      <c r="S535" s="540"/>
      <c r="T535" s="540"/>
      <c r="U535" s="540"/>
      <c r="V535" s="540"/>
      <c r="W535" s="540"/>
      <c r="X535" s="540"/>
      <c r="Y535" s="540"/>
      <c r="Z535" s="540"/>
    </row>
    <row r="536" ht="171.75" customHeight="1">
      <c r="A536" s="540"/>
      <c r="B536" s="540"/>
      <c r="C536" s="540"/>
      <c r="D536" s="540"/>
      <c r="E536" s="540"/>
      <c r="F536" s="540"/>
      <c r="G536" s="540"/>
      <c r="H536" s="540"/>
      <c r="I536" s="540"/>
      <c r="J536" s="540"/>
      <c r="K536" s="540"/>
      <c r="L536" s="540"/>
      <c r="M536" s="540"/>
      <c r="N536" s="540"/>
      <c r="O536" s="540"/>
      <c r="P536" s="540"/>
      <c r="Q536" s="540"/>
      <c r="R536" s="540"/>
      <c r="S536" s="540"/>
      <c r="T536" s="540"/>
      <c r="U536" s="540"/>
      <c r="V536" s="540"/>
      <c r="W536" s="540"/>
      <c r="X536" s="540"/>
      <c r="Y536" s="540"/>
      <c r="Z536" s="540"/>
    </row>
    <row r="537" ht="171.75" customHeight="1">
      <c r="A537" s="540"/>
      <c r="B537" s="540"/>
      <c r="C537" s="540"/>
      <c r="D537" s="540"/>
      <c r="E537" s="540"/>
      <c r="F537" s="540"/>
      <c r="G537" s="540"/>
      <c r="H537" s="540"/>
      <c r="I537" s="540"/>
      <c r="J537" s="540"/>
      <c r="K537" s="540"/>
      <c r="L537" s="540"/>
      <c r="M537" s="540"/>
      <c r="N537" s="540"/>
      <c r="O537" s="540"/>
      <c r="P537" s="540"/>
      <c r="Q537" s="540"/>
      <c r="R537" s="540"/>
      <c r="S537" s="540"/>
      <c r="T537" s="540"/>
      <c r="U537" s="540"/>
      <c r="V537" s="540"/>
      <c r="W537" s="540"/>
      <c r="X537" s="540"/>
      <c r="Y537" s="540"/>
      <c r="Z537" s="540"/>
    </row>
    <row r="538" ht="171.75" customHeight="1">
      <c r="A538" s="540"/>
      <c r="B538" s="540"/>
      <c r="C538" s="540"/>
      <c r="D538" s="540"/>
      <c r="E538" s="540"/>
      <c r="F538" s="540"/>
      <c r="G538" s="540"/>
      <c r="H538" s="540"/>
      <c r="I538" s="540"/>
      <c r="J538" s="540"/>
      <c r="K538" s="540"/>
      <c r="L538" s="540"/>
      <c r="M538" s="540"/>
      <c r="N538" s="540"/>
      <c r="O538" s="540"/>
      <c r="P538" s="540"/>
      <c r="Q538" s="540"/>
      <c r="R538" s="540"/>
      <c r="S538" s="540"/>
      <c r="T538" s="540"/>
      <c r="U538" s="540"/>
      <c r="V538" s="540"/>
      <c r="W538" s="540"/>
      <c r="X538" s="540"/>
      <c r="Y538" s="540"/>
      <c r="Z538" s="540"/>
    </row>
    <row r="539" ht="171.75" customHeight="1">
      <c r="A539" s="540"/>
      <c r="B539" s="540"/>
      <c r="C539" s="540"/>
      <c r="D539" s="540"/>
      <c r="E539" s="540"/>
      <c r="F539" s="540"/>
      <c r="G539" s="540"/>
      <c r="H539" s="540"/>
      <c r="I539" s="540"/>
      <c r="J539" s="540"/>
      <c r="K539" s="540"/>
      <c r="L539" s="540"/>
      <c r="M539" s="540"/>
      <c r="N539" s="540"/>
      <c r="O539" s="540"/>
      <c r="P539" s="540"/>
      <c r="Q539" s="540"/>
      <c r="R539" s="540"/>
      <c r="S539" s="540"/>
      <c r="T539" s="540"/>
      <c r="U539" s="540"/>
      <c r="V539" s="540"/>
      <c r="W539" s="540"/>
      <c r="X539" s="540"/>
      <c r="Y539" s="540"/>
      <c r="Z539" s="540"/>
    </row>
    <row r="540" ht="171.75" customHeight="1">
      <c r="A540" s="540"/>
      <c r="B540" s="540"/>
      <c r="C540" s="540"/>
      <c r="D540" s="540"/>
      <c r="E540" s="540"/>
      <c r="F540" s="540"/>
      <c r="G540" s="540"/>
      <c r="H540" s="540"/>
      <c r="I540" s="540"/>
      <c r="J540" s="540"/>
      <c r="K540" s="540"/>
      <c r="L540" s="540"/>
      <c r="M540" s="540"/>
      <c r="N540" s="540"/>
      <c r="O540" s="540"/>
      <c r="P540" s="540"/>
      <c r="Q540" s="540"/>
      <c r="R540" s="540"/>
      <c r="S540" s="540"/>
      <c r="T540" s="540"/>
      <c r="U540" s="540"/>
      <c r="V540" s="540"/>
      <c r="W540" s="540"/>
      <c r="X540" s="540"/>
      <c r="Y540" s="540"/>
      <c r="Z540" s="540"/>
    </row>
    <row r="541" ht="171.75" customHeight="1">
      <c r="A541" s="540"/>
      <c r="B541" s="540"/>
      <c r="C541" s="540"/>
      <c r="D541" s="540"/>
      <c r="E541" s="540"/>
      <c r="F541" s="540"/>
      <c r="G541" s="540"/>
      <c r="H541" s="540"/>
      <c r="I541" s="540"/>
      <c r="J541" s="540"/>
      <c r="K541" s="540"/>
      <c r="L541" s="540"/>
      <c r="M541" s="540"/>
      <c r="N541" s="540"/>
      <c r="O541" s="540"/>
      <c r="P541" s="540"/>
      <c r="Q541" s="540"/>
      <c r="R541" s="540"/>
      <c r="S541" s="540"/>
      <c r="T541" s="540"/>
      <c r="U541" s="540"/>
      <c r="V541" s="540"/>
      <c r="W541" s="540"/>
      <c r="X541" s="540"/>
      <c r="Y541" s="540"/>
      <c r="Z541" s="540"/>
    </row>
    <row r="542" ht="171.75" customHeight="1">
      <c r="A542" s="540"/>
      <c r="B542" s="540"/>
      <c r="C542" s="540"/>
      <c r="D542" s="540"/>
      <c r="E542" s="540"/>
      <c r="F542" s="540"/>
      <c r="G542" s="540"/>
      <c r="H542" s="540"/>
      <c r="I542" s="540"/>
      <c r="J542" s="540"/>
      <c r="K542" s="540"/>
      <c r="L542" s="540"/>
      <c r="M542" s="540"/>
      <c r="N542" s="540"/>
      <c r="O542" s="540"/>
      <c r="P542" s="540"/>
      <c r="Q542" s="540"/>
      <c r="R542" s="540"/>
      <c r="S542" s="540"/>
      <c r="T542" s="540"/>
      <c r="U542" s="540"/>
      <c r="V542" s="540"/>
      <c r="W542" s="540"/>
      <c r="X542" s="540"/>
      <c r="Y542" s="540"/>
      <c r="Z542" s="540"/>
    </row>
    <row r="543" ht="171.75" customHeight="1">
      <c r="A543" s="540"/>
      <c r="B543" s="540"/>
      <c r="C543" s="540"/>
      <c r="D543" s="540"/>
      <c r="E543" s="540"/>
      <c r="F543" s="540"/>
      <c r="G543" s="540"/>
      <c r="H543" s="540"/>
      <c r="I543" s="540"/>
      <c r="J543" s="540"/>
      <c r="K543" s="540"/>
      <c r="L543" s="540"/>
      <c r="M543" s="540"/>
      <c r="N543" s="540"/>
      <c r="O543" s="540"/>
      <c r="P543" s="540"/>
      <c r="Q543" s="540"/>
      <c r="R543" s="540"/>
      <c r="S543" s="540"/>
      <c r="T543" s="540"/>
      <c r="U543" s="540"/>
      <c r="V543" s="540"/>
      <c r="W543" s="540"/>
      <c r="X543" s="540"/>
      <c r="Y543" s="540"/>
      <c r="Z543" s="540"/>
    </row>
    <row r="544" ht="171.75" customHeight="1">
      <c r="A544" s="540"/>
      <c r="B544" s="540"/>
      <c r="C544" s="540"/>
      <c r="D544" s="540"/>
      <c r="E544" s="540"/>
      <c r="F544" s="540"/>
      <c r="G544" s="540"/>
      <c r="H544" s="540"/>
      <c r="I544" s="540"/>
      <c r="J544" s="540"/>
      <c r="K544" s="540"/>
      <c r="L544" s="540"/>
      <c r="M544" s="540"/>
      <c r="N544" s="540"/>
      <c r="O544" s="540"/>
      <c r="P544" s="540"/>
      <c r="Q544" s="540"/>
      <c r="R544" s="540"/>
      <c r="S544" s="540"/>
      <c r="T544" s="540"/>
      <c r="U544" s="540"/>
      <c r="V544" s="540"/>
      <c r="W544" s="540"/>
      <c r="X544" s="540"/>
      <c r="Y544" s="540"/>
      <c r="Z544" s="540"/>
    </row>
    <row r="545" ht="171.75" customHeight="1">
      <c r="A545" s="540"/>
      <c r="B545" s="540"/>
      <c r="C545" s="540"/>
      <c r="D545" s="540"/>
      <c r="E545" s="540"/>
      <c r="F545" s="540"/>
      <c r="G545" s="540"/>
      <c r="H545" s="540"/>
      <c r="I545" s="540"/>
      <c r="J545" s="540"/>
      <c r="K545" s="540"/>
      <c r="L545" s="540"/>
      <c r="M545" s="540"/>
      <c r="N545" s="540"/>
      <c r="O545" s="540"/>
      <c r="P545" s="540"/>
      <c r="Q545" s="540"/>
      <c r="R545" s="540"/>
      <c r="S545" s="540"/>
      <c r="T545" s="540"/>
      <c r="U545" s="540"/>
      <c r="V545" s="540"/>
      <c r="W545" s="540"/>
      <c r="X545" s="540"/>
      <c r="Y545" s="540"/>
      <c r="Z545" s="540"/>
    </row>
    <row r="546" ht="171.75" customHeight="1">
      <c r="A546" s="540"/>
      <c r="B546" s="540"/>
      <c r="C546" s="540"/>
      <c r="D546" s="540"/>
      <c r="E546" s="540"/>
      <c r="F546" s="540"/>
      <c r="G546" s="540"/>
      <c r="H546" s="540"/>
      <c r="I546" s="540"/>
      <c r="J546" s="540"/>
      <c r="K546" s="540"/>
      <c r="L546" s="540"/>
      <c r="M546" s="540"/>
      <c r="N546" s="540"/>
      <c r="O546" s="540"/>
      <c r="P546" s="540"/>
      <c r="Q546" s="540"/>
      <c r="R546" s="540"/>
      <c r="S546" s="540"/>
      <c r="T546" s="540"/>
      <c r="U546" s="540"/>
      <c r="V546" s="540"/>
      <c r="W546" s="540"/>
      <c r="X546" s="540"/>
      <c r="Y546" s="540"/>
      <c r="Z546" s="540"/>
    </row>
    <row r="547" ht="171.75" customHeight="1">
      <c r="A547" s="540"/>
      <c r="B547" s="540"/>
      <c r="C547" s="540"/>
      <c r="D547" s="540"/>
      <c r="E547" s="540"/>
      <c r="F547" s="540"/>
      <c r="G547" s="540"/>
      <c r="H547" s="540"/>
      <c r="I547" s="540"/>
      <c r="J547" s="540"/>
      <c r="K547" s="540"/>
      <c r="L547" s="540"/>
      <c r="M547" s="540"/>
      <c r="N547" s="540"/>
      <c r="O547" s="540"/>
      <c r="P547" s="540"/>
      <c r="Q547" s="540"/>
      <c r="R547" s="540"/>
      <c r="S547" s="540"/>
      <c r="T547" s="540"/>
      <c r="U547" s="540"/>
      <c r="V547" s="540"/>
      <c r="W547" s="540"/>
      <c r="X547" s="540"/>
      <c r="Y547" s="540"/>
      <c r="Z547" s="540"/>
    </row>
    <row r="548" ht="171.75" customHeight="1">
      <c r="A548" s="540"/>
      <c r="B548" s="540"/>
      <c r="C548" s="540"/>
      <c r="D548" s="540"/>
      <c r="E548" s="540"/>
      <c r="F548" s="540"/>
      <c r="G548" s="540"/>
      <c r="H548" s="540"/>
      <c r="I548" s="540"/>
      <c r="J548" s="540"/>
      <c r="K548" s="540"/>
      <c r="L548" s="540"/>
      <c r="M548" s="540"/>
      <c r="N548" s="540"/>
      <c r="O548" s="540"/>
      <c r="P548" s="540"/>
      <c r="Q548" s="540"/>
      <c r="R548" s="540"/>
      <c r="S548" s="540"/>
      <c r="T548" s="540"/>
      <c r="U548" s="540"/>
      <c r="V548" s="540"/>
      <c r="W548" s="540"/>
      <c r="X548" s="540"/>
      <c r="Y548" s="540"/>
      <c r="Z548" s="540"/>
    </row>
    <row r="549" ht="171.75" customHeight="1">
      <c r="A549" s="540"/>
      <c r="B549" s="540"/>
      <c r="C549" s="540"/>
      <c r="D549" s="540"/>
      <c r="E549" s="540"/>
      <c r="F549" s="540"/>
      <c r="G549" s="540"/>
      <c r="H549" s="540"/>
      <c r="I549" s="540"/>
      <c r="J549" s="540"/>
      <c r="K549" s="540"/>
      <c r="L549" s="540"/>
      <c r="M549" s="540"/>
      <c r="N549" s="540"/>
      <c r="O549" s="540"/>
      <c r="P549" s="540"/>
      <c r="Q549" s="540"/>
      <c r="R549" s="540"/>
      <c r="S549" s="540"/>
      <c r="T549" s="540"/>
      <c r="U549" s="540"/>
      <c r="V549" s="540"/>
      <c r="W549" s="540"/>
      <c r="X549" s="540"/>
      <c r="Y549" s="540"/>
      <c r="Z549" s="540"/>
    </row>
    <row r="550" ht="171.75" customHeight="1">
      <c r="A550" s="540"/>
      <c r="B550" s="540"/>
      <c r="C550" s="540"/>
      <c r="D550" s="540"/>
      <c r="E550" s="540"/>
      <c r="F550" s="540"/>
      <c r="G550" s="540"/>
      <c r="H550" s="540"/>
      <c r="I550" s="540"/>
      <c r="J550" s="540"/>
      <c r="K550" s="540"/>
      <c r="L550" s="540"/>
      <c r="M550" s="540"/>
      <c r="N550" s="540"/>
      <c r="O550" s="540"/>
      <c r="P550" s="540"/>
      <c r="Q550" s="540"/>
      <c r="R550" s="540"/>
      <c r="S550" s="540"/>
      <c r="T550" s="540"/>
      <c r="U550" s="540"/>
      <c r="V550" s="540"/>
      <c r="W550" s="540"/>
      <c r="X550" s="540"/>
      <c r="Y550" s="540"/>
      <c r="Z550" s="540"/>
    </row>
    <row r="551" ht="171.75" customHeight="1">
      <c r="A551" s="540"/>
      <c r="B551" s="540"/>
      <c r="C551" s="540"/>
      <c r="D551" s="540"/>
      <c r="E551" s="540"/>
      <c r="F551" s="540"/>
      <c r="G551" s="540"/>
      <c r="H551" s="540"/>
      <c r="I551" s="540"/>
      <c r="J551" s="540"/>
      <c r="K551" s="540"/>
      <c r="L551" s="540"/>
      <c r="M551" s="540"/>
      <c r="N551" s="540"/>
      <c r="O551" s="540"/>
      <c r="P551" s="540"/>
      <c r="Q551" s="540"/>
      <c r="R551" s="540"/>
      <c r="S551" s="540"/>
      <c r="T551" s="540"/>
      <c r="U551" s="540"/>
      <c r="V551" s="540"/>
      <c r="W551" s="540"/>
      <c r="X551" s="540"/>
      <c r="Y551" s="540"/>
      <c r="Z551" s="540"/>
    </row>
    <row r="552" ht="171.75" customHeight="1">
      <c r="A552" s="540"/>
      <c r="B552" s="540"/>
      <c r="C552" s="540"/>
      <c r="D552" s="540"/>
      <c r="E552" s="540"/>
      <c r="F552" s="540"/>
      <c r="G552" s="540"/>
      <c r="H552" s="540"/>
      <c r="I552" s="540"/>
      <c r="J552" s="540"/>
      <c r="K552" s="540"/>
      <c r="L552" s="540"/>
      <c r="M552" s="540"/>
      <c r="N552" s="540"/>
      <c r="O552" s="540"/>
      <c r="P552" s="540"/>
      <c r="Q552" s="540"/>
      <c r="R552" s="540"/>
      <c r="S552" s="540"/>
      <c r="T552" s="540"/>
      <c r="U552" s="540"/>
      <c r="V552" s="540"/>
      <c r="W552" s="540"/>
      <c r="X552" s="540"/>
      <c r="Y552" s="540"/>
      <c r="Z552" s="540"/>
    </row>
    <row r="553" ht="171.75" customHeight="1">
      <c r="A553" s="540"/>
      <c r="B553" s="540"/>
      <c r="C553" s="540"/>
      <c r="D553" s="540"/>
      <c r="E553" s="540"/>
      <c r="F553" s="540"/>
      <c r="G553" s="540"/>
      <c r="H553" s="540"/>
      <c r="I553" s="540"/>
      <c r="J553" s="540"/>
      <c r="K553" s="540"/>
      <c r="L553" s="540"/>
      <c r="M553" s="540"/>
      <c r="N553" s="540"/>
      <c r="O553" s="540"/>
      <c r="P553" s="540"/>
      <c r="Q553" s="540"/>
      <c r="R553" s="540"/>
      <c r="S553" s="540"/>
      <c r="T553" s="540"/>
      <c r="U553" s="540"/>
      <c r="V553" s="540"/>
      <c r="W553" s="540"/>
      <c r="X553" s="540"/>
      <c r="Y553" s="540"/>
      <c r="Z553" s="540"/>
    </row>
    <row r="554" ht="171.75" customHeight="1">
      <c r="A554" s="540"/>
      <c r="B554" s="540"/>
      <c r="C554" s="540"/>
      <c r="D554" s="540"/>
      <c r="E554" s="540"/>
      <c r="F554" s="540"/>
      <c r="G554" s="540"/>
      <c r="H554" s="540"/>
      <c r="I554" s="540"/>
      <c r="J554" s="540"/>
      <c r="K554" s="540"/>
      <c r="L554" s="540"/>
      <c r="M554" s="540"/>
      <c r="N554" s="540"/>
      <c r="O554" s="540"/>
      <c r="P554" s="540"/>
      <c r="Q554" s="540"/>
      <c r="R554" s="540"/>
      <c r="S554" s="540"/>
      <c r="T554" s="540"/>
      <c r="U554" s="540"/>
      <c r="V554" s="540"/>
      <c r="W554" s="540"/>
      <c r="X554" s="540"/>
      <c r="Y554" s="540"/>
      <c r="Z554" s="540"/>
    </row>
    <row r="555" ht="171.75" customHeight="1">
      <c r="A555" s="540"/>
      <c r="B555" s="540"/>
      <c r="C555" s="540"/>
      <c r="D555" s="540"/>
      <c r="E555" s="540"/>
      <c r="F555" s="540"/>
      <c r="G555" s="540"/>
      <c r="H555" s="540"/>
      <c r="I555" s="540"/>
      <c r="J555" s="540"/>
      <c r="K555" s="540"/>
      <c r="L555" s="540"/>
      <c r="M555" s="540"/>
      <c r="N555" s="540"/>
      <c r="O555" s="540"/>
      <c r="P555" s="540"/>
      <c r="Q555" s="540"/>
      <c r="R555" s="540"/>
      <c r="S555" s="540"/>
      <c r="T555" s="540"/>
      <c r="U555" s="540"/>
      <c r="V555" s="540"/>
      <c r="W555" s="540"/>
      <c r="X555" s="540"/>
      <c r="Y555" s="540"/>
      <c r="Z555" s="540"/>
    </row>
    <row r="556" ht="171.75" customHeight="1">
      <c r="A556" s="540"/>
      <c r="B556" s="540"/>
      <c r="C556" s="540"/>
      <c r="D556" s="540"/>
      <c r="E556" s="540"/>
      <c r="F556" s="540"/>
      <c r="G556" s="540"/>
      <c r="H556" s="540"/>
      <c r="I556" s="540"/>
      <c r="J556" s="540"/>
      <c r="K556" s="540"/>
      <c r="L556" s="540"/>
      <c r="M556" s="540"/>
      <c r="N556" s="540"/>
      <c r="O556" s="540"/>
      <c r="P556" s="540"/>
      <c r="Q556" s="540"/>
      <c r="R556" s="540"/>
      <c r="S556" s="540"/>
      <c r="T556" s="540"/>
      <c r="U556" s="540"/>
      <c r="V556" s="540"/>
      <c r="W556" s="540"/>
      <c r="X556" s="540"/>
      <c r="Y556" s="540"/>
      <c r="Z556" s="540"/>
    </row>
    <row r="557" ht="171.75" customHeight="1">
      <c r="A557" s="540"/>
      <c r="B557" s="540"/>
      <c r="C557" s="540"/>
      <c r="D557" s="540"/>
      <c r="E557" s="540"/>
      <c r="F557" s="540"/>
      <c r="G557" s="540"/>
      <c r="H557" s="540"/>
      <c r="I557" s="540"/>
      <c r="J557" s="540"/>
      <c r="K557" s="540"/>
      <c r="L557" s="540"/>
      <c r="M557" s="540"/>
      <c r="N557" s="540"/>
      <c r="O557" s="540"/>
      <c r="P557" s="540"/>
      <c r="Q557" s="540"/>
      <c r="R557" s="540"/>
      <c r="S557" s="540"/>
      <c r="T557" s="540"/>
      <c r="U557" s="540"/>
      <c r="V557" s="540"/>
      <c r="W557" s="540"/>
      <c r="X557" s="540"/>
      <c r="Y557" s="540"/>
      <c r="Z557" s="540"/>
    </row>
    <row r="558" ht="171.75" customHeight="1">
      <c r="A558" s="540"/>
      <c r="B558" s="540"/>
      <c r="C558" s="540"/>
      <c r="D558" s="540"/>
      <c r="E558" s="540"/>
      <c r="F558" s="540"/>
      <c r="G558" s="540"/>
      <c r="H558" s="540"/>
      <c r="I558" s="540"/>
      <c r="J558" s="540"/>
      <c r="K558" s="540"/>
      <c r="L558" s="540"/>
      <c r="M558" s="540"/>
      <c r="N558" s="540"/>
      <c r="O558" s="540"/>
      <c r="P558" s="540"/>
      <c r="Q558" s="540"/>
      <c r="R558" s="540"/>
      <c r="S558" s="540"/>
      <c r="T558" s="540"/>
      <c r="U558" s="540"/>
      <c r="V558" s="540"/>
      <c r="W558" s="540"/>
      <c r="X558" s="540"/>
      <c r="Y558" s="540"/>
      <c r="Z558" s="540"/>
    </row>
    <row r="559" ht="171.75" customHeight="1">
      <c r="A559" s="540"/>
      <c r="B559" s="540"/>
      <c r="C559" s="540"/>
      <c r="D559" s="540"/>
      <c r="E559" s="540"/>
      <c r="F559" s="540"/>
      <c r="G559" s="540"/>
      <c r="H559" s="540"/>
      <c r="I559" s="540"/>
      <c r="J559" s="540"/>
      <c r="K559" s="540"/>
      <c r="L559" s="540"/>
      <c r="M559" s="540"/>
      <c r="N559" s="540"/>
      <c r="O559" s="540"/>
      <c r="P559" s="540"/>
      <c r="Q559" s="540"/>
      <c r="R559" s="540"/>
      <c r="S559" s="540"/>
      <c r="T559" s="540"/>
      <c r="U559" s="540"/>
      <c r="V559" s="540"/>
      <c r="W559" s="540"/>
      <c r="X559" s="540"/>
      <c r="Y559" s="540"/>
      <c r="Z559" s="540"/>
    </row>
    <row r="560" ht="171.75" customHeight="1">
      <c r="A560" s="540"/>
      <c r="B560" s="540"/>
      <c r="C560" s="540"/>
      <c r="D560" s="540"/>
      <c r="E560" s="540"/>
      <c r="F560" s="540"/>
      <c r="G560" s="540"/>
      <c r="H560" s="540"/>
      <c r="I560" s="540"/>
      <c r="J560" s="540"/>
      <c r="K560" s="540"/>
      <c r="L560" s="540"/>
      <c r="M560" s="540"/>
      <c r="N560" s="540"/>
      <c r="O560" s="540"/>
      <c r="P560" s="540"/>
      <c r="Q560" s="540"/>
      <c r="R560" s="540"/>
      <c r="S560" s="540"/>
      <c r="T560" s="540"/>
      <c r="U560" s="540"/>
      <c r="V560" s="540"/>
      <c r="W560" s="540"/>
      <c r="X560" s="540"/>
      <c r="Y560" s="540"/>
      <c r="Z560" s="540"/>
    </row>
    <row r="561" ht="171.75" customHeight="1">
      <c r="A561" s="540"/>
      <c r="B561" s="540"/>
      <c r="C561" s="540"/>
      <c r="D561" s="540"/>
      <c r="E561" s="540"/>
      <c r="F561" s="540"/>
      <c r="G561" s="540"/>
      <c r="H561" s="540"/>
      <c r="I561" s="540"/>
      <c r="J561" s="540"/>
      <c r="K561" s="540"/>
      <c r="L561" s="540"/>
      <c r="M561" s="540"/>
      <c r="N561" s="540"/>
      <c r="O561" s="540"/>
      <c r="P561" s="540"/>
      <c r="Q561" s="540"/>
      <c r="R561" s="540"/>
      <c r="S561" s="540"/>
      <c r="T561" s="540"/>
      <c r="U561" s="540"/>
      <c r="V561" s="540"/>
      <c r="W561" s="540"/>
      <c r="X561" s="540"/>
      <c r="Y561" s="540"/>
      <c r="Z561" s="540"/>
    </row>
    <row r="562" ht="171.75" customHeight="1">
      <c r="A562" s="540"/>
      <c r="B562" s="540"/>
      <c r="C562" s="540"/>
      <c r="D562" s="540"/>
      <c r="E562" s="540"/>
      <c r="F562" s="540"/>
      <c r="G562" s="540"/>
      <c r="H562" s="540"/>
      <c r="I562" s="540"/>
      <c r="J562" s="540"/>
      <c r="K562" s="540"/>
      <c r="L562" s="540"/>
      <c r="M562" s="540"/>
      <c r="N562" s="540"/>
      <c r="O562" s="540"/>
      <c r="P562" s="540"/>
      <c r="Q562" s="540"/>
      <c r="R562" s="540"/>
      <c r="S562" s="540"/>
      <c r="T562" s="540"/>
      <c r="U562" s="540"/>
      <c r="V562" s="540"/>
      <c r="W562" s="540"/>
      <c r="X562" s="540"/>
      <c r="Y562" s="540"/>
      <c r="Z562" s="540"/>
    </row>
    <row r="563" ht="171.75" customHeight="1">
      <c r="A563" s="540"/>
      <c r="B563" s="540"/>
      <c r="C563" s="540"/>
      <c r="D563" s="540"/>
      <c r="E563" s="540"/>
      <c r="F563" s="540"/>
      <c r="G563" s="540"/>
      <c r="H563" s="540"/>
      <c r="I563" s="540"/>
      <c r="J563" s="540"/>
      <c r="K563" s="540"/>
      <c r="L563" s="540"/>
      <c r="M563" s="540"/>
      <c r="N563" s="540"/>
      <c r="O563" s="540"/>
      <c r="P563" s="540"/>
      <c r="Q563" s="540"/>
      <c r="R563" s="540"/>
      <c r="S563" s="540"/>
      <c r="T563" s="540"/>
      <c r="U563" s="540"/>
      <c r="V563" s="540"/>
      <c r="W563" s="540"/>
      <c r="X563" s="540"/>
      <c r="Y563" s="540"/>
      <c r="Z563" s="540"/>
    </row>
    <row r="564" ht="171.75" customHeight="1">
      <c r="A564" s="540"/>
      <c r="B564" s="540"/>
      <c r="C564" s="540"/>
      <c r="D564" s="540"/>
      <c r="E564" s="540"/>
      <c r="F564" s="540"/>
      <c r="G564" s="540"/>
      <c r="H564" s="540"/>
      <c r="I564" s="540"/>
      <c r="J564" s="540"/>
      <c r="K564" s="540"/>
      <c r="L564" s="540"/>
      <c r="M564" s="540"/>
      <c r="N564" s="540"/>
      <c r="O564" s="540"/>
      <c r="P564" s="540"/>
      <c r="Q564" s="540"/>
      <c r="R564" s="540"/>
      <c r="S564" s="540"/>
      <c r="T564" s="540"/>
      <c r="U564" s="540"/>
      <c r="V564" s="540"/>
      <c r="W564" s="540"/>
      <c r="X564" s="540"/>
      <c r="Y564" s="540"/>
      <c r="Z564" s="540"/>
    </row>
    <row r="565" ht="171.75" customHeight="1">
      <c r="A565" s="540"/>
      <c r="B565" s="540"/>
      <c r="C565" s="540"/>
      <c r="D565" s="540"/>
      <c r="E565" s="540"/>
      <c r="F565" s="540"/>
      <c r="G565" s="540"/>
      <c r="H565" s="540"/>
      <c r="I565" s="540"/>
      <c r="J565" s="540"/>
      <c r="K565" s="540"/>
      <c r="L565" s="540"/>
      <c r="M565" s="540"/>
      <c r="N565" s="540"/>
      <c r="O565" s="540"/>
      <c r="P565" s="540"/>
      <c r="Q565" s="540"/>
      <c r="R565" s="540"/>
      <c r="S565" s="540"/>
      <c r="T565" s="540"/>
      <c r="U565" s="540"/>
      <c r="V565" s="540"/>
      <c r="W565" s="540"/>
      <c r="X565" s="540"/>
      <c r="Y565" s="540"/>
      <c r="Z565" s="540"/>
    </row>
    <row r="566" ht="171.75" customHeight="1">
      <c r="A566" s="540"/>
      <c r="B566" s="540"/>
      <c r="C566" s="540"/>
      <c r="D566" s="540"/>
      <c r="E566" s="540"/>
      <c r="F566" s="540"/>
      <c r="G566" s="540"/>
      <c r="H566" s="540"/>
      <c r="I566" s="540"/>
      <c r="J566" s="540"/>
      <c r="K566" s="540"/>
      <c r="L566" s="540"/>
      <c r="M566" s="540"/>
      <c r="N566" s="540"/>
      <c r="O566" s="540"/>
      <c r="P566" s="540"/>
      <c r="Q566" s="540"/>
      <c r="R566" s="540"/>
      <c r="S566" s="540"/>
      <c r="T566" s="540"/>
      <c r="U566" s="540"/>
      <c r="V566" s="540"/>
      <c r="W566" s="540"/>
      <c r="X566" s="540"/>
      <c r="Y566" s="540"/>
      <c r="Z566" s="540"/>
    </row>
    <row r="567" ht="171.75" customHeight="1">
      <c r="A567" s="540"/>
      <c r="B567" s="540"/>
      <c r="C567" s="540"/>
      <c r="D567" s="540"/>
      <c r="E567" s="540"/>
      <c r="F567" s="540"/>
      <c r="G567" s="540"/>
      <c r="H567" s="540"/>
      <c r="I567" s="540"/>
      <c r="J567" s="540"/>
      <c r="K567" s="540"/>
      <c r="L567" s="540"/>
      <c r="M567" s="540"/>
      <c r="N567" s="540"/>
      <c r="O567" s="540"/>
      <c r="P567" s="540"/>
      <c r="Q567" s="540"/>
      <c r="R567" s="540"/>
      <c r="S567" s="540"/>
      <c r="T567" s="540"/>
      <c r="U567" s="540"/>
      <c r="V567" s="540"/>
      <c r="W567" s="540"/>
      <c r="X567" s="540"/>
      <c r="Y567" s="540"/>
      <c r="Z567" s="540"/>
    </row>
    <row r="568" ht="171.75" customHeight="1">
      <c r="A568" s="540"/>
      <c r="B568" s="540"/>
      <c r="C568" s="540"/>
      <c r="D568" s="540"/>
      <c r="E568" s="540"/>
      <c r="F568" s="540"/>
      <c r="G568" s="540"/>
      <c r="H568" s="540"/>
      <c r="I568" s="540"/>
      <c r="J568" s="540"/>
      <c r="K568" s="540"/>
      <c r="L568" s="540"/>
      <c r="M568" s="540"/>
      <c r="N568" s="540"/>
      <c r="O568" s="540"/>
      <c r="P568" s="540"/>
      <c r="Q568" s="540"/>
      <c r="R568" s="540"/>
      <c r="S568" s="540"/>
      <c r="T568" s="540"/>
      <c r="U568" s="540"/>
      <c r="V568" s="540"/>
      <c r="W568" s="540"/>
      <c r="X568" s="540"/>
      <c r="Y568" s="540"/>
      <c r="Z568" s="540"/>
    </row>
    <row r="569" ht="171.75" customHeight="1">
      <c r="A569" s="540"/>
      <c r="B569" s="540"/>
      <c r="C569" s="540"/>
      <c r="D569" s="540"/>
      <c r="E569" s="540"/>
      <c r="F569" s="540"/>
      <c r="G569" s="540"/>
      <c r="H569" s="540"/>
      <c r="I569" s="540"/>
      <c r="J569" s="540"/>
      <c r="K569" s="540"/>
      <c r="L569" s="540"/>
      <c r="M569" s="540"/>
      <c r="N569" s="540"/>
      <c r="O569" s="540"/>
      <c r="P569" s="540"/>
      <c r="Q569" s="540"/>
      <c r="R569" s="540"/>
      <c r="S569" s="540"/>
      <c r="T569" s="540"/>
      <c r="U569" s="540"/>
      <c r="V569" s="540"/>
      <c r="W569" s="540"/>
      <c r="X569" s="540"/>
      <c r="Y569" s="540"/>
      <c r="Z569" s="540"/>
    </row>
    <row r="570" ht="171.75" customHeight="1">
      <c r="A570" s="540"/>
      <c r="B570" s="540"/>
      <c r="C570" s="540"/>
      <c r="D570" s="540"/>
      <c r="E570" s="540"/>
      <c r="F570" s="540"/>
      <c r="G570" s="540"/>
      <c r="H570" s="540"/>
      <c r="I570" s="540"/>
      <c r="J570" s="540"/>
      <c r="K570" s="540"/>
      <c r="L570" s="540"/>
      <c r="M570" s="540"/>
      <c r="N570" s="540"/>
      <c r="O570" s="540"/>
      <c r="P570" s="540"/>
      <c r="Q570" s="540"/>
      <c r="R570" s="540"/>
      <c r="S570" s="540"/>
      <c r="T570" s="540"/>
      <c r="U570" s="540"/>
      <c r="V570" s="540"/>
      <c r="W570" s="540"/>
      <c r="X570" s="540"/>
      <c r="Y570" s="540"/>
      <c r="Z570" s="540"/>
    </row>
    <row r="571" ht="171.75" customHeight="1">
      <c r="A571" s="540"/>
      <c r="B571" s="540"/>
      <c r="C571" s="540"/>
      <c r="D571" s="540"/>
      <c r="E571" s="540"/>
      <c r="F571" s="540"/>
      <c r="G571" s="540"/>
      <c r="H571" s="540"/>
      <c r="I571" s="540"/>
      <c r="J571" s="540"/>
      <c r="K571" s="540"/>
      <c r="L571" s="540"/>
      <c r="M571" s="540"/>
      <c r="N571" s="540"/>
      <c r="O571" s="540"/>
      <c r="P571" s="540"/>
      <c r="Q571" s="540"/>
      <c r="R571" s="540"/>
      <c r="S571" s="540"/>
      <c r="T571" s="540"/>
      <c r="U571" s="540"/>
      <c r="V571" s="540"/>
      <c r="W571" s="540"/>
      <c r="X571" s="540"/>
      <c r="Y571" s="540"/>
      <c r="Z571" s="540"/>
    </row>
    <row r="572" ht="171.75" customHeight="1">
      <c r="A572" s="540"/>
      <c r="B572" s="540"/>
      <c r="C572" s="540"/>
      <c r="D572" s="540"/>
      <c r="E572" s="540"/>
      <c r="F572" s="540"/>
      <c r="G572" s="540"/>
      <c r="H572" s="540"/>
      <c r="I572" s="540"/>
      <c r="J572" s="540"/>
      <c r="K572" s="540"/>
      <c r="L572" s="540"/>
      <c r="M572" s="540"/>
      <c r="N572" s="540"/>
      <c r="O572" s="540"/>
      <c r="P572" s="540"/>
      <c r="Q572" s="540"/>
      <c r="R572" s="540"/>
      <c r="S572" s="540"/>
      <c r="T572" s="540"/>
      <c r="U572" s="540"/>
      <c r="V572" s="540"/>
      <c r="W572" s="540"/>
      <c r="X572" s="540"/>
      <c r="Y572" s="540"/>
      <c r="Z572" s="540"/>
    </row>
    <row r="573" ht="171.75" customHeight="1">
      <c r="A573" s="540"/>
      <c r="B573" s="540"/>
      <c r="C573" s="540"/>
      <c r="D573" s="540"/>
      <c r="E573" s="540"/>
      <c r="F573" s="540"/>
      <c r="G573" s="540"/>
      <c r="H573" s="540"/>
      <c r="I573" s="540"/>
      <c r="J573" s="540"/>
      <c r="K573" s="540"/>
      <c r="L573" s="540"/>
      <c r="M573" s="540"/>
      <c r="N573" s="540"/>
      <c r="O573" s="540"/>
      <c r="P573" s="540"/>
      <c r="Q573" s="540"/>
      <c r="R573" s="540"/>
      <c r="S573" s="540"/>
      <c r="T573" s="540"/>
      <c r="U573" s="540"/>
      <c r="V573" s="540"/>
      <c r="W573" s="540"/>
      <c r="X573" s="540"/>
      <c r="Y573" s="540"/>
      <c r="Z573" s="540"/>
    </row>
    <row r="574" ht="171.75" customHeight="1">
      <c r="A574" s="540"/>
      <c r="B574" s="540"/>
      <c r="C574" s="540"/>
      <c r="D574" s="540"/>
      <c r="E574" s="540"/>
      <c r="F574" s="540"/>
      <c r="G574" s="540"/>
      <c r="H574" s="540"/>
      <c r="I574" s="540"/>
      <c r="J574" s="540"/>
      <c r="K574" s="540"/>
      <c r="L574" s="540"/>
      <c r="M574" s="540"/>
      <c r="N574" s="540"/>
      <c r="O574" s="540"/>
      <c r="P574" s="540"/>
      <c r="Q574" s="540"/>
      <c r="R574" s="540"/>
      <c r="S574" s="540"/>
      <c r="T574" s="540"/>
      <c r="U574" s="540"/>
      <c r="V574" s="540"/>
      <c r="W574" s="540"/>
      <c r="X574" s="540"/>
      <c r="Y574" s="540"/>
      <c r="Z574" s="540"/>
    </row>
    <row r="575" ht="171.75" customHeight="1">
      <c r="A575" s="540"/>
      <c r="B575" s="540"/>
      <c r="C575" s="540"/>
      <c r="D575" s="540"/>
      <c r="E575" s="540"/>
      <c r="F575" s="540"/>
      <c r="G575" s="540"/>
      <c r="H575" s="540"/>
      <c r="I575" s="540"/>
      <c r="J575" s="540"/>
      <c r="K575" s="540"/>
      <c r="L575" s="540"/>
      <c r="M575" s="540"/>
      <c r="N575" s="540"/>
      <c r="O575" s="540"/>
      <c r="P575" s="540"/>
      <c r="Q575" s="540"/>
      <c r="R575" s="540"/>
      <c r="S575" s="540"/>
      <c r="T575" s="540"/>
      <c r="U575" s="540"/>
      <c r="V575" s="540"/>
      <c r="W575" s="540"/>
      <c r="X575" s="540"/>
      <c r="Y575" s="540"/>
      <c r="Z575" s="540"/>
    </row>
    <row r="576" ht="171.75" customHeight="1">
      <c r="A576" s="540"/>
      <c r="B576" s="540"/>
      <c r="C576" s="540"/>
      <c r="D576" s="540"/>
      <c r="E576" s="540"/>
      <c r="F576" s="540"/>
      <c r="G576" s="540"/>
      <c r="H576" s="540"/>
      <c r="I576" s="540"/>
      <c r="J576" s="540"/>
      <c r="K576" s="540"/>
      <c r="L576" s="540"/>
      <c r="M576" s="540"/>
      <c r="N576" s="540"/>
      <c r="O576" s="540"/>
      <c r="P576" s="540"/>
      <c r="Q576" s="540"/>
      <c r="R576" s="540"/>
      <c r="S576" s="540"/>
      <c r="T576" s="540"/>
      <c r="U576" s="540"/>
      <c r="V576" s="540"/>
      <c r="W576" s="540"/>
      <c r="X576" s="540"/>
      <c r="Y576" s="540"/>
      <c r="Z576" s="540"/>
    </row>
    <row r="577" ht="171.75" customHeight="1">
      <c r="A577" s="540"/>
      <c r="B577" s="540"/>
      <c r="C577" s="540"/>
      <c r="D577" s="540"/>
      <c r="E577" s="540"/>
      <c r="F577" s="540"/>
      <c r="G577" s="540"/>
      <c r="H577" s="540"/>
      <c r="I577" s="540"/>
      <c r="J577" s="540"/>
      <c r="K577" s="540"/>
      <c r="L577" s="540"/>
      <c r="M577" s="540"/>
      <c r="N577" s="540"/>
      <c r="O577" s="540"/>
      <c r="P577" s="540"/>
      <c r="Q577" s="540"/>
      <c r="R577" s="540"/>
      <c r="S577" s="540"/>
      <c r="T577" s="540"/>
      <c r="U577" s="540"/>
      <c r="V577" s="540"/>
      <c r="W577" s="540"/>
      <c r="X577" s="540"/>
      <c r="Y577" s="540"/>
      <c r="Z577" s="540"/>
    </row>
    <row r="578" ht="171.75" customHeight="1">
      <c r="A578" s="540"/>
      <c r="B578" s="540"/>
      <c r="C578" s="540"/>
      <c r="D578" s="540"/>
      <c r="E578" s="540"/>
      <c r="F578" s="540"/>
      <c r="G578" s="540"/>
      <c r="H578" s="540"/>
      <c r="I578" s="540"/>
      <c r="J578" s="540"/>
      <c r="K578" s="540"/>
      <c r="L578" s="540"/>
      <c r="M578" s="540"/>
      <c r="N578" s="540"/>
      <c r="O578" s="540"/>
      <c r="P578" s="540"/>
      <c r="Q578" s="540"/>
      <c r="R578" s="540"/>
      <c r="S578" s="540"/>
      <c r="T578" s="540"/>
      <c r="U578" s="540"/>
      <c r="V578" s="540"/>
      <c r="W578" s="540"/>
      <c r="X578" s="540"/>
      <c r="Y578" s="540"/>
      <c r="Z578" s="540"/>
    </row>
    <row r="579" ht="171.75" customHeight="1">
      <c r="A579" s="540"/>
      <c r="B579" s="540"/>
      <c r="C579" s="540"/>
      <c r="D579" s="540"/>
      <c r="E579" s="540"/>
      <c r="F579" s="540"/>
      <c r="G579" s="540"/>
      <c r="H579" s="540"/>
      <c r="I579" s="540"/>
      <c r="J579" s="540"/>
      <c r="K579" s="540"/>
      <c r="L579" s="540"/>
      <c r="M579" s="540"/>
      <c r="N579" s="540"/>
      <c r="O579" s="540"/>
      <c r="P579" s="540"/>
      <c r="Q579" s="540"/>
      <c r="R579" s="540"/>
      <c r="S579" s="540"/>
      <c r="T579" s="540"/>
      <c r="U579" s="540"/>
      <c r="V579" s="540"/>
      <c r="W579" s="540"/>
      <c r="X579" s="540"/>
      <c r="Y579" s="540"/>
      <c r="Z579" s="540"/>
    </row>
    <row r="580" ht="171.75" customHeight="1">
      <c r="A580" s="540"/>
      <c r="B580" s="540"/>
      <c r="C580" s="540"/>
      <c r="D580" s="540"/>
      <c r="E580" s="540"/>
      <c r="F580" s="540"/>
      <c r="G580" s="540"/>
      <c r="H580" s="540"/>
      <c r="I580" s="540"/>
      <c r="J580" s="540"/>
      <c r="K580" s="540"/>
      <c r="L580" s="540"/>
      <c r="M580" s="540"/>
      <c r="N580" s="540"/>
      <c r="O580" s="540"/>
      <c r="P580" s="540"/>
      <c r="Q580" s="540"/>
      <c r="R580" s="540"/>
      <c r="S580" s="540"/>
      <c r="T580" s="540"/>
      <c r="U580" s="540"/>
      <c r="V580" s="540"/>
      <c r="W580" s="540"/>
      <c r="X580" s="540"/>
      <c r="Y580" s="540"/>
      <c r="Z580" s="540"/>
    </row>
    <row r="581" ht="171.75" customHeight="1">
      <c r="A581" s="540"/>
      <c r="B581" s="540"/>
      <c r="C581" s="540"/>
      <c r="D581" s="540"/>
      <c r="E581" s="540"/>
      <c r="F581" s="540"/>
      <c r="G581" s="540"/>
      <c r="H581" s="540"/>
      <c r="I581" s="540"/>
      <c r="J581" s="540"/>
      <c r="K581" s="540"/>
      <c r="L581" s="540"/>
      <c r="M581" s="540"/>
      <c r="N581" s="540"/>
      <c r="O581" s="540"/>
      <c r="P581" s="540"/>
      <c r="Q581" s="540"/>
      <c r="R581" s="540"/>
      <c r="S581" s="540"/>
      <c r="T581" s="540"/>
      <c r="U581" s="540"/>
      <c r="V581" s="540"/>
      <c r="W581" s="540"/>
      <c r="X581" s="540"/>
      <c r="Y581" s="540"/>
      <c r="Z581" s="540"/>
    </row>
    <row r="582" ht="171.75" customHeight="1">
      <c r="A582" s="540"/>
      <c r="B582" s="540"/>
      <c r="C582" s="540"/>
      <c r="D582" s="540"/>
      <c r="E582" s="540"/>
      <c r="F582" s="540"/>
      <c r="G582" s="540"/>
      <c r="H582" s="540"/>
      <c r="I582" s="540"/>
      <c r="J582" s="540"/>
      <c r="K582" s="540"/>
      <c r="L582" s="540"/>
      <c r="M582" s="540"/>
      <c r="N582" s="540"/>
      <c r="O582" s="540"/>
      <c r="P582" s="540"/>
      <c r="Q582" s="540"/>
      <c r="R582" s="540"/>
      <c r="S582" s="540"/>
      <c r="T582" s="540"/>
      <c r="U582" s="540"/>
      <c r="V582" s="540"/>
      <c r="W582" s="540"/>
      <c r="X582" s="540"/>
      <c r="Y582" s="540"/>
      <c r="Z582" s="540"/>
    </row>
    <row r="583" ht="171.75" customHeight="1">
      <c r="A583" s="540"/>
      <c r="B583" s="540"/>
      <c r="C583" s="540"/>
      <c r="D583" s="540"/>
      <c r="E583" s="540"/>
      <c r="F583" s="540"/>
      <c r="G583" s="540"/>
      <c r="H583" s="540"/>
      <c r="I583" s="540"/>
      <c r="J583" s="540"/>
      <c r="K583" s="540"/>
      <c r="L583" s="540"/>
      <c r="M583" s="540"/>
      <c r="N583" s="540"/>
      <c r="O583" s="540"/>
      <c r="P583" s="540"/>
      <c r="Q583" s="540"/>
      <c r="R583" s="540"/>
      <c r="S583" s="540"/>
      <c r="T583" s="540"/>
      <c r="U583" s="540"/>
      <c r="V583" s="540"/>
      <c r="W583" s="540"/>
      <c r="X583" s="540"/>
      <c r="Y583" s="540"/>
      <c r="Z583" s="540"/>
    </row>
    <row r="584" ht="171.75" customHeight="1">
      <c r="A584" s="540"/>
      <c r="B584" s="540"/>
      <c r="C584" s="540"/>
      <c r="D584" s="540"/>
      <c r="E584" s="540"/>
      <c r="F584" s="540"/>
      <c r="G584" s="540"/>
      <c r="H584" s="540"/>
      <c r="I584" s="540"/>
      <c r="J584" s="540"/>
      <c r="K584" s="540"/>
      <c r="L584" s="540"/>
      <c r="M584" s="540"/>
      <c r="N584" s="540"/>
      <c r="O584" s="540"/>
      <c r="P584" s="540"/>
      <c r="Q584" s="540"/>
      <c r="R584" s="540"/>
      <c r="S584" s="540"/>
      <c r="T584" s="540"/>
      <c r="U584" s="540"/>
      <c r="V584" s="540"/>
      <c r="W584" s="540"/>
      <c r="X584" s="540"/>
      <c r="Y584" s="540"/>
      <c r="Z584" s="540"/>
    </row>
    <row r="585" ht="171.75" customHeight="1">
      <c r="A585" s="540"/>
      <c r="B585" s="540"/>
      <c r="C585" s="540"/>
      <c r="D585" s="540"/>
      <c r="E585" s="540"/>
      <c r="F585" s="540"/>
      <c r="G585" s="540"/>
      <c r="H585" s="540"/>
      <c r="I585" s="540"/>
      <c r="J585" s="540"/>
      <c r="K585" s="540"/>
      <c r="L585" s="540"/>
      <c r="M585" s="540"/>
      <c r="N585" s="540"/>
      <c r="O585" s="540"/>
      <c r="P585" s="540"/>
      <c r="Q585" s="540"/>
      <c r="R585" s="540"/>
      <c r="S585" s="540"/>
      <c r="T585" s="540"/>
      <c r="U585" s="540"/>
      <c r="V585" s="540"/>
      <c r="W585" s="540"/>
      <c r="X585" s="540"/>
      <c r="Y585" s="540"/>
      <c r="Z585" s="540"/>
    </row>
    <row r="586" ht="171.75" customHeight="1">
      <c r="A586" s="540"/>
      <c r="B586" s="540"/>
      <c r="C586" s="540"/>
      <c r="D586" s="540"/>
      <c r="E586" s="540"/>
      <c r="F586" s="540"/>
      <c r="G586" s="540"/>
      <c r="H586" s="540"/>
      <c r="I586" s="540"/>
      <c r="J586" s="540"/>
      <c r="K586" s="540"/>
      <c r="L586" s="540"/>
      <c r="M586" s="540"/>
      <c r="N586" s="540"/>
      <c r="O586" s="540"/>
      <c r="P586" s="540"/>
      <c r="Q586" s="540"/>
      <c r="R586" s="540"/>
      <c r="S586" s="540"/>
      <c r="T586" s="540"/>
      <c r="U586" s="540"/>
      <c r="V586" s="540"/>
      <c r="W586" s="540"/>
      <c r="X586" s="540"/>
      <c r="Y586" s="540"/>
      <c r="Z586" s="540"/>
    </row>
    <row r="587" ht="171.75" customHeight="1">
      <c r="A587" s="540"/>
      <c r="B587" s="540"/>
      <c r="C587" s="540"/>
      <c r="D587" s="540"/>
      <c r="E587" s="540"/>
      <c r="F587" s="540"/>
      <c r="G587" s="540"/>
      <c r="H587" s="540"/>
      <c r="I587" s="540"/>
      <c r="J587" s="540"/>
      <c r="K587" s="540"/>
      <c r="L587" s="540"/>
      <c r="M587" s="540"/>
      <c r="N587" s="540"/>
      <c r="O587" s="540"/>
      <c r="P587" s="540"/>
      <c r="Q587" s="540"/>
      <c r="R587" s="540"/>
      <c r="S587" s="540"/>
      <c r="T587" s="540"/>
      <c r="U587" s="540"/>
      <c r="V587" s="540"/>
      <c r="W587" s="540"/>
      <c r="X587" s="540"/>
      <c r="Y587" s="540"/>
      <c r="Z587" s="540"/>
    </row>
    <row r="588" ht="171.75" customHeight="1">
      <c r="A588" s="540"/>
      <c r="B588" s="540"/>
      <c r="C588" s="540"/>
      <c r="D588" s="540"/>
      <c r="E588" s="540"/>
      <c r="F588" s="540"/>
      <c r="G588" s="540"/>
      <c r="H588" s="540"/>
      <c r="I588" s="540"/>
      <c r="J588" s="540"/>
      <c r="K588" s="540"/>
      <c r="L588" s="540"/>
      <c r="M588" s="540"/>
      <c r="N588" s="540"/>
      <c r="O588" s="540"/>
      <c r="P588" s="540"/>
      <c r="Q588" s="540"/>
      <c r="R588" s="540"/>
      <c r="S588" s="540"/>
      <c r="T588" s="540"/>
      <c r="U588" s="540"/>
      <c r="V588" s="540"/>
      <c r="W588" s="540"/>
      <c r="X588" s="540"/>
      <c r="Y588" s="540"/>
      <c r="Z588" s="540"/>
    </row>
    <row r="589" ht="171.75" customHeight="1">
      <c r="A589" s="540"/>
      <c r="B589" s="540"/>
      <c r="C589" s="540"/>
      <c r="D589" s="540"/>
      <c r="E589" s="540"/>
      <c r="F589" s="540"/>
      <c r="G589" s="540"/>
      <c r="H589" s="540"/>
      <c r="I589" s="540"/>
      <c r="J589" s="540"/>
      <c r="K589" s="540"/>
      <c r="L589" s="540"/>
      <c r="M589" s="540"/>
      <c r="N589" s="540"/>
      <c r="O589" s="540"/>
      <c r="P589" s="540"/>
      <c r="Q589" s="540"/>
      <c r="R589" s="540"/>
      <c r="S589" s="540"/>
      <c r="T589" s="540"/>
      <c r="U589" s="540"/>
      <c r="V589" s="540"/>
      <c r="W589" s="540"/>
      <c r="X589" s="540"/>
      <c r="Y589" s="540"/>
      <c r="Z589" s="540"/>
    </row>
    <row r="590" ht="171.75" customHeight="1">
      <c r="A590" s="540"/>
      <c r="B590" s="540"/>
      <c r="C590" s="540"/>
      <c r="D590" s="540"/>
      <c r="E590" s="540"/>
      <c r="F590" s="540"/>
      <c r="G590" s="540"/>
      <c r="H590" s="540"/>
      <c r="I590" s="540"/>
      <c r="J590" s="540"/>
      <c r="K590" s="540"/>
      <c r="L590" s="540"/>
      <c r="M590" s="540"/>
      <c r="N590" s="540"/>
      <c r="O590" s="540"/>
      <c r="P590" s="540"/>
      <c r="Q590" s="540"/>
      <c r="R590" s="540"/>
      <c r="S590" s="540"/>
      <c r="T590" s="540"/>
      <c r="U590" s="540"/>
      <c r="V590" s="540"/>
      <c r="W590" s="540"/>
      <c r="X590" s="540"/>
      <c r="Y590" s="540"/>
      <c r="Z590" s="540"/>
    </row>
    <row r="591" ht="171.75" customHeight="1">
      <c r="A591" s="540"/>
      <c r="B591" s="540"/>
      <c r="C591" s="540"/>
      <c r="D591" s="540"/>
      <c r="E591" s="540"/>
      <c r="F591" s="540"/>
      <c r="G591" s="540"/>
      <c r="H591" s="540"/>
      <c r="I591" s="540"/>
      <c r="J591" s="540"/>
      <c r="K591" s="540"/>
      <c r="L591" s="540"/>
      <c r="M591" s="540"/>
      <c r="N591" s="540"/>
      <c r="O591" s="540"/>
      <c r="P591" s="540"/>
      <c r="Q591" s="540"/>
      <c r="R591" s="540"/>
      <c r="S591" s="540"/>
      <c r="T591" s="540"/>
      <c r="U591" s="540"/>
      <c r="V591" s="540"/>
      <c r="W591" s="540"/>
      <c r="X591" s="540"/>
      <c r="Y591" s="540"/>
      <c r="Z591" s="540"/>
    </row>
    <row r="592" ht="171.75" customHeight="1">
      <c r="A592" s="540"/>
      <c r="B592" s="540"/>
      <c r="C592" s="540"/>
      <c r="D592" s="540"/>
      <c r="E592" s="540"/>
      <c r="F592" s="540"/>
      <c r="G592" s="540"/>
      <c r="H592" s="540"/>
      <c r="I592" s="540"/>
      <c r="J592" s="540"/>
      <c r="K592" s="540"/>
      <c r="L592" s="540"/>
      <c r="M592" s="540"/>
      <c r="N592" s="540"/>
      <c r="O592" s="540"/>
      <c r="P592" s="540"/>
      <c r="Q592" s="540"/>
      <c r="R592" s="540"/>
      <c r="S592" s="540"/>
      <c r="T592" s="540"/>
      <c r="U592" s="540"/>
      <c r="V592" s="540"/>
      <c r="W592" s="540"/>
      <c r="X592" s="540"/>
      <c r="Y592" s="540"/>
      <c r="Z592" s="540"/>
    </row>
    <row r="593" ht="171.75" customHeight="1">
      <c r="A593" s="540"/>
      <c r="B593" s="540"/>
      <c r="C593" s="540"/>
      <c r="D593" s="540"/>
      <c r="E593" s="540"/>
      <c r="F593" s="540"/>
      <c r="G593" s="540"/>
      <c r="H593" s="540"/>
      <c r="I593" s="540"/>
      <c r="J593" s="540"/>
      <c r="K593" s="540"/>
      <c r="L593" s="540"/>
      <c r="M593" s="540"/>
      <c r="N593" s="540"/>
      <c r="O593" s="540"/>
      <c r="P593" s="540"/>
      <c r="Q593" s="540"/>
      <c r="R593" s="540"/>
      <c r="S593" s="540"/>
      <c r="T593" s="540"/>
      <c r="U593" s="540"/>
      <c r="V593" s="540"/>
      <c r="W593" s="540"/>
      <c r="X593" s="540"/>
      <c r="Y593" s="540"/>
      <c r="Z593" s="540"/>
    </row>
    <row r="594" ht="171.75" customHeight="1">
      <c r="A594" s="540"/>
      <c r="B594" s="540"/>
      <c r="C594" s="540"/>
      <c r="D594" s="540"/>
      <c r="E594" s="540"/>
      <c r="F594" s="540"/>
      <c r="G594" s="540"/>
      <c r="H594" s="540"/>
      <c r="I594" s="540"/>
      <c r="J594" s="540"/>
      <c r="K594" s="540"/>
      <c r="L594" s="540"/>
      <c r="M594" s="540"/>
      <c r="N594" s="540"/>
      <c r="O594" s="540"/>
      <c r="P594" s="540"/>
      <c r="Q594" s="540"/>
      <c r="R594" s="540"/>
      <c r="S594" s="540"/>
      <c r="T594" s="540"/>
      <c r="U594" s="540"/>
      <c r="V594" s="540"/>
      <c r="W594" s="540"/>
      <c r="X594" s="540"/>
      <c r="Y594" s="540"/>
      <c r="Z594" s="540"/>
    </row>
    <row r="595" ht="171.75" customHeight="1">
      <c r="A595" s="540"/>
      <c r="B595" s="540"/>
      <c r="C595" s="540"/>
      <c r="D595" s="540"/>
      <c r="E595" s="540"/>
      <c r="F595" s="540"/>
      <c r="G595" s="540"/>
      <c r="H595" s="540"/>
      <c r="I595" s="540"/>
      <c r="J595" s="540"/>
      <c r="K595" s="540"/>
      <c r="L595" s="540"/>
      <c r="M595" s="540"/>
      <c r="N595" s="540"/>
      <c r="O595" s="540"/>
      <c r="P595" s="540"/>
      <c r="Q595" s="540"/>
      <c r="R595" s="540"/>
      <c r="S595" s="540"/>
      <c r="T595" s="540"/>
      <c r="U595" s="540"/>
      <c r="V595" s="540"/>
      <c r="W595" s="540"/>
      <c r="X595" s="540"/>
      <c r="Y595" s="540"/>
      <c r="Z595" s="540"/>
    </row>
    <row r="596" ht="171.75" customHeight="1">
      <c r="A596" s="540"/>
      <c r="B596" s="540"/>
      <c r="C596" s="540"/>
      <c r="D596" s="540"/>
      <c r="E596" s="540"/>
      <c r="F596" s="540"/>
      <c r="G596" s="540"/>
      <c r="H596" s="540"/>
      <c r="I596" s="540"/>
      <c r="J596" s="540"/>
      <c r="K596" s="540"/>
      <c r="L596" s="540"/>
      <c r="M596" s="540"/>
      <c r="N596" s="540"/>
      <c r="O596" s="540"/>
      <c r="P596" s="540"/>
      <c r="Q596" s="540"/>
      <c r="R596" s="540"/>
      <c r="S596" s="540"/>
      <c r="T596" s="540"/>
      <c r="U596" s="540"/>
      <c r="V596" s="540"/>
      <c r="W596" s="540"/>
      <c r="X596" s="540"/>
      <c r="Y596" s="540"/>
      <c r="Z596" s="540"/>
    </row>
    <row r="597" ht="171.75" customHeight="1">
      <c r="A597" s="540"/>
      <c r="B597" s="540"/>
      <c r="C597" s="540"/>
      <c r="D597" s="540"/>
      <c r="E597" s="540"/>
      <c r="F597" s="540"/>
      <c r="G597" s="540"/>
      <c r="H597" s="540"/>
      <c r="I597" s="540"/>
      <c r="J597" s="540"/>
      <c r="K597" s="540"/>
      <c r="L597" s="540"/>
      <c r="M597" s="540"/>
      <c r="N597" s="540"/>
      <c r="O597" s="540"/>
      <c r="P597" s="540"/>
      <c r="Q597" s="540"/>
      <c r="R597" s="540"/>
      <c r="S597" s="540"/>
      <c r="T597" s="540"/>
      <c r="U597" s="540"/>
      <c r="V597" s="540"/>
      <c r="W597" s="540"/>
      <c r="X597" s="540"/>
      <c r="Y597" s="540"/>
      <c r="Z597" s="540"/>
    </row>
    <row r="598" ht="171.75" customHeight="1">
      <c r="A598" s="540"/>
      <c r="B598" s="540"/>
      <c r="C598" s="540"/>
      <c r="D598" s="540"/>
      <c r="E598" s="540"/>
      <c r="F598" s="540"/>
      <c r="G598" s="540"/>
      <c r="H598" s="540"/>
      <c r="I598" s="540"/>
      <c r="J598" s="540"/>
      <c r="K598" s="540"/>
      <c r="L598" s="540"/>
      <c r="M598" s="540"/>
      <c r="N598" s="540"/>
      <c r="O598" s="540"/>
      <c r="P598" s="540"/>
      <c r="Q598" s="540"/>
      <c r="R598" s="540"/>
      <c r="S598" s="540"/>
      <c r="T598" s="540"/>
      <c r="U598" s="540"/>
      <c r="V598" s="540"/>
      <c r="W598" s="540"/>
      <c r="X598" s="540"/>
      <c r="Y598" s="540"/>
      <c r="Z598" s="540"/>
    </row>
    <row r="599" ht="171.75" customHeight="1">
      <c r="A599" s="540"/>
      <c r="B599" s="540"/>
      <c r="C599" s="540"/>
      <c r="D599" s="540"/>
      <c r="E599" s="540"/>
      <c r="F599" s="540"/>
      <c r="G599" s="540"/>
      <c r="H599" s="540"/>
      <c r="I599" s="540"/>
      <c r="J599" s="540"/>
      <c r="K599" s="540"/>
      <c r="L599" s="540"/>
      <c r="M599" s="540"/>
      <c r="N599" s="540"/>
      <c r="O599" s="540"/>
      <c r="P599" s="540"/>
      <c r="Q599" s="540"/>
      <c r="R599" s="540"/>
      <c r="S599" s="540"/>
      <c r="T599" s="540"/>
      <c r="U599" s="540"/>
      <c r="V599" s="540"/>
      <c r="W599" s="540"/>
      <c r="X599" s="540"/>
      <c r="Y599" s="540"/>
      <c r="Z599" s="540"/>
    </row>
    <row r="600" ht="171.75" customHeight="1">
      <c r="A600" s="540"/>
      <c r="B600" s="540"/>
      <c r="C600" s="540"/>
      <c r="D600" s="540"/>
      <c r="E600" s="540"/>
      <c r="F600" s="540"/>
      <c r="G600" s="540"/>
      <c r="H600" s="540"/>
      <c r="I600" s="540"/>
      <c r="J600" s="540"/>
      <c r="K600" s="540"/>
      <c r="L600" s="540"/>
      <c r="M600" s="540"/>
      <c r="N600" s="540"/>
      <c r="O600" s="540"/>
      <c r="P600" s="540"/>
      <c r="Q600" s="540"/>
      <c r="R600" s="540"/>
      <c r="S600" s="540"/>
      <c r="T600" s="540"/>
      <c r="U600" s="540"/>
      <c r="V600" s="540"/>
      <c r="W600" s="540"/>
      <c r="X600" s="540"/>
      <c r="Y600" s="540"/>
      <c r="Z600" s="540"/>
    </row>
    <row r="601" ht="171.75" customHeight="1">
      <c r="A601" s="540"/>
      <c r="B601" s="540"/>
      <c r="C601" s="540"/>
      <c r="D601" s="540"/>
      <c r="E601" s="540"/>
      <c r="F601" s="540"/>
      <c r="G601" s="540"/>
      <c r="H601" s="540"/>
      <c r="I601" s="540"/>
      <c r="J601" s="540"/>
      <c r="K601" s="540"/>
      <c r="L601" s="540"/>
      <c r="M601" s="540"/>
      <c r="N601" s="540"/>
      <c r="O601" s="540"/>
      <c r="P601" s="540"/>
      <c r="Q601" s="540"/>
      <c r="R601" s="540"/>
      <c r="S601" s="540"/>
      <c r="T601" s="540"/>
      <c r="U601" s="540"/>
      <c r="V601" s="540"/>
      <c r="W601" s="540"/>
      <c r="X601" s="540"/>
      <c r="Y601" s="540"/>
      <c r="Z601" s="540"/>
    </row>
    <row r="602" ht="171.75" customHeight="1">
      <c r="A602" s="540"/>
      <c r="B602" s="540"/>
      <c r="C602" s="540"/>
      <c r="D602" s="540"/>
      <c r="E602" s="540"/>
      <c r="F602" s="540"/>
      <c r="G602" s="540"/>
      <c r="H602" s="540"/>
      <c r="I602" s="540"/>
      <c r="J602" s="540"/>
      <c r="K602" s="540"/>
      <c r="L602" s="540"/>
      <c r="M602" s="540"/>
      <c r="N602" s="540"/>
      <c r="O602" s="540"/>
      <c r="P602" s="540"/>
      <c r="Q602" s="540"/>
      <c r="R602" s="540"/>
      <c r="S602" s="540"/>
      <c r="T602" s="540"/>
      <c r="U602" s="540"/>
      <c r="V602" s="540"/>
      <c r="W602" s="540"/>
      <c r="X602" s="540"/>
      <c r="Y602" s="540"/>
      <c r="Z602" s="540"/>
    </row>
    <row r="603" ht="171.75" customHeight="1">
      <c r="A603" s="540"/>
      <c r="B603" s="540"/>
      <c r="C603" s="540"/>
      <c r="D603" s="540"/>
      <c r="E603" s="540"/>
      <c r="F603" s="540"/>
      <c r="G603" s="540"/>
      <c r="H603" s="540"/>
      <c r="I603" s="540"/>
      <c r="J603" s="540"/>
      <c r="K603" s="540"/>
      <c r="L603" s="540"/>
      <c r="M603" s="540"/>
      <c r="N603" s="540"/>
      <c r="O603" s="540"/>
      <c r="P603" s="540"/>
      <c r="Q603" s="540"/>
      <c r="R603" s="540"/>
      <c r="S603" s="540"/>
      <c r="T603" s="540"/>
      <c r="U603" s="540"/>
      <c r="V603" s="540"/>
      <c r="W603" s="540"/>
      <c r="X603" s="540"/>
      <c r="Y603" s="540"/>
      <c r="Z603" s="540"/>
    </row>
    <row r="604" ht="171.75" customHeight="1">
      <c r="A604" s="540"/>
      <c r="B604" s="540"/>
      <c r="C604" s="540"/>
      <c r="D604" s="540"/>
      <c r="E604" s="540"/>
      <c r="F604" s="540"/>
      <c r="G604" s="540"/>
      <c r="H604" s="540"/>
      <c r="I604" s="540"/>
      <c r="J604" s="540"/>
      <c r="K604" s="540"/>
      <c r="L604" s="540"/>
      <c r="M604" s="540"/>
      <c r="N604" s="540"/>
      <c r="O604" s="540"/>
      <c r="P604" s="540"/>
      <c r="Q604" s="540"/>
      <c r="R604" s="540"/>
      <c r="S604" s="540"/>
      <c r="T604" s="540"/>
      <c r="U604" s="540"/>
      <c r="V604" s="540"/>
      <c r="W604" s="540"/>
      <c r="X604" s="540"/>
      <c r="Y604" s="540"/>
      <c r="Z604" s="540"/>
    </row>
    <row r="605" ht="171.75" customHeight="1">
      <c r="A605" s="540"/>
      <c r="B605" s="540"/>
      <c r="C605" s="540"/>
      <c r="D605" s="540"/>
      <c r="E605" s="540"/>
      <c r="F605" s="540"/>
      <c r="G605" s="540"/>
      <c r="H605" s="540"/>
      <c r="I605" s="540"/>
      <c r="J605" s="540"/>
      <c r="K605" s="540"/>
      <c r="L605" s="540"/>
      <c r="M605" s="540"/>
      <c r="N605" s="540"/>
      <c r="O605" s="540"/>
      <c r="P605" s="540"/>
      <c r="Q605" s="540"/>
      <c r="R605" s="540"/>
      <c r="S605" s="540"/>
      <c r="T605" s="540"/>
      <c r="U605" s="540"/>
      <c r="V605" s="540"/>
      <c r="W605" s="540"/>
      <c r="X605" s="540"/>
      <c r="Y605" s="540"/>
      <c r="Z605" s="540"/>
    </row>
    <row r="606" ht="171.75" customHeight="1">
      <c r="A606" s="540"/>
      <c r="B606" s="540"/>
      <c r="C606" s="540"/>
      <c r="D606" s="540"/>
      <c r="E606" s="540"/>
      <c r="F606" s="540"/>
      <c r="G606" s="540"/>
      <c r="H606" s="540"/>
      <c r="I606" s="540"/>
      <c r="J606" s="540"/>
      <c r="K606" s="540"/>
      <c r="L606" s="540"/>
      <c r="M606" s="540"/>
      <c r="N606" s="540"/>
      <c r="O606" s="540"/>
      <c r="P606" s="540"/>
      <c r="Q606" s="540"/>
      <c r="R606" s="540"/>
      <c r="S606" s="540"/>
      <c r="T606" s="540"/>
      <c r="U606" s="540"/>
      <c r="V606" s="540"/>
      <c r="W606" s="540"/>
      <c r="X606" s="540"/>
      <c r="Y606" s="540"/>
      <c r="Z606" s="540"/>
    </row>
    <row r="607" ht="171.75" customHeight="1">
      <c r="A607" s="540"/>
      <c r="B607" s="540"/>
      <c r="C607" s="540"/>
      <c r="D607" s="540"/>
      <c r="E607" s="540"/>
      <c r="F607" s="540"/>
      <c r="G607" s="540"/>
      <c r="H607" s="540"/>
      <c r="I607" s="540"/>
      <c r="J607" s="540"/>
      <c r="K607" s="540"/>
      <c r="L607" s="540"/>
      <c r="M607" s="540"/>
      <c r="N607" s="540"/>
      <c r="O607" s="540"/>
      <c r="P607" s="540"/>
      <c r="Q607" s="540"/>
      <c r="R607" s="540"/>
      <c r="S607" s="540"/>
      <c r="T607" s="540"/>
      <c r="U607" s="540"/>
      <c r="V607" s="540"/>
      <c r="W607" s="540"/>
      <c r="X607" s="540"/>
      <c r="Y607" s="540"/>
      <c r="Z607" s="540"/>
    </row>
    <row r="608" ht="171.75" customHeight="1">
      <c r="A608" s="540"/>
      <c r="B608" s="540"/>
      <c r="C608" s="540"/>
      <c r="D608" s="540"/>
      <c r="E608" s="540"/>
      <c r="F608" s="540"/>
      <c r="G608" s="540"/>
      <c r="H608" s="540"/>
      <c r="I608" s="540"/>
      <c r="J608" s="540"/>
      <c r="K608" s="540"/>
      <c r="L608" s="540"/>
      <c r="M608" s="540"/>
      <c r="N608" s="540"/>
      <c r="O608" s="540"/>
      <c r="P608" s="540"/>
      <c r="Q608" s="540"/>
      <c r="R608" s="540"/>
      <c r="S608" s="540"/>
      <c r="T608" s="540"/>
      <c r="U608" s="540"/>
      <c r="V608" s="540"/>
      <c r="W608" s="540"/>
      <c r="X608" s="540"/>
      <c r="Y608" s="540"/>
      <c r="Z608" s="540"/>
    </row>
    <row r="609" ht="171.75" customHeight="1">
      <c r="A609" s="540"/>
      <c r="B609" s="540"/>
      <c r="C609" s="540"/>
      <c r="D609" s="540"/>
      <c r="E609" s="540"/>
      <c r="F609" s="540"/>
      <c r="G609" s="540"/>
      <c r="H609" s="540"/>
      <c r="I609" s="540"/>
      <c r="J609" s="540"/>
      <c r="K609" s="540"/>
      <c r="L609" s="540"/>
      <c r="M609" s="540"/>
      <c r="N609" s="540"/>
      <c r="O609" s="540"/>
      <c r="P609" s="540"/>
      <c r="Q609" s="540"/>
      <c r="R609" s="540"/>
      <c r="S609" s="540"/>
      <c r="T609" s="540"/>
      <c r="U609" s="540"/>
      <c r="V609" s="540"/>
      <c r="W609" s="540"/>
      <c r="X609" s="540"/>
      <c r="Y609" s="540"/>
      <c r="Z609" s="540"/>
    </row>
    <row r="610" ht="171.75" customHeight="1">
      <c r="A610" s="540"/>
      <c r="B610" s="540"/>
      <c r="C610" s="540"/>
      <c r="D610" s="540"/>
      <c r="E610" s="540"/>
      <c r="F610" s="540"/>
      <c r="G610" s="540"/>
      <c r="H610" s="540"/>
      <c r="I610" s="540"/>
      <c r="J610" s="540"/>
      <c r="K610" s="540"/>
      <c r="L610" s="540"/>
      <c r="M610" s="540"/>
      <c r="N610" s="540"/>
      <c r="O610" s="540"/>
      <c r="P610" s="540"/>
      <c r="Q610" s="540"/>
      <c r="R610" s="540"/>
      <c r="S610" s="540"/>
      <c r="T610" s="540"/>
      <c r="U610" s="540"/>
      <c r="V610" s="540"/>
      <c r="W610" s="540"/>
      <c r="X610" s="540"/>
      <c r="Y610" s="540"/>
      <c r="Z610" s="540"/>
    </row>
    <row r="611" ht="171.75" customHeight="1">
      <c r="A611" s="540"/>
      <c r="B611" s="540"/>
      <c r="C611" s="540"/>
      <c r="D611" s="540"/>
      <c r="E611" s="540"/>
      <c r="F611" s="540"/>
      <c r="G611" s="540"/>
      <c r="H611" s="540"/>
      <c r="I611" s="540"/>
      <c r="J611" s="540"/>
      <c r="K611" s="540"/>
      <c r="L611" s="540"/>
      <c r="M611" s="540"/>
      <c r="N611" s="540"/>
      <c r="O611" s="540"/>
      <c r="P611" s="540"/>
      <c r="Q611" s="540"/>
      <c r="R611" s="540"/>
      <c r="S611" s="540"/>
      <c r="T611" s="540"/>
      <c r="U611" s="540"/>
      <c r="V611" s="540"/>
      <c r="W611" s="540"/>
      <c r="X611" s="540"/>
      <c r="Y611" s="540"/>
      <c r="Z611" s="540"/>
    </row>
    <row r="612" ht="171.75" customHeight="1">
      <c r="A612" s="540"/>
      <c r="B612" s="540"/>
      <c r="C612" s="540"/>
      <c r="D612" s="540"/>
      <c r="E612" s="540"/>
      <c r="F612" s="540"/>
      <c r="G612" s="540"/>
      <c r="H612" s="540"/>
      <c r="I612" s="540"/>
      <c r="J612" s="540"/>
      <c r="K612" s="540"/>
      <c r="L612" s="540"/>
      <c r="M612" s="540"/>
      <c r="N612" s="540"/>
      <c r="O612" s="540"/>
      <c r="P612" s="540"/>
      <c r="Q612" s="540"/>
      <c r="R612" s="540"/>
      <c r="S612" s="540"/>
      <c r="T612" s="540"/>
      <c r="U612" s="540"/>
      <c r="V612" s="540"/>
      <c r="W612" s="540"/>
      <c r="X612" s="540"/>
      <c r="Y612" s="540"/>
      <c r="Z612" s="540"/>
    </row>
    <row r="613" ht="171.75" customHeight="1">
      <c r="A613" s="540"/>
      <c r="B613" s="540"/>
      <c r="C613" s="540"/>
      <c r="D613" s="540"/>
      <c r="E613" s="540"/>
      <c r="F613" s="540"/>
      <c r="G613" s="540"/>
      <c r="H613" s="540"/>
      <c r="I613" s="540"/>
      <c r="J613" s="540"/>
      <c r="K613" s="540"/>
      <c r="L613" s="540"/>
      <c r="M613" s="540"/>
      <c r="N613" s="540"/>
      <c r="O613" s="540"/>
      <c r="P613" s="540"/>
      <c r="Q613" s="540"/>
      <c r="R613" s="540"/>
      <c r="S613" s="540"/>
      <c r="T613" s="540"/>
      <c r="U613" s="540"/>
      <c r="V613" s="540"/>
      <c r="W613" s="540"/>
      <c r="X613" s="540"/>
      <c r="Y613" s="540"/>
      <c r="Z613" s="540"/>
    </row>
    <row r="614" ht="171.75" customHeight="1">
      <c r="A614" s="540"/>
      <c r="B614" s="540"/>
      <c r="C614" s="540"/>
      <c r="D614" s="540"/>
      <c r="E614" s="540"/>
      <c r="F614" s="540"/>
      <c r="G614" s="540"/>
      <c r="H614" s="540"/>
      <c r="I614" s="540"/>
      <c r="J614" s="540"/>
      <c r="K614" s="540"/>
      <c r="L614" s="540"/>
      <c r="M614" s="540"/>
      <c r="N614" s="540"/>
      <c r="O614" s="540"/>
      <c r="P614" s="540"/>
      <c r="Q614" s="540"/>
      <c r="R614" s="540"/>
      <c r="S614" s="540"/>
      <c r="T614" s="540"/>
      <c r="U614" s="540"/>
      <c r="V614" s="540"/>
      <c r="W614" s="540"/>
      <c r="X614" s="540"/>
      <c r="Y614" s="540"/>
      <c r="Z614" s="540"/>
    </row>
    <row r="615" ht="171.75" customHeight="1">
      <c r="A615" s="540"/>
      <c r="B615" s="540"/>
      <c r="C615" s="540"/>
      <c r="D615" s="540"/>
      <c r="E615" s="540"/>
      <c r="F615" s="540"/>
      <c r="G615" s="540"/>
      <c r="H615" s="540"/>
      <c r="I615" s="540"/>
      <c r="J615" s="540"/>
      <c r="K615" s="540"/>
      <c r="L615" s="540"/>
      <c r="M615" s="540"/>
      <c r="N615" s="540"/>
      <c r="O615" s="540"/>
      <c r="P615" s="540"/>
      <c r="Q615" s="540"/>
      <c r="R615" s="540"/>
      <c r="S615" s="540"/>
      <c r="T615" s="540"/>
      <c r="U615" s="540"/>
      <c r="V615" s="540"/>
      <c r="W615" s="540"/>
      <c r="X615" s="540"/>
      <c r="Y615" s="540"/>
      <c r="Z615" s="540"/>
    </row>
    <row r="616" ht="171.75" customHeight="1">
      <c r="A616" s="540"/>
      <c r="B616" s="540"/>
      <c r="C616" s="540"/>
      <c r="D616" s="540"/>
      <c r="E616" s="540"/>
      <c r="F616" s="540"/>
      <c r="G616" s="540"/>
      <c r="H616" s="540"/>
      <c r="I616" s="540"/>
      <c r="J616" s="540"/>
      <c r="K616" s="540"/>
      <c r="L616" s="540"/>
      <c r="M616" s="540"/>
      <c r="N616" s="540"/>
      <c r="O616" s="540"/>
      <c r="P616" s="540"/>
      <c r="Q616" s="540"/>
      <c r="R616" s="540"/>
      <c r="S616" s="540"/>
      <c r="T616" s="540"/>
      <c r="U616" s="540"/>
      <c r="V616" s="540"/>
      <c r="W616" s="540"/>
      <c r="X616" s="540"/>
      <c r="Y616" s="540"/>
      <c r="Z616" s="540"/>
    </row>
    <row r="617" ht="171.75" customHeight="1">
      <c r="A617" s="540"/>
      <c r="B617" s="540"/>
      <c r="C617" s="540"/>
      <c r="D617" s="540"/>
      <c r="E617" s="540"/>
      <c r="F617" s="540"/>
      <c r="G617" s="540"/>
      <c r="H617" s="540"/>
      <c r="I617" s="540"/>
      <c r="J617" s="540"/>
      <c r="K617" s="540"/>
      <c r="L617" s="540"/>
      <c r="M617" s="540"/>
      <c r="N617" s="540"/>
      <c r="O617" s="540"/>
      <c r="P617" s="540"/>
      <c r="Q617" s="540"/>
      <c r="R617" s="540"/>
      <c r="S617" s="540"/>
      <c r="T617" s="540"/>
      <c r="U617" s="540"/>
      <c r="V617" s="540"/>
      <c r="W617" s="540"/>
      <c r="X617" s="540"/>
      <c r="Y617" s="540"/>
      <c r="Z617" s="540"/>
    </row>
    <row r="618" ht="171.75" customHeight="1">
      <c r="A618" s="540"/>
      <c r="B618" s="540"/>
      <c r="C618" s="540"/>
      <c r="D618" s="540"/>
      <c r="E618" s="540"/>
      <c r="F618" s="540"/>
      <c r="G618" s="540"/>
      <c r="H618" s="540"/>
      <c r="I618" s="540"/>
      <c r="J618" s="540"/>
      <c r="K618" s="540"/>
      <c r="L618" s="540"/>
      <c r="M618" s="540"/>
      <c r="N618" s="540"/>
      <c r="O618" s="540"/>
      <c r="P618" s="540"/>
      <c r="Q618" s="540"/>
      <c r="R618" s="540"/>
      <c r="S618" s="540"/>
      <c r="T618" s="540"/>
      <c r="U618" s="540"/>
      <c r="V618" s="540"/>
      <c r="W618" s="540"/>
      <c r="X618" s="540"/>
      <c r="Y618" s="540"/>
      <c r="Z618" s="540"/>
    </row>
    <row r="619" ht="171.75" customHeight="1">
      <c r="A619" s="540"/>
      <c r="B619" s="540"/>
      <c r="C619" s="540"/>
      <c r="D619" s="540"/>
      <c r="E619" s="540"/>
      <c r="F619" s="540"/>
      <c r="G619" s="540"/>
      <c r="H619" s="540"/>
      <c r="I619" s="540"/>
      <c r="J619" s="540"/>
      <c r="K619" s="540"/>
      <c r="L619" s="540"/>
      <c r="M619" s="540"/>
      <c r="N619" s="540"/>
      <c r="O619" s="540"/>
      <c r="P619" s="540"/>
      <c r="Q619" s="540"/>
      <c r="R619" s="540"/>
      <c r="S619" s="540"/>
      <c r="T619" s="540"/>
      <c r="U619" s="540"/>
      <c r="V619" s="540"/>
      <c r="W619" s="540"/>
      <c r="X619" s="540"/>
      <c r="Y619" s="540"/>
      <c r="Z619" s="540"/>
    </row>
    <row r="620" ht="171.75" customHeight="1">
      <c r="A620" s="540"/>
      <c r="B620" s="540"/>
      <c r="C620" s="540"/>
      <c r="D620" s="540"/>
      <c r="E620" s="540"/>
      <c r="F620" s="540"/>
      <c r="G620" s="540"/>
      <c r="H620" s="540"/>
      <c r="I620" s="540"/>
      <c r="J620" s="540"/>
      <c r="K620" s="540"/>
      <c r="L620" s="540"/>
      <c r="M620" s="540"/>
      <c r="N620" s="540"/>
      <c r="O620" s="540"/>
      <c r="P620" s="540"/>
      <c r="Q620" s="540"/>
      <c r="R620" s="540"/>
      <c r="S620" s="540"/>
      <c r="T620" s="540"/>
      <c r="U620" s="540"/>
      <c r="V620" s="540"/>
      <c r="W620" s="540"/>
      <c r="X620" s="540"/>
      <c r="Y620" s="540"/>
      <c r="Z620" s="540"/>
    </row>
    <row r="621" ht="171.75" customHeight="1">
      <c r="A621" s="540"/>
      <c r="B621" s="540"/>
      <c r="C621" s="540"/>
      <c r="D621" s="540"/>
      <c r="E621" s="540"/>
      <c r="F621" s="540"/>
      <c r="G621" s="540"/>
      <c r="H621" s="540"/>
      <c r="I621" s="540"/>
      <c r="J621" s="540"/>
      <c r="K621" s="540"/>
      <c r="L621" s="540"/>
      <c r="M621" s="540"/>
      <c r="N621" s="540"/>
      <c r="O621" s="540"/>
      <c r="P621" s="540"/>
      <c r="Q621" s="540"/>
      <c r="R621" s="540"/>
      <c r="S621" s="540"/>
      <c r="T621" s="540"/>
      <c r="U621" s="540"/>
      <c r="V621" s="540"/>
      <c r="W621" s="540"/>
      <c r="X621" s="540"/>
      <c r="Y621" s="540"/>
      <c r="Z621" s="540"/>
    </row>
    <row r="622" ht="171.75" customHeight="1">
      <c r="A622" s="540"/>
      <c r="B622" s="540"/>
      <c r="C622" s="540"/>
      <c r="D622" s="540"/>
      <c r="E622" s="540"/>
      <c r="F622" s="540"/>
      <c r="G622" s="540"/>
      <c r="H622" s="540"/>
      <c r="I622" s="540"/>
      <c r="J622" s="540"/>
      <c r="K622" s="540"/>
      <c r="L622" s="540"/>
      <c r="M622" s="540"/>
      <c r="N622" s="540"/>
      <c r="O622" s="540"/>
      <c r="P622" s="540"/>
      <c r="Q622" s="540"/>
      <c r="R622" s="540"/>
      <c r="S622" s="540"/>
      <c r="T622" s="540"/>
      <c r="U622" s="540"/>
      <c r="V622" s="540"/>
      <c r="W622" s="540"/>
      <c r="X622" s="540"/>
      <c r="Y622" s="540"/>
      <c r="Z622" s="540"/>
    </row>
    <row r="623" ht="171.75" customHeight="1">
      <c r="A623" s="540"/>
      <c r="B623" s="540"/>
      <c r="C623" s="540"/>
      <c r="D623" s="540"/>
      <c r="E623" s="540"/>
      <c r="F623" s="540"/>
      <c r="G623" s="540"/>
      <c r="H623" s="540"/>
      <c r="I623" s="540"/>
      <c r="J623" s="540"/>
      <c r="K623" s="540"/>
      <c r="L623" s="540"/>
      <c r="M623" s="540"/>
      <c r="N623" s="540"/>
      <c r="O623" s="540"/>
      <c r="P623" s="540"/>
      <c r="Q623" s="540"/>
      <c r="R623" s="540"/>
      <c r="S623" s="540"/>
      <c r="T623" s="540"/>
      <c r="U623" s="540"/>
      <c r="V623" s="540"/>
      <c r="W623" s="540"/>
      <c r="X623" s="540"/>
      <c r="Y623" s="540"/>
      <c r="Z623" s="540"/>
    </row>
    <row r="624" ht="171.75" customHeight="1">
      <c r="A624" s="540"/>
      <c r="B624" s="540"/>
      <c r="C624" s="540"/>
      <c r="D624" s="540"/>
      <c r="E624" s="540"/>
      <c r="F624" s="540"/>
      <c r="G624" s="540"/>
      <c r="H624" s="540"/>
      <c r="I624" s="540"/>
      <c r="J624" s="540"/>
      <c r="K624" s="540"/>
      <c r="L624" s="540"/>
      <c r="M624" s="540"/>
      <c r="N624" s="540"/>
      <c r="O624" s="540"/>
      <c r="P624" s="540"/>
      <c r="Q624" s="540"/>
      <c r="R624" s="540"/>
      <c r="S624" s="540"/>
      <c r="T624" s="540"/>
      <c r="U624" s="540"/>
      <c r="V624" s="540"/>
      <c r="W624" s="540"/>
      <c r="X624" s="540"/>
      <c r="Y624" s="540"/>
      <c r="Z624" s="540"/>
    </row>
    <row r="625" ht="171.75" customHeight="1">
      <c r="A625" s="540"/>
      <c r="B625" s="540"/>
      <c r="C625" s="540"/>
      <c r="D625" s="540"/>
      <c r="E625" s="540"/>
      <c r="F625" s="540"/>
      <c r="G625" s="540"/>
      <c r="H625" s="540"/>
      <c r="I625" s="540"/>
      <c r="J625" s="540"/>
      <c r="K625" s="540"/>
      <c r="L625" s="540"/>
      <c r="M625" s="540"/>
      <c r="N625" s="540"/>
      <c r="O625" s="540"/>
      <c r="P625" s="540"/>
      <c r="Q625" s="540"/>
      <c r="R625" s="540"/>
      <c r="S625" s="540"/>
      <c r="T625" s="540"/>
      <c r="U625" s="540"/>
      <c r="V625" s="540"/>
      <c r="W625" s="540"/>
      <c r="X625" s="540"/>
      <c r="Y625" s="540"/>
      <c r="Z625" s="540"/>
    </row>
    <row r="626" ht="171.75" customHeight="1">
      <c r="A626" s="540"/>
      <c r="B626" s="540"/>
      <c r="C626" s="540"/>
      <c r="D626" s="540"/>
      <c r="E626" s="540"/>
      <c r="F626" s="540"/>
      <c r="G626" s="540"/>
      <c r="H626" s="540"/>
      <c r="I626" s="540"/>
      <c r="J626" s="540"/>
      <c r="K626" s="540"/>
      <c r="L626" s="540"/>
      <c r="M626" s="540"/>
      <c r="N626" s="540"/>
      <c r="O626" s="540"/>
      <c r="P626" s="540"/>
      <c r="Q626" s="540"/>
      <c r="R626" s="540"/>
      <c r="S626" s="540"/>
      <c r="T626" s="540"/>
      <c r="U626" s="540"/>
      <c r="V626" s="540"/>
      <c r="W626" s="540"/>
      <c r="X626" s="540"/>
      <c r="Y626" s="540"/>
      <c r="Z626" s="540"/>
    </row>
    <row r="627" ht="171.75" customHeight="1">
      <c r="A627" s="540"/>
      <c r="B627" s="540"/>
      <c r="C627" s="540"/>
      <c r="D627" s="540"/>
      <c r="E627" s="540"/>
      <c r="F627" s="540"/>
      <c r="G627" s="540"/>
      <c r="H627" s="540"/>
      <c r="I627" s="540"/>
      <c r="J627" s="540"/>
      <c r="K627" s="540"/>
      <c r="L627" s="540"/>
      <c r="M627" s="540"/>
      <c r="N627" s="540"/>
      <c r="O627" s="540"/>
      <c r="P627" s="540"/>
      <c r="Q627" s="540"/>
      <c r="R627" s="540"/>
      <c r="S627" s="540"/>
      <c r="T627" s="540"/>
      <c r="U627" s="540"/>
      <c r="V627" s="540"/>
      <c r="W627" s="540"/>
      <c r="X627" s="540"/>
      <c r="Y627" s="540"/>
      <c r="Z627" s="540"/>
    </row>
    <row r="628" ht="171.75" customHeight="1">
      <c r="A628" s="540"/>
      <c r="B628" s="540"/>
      <c r="C628" s="540"/>
      <c r="D628" s="540"/>
      <c r="E628" s="540"/>
      <c r="F628" s="540"/>
      <c r="G628" s="540"/>
      <c r="H628" s="540"/>
      <c r="I628" s="540"/>
      <c r="J628" s="540"/>
      <c r="K628" s="540"/>
      <c r="L628" s="540"/>
      <c r="M628" s="540"/>
      <c r="N628" s="540"/>
      <c r="O628" s="540"/>
      <c r="P628" s="540"/>
      <c r="Q628" s="540"/>
      <c r="R628" s="540"/>
      <c r="S628" s="540"/>
      <c r="T628" s="540"/>
      <c r="U628" s="540"/>
      <c r="V628" s="540"/>
      <c r="W628" s="540"/>
      <c r="X628" s="540"/>
      <c r="Y628" s="540"/>
      <c r="Z628" s="540"/>
    </row>
    <row r="629" ht="171.75" customHeight="1">
      <c r="A629" s="540"/>
      <c r="B629" s="540"/>
      <c r="C629" s="540"/>
      <c r="D629" s="540"/>
      <c r="E629" s="540"/>
      <c r="F629" s="540"/>
      <c r="G629" s="540"/>
      <c r="H629" s="540"/>
      <c r="I629" s="540"/>
      <c r="J629" s="540"/>
      <c r="K629" s="540"/>
      <c r="L629" s="540"/>
      <c r="M629" s="540"/>
      <c r="N629" s="540"/>
      <c r="O629" s="540"/>
      <c r="P629" s="540"/>
      <c r="Q629" s="540"/>
      <c r="R629" s="540"/>
      <c r="S629" s="540"/>
      <c r="T629" s="540"/>
      <c r="U629" s="540"/>
      <c r="V629" s="540"/>
      <c r="W629" s="540"/>
      <c r="X629" s="540"/>
      <c r="Y629" s="540"/>
      <c r="Z629" s="540"/>
    </row>
    <row r="630" ht="171.75" customHeight="1">
      <c r="A630" s="540"/>
      <c r="B630" s="540"/>
      <c r="C630" s="540"/>
      <c r="D630" s="540"/>
      <c r="E630" s="540"/>
      <c r="F630" s="540"/>
      <c r="G630" s="540"/>
      <c r="H630" s="540"/>
      <c r="I630" s="540"/>
      <c r="J630" s="540"/>
      <c r="K630" s="540"/>
      <c r="L630" s="540"/>
      <c r="M630" s="540"/>
      <c r="N630" s="540"/>
      <c r="O630" s="540"/>
      <c r="P630" s="540"/>
      <c r="Q630" s="540"/>
      <c r="R630" s="540"/>
      <c r="S630" s="540"/>
      <c r="T630" s="540"/>
      <c r="U630" s="540"/>
      <c r="V630" s="540"/>
      <c r="W630" s="540"/>
      <c r="X630" s="540"/>
      <c r="Y630" s="540"/>
      <c r="Z630" s="540"/>
    </row>
    <row r="631" ht="171.75" customHeight="1">
      <c r="A631" s="540"/>
      <c r="B631" s="540"/>
      <c r="C631" s="540"/>
      <c r="D631" s="540"/>
      <c r="E631" s="540"/>
      <c r="F631" s="540"/>
      <c r="G631" s="540"/>
      <c r="H631" s="540"/>
      <c r="I631" s="540"/>
      <c r="J631" s="540"/>
      <c r="K631" s="540"/>
      <c r="L631" s="540"/>
      <c r="M631" s="540"/>
      <c r="N631" s="540"/>
      <c r="O631" s="540"/>
      <c r="P631" s="540"/>
      <c r="Q631" s="540"/>
      <c r="R631" s="540"/>
      <c r="S631" s="540"/>
      <c r="T631" s="540"/>
      <c r="U631" s="540"/>
      <c r="V631" s="540"/>
      <c r="W631" s="540"/>
      <c r="X631" s="540"/>
      <c r="Y631" s="540"/>
      <c r="Z631" s="540"/>
    </row>
    <row r="632" ht="171.75" customHeight="1">
      <c r="A632" s="540"/>
      <c r="B632" s="540"/>
      <c r="C632" s="540"/>
      <c r="D632" s="540"/>
      <c r="E632" s="540"/>
      <c r="F632" s="540"/>
      <c r="G632" s="540"/>
      <c r="H632" s="540"/>
      <c r="I632" s="540"/>
      <c r="J632" s="540"/>
      <c r="K632" s="540"/>
      <c r="L632" s="540"/>
      <c r="M632" s="540"/>
      <c r="N632" s="540"/>
      <c r="O632" s="540"/>
      <c r="P632" s="540"/>
      <c r="Q632" s="540"/>
      <c r="R632" s="540"/>
      <c r="S632" s="540"/>
      <c r="T632" s="540"/>
      <c r="U632" s="540"/>
      <c r="V632" s="540"/>
      <c r="W632" s="540"/>
      <c r="X632" s="540"/>
      <c r="Y632" s="540"/>
      <c r="Z632" s="540"/>
    </row>
    <row r="633" ht="171.75" customHeight="1">
      <c r="A633" s="540"/>
      <c r="B633" s="540"/>
      <c r="C633" s="540"/>
      <c r="D633" s="540"/>
      <c r="E633" s="540"/>
      <c r="F633" s="540"/>
      <c r="G633" s="540"/>
      <c r="H633" s="540"/>
      <c r="I633" s="540"/>
      <c r="J633" s="540"/>
      <c r="K633" s="540"/>
      <c r="L633" s="540"/>
      <c r="M633" s="540"/>
      <c r="N633" s="540"/>
      <c r="O633" s="540"/>
      <c r="P633" s="540"/>
      <c r="Q633" s="540"/>
      <c r="R633" s="540"/>
      <c r="S633" s="540"/>
      <c r="T633" s="540"/>
      <c r="U633" s="540"/>
      <c r="V633" s="540"/>
      <c r="W633" s="540"/>
      <c r="X633" s="540"/>
      <c r="Y633" s="540"/>
      <c r="Z633" s="540"/>
    </row>
    <row r="634" ht="171.75" customHeight="1">
      <c r="A634" s="540"/>
      <c r="B634" s="540"/>
      <c r="C634" s="540"/>
      <c r="D634" s="540"/>
      <c r="E634" s="540"/>
      <c r="F634" s="540"/>
      <c r="G634" s="540"/>
      <c r="H634" s="540"/>
      <c r="I634" s="540"/>
      <c r="J634" s="540"/>
      <c r="K634" s="540"/>
      <c r="L634" s="540"/>
      <c r="M634" s="540"/>
      <c r="N634" s="540"/>
      <c r="O634" s="540"/>
      <c r="P634" s="540"/>
      <c r="Q634" s="540"/>
      <c r="R634" s="540"/>
      <c r="S634" s="540"/>
      <c r="T634" s="540"/>
      <c r="U634" s="540"/>
      <c r="V634" s="540"/>
      <c r="W634" s="540"/>
      <c r="X634" s="540"/>
      <c r="Y634" s="540"/>
      <c r="Z634" s="540"/>
    </row>
    <row r="635" ht="171.75" customHeight="1">
      <c r="A635" s="540"/>
      <c r="B635" s="540"/>
      <c r="C635" s="540"/>
      <c r="D635" s="540"/>
      <c r="E635" s="540"/>
      <c r="F635" s="540"/>
      <c r="G635" s="540"/>
      <c r="H635" s="540"/>
      <c r="I635" s="540"/>
      <c r="J635" s="540"/>
      <c r="K635" s="540"/>
      <c r="L635" s="540"/>
      <c r="M635" s="540"/>
      <c r="N635" s="540"/>
      <c r="O635" s="540"/>
      <c r="P635" s="540"/>
      <c r="Q635" s="540"/>
      <c r="R635" s="540"/>
      <c r="S635" s="540"/>
      <c r="T635" s="540"/>
      <c r="U635" s="540"/>
      <c r="V635" s="540"/>
      <c r="W635" s="540"/>
      <c r="X635" s="540"/>
      <c r="Y635" s="540"/>
      <c r="Z635" s="540"/>
    </row>
    <row r="636" ht="171.75" customHeight="1">
      <c r="A636" s="540"/>
      <c r="B636" s="540"/>
      <c r="C636" s="540"/>
      <c r="D636" s="540"/>
      <c r="E636" s="540"/>
      <c r="F636" s="540"/>
      <c r="G636" s="540"/>
      <c r="H636" s="540"/>
      <c r="I636" s="540"/>
      <c r="J636" s="540"/>
      <c r="K636" s="540"/>
      <c r="L636" s="540"/>
      <c r="M636" s="540"/>
      <c r="N636" s="540"/>
      <c r="O636" s="540"/>
      <c r="P636" s="540"/>
      <c r="Q636" s="540"/>
      <c r="R636" s="540"/>
      <c r="S636" s="540"/>
      <c r="T636" s="540"/>
      <c r="U636" s="540"/>
      <c r="V636" s="540"/>
      <c r="W636" s="540"/>
      <c r="X636" s="540"/>
      <c r="Y636" s="540"/>
      <c r="Z636" s="540"/>
    </row>
    <row r="637" ht="171.75" customHeight="1">
      <c r="A637" s="540"/>
      <c r="B637" s="540"/>
      <c r="C637" s="540"/>
      <c r="D637" s="540"/>
      <c r="E637" s="540"/>
      <c r="F637" s="540"/>
      <c r="G637" s="540"/>
      <c r="H637" s="540"/>
      <c r="I637" s="540"/>
      <c r="J637" s="540"/>
      <c r="K637" s="540"/>
      <c r="L637" s="540"/>
      <c r="M637" s="540"/>
      <c r="N637" s="540"/>
      <c r="O637" s="540"/>
      <c r="P637" s="540"/>
      <c r="Q637" s="540"/>
      <c r="R637" s="540"/>
      <c r="S637" s="540"/>
      <c r="T637" s="540"/>
      <c r="U637" s="540"/>
      <c r="V637" s="540"/>
      <c r="W637" s="540"/>
      <c r="X637" s="540"/>
      <c r="Y637" s="540"/>
      <c r="Z637" s="540"/>
    </row>
    <row r="638" ht="171.75" customHeight="1">
      <c r="A638" s="540"/>
      <c r="B638" s="540"/>
      <c r="C638" s="540"/>
      <c r="D638" s="540"/>
      <c r="E638" s="540"/>
      <c r="F638" s="540"/>
      <c r="G638" s="540"/>
      <c r="H638" s="540"/>
      <c r="I638" s="540"/>
      <c r="J638" s="540"/>
      <c r="K638" s="540"/>
      <c r="L638" s="540"/>
      <c r="M638" s="540"/>
      <c r="N638" s="540"/>
      <c r="O638" s="540"/>
      <c r="P638" s="540"/>
      <c r="Q638" s="540"/>
      <c r="R638" s="540"/>
      <c r="S638" s="540"/>
      <c r="T638" s="540"/>
      <c r="U638" s="540"/>
      <c r="V638" s="540"/>
      <c r="W638" s="540"/>
      <c r="X638" s="540"/>
      <c r="Y638" s="540"/>
      <c r="Z638" s="540"/>
    </row>
    <row r="639" ht="171.75" customHeight="1">
      <c r="A639" s="540"/>
      <c r="B639" s="540"/>
      <c r="C639" s="540"/>
      <c r="D639" s="540"/>
      <c r="E639" s="540"/>
      <c r="F639" s="540"/>
      <c r="G639" s="540"/>
      <c r="H639" s="540"/>
      <c r="I639" s="540"/>
      <c r="J639" s="540"/>
      <c r="K639" s="540"/>
      <c r="L639" s="540"/>
      <c r="M639" s="540"/>
      <c r="N639" s="540"/>
      <c r="O639" s="540"/>
      <c r="P639" s="540"/>
      <c r="Q639" s="540"/>
      <c r="R639" s="540"/>
      <c r="S639" s="540"/>
      <c r="T639" s="540"/>
      <c r="U639" s="540"/>
      <c r="V639" s="540"/>
      <c r="W639" s="540"/>
      <c r="X639" s="540"/>
      <c r="Y639" s="540"/>
      <c r="Z639" s="540"/>
    </row>
    <row r="640" ht="171.75" customHeight="1">
      <c r="A640" s="540"/>
      <c r="B640" s="540"/>
      <c r="C640" s="540"/>
      <c r="D640" s="540"/>
      <c r="E640" s="540"/>
      <c r="F640" s="540"/>
      <c r="G640" s="540"/>
      <c r="H640" s="540"/>
      <c r="I640" s="540"/>
      <c r="J640" s="540"/>
      <c r="K640" s="540"/>
      <c r="L640" s="540"/>
      <c r="M640" s="540"/>
      <c r="N640" s="540"/>
      <c r="O640" s="540"/>
      <c r="P640" s="540"/>
      <c r="Q640" s="540"/>
      <c r="R640" s="540"/>
      <c r="S640" s="540"/>
      <c r="T640" s="540"/>
      <c r="U640" s="540"/>
      <c r="V640" s="540"/>
      <c r="W640" s="540"/>
      <c r="X640" s="540"/>
      <c r="Y640" s="540"/>
      <c r="Z640" s="540"/>
    </row>
    <row r="641" ht="171.75" customHeight="1">
      <c r="A641" s="540"/>
      <c r="B641" s="540"/>
      <c r="C641" s="540"/>
      <c r="D641" s="540"/>
      <c r="E641" s="540"/>
      <c r="F641" s="540"/>
      <c r="G641" s="540"/>
      <c r="H641" s="540"/>
      <c r="I641" s="540"/>
      <c r="J641" s="540"/>
      <c r="K641" s="540"/>
      <c r="L641" s="540"/>
      <c r="M641" s="540"/>
      <c r="N641" s="540"/>
      <c r="O641" s="540"/>
      <c r="P641" s="540"/>
      <c r="Q641" s="540"/>
      <c r="R641" s="540"/>
      <c r="S641" s="540"/>
      <c r="T641" s="540"/>
      <c r="U641" s="540"/>
      <c r="V641" s="540"/>
      <c r="W641" s="540"/>
      <c r="X641" s="540"/>
      <c r="Y641" s="540"/>
      <c r="Z641" s="540"/>
    </row>
    <row r="642" ht="171.75" customHeight="1">
      <c r="A642" s="540"/>
      <c r="B642" s="540"/>
      <c r="C642" s="540"/>
      <c r="D642" s="540"/>
      <c r="E642" s="540"/>
      <c r="F642" s="540"/>
      <c r="G642" s="540"/>
      <c r="H642" s="540"/>
      <c r="I642" s="540"/>
      <c r="J642" s="540"/>
      <c r="K642" s="540"/>
      <c r="L642" s="540"/>
      <c r="M642" s="540"/>
      <c r="N642" s="540"/>
      <c r="O642" s="540"/>
      <c r="P642" s="540"/>
      <c r="Q642" s="540"/>
      <c r="R642" s="540"/>
      <c r="S642" s="540"/>
      <c r="T642" s="540"/>
      <c r="U642" s="540"/>
      <c r="V642" s="540"/>
      <c r="W642" s="540"/>
      <c r="X642" s="540"/>
      <c r="Y642" s="540"/>
      <c r="Z642" s="540"/>
    </row>
    <row r="643" ht="171.75" customHeight="1">
      <c r="A643" s="540"/>
      <c r="B643" s="540"/>
      <c r="C643" s="540"/>
      <c r="D643" s="540"/>
      <c r="E643" s="540"/>
      <c r="F643" s="540"/>
      <c r="G643" s="540"/>
      <c r="H643" s="540"/>
      <c r="I643" s="540"/>
      <c r="J643" s="540"/>
      <c r="K643" s="540"/>
      <c r="L643" s="540"/>
      <c r="M643" s="540"/>
      <c r="N643" s="540"/>
      <c r="O643" s="540"/>
      <c r="P643" s="540"/>
      <c r="Q643" s="540"/>
      <c r="R643" s="540"/>
      <c r="S643" s="540"/>
      <c r="T643" s="540"/>
      <c r="U643" s="540"/>
      <c r="V643" s="540"/>
      <c r="W643" s="540"/>
      <c r="X643" s="540"/>
      <c r="Y643" s="540"/>
      <c r="Z643" s="540"/>
    </row>
    <row r="644" ht="171.75" customHeight="1">
      <c r="A644" s="540"/>
      <c r="B644" s="540"/>
      <c r="C644" s="540"/>
      <c r="D644" s="540"/>
      <c r="E644" s="540"/>
      <c r="F644" s="540"/>
      <c r="G644" s="540"/>
      <c r="H644" s="540"/>
      <c r="I644" s="540"/>
      <c r="J644" s="540"/>
      <c r="K644" s="540"/>
      <c r="L644" s="540"/>
      <c r="M644" s="540"/>
      <c r="N644" s="540"/>
      <c r="O644" s="540"/>
      <c r="P644" s="540"/>
      <c r="Q644" s="540"/>
      <c r="R644" s="540"/>
      <c r="S644" s="540"/>
      <c r="T644" s="540"/>
      <c r="U644" s="540"/>
      <c r="V644" s="540"/>
      <c r="W644" s="540"/>
      <c r="X644" s="540"/>
      <c r="Y644" s="540"/>
      <c r="Z644" s="540"/>
    </row>
    <row r="645" ht="171.75" customHeight="1">
      <c r="A645" s="540"/>
      <c r="B645" s="540"/>
      <c r="C645" s="540"/>
      <c r="D645" s="540"/>
      <c r="E645" s="540"/>
      <c r="F645" s="540"/>
      <c r="G645" s="540"/>
      <c r="H645" s="540"/>
      <c r="I645" s="540"/>
      <c r="J645" s="540"/>
      <c r="K645" s="540"/>
      <c r="L645" s="540"/>
      <c r="M645" s="540"/>
      <c r="N645" s="540"/>
      <c r="O645" s="540"/>
      <c r="P645" s="540"/>
      <c r="Q645" s="540"/>
      <c r="R645" s="540"/>
      <c r="S645" s="540"/>
      <c r="T645" s="540"/>
      <c r="U645" s="540"/>
      <c r="V645" s="540"/>
      <c r="W645" s="540"/>
      <c r="X645" s="540"/>
      <c r="Y645" s="540"/>
      <c r="Z645" s="540"/>
    </row>
    <row r="646" ht="171.75" customHeight="1">
      <c r="A646" s="540"/>
      <c r="B646" s="540"/>
      <c r="C646" s="540"/>
      <c r="D646" s="540"/>
      <c r="E646" s="540"/>
      <c r="F646" s="540"/>
      <c r="G646" s="540"/>
      <c r="H646" s="540"/>
      <c r="I646" s="540"/>
      <c r="J646" s="540"/>
      <c r="K646" s="540"/>
      <c r="L646" s="540"/>
      <c r="M646" s="540"/>
      <c r="N646" s="540"/>
      <c r="O646" s="540"/>
      <c r="P646" s="540"/>
      <c r="Q646" s="540"/>
      <c r="R646" s="540"/>
      <c r="S646" s="540"/>
      <c r="T646" s="540"/>
      <c r="U646" s="540"/>
      <c r="V646" s="540"/>
      <c r="W646" s="540"/>
      <c r="X646" s="540"/>
      <c r="Y646" s="540"/>
      <c r="Z646" s="540"/>
    </row>
    <row r="647" ht="171.75" customHeight="1">
      <c r="A647" s="540"/>
      <c r="B647" s="540"/>
      <c r="C647" s="540"/>
      <c r="D647" s="540"/>
      <c r="E647" s="540"/>
      <c r="F647" s="540"/>
      <c r="G647" s="540"/>
      <c r="H647" s="540"/>
      <c r="I647" s="540"/>
      <c r="J647" s="540"/>
      <c r="K647" s="540"/>
      <c r="L647" s="540"/>
      <c r="M647" s="540"/>
      <c r="N647" s="540"/>
      <c r="O647" s="540"/>
      <c r="P647" s="540"/>
      <c r="Q647" s="540"/>
      <c r="R647" s="540"/>
      <c r="S647" s="540"/>
      <c r="T647" s="540"/>
      <c r="U647" s="540"/>
      <c r="V647" s="540"/>
      <c r="W647" s="540"/>
      <c r="X647" s="540"/>
      <c r="Y647" s="540"/>
      <c r="Z647" s="540"/>
    </row>
    <row r="648" ht="171.75" customHeight="1">
      <c r="A648" s="540"/>
      <c r="B648" s="540"/>
      <c r="C648" s="540"/>
      <c r="D648" s="540"/>
      <c r="E648" s="540"/>
      <c r="F648" s="540"/>
      <c r="G648" s="540"/>
      <c r="H648" s="540"/>
      <c r="I648" s="540"/>
      <c r="J648" s="540"/>
      <c r="K648" s="540"/>
      <c r="L648" s="540"/>
      <c r="M648" s="540"/>
      <c r="N648" s="540"/>
      <c r="O648" s="540"/>
      <c r="P648" s="540"/>
      <c r="Q648" s="540"/>
      <c r="R648" s="540"/>
      <c r="S648" s="540"/>
      <c r="T648" s="540"/>
      <c r="U648" s="540"/>
      <c r="V648" s="540"/>
      <c r="W648" s="540"/>
      <c r="X648" s="540"/>
      <c r="Y648" s="540"/>
      <c r="Z648" s="540"/>
    </row>
    <row r="649" ht="171.75" customHeight="1">
      <c r="A649" s="540"/>
      <c r="B649" s="540"/>
      <c r="C649" s="540"/>
      <c r="D649" s="540"/>
      <c r="E649" s="540"/>
      <c r="F649" s="540"/>
      <c r="G649" s="540"/>
      <c r="H649" s="540"/>
      <c r="I649" s="540"/>
      <c r="J649" s="540"/>
      <c r="K649" s="540"/>
      <c r="L649" s="540"/>
      <c r="M649" s="540"/>
      <c r="N649" s="540"/>
      <c r="O649" s="540"/>
      <c r="P649" s="540"/>
      <c r="Q649" s="540"/>
      <c r="R649" s="540"/>
      <c r="S649" s="540"/>
      <c r="T649" s="540"/>
      <c r="U649" s="540"/>
      <c r="V649" s="540"/>
      <c r="W649" s="540"/>
      <c r="X649" s="540"/>
      <c r="Y649" s="540"/>
      <c r="Z649" s="540"/>
    </row>
    <row r="650" ht="171.75" customHeight="1">
      <c r="A650" s="540"/>
      <c r="B650" s="540"/>
      <c r="C650" s="540"/>
      <c r="D650" s="540"/>
      <c r="E650" s="540"/>
      <c r="F650" s="540"/>
      <c r="G650" s="540"/>
      <c r="H650" s="540"/>
      <c r="I650" s="540"/>
      <c r="J650" s="540"/>
      <c r="K650" s="540"/>
      <c r="L650" s="540"/>
      <c r="M650" s="540"/>
      <c r="N650" s="540"/>
      <c r="O650" s="540"/>
      <c r="P650" s="540"/>
      <c r="Q650" s="540"/>
      <c r="R650" s="540"/>
      <c r="S650" s="540"/>
      <c r="T650" s="540"/>
      <c r="U650" s="540"/>
      <c r="V650" s="540"/>
      <c r="W650" s="540"/>
      <c r="X650" s="540"/>
      <c r="Y650" s="540"/>
      <c r="Z650" s="540"/>
    </row>
    <row r="651" ht="171.75" customHeight="1">
      <c r="A651" s="540"/>
      <c r="B651" s="540"/>
      <c r="C651" s="540"/>
      <c r="D651" s="540"/>
      <c r="E651" s="540"/>
      <c r="F651" s="540"/>
      <c r="G651" s="540"/>
      <c r="H651" s="540"/>
      <c r="I651" s="540"/>
      <c r="J651" s="540"/>
      <c r="K651" s="540"/>
      <c r="L651" s="540"/>
      <c r="M651" s="540"/>
      <c r="N651" s="540"/>
      <c r="O651" s="540"/>
      <c r="P651" s="540"/>
      <c r="Q651" s="540"/>
      <c r="R651" s="540"/>
      <c r="S651" s="540"/>
      <c r="T651" s="540"/>
      <c r="U651" s="540"/>
      <c r="V651" s="540"/>
      <c r="W651" s="540"/>
      <c r="X651" s="540"/>
      <c r="Y651" s="540"/>
      <c r="Z651" s="540"/>
    </row>
    <row r="652" ht="171.75" customHeight="1">
      <c r="A652" s="540"/>
      <c r="B652" s="540"/>
      <c r="C652" s="540"/>
      <c r="D652" s="540"/>
      <c r="E652" s="540"/>
      <c r="F652" s="540"/>
      <c r="G652" s="540"/>
      <c r="H652" s="540"/>
      <c r="I652" s="540"/>
      <c r="J652" s="540"/>
      <c r="K652" s="540"/>
      <c r="L652" s="540"/>
      <c r="M652" s="540"/>
      <c r="N652" s="540"/>
      <c r="O652" s="540"/>
      <c r="P652" s="540"/>
      <c r="Q652" s="540"/>
      <c r="R652" s="540"/>
      <c r="S652" s="540"/>
      <c r="T652" s="540"/>
      <c r="U652" s="540"/>
      <c r="V652" s="540"/>
      <c r="W652" s="540"/>
      <c r="X652" s="540"/>
      <c r="Y652" s="540"/>
      <c r="Z652" s="540"/>
    </row>
    <row r="653" ht="171.75" customHeight="1">
      <c r="A653" s="540"/>
      <c r="B653" s="540"/>
      <c r="C653" s="540"/>
      <c r="D653" s="540"/>
      <c r="E653" s="540"/>
      <c r="F653" s="540"/>
      <c r="G653" s="540"/>
      <c r="H653" s="540"/>
      <c r="I653" s="540"/>
      <c r="J653" s="540"/>
      <c r="K653" s="540"/>
      <c r="L653" s="540"/>
      <c r="M653" s="540"/>
      <c r="N653" s="540"/>
      <c r="O653" s="540"/>
      <c r="P653" s="540"/>
      <c r="Q653" s="540"/>
      <c r="R653" s="540"/>
      <c r="S653" s="540"/>
      <c r="T653" s="540"/>
      <c r="U653" s="540"/>
      <c r="V653" s="540"/>
      <c r="W653" s="540"/>
      <c r="X653" s="540"/>
      <c r="Y653" s="540"/>
      <c r="Z653" s="540"/>
    </row>
    <row r="654" ht="171.75" customHeight="1">
      <c r="A654" s="540"/>
      <c r="B654" s="540"/>
      <c r="C654" s="540"/>
      <c r="D654" s="540"/>
      <c r="E654" s="540"/>
      <c r="F654" s="540"/>
      <c r="G654" s="540"/>
      <c r="H654" s="540"/>
      <c r="I654" s="540"/>
      <c r="J654" s="540"/>
      <c r="K654" s="540"/>
      <c r="L654" s="540"/>
      <c r="M654" s="540"/>
      <c r="N654" s="540"/>
      <c r="O654" s="540"/>
      <c r="P654" s="540"/>
      <c r="Q654" s="540"/>
      <c r="R654" s="540"/>
      <c r="S654" s="540"/>
      <c r="T654" s="540"/>
      <c r="U654" s="540"/>
      <c r="V654" s="540"/>
      <c r="W654" s="540"/>
      <c r="X654" s="540"/>
      <c r="Y654" s="540"/>
      <c r="Z654" s="540"/>
    </row>
    <row r="655" ht="171.75" customHeight="1">
      <c r="A655" s="540"/>
      <c r="B655" s="540"/>
      <c r="C655" s="540"/>
      <c r="D655" s="540"/>
      <c r="E655" s="540"/>
      <c r="F655" s="540"/>
      <c r="G655" s="540"/>
      <c r="H655" s="540"/>
      <c r="I655" s="540"/>
      <c r="J655" s="540"/>
      <c r="K655" s="540"/>
      <c r="L655" s="540"/>
      <c r="M655" s="540"/>
      <c r="N655" s="540"/>
      <c r="O655" s="540"/>
      <c r="P655" s="540"/>
      <c r="Q655" s="540"/>
      <c r="R655" s="540"/>
      <c r="S655" s="540"/>
      <c r="T655" s="540"/>
      <c r="U655" s="540"/>
      <c r="V655" s="540"/>
      <c r="W655" s="540"/>
      <c r="X655" s="540"/>
      <c r="Y655" s="540"/>
      <c r="Z655" s="540"/>
    </row>
    <row r="656" ht="171.75" customHeight="1">
      <c r="A656" s="540"/>
      <c r="B656" s="540"/>
      <c r="C656" s="540"/>
      <c r="D656" s="540"/>
      <c r="E656" s="540"/>
      <c r="F656" s="540"/>
      <c r="G656" s="540"/>
      <c r="H656" s="540"/>
      <c r="I656" s="540"/>
      <c r="J656" s="540"/>
      <c r="K656" s="540"/>
      <c r="L656" s="540"/>
      <c r="M656" s="540"/>
      <c r="N656" s="540"/>
      <c r="O656" s="540"/>
      <c r="P656" s="540"/>
      <c r="Q656" s="540"/>
      <c r="R656" s="540"/>
      <c r="S656" s="540"/>
      <c r="T656" s="540"/>
      <c r="U656" s="540"/>
      <c r="V656" s="540"/>
      <c r="W656" s="540"/>
      <c r="X656" s="540"/>
      <c r="Y656" s="540"/>
      <c r="Z656" s="540"/>
    </row>
    <row r="657" ht="171.75" customHeight="1">
      <c r="A657" s="540"/>
      <c r="B657" s="540"/>
      <c r="C657" s="540"/>
      <c r="D657" s="540"/>
      <c r="E657" s="540"/>
      <c r="F657" s="540"/>
      <c r="G657" s="540"/>
      <c r="H657" s="540"/>
      <c r="I657" s="540"/>
      <c r="J657" s="540"/>
      <c r="K657" s="540"/>
      <c r="L657" s="540"/>
      <c r="M657" s="540"/>
      <c r="N657" s="540"/>
      <c r="O657" s="540"/>
      <c r="P657" s="540"/>
      <c r="Q657" s="540"/>
      <c r="R657" s="540"/>
      <c r="S657" s="540"/>
      <c r="T657" s="540"/>
      <c r="U657" s="540"/>
      <c r="V657" s="540"/>
      <c r="W657" s="540"/>
      <c r="X657" s="540"/>
      <c r="Y657" s="540"/>
      <c r="Z657" s="540"/>
    </row>
    <row r="658" ht="171.75" customHeight="1">
      <c r="A658" s="540"/>
      <c r="B658" s="540"/>
      <c r="C658" s="540"/>
      <c r="D658" s="540"/>
      <c r="E658" s="540"/>
      <c r="F658" s="540"/>
      <c r="G658" s="540"/>
      <c r="H658" s="540"/>
      <c r="I658" s="540"/>
      <c r="J658" s="540"/>
      <c r="K658" s="540"/>
      <c r="L658" s="540"/>
      <c r="M658" s="540"/>
      <c r="N658" s="540"/>
      <c r="O658" s="540"/>
      <c r="P658" s="540"/>
      <c r="Q658" s="540"/>
      <c r="R658" s="540"/>
      <c r="S658" s="540"/>
      <c r="T658" s="540"/>
      <c r="U658" s="540"/>
      <c r="V658" s="540"/>
      <c r="W658" s="540"/>
      <c r="X658" s="540"/>
      <c r="Y658" s="540"/>
      <c r="Z658" s="540"/>
    </row>
    <row r="659" ht="171.75" customHeight="1">
      <c r="A659" s="540"/>
      <c r="B659" s="540"/>
      <c r="C659" s="540"/>
      <c r="D659" s="540"/>
      <c r="E659" s="540"/>
      <c r="F659" s="540"/>
      <c r="G659" s="540"/>
      <c r="H659" s="540"/>
      <c r="I659" s="540"/>
      <c r="J659" s="540"/>
      <c r="K659" s="540"/>
      <c r="L659" s="540"/>
      <c r="M659" s="540"/>
      <c r="N659" s="540"/>
      <c r="O659" s="540"/>
      <c r="P659" s="540"/>
      <c r="Q659" s="540"/>
      <c r="R659" s="540"/>
      <c r="S659" s="540"/>
      <c r="T659" s="540"/>
      <c r="U659" s="540"/>
      <c r="V659" s="540"/>
      <c r="W659" s="540"/>
      <c r="X659" s="540"/>
      <c r="Y659" s="540"/>
      <c r="Z659" s="540"/>
    </row>
    <row r="660" ht="171.75" customHeight="1">
      <c r="A660" s="540"/>
      <c r="B660" s="540"/>
      <c r="C660" s="540"/>
      <c r="D660" s="540"/>
      <c r="E660" s="540"/>
      <c r="F660" s="540"/>
      <c r="G660" s="540"/>
      <c r="H660" s="540"/>
      <c r="I660" s="540"/>
      <c r="J660" s="540"/>
      <c r="K660" s="540"/>
      <c r="L660" s="540"/>
      <c r="M660" s="540"/>
      <c r="N660" s="540"/>
      <c r="O660" s="540"/>
      <c r="P660" s="540"/>
      <c r="Q660" s="540"/>
      <c r="R660" s="540"/>
      <c r="S660" s="540"/>
      <c r="T660" s="540"/>
      <c r="U660" s="540"/>
      <c r="V660" s="540"/>
      <c r="W660" s="540"/>
      <c r="X660" s="540"/>
      <c r="Y660" s="540"/>
      <c r="Z660" s="540"/>
    </row>
    <row r="661" ht="171.75" customHeight="1">
      <c r="A661" s="540"/>
      <c r="B661" s="540"/>
      <c r="C661" s="540"/>
      <c r="D661" s="540"/>
      <c r="E661" s="540"/>
      <c r="F661" s="540"/>
      <c r="G661" s="540"/>
      <c r="H661" s="540"/>
      <c r="I661" s="540"/>
      <c r="J661" s="540"/>
      <c r="K661" s="540"/>
      <c r="L661" s="540"/>
      <c r="M661" s="540"/>
      <c r="N661" s="540"/>
      <c r="O661" s="540"/>
      <c r="P661" s="540"/>
      <c r="Q661" s="540"/>
      <c r="R661" s="540"/>
      <c r="S661" s="540"/>
      <c r="T661" s="540"/>
      <c r="U661" s="540"/>
      <c r="V661" s="540"/>
      <c r="W661" s="540"/>
      <c r="X661" s="540"/>
      <c r="Y661" s="540"/>
      <c r="Z661" s="540"/>
    </row>
    <row r="662" ht="171.75" customHeight="1">
      <c r="A662" s="540"/>
      <c r="B662" s="540"/>
      <c r="C662" s="540"/>
      <c r="D662" s="540"/>
      <c r="E662" s="540"/>
      <c r="F662" s="540"/>
      <c r="G662" s="540"/>
      <c r="H662" s="540"/>
      <c r="I662" s="540"/>
      <c r="J662" s="540"/>
      <c r="K662" s="540"/>
      <c r="L662" s="540"/>
      <c r="M662" s="540"/>
      <c r="N662" s="540"/>
      <c r="O662" s="540"/>
      <c r="P662" s="540"/>
      <c r="Q662" s="540"/>
      <c r="R662" s="540"/>
      <c r="S662" s="540"/>
      <c r="T662" s="540"/>
      <c r="U662" s="540"/>
      <c r="V662" s="540"/>
      <c r="W662" s="540"/>
      <c r="X662" s="540"/>
      <c r="Y662" s="540"/>
      <c r="Z662" s="540"/>
    </row>
    <row r="663" ht="171.75" customHeight="1">
      <c r="A663" s="540"/>
      <c r="B663" s="540"/>
      <c r="C663" s="540"/>
      <c r="D663" s="540"/>
      <c r="E663" s="540"/>
      <c r="F663" s="540"/>
      <c r="G663" s="540"/>
      <c r="H663" s="540"/>
      <c r="I663" s="540"/>
      <c r="J663" s="540"/>
      <c r="K663" s="540"/>
      <c r="L663" s="540"/>
      <c r="M663" s="540"/>
      <c r="N663" s="540"/>
      <c r="O663" s="540"/>
      <c r="P663" s="540"/>
      <c r="Q663" s="540"/>
      <c r="R663" s="540"/>
      <c r="S663" s="540"/>
      <c r="T663" s="540"/>
      <c r="U663" s="540"/>
      <c r="V663" s="540"/>
      <c r="W663" s="540"/>
      <c r="X663" s="540"/>
      <c r="Y663" s="540"/>
      <c r="Z663" s="540"/>
    </row>
    <row r="664" ht="171.75" customHeight="1">
      <c r="A664" s="540"/>
      <c r="B664" s="540"/>
      <c r="C664" s="540"/>
      <c r="D664" s="540"/>
      <c r="E664" s="540"/>
      <c r="F664" s="540"/>
      <c r="G664" s="540"/>
      <c r="H664" s="540"/>
      <c r="I664" s="540"/>
      <c r="J664" s="540"/>
      <c r="K664" s="540"/>
      <c r="L664" s="540"/>
      <c r="M664" s="540"/>
      <c r="N664" s="540"/>
      <c r="O664" s="540"/>
      <c r="P664" s="540"/>
      <c r="Q664" s="540"/>
      <c r="R664" s="540"/>
      <c r="S664" s="540"/>
      <c r="T664" s="540"/>
      <c r="U664" s="540"/>
      <c r="V664" s="540"/>
      <c r="W664" s="540"/>
      <c r="X664" s="540"/>
      <c r="Y664" s="540"/>
      <c r="Z664" s="540"/>
    </row>
    <row r="665" ht="171.75" customHeight="1">
      <c r="A665" s="540"/>
      <c r="B665" s="540"/>
      <c r="C665" s="540"/>
      <c r="D665" s="540"/>
      <c r="E665" s="540"/>
      <c r="F665" s="540"/>
      <c r="G665" s="540"/>
      <c r="H665" s="540"/>
      <c r="I665" s="540"/>
      <c r="J665" s="540"/>
      <c r="K665" s="540"/>
      <c r="L665" s="540"/>
      <c r="M665" s="540"/>
      <c r="N665" s="540"/>
      <c r="O665" s="540"/>
      <c r="P665" s="540"/>
      <c r="Q665" s="540"/>
      <c r="R665" s="540"/>
      <c r="S665" s="540"/>
      <c r="T665" s="540"/>
      <c r="U665" s="540"/>
      <c r="V665" s="540"/>
      <c r="W665" s="540"/>
      <c r="X665" s="540"/>
      <c r="Y665" s="540"/>
      <c r="Z665" s="540"/>
    </row>
    <row r="666" ht="171.75" customHeight="1">
      <c r="A666" s="540"/>
      <c r="B666" s="540"/>
      <c r="C666" s="540"/>
      <c r="D666" s="540"/>
      <c r="E666" s="540"/>
      <c r="F666" s="540"/>
      <c r="G666" s="540"/>
      <c r="H666" s="540"/>
      <c r="I666" s="540"/>
      <c r="J666" s="540"/>
      <c r="K666" s="540"/>
      <c r="L666" s="540"/>
      <c r="M666" s="540"/>
      <c r="N666" s="540"/>
      <c r="O666" s="540"/>
      <c r="P666" s="540"/>
      <c r="Q666" s="540"/>
      <c r="R666" s="540"/>
      <c r="S666" s="540"/>
      <c r="T666" s="540"/>
      <c r="U666" s="540"/>
      <c r="V666" s="540"/>
      <c r="W666" s="540"/>
      <c r="X666" s="540"/>
      <c r="Y666" s="540"/>
      <c r="Z666" s="540"/>
    </row>
    <row r="667" ht="171.75" customHeight="1">
      <c r="A667" s="540"/>
      <c r="B667" s="540"/>
      <c r="C667" s="540"/>
      <c r="D667" s="540"/>
      <c r="E667" s="540"/>
      <c r="F667" s="540"/>
      <c r="G667" s="540"/>
      <c r="H667" s="540"/>
      <c r="I667" s="540"/>
      <c r="J667" s="540"/>
      <c r="K667" s="540"/>
      <c r="L667" s="540"/>
      <c r="M667" s="540"/>
      <c r="N667" s="540"/>
      <c r="O667" s="540"/>
      <c r="P667" s="540"/>
      <c r="Q667" s="540"/>
      <c r="R667" s="540"/>
      <c r="S667" s="540"/>
      <c r="T667" s="540"/>
      <c r="U667" s="540"/>
      <c r="V667" s="540"/>
      <c r="W667" s="540"/>
      <c r="X667" s="540"/>
      <c r="Y667" s="540"/>
      <c r="Z667" s="540"/>
    </row>
    <row r="668" ht="171.75" customHeight="1">
      <c r="A668" s="540"/>
      <c r="B668" s="540"/>
      <c r="C668" s="540"/>
      <c r="D668" s="540"/>
      <c r="E668" s="540"/>
      <c r="F668" s="540"/>
      <c r="G668" s="540"/>
      <c r="H668" s="540"/>
      <c r="I668" s="540"/>
      <c r="J668" s="540"/>
      <c r="K668" s="540"/>
      <c r="L668" s="540"/>
      <c r="M668" s="540"/>
      <c r="N668" s="540"/>
      <c r="O668" s="540"/>
      <c r="P668" s="540"/>
      <c r="Q668" s="540"/>
      <c r="R668" s="540"/>
      <c r="S668" s="540"/>
      <c r="T668" s="540"/>
      <c r="U668" s="540"/>
      <c r="V668" s="540"/>
      <c r="W668" s="540"/>
      <c r="X668" s="540"/>
      <c r="Y668" s="540"/>
      <c r="Z668" s="540"/>
    </row>
    <row r="669" ht="171.75" customHeight="1">
      <c r="A669" s="540"/>
      <c r="B669" s="540"/>
      <c r="C669" s="540"/>
      <c r="D669" s="540"/>
      <c r="E669" s="540"/>
      <c r="F669" s="540"/>
      <c r="G669" s="540"/>
      <c r="H669" s="540"/>
      <c r="I669" s="540"/>
      <c r="J669" s="540"/>
      <c r="K669" s="540"/>
      <c r="L669" s="540"/>
      <c r="M669" s="540"/>
      <c r="N669" s="540"/>
      <c r="O669" s="540"/>
      <c r="P669" s="540"/>
      <c r="Q669" s="540"/>
      <c r="R669" s="540"/>
      <c r="S669" s="540"/>
      <c r="T669" s="540"/>
      <c r="U669" s="540"/>
      <c r="V669" s="540"/>
      <c r="W669" s="540"/>
      <c r="X669" s="540"/>
      <c r="Y669" s="540"/>
      <c r="Z669" s="540"/>
    </row>
    <row r="670" ht="171.75" customHeight="1">
      <c r="A670" s="540"/>
      <c r="B670" s="540"/>
      <c r="C670" s="540"/>
      <c r="D670" s="540"/>
      <c r="E670" s="540"/>
      <c r="F670" s="540"/>
      <c r="G670" s="540"/>
      <c r="H670" s="540"/>
      <c r="I670" s="540"/>
      <c r="J670" s="540"/>
      <c r="K670" s="540"/>
      <c r="L670" s="540"/>
      <c r="M670" s="540"/>
      <c r="N670" s="540"/>
      <c r="O670" s="540"/>
      <c r="P670" s="540"/>
      <c r="Q670" s="540"/>
      <c r="R670" s="540"/>
      <c r="S670" s="540"/>
      <c r="T670" s="540"/>
      <c r="U670" s="540"/>
      <c r="V670" s="540"/>
      <c r="W670" s="540"/>
      <c r="X670" s="540"/>
      <c r="Y670" s="540"/>
      <c r="Z670" s="540"/>
    </row>
    <row r="671" ht="171.75" customHeight="1">
      <c r="A671" s="540"/>
      <c r="B671" s="540"/>
      <c r="C671" s="540"/>
      <c r="D671" s="540"/>
      <c r="E671" s="540"/>
      <c r="F671" s="540"/>
      <c r="G671" s="540"/>
      <c r="H671" s="540"/>
      <c r="I671" s="540"/>
      <c r="J671" s="540"/>
      <c r="K671" s="540"/>
      <c r="L671" s="540"/>
      <c r="M671" s="540"/>
      <c r="N671" s="540"/>
      <c r="O671" s="540"/>
      <c r="P671" s="540"/>
      <c r="Q671" s="540"/>
      <c r="R671" s="540"/>
      <c r="S671" s="540"/>
      <c r="T671" s="540"/>
      <c r="U671" s="540"/>
      <c r="V671" s="540"/>
      <c r="W671" s="540"/>
      <c r="X671" s="540"/>
      <c r="Y671" s="540"/>
      <c r="Z671" s="540"/>
    </row>
    <row r="672" ht="171.75" customHeight="1">
      <c r="A672" s="540"/>
      <c r="B672" s="540"/>
      <c r="C672" s="540"/>
      <c r="D672" s="540"/>
      <c r="E672" s="540"/>
      <c r="F672" s="540"/>
      <c r="G672" s="540"/>
      <c r="H672" s="540"/>
      <c r="I672" s="540"/>
      <c r="J672" s="540"/>
      <c r="K672" s="540"/>
      <c r="L672" s="540"/>
      <c r="M672" s="540"/>
      <c r="N672" s="540"/>
      <c r="O672" s="540"/>
      <c r="P672" s="540"/>
      <c r="Q672" s="540"/>
      <c r="R672" s="540"/>
      <c r="S672" s="540"/>
      <c r="T672" s="540"/>
      <c r="U672" s="540"/>
      <c r="V672" s="540"/>
      <c r="W672" s="540"/>
      <c r="X672" s="540"/>
      <c r="Y672" s="540"/>
      <c r="Z672" s="540"/>
    </row>
    <row r="673" ht="171.75" customHeight="1">
      <c r="A673" s="540"/>
      <c r="B673" s="540"/>
      <c r="C673" s="540"/>
      <c r="D673" s="540"/>
      <c r="E673" s="540"/>
      <c r="F673" s="540"/>
      <c r="G673" s="540"/>
      <c r="H673" s="540"/>
      <c r="I673" s="540"/>
      <c r="J673" s="540"/>
      <c r="K673" s="540"/>
      <c r="L673" s="540"/>
      <c r="M673" s="540"/>
      <c r="N673" s="540"/>
      <c r="O673" s="540"/>
      <c r="P673" s="540"/>
      <c r="Q673" s="540"/>
      <c r="R673" s="540"/>
      <c r="S673" s="540"/>
      <c r="T673" s="540"/>
      <c r="U673" s="540"/>
      <c r="V673" s="540"/>
      <c r="W673" s="540"/>
      <c r="X673" s="540"/>
      <c r="Y673" s="540"/>
      <c r="Z673" s="540"/>
    </row>
    <row r="674" ht="171.75" customHeight="1">
      <c r="A674" s="540"/>
      <c r="B674" s="540"/>
      <c r="C674" s="540"/>
      <c r="D674" s="540"/>
      <c r="E674" s="540"/>
      <c r="F674" s="540"/>
      <c r="G674" s="540"/>
      <c r="H674" s="540"/>
      <c r="I674" s="540"/>
      <c r="J674" s="540"/>
      <c r="K674" s="540"/>
      <c r="L674" s="540"/>
      <c r="M674" s="540"/>
      <c r="N674" s="540"/>
      <c r="O674" s="540"/>
      <c r="P674" s="540"/>
      <c r="Q674" s="540"/>
      <c r="R674" s="540"/>
      <c r="S674" s="540"/>
      <c r="T674" s="540"/>
      <c r="U674" s="540"/>
      <c r="V674" s="540"/>
      <c r="W674" s="540"/>
      <c r="X674" s="540"/>
      <c r="Y674" s="540"/>
      <c r="Z674" s="540"/>
    </row>
    <row r="675" ht="171.75" customHeight="1">
      <c r="A675" s="540"/>
      <c r="B675" s="540"/>
      <c r="C675" s="540"/>
      <c r="D675" s="540"/>
      <c r="E675" s="540"/>
      <c r="F675" s="540"/>
      <c r="G675" s="540"/>
      <c r="H675" s="540"/>
      <c r="I675" s="540"/>
      <c r="J675" s="540"/>
      <c r="K675" s="540"/>
      <c r="L675" s="540"/>
      <c r="M675" s="540"/>
      <c r="N675" s="540"/>
      <c r="O675" s="540"/>
      <c r="P675" s="540"/>
      <c r="Q675" s="540"/>
      <c r="R675" s="540"/>
      <c r="S675" s="540"/>
      <c r="T675" s="540"/>
      <c r="U675" s="540"/>
      <c r="V675" s="540"/>
      <c r="W675" s="540"/>
      <c r="X675" s="540"/>
      <c r="Y675" s="540"/>
      <c r="Z675" s="540"/>
    </row>
    <row r="676" ht="171.75" customHeight="1">
      <c r="A676" s="540"/>
      <c r="B676" s="540"/>
      <c r="C676" s="540"/>
      <c r="D676" s="540"/>
      <c r="E676" s="540"/>
      <c r="F676" s="540"/>
      <c r="G676" s="540"/>
      <c r="H676" s="540"/>
      <c r="I676" s="540"/>
      <c r="J676" s="540"/>
      <c r="K676" s="540"/>
      <c r="L676" s="540"/>
      <c r="M676" s="540"/>
      <c r="N676" s="540"/>
      <c r="O676" s="540"/>
      <c r="P676" s="540"/>
      <c r="Q676" s="540"/>
      <c r="R676" s="540"/>
      <c r="S676" s="540"/>
      <c r="T676" s="540"/>
      <c r="U676" s="540"/>
      <c r="V676" s="540"/>
      <c r="W676" s="540"/>
      <c r="X676" s="540"/>
      <c r="Y676" s="540"/>
      <c r="Z676" s="540"/>
    </row>
    <row r="677" ht="171.75" customHeight="1">
      <c r="A677" s="540"/>
      <c r="B677" s="540"/>
      <c r="C677" s="540"/>
      <c r="D677" s="540"/>
      <c r="E677" s="540"/>
      <c r="F677" s="540"/>
      <c r="G677" s="540"/>
      <c r="H677" s="540"/>
      <c r="I677" s="540"/>
      <c r="J677" s="540"/>
      <c r="K677" s="540"/>
      <c r="L677" s="540"/>
      <c r="M677" s="540"/>
      <c r="N677" s="540"/>
      <c r="O677" s="540"/>
      <c r="P677" s="540"/>
      <c r="Q677" s="540"/>
      <c r="R677" s="540"/>
      <c r="S677" s="540"/>
      <c r="T677" s="540"/>
      <c r="U677" s="540"/>
      <c r="V677" s="540"/>
      <c r="W677" s="540"/>
      <c r="X677" s="540"/>
      <c r="Y677" s="540"/>
      <c r="Z677" s="540"/>
    </row>
    <row r="678" ht="171.75" customHeight="1">
      <c r="A678" s="540"/>
      <c r="B678" s="540"/>
      <c r="C678" s="540"/>
      <c r="D678" s="540"/>
      <c r="E678" s="540"/>
      <c r="F678" s="540"/>
      <c r="G678" s="540"/>
      <c r="H678" s="540"/>
      <c r="I678" s="540"/>
      <c r="J678" s="540"/>
      <c r="K678" s="540"/>
      <c r="L678" s="540"/>
      <c r="M678" s="540"/>
      <c r="N678" s="540"/>
      <c r="O678" s="540"/>
      <c r="P678" s="540"/>
      <c r="Q678" s="540"/>
      <c r="R678" s="540"/>
      <c r="S678" s="540"/>
      <c r="T678" s="540"/>
      <c r="U678" s="540"/>
      <c r="V678" s="540"/>
      <c r="W678" s="540"/>
      <c r="X678" s="540"/>
      <c r="Y678" s="540"/>
      <c r="Z678" s="540"/>
    </row>
    <row r="679" ht="171.75" customHeight="1">
      <c r="A679" s="540"/>
      <c r="B679" s="540"/>
      <c r="C679" s="540"/>
      <c r="D679" s="540"/>
      <c r="E679" s="540"/>
      <c r="F679" s="540"/>
      <c r="G679" s="540"/>
      <c r="H679" s="540"/>
      <c r="I679" s="540"/>
      <c r="J679" s="540"/>
      <c r="K679" s="540"/>
      <c r="L679" s="540"/>
      <c r="M679" s="540"/>
      <c r="N679" s="540"/>
      <c r="O679" s="540"/>
      <c r="P679" s="540"/>
      <c r="Q679" s="540"/>
      <c r="R679" s="540"/>
      <c r="S679" s="540"/>
      <c r="T679" s="540"/>
      <c r="U679" s="540"/>
      <c r="V679" s="540"/>
      <c r="W679" s="540"/>
      <c r="X679" s="540"/>
      <c r="Y679" s="540"/>
      <c r="Z679" s="540"/>
    </row>
    <row r="680" ht="171.75" customHeight="1">
      <c r="A680" s="540"/>
      <c r="B680" s="540"/>
      <c r="C680" s="540"/>
      <c r="D680" s="540"/>
      <c r="E680" s="540"/>
      <c r="F680" s="540"/>
      <c r="G680" s="540"/>
      <c r="H680" s="540"/>
      <c r="I680" s="540"/>
      <c r="J680" s="540"/>
      <c r="K680" s="540"/>
      <c r="L680" s="540"/>
      <c r="M680" s="540"/>
      <c r="N680" s="540"/>
      <c r="O680" s="540"/>
      <c r="P680" s="540"/>
      <c r="Q680" s="540"/>
      <c r="R680" s="540"/>
      <c r="S680" s="540"/>
      <c r="T680" s="540"/>
      <c r="U680" s="540"/>
      <c r="V680" s="540"/>
      <c r="W680" s="540"/>
      <c r="X680" s="540"/>
      <c r="Y680" s="540"/>
      <c r="Z680" s="540"/>
    </row>
    <row r="681" ht="171.75" customHeight="1">
      <c r="A681" s="540"/>
      <c r="B681" s="540"/>
      <c r="C681" s="540"/>
      <c r="D681" s="540"/>
      <c r="E681" s="540"/>
      <c r="F681" s="540"/>
      <c r="G681" s="540"/>
      <c r="H681" s="540"/>
      <c r="I681" s="540"/>
      <c r="J681" s="540"/>
      <c r="K681" s="540"/>
      <c r="L681" s="540"/>
      <c r="M681" s="540"/>
      <c r="N681" s="540"/>
      <c r="O681" s="540"/>
      <c r="P681" s="540"/>
      <c r="Q681" s="540"/>
      <c r="R681" s="540"/>
      <c r="S681" s="540"/>
      <c r="T681" s="540"/>
      <c r="U681" s="540"/>
      <c r="V681" s="540"/>
      <c r="W681" s="540"/>
      <c r="X681" s="540"/>
      <c r="Y681" s="540"/>
      <c r="Z681" s="540"/>
    </row>
    <row r="682" ht="171.75" customHeight="1">
      <c r="A682" s="540"/>
      <c r="B682" s="540"/>
      <c r="C682" s="540"/>
      <c r="D682" s="540"/>
      <c r="E682" s="540"/>
      <c r="F682" s="540"/>
      <c r="G682" s="540"/>
      <c r="H682" s="540"/>
      <c r="I682" s="540"/>
      <c r="J682" s="540"/>
      <c r="K682" s="540"/>
      <c r="L682" s="540"/>
      <c r="M682" s="540"/>
      <c r="N682" s="540"/>
      <c r="O682" s="540"/>
      <c r="P682" s="540"/>
      <c r="Q682" s="540"/>
      <c r="R682" s="540"/>
      <c r="S682" s="540"/>
      <c r="T682" s="540"/>
      <c r="U682" s="540"/>
      <c r="V682" s="540"/>
      <c r="W682" s="540"/>
      <c r="X682" s="540"/>
      <c r="Y682" s="540"/>
      <c r="Z682" s="540"/>
    </row>
    <row r="683" ht="171.75" customHeight="1">
      <c r="A683" s="540"/>
      <c r="B683" s="540"/>
      <c r="C683" s="540"/>
      <c r="D683" s="540"/>
      <c r="E683" s="540"/>
      <c r="F683" s="540"/>
      <c r="G683" s="540"/>
      <c r="H683" s="540"/>
      <c r="I683" s="540"/>
      <c r="J683" s="540"/>
      <c r="K683" s="540"/>
      <c r="L683" s="540"/>
      <c r="M683" s="540"/>
      <c r="N683" s="540"/>
      <c r="O683" s="540"/>
      <c r="P683" s="540"/>
      <c r="Q683" s="540"/>
      <c r="R683" s="540"/>
      <c r="S683" s="540"/>
      <c r="T683" s="540"/>
      <c r="U683" s="540"/>
      <c r="V683" s="540"/>
      <c r="W683" s="540"/>
      <c r="X683" s="540"/>
      <c r="Y683" s="540"/>
      <c r="Z683" s="540"/>
    </row>
    <row r="684" ht="171.75" customHeight="1">
      <c r="A684" s="540"/>
      <c r="B684" s="540"/>
      <c r="C684" s="540"/>
      <c r="D684" s="540"/>
      <c r="E684" s="540"/>
      <c r="F684" s="540"/>
      <c r="G684" s="540"/>
      <c r="H684" s="540"/>
      <c r="I684" s="540"/>
      <c r="J684" s="540"/>
      <c r="K684" s="540"/>
      <c r="L684" s="540"/>
      <c r="M684" s="540"/>
      <c r="N684" s="540"/>
      <c r="O684" s="540"/>
      <c r="P684" s="540"/>
      <c r="Q684" s="540"/>
      <c r="R684" s="540"/>
      <c r="S684" s="540"/>
      <c r="T684" s="540"/>
      <c r="U684" s="540"/>
      <c r="V684" s="540"/>
      <c r="W684" s="540"/>
      <c r="X684" s="540"/>
      <c r="Y684" s="540"/>
      <c r="Z684" s="540"/>
    </row>
    <row r="685" ht="171.75" customHeight="1">
      <c r="A685" s="540"/>
      <c r="B685" s="540"/>
      <c r="C685" s="540"/>
      <c r="D685" s="540"/>
      <c r="E685" s="540"/>
      <c r="F685" s="540"/>
      <c r="G685" s="540"/>
      <c r="H685" s="540"/>
      <c r="I685" s="540"/>
      <c r="J685" s="540"/>
      <c r="K685" s="540"/>
      <c r="L685" s="540"/>
      <c r="M685" s="540"/>
      <c r="N685" s="540"/>
      <c r="O685" s="540"/>
      <c r="P685" s="540"/>
      <c r="Q685" s="540"/>
      <c r="R685" s="540"/>
      <c r="S685" s="540"/>
      <c r="T685" s="540"/>
      <c r="U685" s="540"/>
      <c r="V685" s="540"/>
      <c r="W685" s="540"/>
      <c r="X685" s="540"/>
      <c r="Y685" s="540"/>
      <c r="Z685" s="540"/>
    </row>
    <row r="686" ht="171.75" customHeight="1">
      <c r="A686" s="540"/>
      <c r="B686" s="540"/>
      <c r="C686" s="540"/>
      <c r="D686" s="540"/>
      <c r="E686" s="540"/>
      <c r="F686" s="540"/>
      <c r="G686" s="540"/>
      <c r="H686" s="540"/>
      <c r="I686" s="540"/>
      <c r="J686" s="540"/>
      <c r="K686" s="540"/>
      <c r="L686" s="540"/>
      <c r="M686" s="540"/>
      <c r="N686" s="540"/>
      <c r="O686" s="540"/>
      <c r="P686" s="540"/>
      <c r="Q686" s="540"/>
      <c r="R686" s="540"/>
      <c r="S686" s="540"/>
      <c r="T686" s="540"/>
      <c r="U686" s="540"/>
      <c r="V686" s="540"/>
      <c r="W686" s="540"/>
      <c r="X686" s="540"/>
      <c r="Y686" s="540"/>
      <c r="Z686" s="540"/>
    </row>
    <row r="687" ht="171.75" customHeight="1">
      <c r="A687" s="540"/>
      <c r="B687" s="540"/>
      <c r="C687" s="540"/>
      <c r="D687" s="540"/>
      <c r="E687" s="540"/>
      <c r="F687" s="540"/>
      <c r="G687" s="540"/>
      <c r="H687" s="540"/>
      <c r="I687" s="540"/>
      <c r="J687" s="540"/>
      <c r="K687" s="540"/>
      <c r="L687" s="540"/>
      <c r="M687" s="540"/>
      <c r="N687" s="540"/>
      <c r="O687" s="540"/>
      <c r="P687" s="540"/>
      <c r="Q687" s="540"/>
      <c r="R687" s="540"/>
      <c r="S687" s="540"/>
      <c r="T687" s="540"/>
      <c r="U687" s="540"/>
      <c r="V687" s="540"/>
      <c r="W687" s="540"/>
      <c r="X687" s="540"/>
      <c r="Y687" s="540"/>
      <c r="Z687" s="540"/>
    </row>
    <row r="688" ht="171.75" customHeight="1">
      <c r="A688" s="540"/>
      <c r="B688" s="540"/>
      <c r="C688" s="540"/>
      <c r="D688" s="540"/>
      <c r="E688" s="540"/>
      <c r="F688" s="540"/>
      <c r="G688" s="540"/>
      <c r="H688" s="540"/>
      <c r="I688" s="540"/>
      <c r="J688" s="540"/>
      <c r="K688" s="540"/>
      <c r="L688" s="540"/>
      <c r="M688" s="540"/>
      <c r="N688" s="540"/>
      <c r="O688" s="540"/>
      <c r="P688" s="540"/>
      <c r="Q688" s="540"/>
      <c r="R688" s="540"/>
      <c r="S688" s="540"/>
      <c r="T688" s="540"/>
      <c r="U688" s="540"/>
      <c r="V688" s="540"/>
      <c r="W688" s="540"/>
      <c r="X688" s="540"/>
      <c r="Y688" s="540"/>
      <c r="Z688" s="540"/>
    </row>
    <row r="689" ht="171.75" customHeight="1">
      <c r="A689" s="540"/>
      <c r="B689" s="540"/>
      <c r="C689" s="540"/>
      <c r="D689" s="540"/>
      <c r="E689" s="540"/>
      <c r="F689" s="540"/>
      <c r="G689" s="540"/>
      <c r="H689" s="540"/>
      <c r="I689" s="540"/>
      <c r="J689" s="540"/>
      <c r="K689" s="540"/>
      <c r="L689" s="540"/>
      <c r="M689" s="540"/>
      <c r="N689" s="540"/>
      <c r="O689" s="540"/>
      <c r="P689" s="540"/>
      <c r="Q689" s="540"/>
      <c r="R689" s="540"/>
      <c r="S689" s="540"/>
      <c r="T689" s="540"/>
      <c r="U689" s="540"/>
      <c r="V689" s="540"/>
      <c r="W689" s="540"/>
      <c r="X689" s="540"/>
      <c r="Y689" s="540"/>
      <c r="Z689" s="540"/>
    </row>
    <row r="690" ht="171.75" customHeight="1">
      <c r="A690" s="540"/>
      <c r="B690" s="540"/>
      <c r="C690" s="540"/>
      <c r="D690" s="540"/>
      <c r="E690" s="540"/>
      <c r="F690" s="540"/>
      <c r="G690" s="540"/>
      <c r="H690" s="540"/>
      <c r="I690" s="540"/>
      <c r="J690" s="540"/>
      <c r="K690" s="540"/>
      <c r="L690" s="540"/>
      <c r="M690" s="540"/>
      <c r="N690" s="540"/>
      <c r="O690" s="540"/>
      <c r="P690" s="540"/>
      <c r="Q690" s="540"/>
      <c r="R690" s="540"/>
      <c r="S690" s="540"/>
      <c r="T690" s="540"/>
      <c r="U690" s="540"/>
      <c r="V690" s="540"/>
      <c r="W690" s="540"/>
      <c r="X690" s="540"/>
      <c r="Y690" s="540"/>
      <c r="Z690" s="540"/>
    </row>
    <row r="691" ht="171.75" customHeight="1">
      <c r="A691" s="540"/>
      <c r="B691" s="540"/>
      <c r="C691" s="540"/>
      <c r="D691" s="540"/>
      <c r="E691" s="540"/>
      <c r="F691" s="540"/>
      <c r="G691" s="540"/>
      <c r="H691" s="540"/>
      <c r="I691" s="540"/>
      <c r="J691" s="540"/>
      <c r="K691" s="540"/>
      <c r="L691" s="540"/>
      <c r="M691" s="540"/>
      <c r="N691" s="540"/>
      <c r="O691" s="540"/>
      <c r="P691" s="540"/>
      <c r="Q691" s="540"/>
      <c r="R691" s="540"/>
      <c r="S691" s="540"/>
      <c r="T691" s="540"/>
      <c r="U691" s="540"/>
      <c r="V691" s="540"/>
      <c r="W691" s="540"/>
      <c r="X691" s="540"/>
      <c r="Y691" s="540"/>
      <c r="Z691" s="540"/>
    </row>
    <row r="692" ht="171.75" customHeight="1">
      <c r="A692" s="540"/>
      <c r="B692" s="540"/>
      <c r="C692" s="540"/>
      <c r="D692" s="540"/>
      <c r="E692" s="540"/>
      <c r="F692" s="540"/>
      <c r="G692" s="540"/>
      <c r="H692" s="540"/>
      <c r="I692" s="540"/>
      <c r="J692" s="540"/>
      <c r="K692" s="540"/>
      <c r="L692" s="540"/>
      <c r="M692" s="540"/>
      <c r="N692" s="540"/>
      <c r="O692" s="540"/>
      <c r="P692" s="540"/>
      <c r="Q692" s="540"/>
      <c r="R692" s="540"/>
      <c r="S692" s="540"/>
      <c r="T692" s="540"/>
      <c r="U692" s="540"/>
      <c r="V692" s="540"/>
      <c r="W692" s="540"/>
      <c r="X692" s="540"/>
      <c r="Y692" s="540"/>
      <c r="Z692" s="540"/>
    </row>
    <row r="693" ht="171.75" customHeight="1">
      <c r="A693" s="540"/>
      <c r="B693" s="540"/>
      <c r="C693" s="540"/>
      <c r="D693" s="540"/>
      <c r="E693" s="540"/>
      <c r="F693" s="540"/>
      <c r="G693" s="540"/>
      <c r="H693" s="540"/>
      <c r="I693" s="540"/>
      <c r="J693" s="540"/>
      <c r="K693" s="540"/>
      <c r="L693" s="540"/>
      <c r="M693" s="540"/>
      <c r="N693" s="540"/>
      <c r="O693" s="540"/>
      <c r="P693" s="540"/>
      <c r="Q693" s="540"/>
      <c r="R693" s="540"/>
      <c r="S693" s="540"/>
      <c r="T693" s="540"/>
      <c r="U693" s="540"/>
      <c r="V693" s="540"/>
      <c r="W693" s="540"/>
      <c r="X693" s="540"/>
      <c r="Y693" s="540"/>
      <c r="Z693" s="540"/>
    </row>
    <row r="694" ht="171.75" customHeight="1">
      <c r="A694" s="540"/>
      <c r="B694" s="540"/>
      <c r="C694" s="540"/>
      <c r="D694" s="540"/>
      <c r="E694" s="540"/>
      <c r="F694" s="540"/>
      <c r="G694" s="540"/>
      <c r="H694" s="540"/>
      <c r="I694" s="540"/>
      <c r="J694" s="540"/>
      <c r="K694" s="540"/>
      <c r="L694" s="540"/>
      <c r="M694" s="540"/>
      <c r="N694" s="540"/>
      <c r="O694" s="540"/>
      <c r="P694" s="540"/>
      <c r="Q694" s="540"/>
      <c r="R694" s="540"/>
      <c r="S694" s="540"/>
      <c r="T694" s="540"/>
      <c r="U694" s="540"/>
      <c r="V694" s="540"/>
      <c r="W694" s="540"/>
      <c r="X694" s="540"/>
      <c r="Y694" s="540"/>
      <c r="Z694" s="540"/>
    </row>
    <row r="695" ht="171.75" customHeight="1">
      <c r="A695" s="540"/>
      <c r="B695" s="540"/>
      <c r="C695" s="540"/>
      <c r="D695" s="540"/>
      <c r="E695" s="540"/>
      <c r="F695" s="540"/>
      <c r="G695" s="540"/>
      <c r="H695" s="540"/>
      <c r="I695" s="540"/>
      <c r="J695" s="540"/>
      <c r="K695" s="540"/>
      <c r="L695" s="540"/>
      <c r="M695" s="540"/>
      <c r="N695" s="540"/>
      <c r="O695" s="540"/>
      <c r="P695" s="540"/>
      <c r="Q695" s="540"/>
      <c r="R695" s="540"/>
      <c r="S695" s="540"/>
      <c r="T695" s="540"/>
      <c r="U695" s="540"/>
      <c r="V695" s="540"/>
      <c r="W695" s="540"/>
      <c r="X695" s="540"/>
      <c r="Y695" s="540"/>
      <c r="Z695" s="540"/>
    </row>
    <row r="696" ht="171.75" customHeight="1">
      <c r="A696" s="540"/>
      <c r="B696" s="540"/>
      <c r="C696" s="540"/>
      <c r="D696" s="540"/>
      <c r="E696" s="540"/>
      <c r="F696" s="540"/>
      <c r="G696" s="540"/>
      <c r="H696" s="540"/>
      <c r="I696" s="540"/>
      <c r="J696" s="540"/>
      <c r="K696" s="540"/>
      <c r="L696" s="540"/>
      <c r="M696" s="540"/>
      <c r="N696" s="540"/>
      <c r="O696" s="540"/>
      <c r="P696" s="540"/>
      <c r="Q696" s="540"/>
      <c r="R696" s="540"/>
      <c r="S696" s="540"/>
      <c r="T696" s="540"/>
      <c r="U696" s="540"/>
      <c r="V696" s="540"/>
      <c r="W696" s="540"/>
      <c r="X696" s="540"/>
      <c r="Y696" s="540"/>
      <c r="Z696" s="540"/>
    </row>
    <row r="697" ht="171.75" customHeight="1">
      <c r="A697" s="540"/>
      <c r="B697" s="540"/>
      <c r="C697" s="540"/>
      <c r="D697" s="540"/>
      <c r="E697" s="540"/>
      <c r="F697" s="540"/>
      <c r="G697" s="540"/>
      <c r="H697" s="540"/>
      <c r="I697" s="540"/>
      <c r="J697" s="540"/>
      <c r="K697" s="540"/>
      <c r="L697" s="540"/>
      <c r="M697" s="540"/>
      <c r="N697" s="540"/>
      <c r="O697" s="540"/>
      <c r="P697" s="540"/>
      <c r="Q697" s="540"/>
      <c r="R697" s="540"/>
      <c r="S697" s="540"/>
      <c r="T697" s="540"/>
      <c r="U697" s="540"/>
      <c r="V697" s="540"/>
      <c r="W697" s="540"/>
      <c r="X697" s="540"/>
      <c r="Y697" s="540"/>
      <c r="Z697" s="540"/>
    </row>
    <row r="698" ht="171.75" customHeight="1">
      <c r="A698" s="540"/>
      <c r="B698" s="540"/>
      <c r="C698" s="540"/>
      <c r="D698" s="540"/>
      <c r="E698" s="540"/>
      <c r="F698" s="540"/>
      <c r="G698" s="540"/>
      <c r="H698" s="540"/>
      <c r="I698" s="540"/>
      <c r="J698" s="540"/>
      <c r="K698" s="540"/>
      <c r="L698" s="540"/>
      <c r="M698" s="540"/>
      <c r="N698" s="540"/>
      <c r="O698" s="540"/>
      <c r="P698" s="540"/>
      <c r="Q698" s="540"/>
      <c r="R698" s="540"/>
      <c r="S698" s="540"/>
      <c r="T698" s="540"/>
      <c r="U698" s="540"/>
      <c r="V698" s="540"/>
      <c r="W698" s="540"/>
      <c r="X698" s="540"/>
      <c r="Y698" s="540"/>
      <c r="Z698" s="540"/>
    </row>
    <row r="699" ht="171.75" customHeight="1">
      <c r="A699" s="540"/>
      <c r="B699" s="540"/>
      <c r="C699" s="540"/>
      <c r="D699" s="540"/>
      <c r="E699" s="540"/>
      <c r="F699" s="540"/>
      <c r="G699" s="540"/>
      <c r="H699" s="540"/>
      <c r="I699" s="540"/>
      <c r="J699" s="540"/>
      <c r="K699" s="540"/>
      <c r="L699" s="540"/>
      <c r="M699" s="540"/>
      <c r="N699" s="540"/>
      <c r="O699" s="540"/>
      <c r="P699" s="540"/>
      <c r="Q699" s="540"/>
      <c r="R699" s="540"/>
      <c r="S699" s="540"/>
      <c r="T699" s="540"/>
      <c r="U699" s="540"/>
      <c r="V699" s="540"/>
      <c r="W699" s="540"/>
      <c r="X699" s="540"/>
      <c r="Y699" s="540"/>
      <c r="Z699" s="540"/>
    </row>
    <row r="700" ht="171.75" customHeight="1">
      <c r="A700" s="540"/>
      <c r="B700" s="540"/>
      <c r="C700" s="540"/>
      <c r="D700" s="540"/>
      <c r="E700" s="540"/>
      <c r="F700" s="540"/>
      <c r="G700" s="540"/>
      <c r="H700" s="540"/>
      <c r="I700" s="540"/>
      <c r="J700" s="540"/>
      <c r="K700" s="540"/>
      <c r="L700" s="540"/>
      <c r="M700" s="540"/>
      <c r="N700" s="540"/>
      <c r="O700" s="540"/>
      <c r="P700" s="540"/>
      <c r="Q700" s="540"/>
      <c r="R700" s="540"/>
      <c r="S700" s="540"/>
      <c r="T700" s="540"/>
      <c r="U700" s="540"/>
      <c r="V700" s="540"/>
      <c r="W700" s="540"/>
      <c r="X700" s="540"/>
      <c r="Y700" s="540"/>
      <c r="Z700" s="540"/>
    </row>
    <row r="701" ht="171.75" customHeight="1">
      <c r="A701" s="540"/>
      <c r="B701" s="540"/>
      <c r="C701" s="540"/>
      <c r="D701" s="540"/>
      <c r="E701" s="540"/>
      <c r="F701" s="540"/>
      <c r="G701" s="540"/>
      <c r="H701" s="540"/>
      <c r="I701" s="540"/>
      <c r="J701" s="540"/>
      <c r="K701" s="540"/>
      <c r="L701" s="540"/>
      <c r="M701" s="540"/>
      <c r="N701" s="540"/>
      <c r="O701" s="540"/>
      <c r="P701" s="540"/>
      <c r="Q701" s="540"/>
      <c r="R701" s="540"/>
      <c r="S701" s="540"/>
      <c r="T701" s="540"/>
      <c r="U701" s="540"/>
      <c r="V701" s="540"/>
      <c r="W701" s="540"/>
      <c r="X701" s="540"/>
      <c r="Y701" s="540"/>
      <c r="Z701" s="540"/>
    </row>
    <row r="702" ht="171.75" customHeight="1">
      <c r="A702" s="540"/>
      <c r="B702" s="540"/>
      <c r="C702" s="540"/>
      <c r="D702" s="540"/>
      <c r="E702" s="540"/>
      <c r="F702" s="540"/>
      <c r="G702" s="540"/>
      <c r="H702" s="540"/>
      <c r="I702" s="540"/>
      <c r="J702" s="540"/>
      <c r="K702" s="540"/>
      <c r="L702" s="540"/>
      <c r="M702" s="540"/>
      <c r="N702" s="540"/>
      <c r="O702" s="540"/>
      <c r="P702" s="540"/>
      <c r="Q702" s="540"/>
      <c r="R702" s="540"/>
      <c r="S702" s="540"/>
      <c r="T702" s="540"/>
      <c r="U702" s="540"/>
      <c r="V702" s="540"/>
      <c r="W702" s="540"/>
      <c r="X702" s="540"/>
      <c r="Y702" s="540"/>
      <c r="Z702" s="540"/>
    </row>
    <row r="703" ht="171.75" customHeight="1">
      <c r="A703" s="540"/>
      <c r="B703" s="540"/>
      <c r="C703" s="540"/>
      <c r="D703" s="540"/>
      <c r="E703" s="540"/>
      <c r="F703" s="540"/>
      <c r="G703" s="540"/>
      <c r="H703" s="540"/>
      <c r="I703" s="540"/>
      <c r="J703" s="540"/>
      <c r="K703" s="540"/>
      <c r="L703" s="540"/>
      <c r="M703" s="540"/>
      <c r="N703" s="540"/>
      <c r="O703" s="540"/>
      <c r="P703" s="540"/>
      <c r="Q703" s="540"/>
      <c r="R703" s="540"/>
      <c r="S703" s="540"/>
      <c r="T703" s="540"/>
      <c r="U703" s="540"/>
      <c r="V703" s="540"/>
      <c r="W703" s="540"/>
      <c r="X703" s="540"/>
      <c r="Y703" s="540"/>
      <c r="Z703" s="540"/>
    </row>
    <row r="704" ht="171.75" customHeight="1">
      <c r="A704" s="540"/>
      <c r="B704" s="540"/>
      <c r="C704" s="540"/>
      <c r="D704" s="540"/>
      <c r="E704" s="540"/>
      <c r="F704" s="540"/>
      <c r="G704" s="540"/>
      <c r="H704" s="540"/>
      <c r="I704" s="540"/>
      <c r="J704" s="540"/>
      <c r="K704" s="540"/>
      <c r="L704" s="540"/>
      <c r="M704" s="540"/>
      <c r="N704" s="540"/>
      <c r="O704" s="540"/>
      <c r="P704" s="540"/>
      <c r="Q704" s="540"/>
      <c r="R704" s="540"/>
      <c r="S704" s="540"/>
      <c r="T704" s="540"/>
      <c r="U704" s="540"/>
      <c r="V704" s="540"/>
      <c r="W704" s="540"/>
      <c r="X704" s="540"/>
      <c r="Y704" s="540"/>
      <c r="Z704" s="540"/>
    </row>
    <row r="705" ht="171.75" customHeight="1">
      <c r="A705" s="540"/>
      <c r="B705" s="540"/>
      <c r="C705" s="540"/>
      <c r="D705" s="540"/>
      <c r="E705" s="540"/>
      <c r="F705" s="540"/>
      <c r="G705" s="540"/>
      <c r="H705" s="540"/>
      <c r="I705" s="540"/>
      <c r="J705" s="540"/>
      <c r="K705" s="540"/>
      <c r="L705" s="540"/>
      <c r="M705" s="540"/>
      <c r="N705" s="540"/>
      <c r="O705" s="540"/>
      <c r="P705" s="540"/>
      <c r="Q705" s="540"/>
      <c r="R705" s="540"/>
      <c r="S705" s="540"/>
      <c r="T705" s="540"/>
      <c r="U705" s="540"/>
      <c r="V705" s="540"/>
      <c r="W705" s="540"/>
      <c r="X705" s="540"/>
      <c r="Y705" s="540"/>
      <c r="Z705" s="540"/>
    </row>
    <row r="706" ht="171.75" customHeight="1">
      <c r="A706" s="540"/>
      <c r="B706" s="540"/>
      <c r="C706" s="540"/>
      <c r="D706" s="540"/>
      <c r="E706" s="540"/>
      <c r="F706" s="540"/>
      <c r="G706" s="540"/>
      <c r="H706" s="540"/>
      <c r="I706" s="540"/>
      <c r="J706" s="540"/>
      <c r="K706" s="540"/>
      <c r="L706" s="540"/>
      <c r="M706" s="540"/>
      <c r="N706" s="540"/>
      <c r="O706" s="540"/>
      <c r="P706" s="540"/>
      <c r="Q706" s="540"/>
      <c r="R706" s="540"/>
      <c r="S706" s="540"/>
      <c r="T706" s="540"/>
      <c r="U706" s="540"/>
      <c r="V706" s="540"/>
      <c r="W706" s="540"/>
      <c r="X706" s="540"/>
      <c r="Y706" s="540"/>
      <c r="Z706" s="540"/>
    </row>
    <row r="707" ht="171.75" customHeight="1">
      <c r="A707" s="540"/>
      <c r="B707" s="540"/>
      <c r="C707" s="540"/>
      <c r="D707" s="540"/>
      <c r="E707" s="540"/>
      <c r="F707" s="540"/>
      <c r="G707" s="540"/>
      <c r="H707" s="540"/>
      <c r="I707" s="540"/>
      <c r="J707" s="540"/>
      <c r="K707" s="540"/>
      <c r="L707" s="540"/>
      <c r="M707" s="540"/>
      <c r="N707" s="540"/>
      <c r="O707" s="540"/>
      <c r="P707" s="540"/>
      <c r="Q707" s="540"/>
      <c r="R707" s="540"/>
      <c r="S707" s="540"/>
      <c r="T707" s="540"/>
      <c r="U707" s="540"/>
      <c r="V707" s="540"/>
      <c r="W707" s="540"/>
      <c r="X707" s="540"/>
      <c r="Y707" s="540"/>
      <c r="Z707" s="540"/>
    </row>
    <row r="708" ht="171.75" customHeight="1">
      <c r="A708" s="540"/>
      <c r="B708" s="540"/>
      <c r="C708" s="540"/>
      <c r="D708" s="540"/>
      <c r="E708" s="540"/>
      <c r="F708" s="540"/>
      <c r="G708" s="540"/>
      <c r="H708" s="540"/>
      <c r="I708" s="540"/>
      <c r="J708" s="540"/>
      <c r="K708" s="540"/>
      <c r="L708" s="540"/>
      <c r="M708" s="540"/>
      <c r="N708" s="540"/>
      <c r="O708" s="540"/>
      <c r="P708" s="540"/>
      <c r="Q708" s="540"/>
      <c r="R708" s="540"/>
      <c r="S708" s="540"/>
      <c r="T708" s="540"/>
      <c r="U708" s="540"/>
      <c r="V708" s="540"/>
      <c r="W708" s="540"/>
      <c r="X708" s="540"/>
      <c r="Y708" s="540"/>
      <c r="Z708" s="540"/>
    </row>
    <row r="709" ht="171.75" customHeight="1">
      <c r="A709" s="540"/>
      <c r="B709" s="540"/>
      <c r="C709" s="540"/>
      <c r="D709" s="540"/>
      <c r="E709" s="540"/>
      <c r="F709" s="540"/>
      <c r="G709" s="540"/>
      <c r="H709" s="540"/>
      <c r="I709" s="540"/>
      <c r="J709" s="540"/>
      <c r="K709" s="540"/>
      <c r="L709" s="540"/>
      <c r="M709" s="540"/>
      <c r="N709" s="540"/>
      <c r="O709" s="540"/>
      <c r="P709" s="540"/>
      <c r="Q709" s="540"/>
      <c r="R709" s="540"/>
      <c r="S709" s="540"/>
      <c r="T709" s="540"/>
      <c r="U709" s="540"/>
      <c r="V709" s="540"/>
      <c r="W709" s="540"/>
      <c r="X709" s="540"/>
      <c r="Y709" s="540"/>
      <c r="Z709" s="540"/>
    </row>
    <row r="710" ht="171.75" customHeight="1">
      <c r="A710" s="540"/>
      <c r="B710" s="540"/>
      <c r="C710" s="540"/>
      <c r="D710" s="540"/>
      <c r="E710" s="540"/>
      <c r="F710" s="540"/>
      <c r="G710" s="540"/>
      <c r="H710" s="540"/>
      <c r="I710" s="540"/>
      <c r="J710" s="540"/>
      <c r="K710" s="540"/>
      <c r="L710" s="540"/>
      <c r="M710" s="540"/>
      <c r="N710" s="540"/>
      <c r="O710" s="540"/>
      <c r="P710" s="540"/>
      <c r="Q710" s="540"/>
      <c r="R710" s="540"/>
      <c r="S710" s="540"/>
      <c r="T710" s="540"/>
      <c r="U710" s="540"/>
      <c r="V710" s="540"/>
      <c r="W710" s="540"/>
      <c r="X710" s="540"/>
      <c r="Y710" s="540"/>
      <c r="Z710" s="540"/>
    </row>
    <row r="711" ht="171.75" customHeight="1">
      <c r="A711" s="540"/>
      <c r="B711" s="540"/>
      <c r="C711" s="540"/>
      <c r="D711" s="540"/>
      <c r="E711" s="540"/>
      <c r="F711" s="540"/>
      <c r="G711" s="540"/>
      <c r="H711" s="540"/>
      <c r="I711" s="540"/>
      <c r="J711" s="540"/>
      <c r="K711" s="540"/>
      <c r="L711" s="540"/>
      <c r="M711" s="540"/>
      <c r="N711" s="540"/>
      <c r="O711" s="540"/>
      <c r="P711" s="540"/>
      <c r="Q711" s="540"/>
      <c r="R711" s="540"/>
      <c r="S711" s="540"/>
      <c r="T711" s="540"/>
      <c r="U711" s="540"/>
      <c r="V711" s="540"/>
      <c r="W711" s="540"/>
      <c r="X711" s="540"/>
      <c r="Y711" s="540"/>
      <c r="Z711" s="540"/>
    </row>
    <row r="712" ht="171.75" customHeight="1">
      <c r="A712" s="540"/>
      <c r="B712" s="540"/>
      <c r="C712" s="540"/>
      <c r="D712" s="540"/>
      <c r="E712" s="540"/>
      <c r="F712" s="540"/>
      <c r="G712" s="540"/>
      <c r="H712" s="540"/>
      <c r="I712" s="540"/>
      <c r="J712" s="540"/>
      <c r="K712" s="540"/>
      <c r="L712" s="540"/>
      <c r="M712" s="540"/>
      <c r="N712" s="540"/>
      <c r="O712" s="540"/>
      <c r="P712" s="540"/>
      <c r="Q712" s="540"/>
      <c r="R712" s="540"/>
      <c r="S712" s="540"/>
      <c r="T712" s="540"/>
      <c r="U712" s="540"/>
      <c r="V712" s="540"/>
      <c r="W712" s="540"/>
      <c r="X712" s="540"/>
      <c r="Y712" s="540"/>
      <c r="Z712" s="540"/>
    </row>
    <row r="713" ht="171.75" customHeight="1">
      <c r="A713" s="540"/>
      <c r="B713" s="540"/>
      <c r="C713" s="540"/>
      <c r="D713" s="540"/>
      <c r="E713" s="540"/>
      <c r="F713" s="540"/>
      <c r="G713" s="540"/>
      <c r="H713" s="540"/>
      <c r="I713" s="540"/>
      <c r="J713" s="540"/>
      <c r="K713" s="540"/>
      <c r="L713" s="540"/>
      <c r="M713" s="540"/>
      <c r="N713" s="540"/>
      <c r="O713" s="540"/>
      <c r="P713" s="540"/>
      <c r="Q713" s="540"/>
      <c r="R713" s="540"/>
      <c r="S713" s="540"/>
      <c r="T713" s="540"/>
      <c r="U713" s="540"/>
      <c r="V713" s="540"/>
      <c r="W713" s="540"/>
      <c r="X713" s="540"/>
      <c r="Y713" s="540"/>
      <c r="Z713" s="540"/>
    </row>
    <row r="714" ht="171.75" customHeight="1">
      <c r="A714" s="540"/>
      <c r="B714" s="540"/>
      <c r="C714" s="540"/>
      <c r="D714" s="540"/>
      <c r="E714" s="540"/>
      <c r="F714" s="540"/>
      <c r="G714" s="540"/>
      <c r="H714" s="540"/>
      <c r="I714" s="540"/>
      <c r="J714" s="540"/>
      <c r="K714" s="540"/>
      <c r="L714" s="540"/>
      <c r="M714" s="540"/>
      <c r="N714" s="540"/>
      <c r="O714" s="540"/>
      <c r="P714" s="540"/>
      <c r="Q714" s="540"/>
      <c r="R714" s="540"/>
      <c r="S714" s="540"/>
      <c r="T714" s="540"/>
      <c r="U714" s="540"/>
      <c r="V714" s="540"/>
      <c r="W714" s="540"/>
      <c r="X714" s="540"/>
      <c r="Y714" s="540"/>
      <c r="Z714" s="540"/>
    </row>
    <row r="715" ht="171.75" customHeight="1">
      <c r="A715" s="540"/>
      <c r="B715" s="540"/>
      <c r="C715" s="540"/>
      <c r="D715" s="540"/>
      <c r="E715" s="540"/>
      <c r="F715" s="540"/>
      <c r="G715" s="540"/>
      <c r="H715" s="540"/>
      <c r="I715" s="540"/>
      <c r="J715" s="540"/>
      <c r="K715" s="540"/>
      <c r="L715" s="540"/>
      <c r="M715" s="540"/>
      <c r="N715" s="540"/>
      <c r="O715" s="540"/>
      <c r="P715" s="540"/>
      <c r="Q715" s="540"/>
      <c r="R715" s="540"/>
      <c r="S715" s="540"/>
      <c r="T715" s="540"/>
      <c r="U715" s="540"/>
      <c r="V715" s="540"/>
      <c r="W715" s="540"/>
      <c r="X715" s="540"/>
      <c r="Y715" s="540"/>
      <c r="Z715" s="540"/>
    </row>
    <row r="716" ht="171.75" customHeight="1">
      <c r="A716" s="540"/>
      <c r="B716" s="540"/>
      <c r="C716" s="540"/>
      <c r="D716" s="540"/>
      <c r="E716" s="540"/>
      <c r="F716" s="540"/>
      <c r="G716" s="540"/>
      <c r="H716" s="540"/>
      <c r="I716" s="540"/>
      <c r="J716" s="540"/>
      <c r="K716" s="540"/>
      <c r="L716" s="540"/>
      <c r="M716" s="540"/>
      <c r="N716" s="540"/>
      <c r="O716" s="540"/>
      <c r="P716" s="540"/>
      <c r="Q716" s="540"/>
      <c r="R716" s="540"/>
      <c r="S716" s="540"/>
      <c r="T716" s="540"/>
      <c r="U716" s="540"/>
      <c r="V716" s="540"/>
      <c r="W716" s="540"/>
      <c r="X716" s="540"/>
      <c r="Y716" s="540"/>
      <c r="Z716" s="540"/>
    </row>
    <row r="717" ht="171.75" customHeight="1">
      <c r="A717" s="540"/>
      <c r="B717" s="540"/>
      <c r="C717" s="540"/>
      <c r="D717" s="540"/>
      <c r="E717" s="540"/>
      <c r="F717" s="540"/>
      <c r="G717" s="540"/>
      <c r="H717" s="540"/>
      <c r="I717" s="540"/>
      <c r="J717" s="540"/>
      <c r="K717" s="540"/>
      <c r="L717" s="540"/>
      <c r="M717" s="540"/>
      <c r="N717" s="540"/>
      <c r="O717" s="540"/>
      <c r="P717" s="540"/>
      <c r="Q717" s="540"/>
      <c r="R717" s="540"/>
      <c r="S717" s="540"/>
      <c r="T717" s="540"/>
      <c r="U717" s="540"/>
      <c r="V717" s="540"/>
      <c r="W717" s="540"/>
      <c r="X717" s="540"/>
      <c r="Y717" s="540"/>
      <c r="Z717" s="540"/>
    </row>
    <row r="718" ht="171.75" customHeight="1">
      <c r="A718" s="540"/>
      <c r="B718" s="540"/>
      <c r="C718" s="540"/>
      <c r="D718" s="540"/>
      <c r="E718" s="540"/>
      <c r="F718" s="540"/>
      <c r="G718" s="540"/>
      <c r="H718" s="540"/>
      <c r="I718" s="540"/>
      <c r="J718" s="540"/>
      <c r="K718" s="540"/>
      <c r="L718" s="540"/>
      <c r="M718" s="540"/>
      <c r="N718" s="540"/>
      <c r="O718" s="540"/>
      <c r="P718" s="540"/>
      <c r="Q718" s="540"/>
      <c r="R718" s="540"/>
      <c r="S718" s="540"/>
      <c r="T718" s="540"/>
      <c r="U718" s="540"/>
      <c r="V718" s="540"/>
      <c r="W718" s="540"/>
      <c r="X718" s="540"/>
      <c r="Y718" s="540"/>
      <c r="Z718" s="540"/>
    </row>
    <row r="719" ht="171.75" customHeight="1">
      <c r="A719" s="540"/>
      <c r="B719" s="540"/>
      <c r="C719" s="540"/>
      <c r="D719" s="540"/>
      <c r="E719" s="540"/>
      <c r="F719" s="540"/>
      <c r="G719" s="540"/>
      <c r="H719" s="540"/>
      <c r="I719" s="540"/>
      <c r="J719" s="540"/>
      <c r="K719" s="540"/>
      <c r="L719" s="540"/>
      <c r="M719" s="540"/>
      <c r="N719" s="540"/>
      <c r="O719" s="540"/>
      <c r="P719" s="540"/>
      <c r="Q719" s="540"/>
      <c r="R719" s="540"/>
      <c r="S719" s="540"/>
      <c r="T719" s="540"/>
      <c r="U719" s="540"/>
      <c r="V719" s="540"/>
      <c r="W719" s="540"/>
      <c r="X719" s="540"/>
      <c r="Y719" s="540"/>
      <c r="Z719" s="540"/>
    </row>
    <row r="720" ht="171.75" customHeight="1">
      <c r="A720" s="540"/>
      <c r="B720" s="540"/>
      <c r="C720" s="540"/>
      <c r="D720" s="540"/>
      <c r="E720" s="540"/>
      <c r="F720" s="540"/>
      <c r="G720" s="540"/>
      <c r="H720" s="540"/>
      <c r="I720" s="540"/>
      <c r="J720" s="540"/>
      <c r="K720" s="540"/>
      <c r="L720" s="540"/>
      <c r="M720" s="540"/>
      <c r="N720" s="540"/>
      <c r="O720" s="540"/>
      <c r="P720" s="540"/>
      <c r="Q720" s="540"/>
      <c r="R720" s="540"/>
      <c r="S720" s="540"/>
      <c r="T720" s="540"/>
      <c r="U720" s="540"/>
      <c r="V720" s="540"/>
      <c r="W720" s="540"/>
      <c r="X720" s="540"/>
      <c r="Y720" s="540"/>
      <c r="Z720" s="540"/>
    </row>
    <row r="721" ht="171.75" customHeight="1">
      <c r="A721" s="540"/>
      <c r="B721" s="540"/>
      <c r="C721" s="540"/>
      <c r="D721" s="540"/>
      <c r="E721" s="540"/>
      <c r="F721" s="540"/>
      <c r="G721" s="540"/>
      <c r="H721" s="540"/>
      <c r="I721" s="540"/>
      <c r="J721" s="540"/>
      <c r="K721" s="540"/>
      <c r="L721" s="540"/>
      <c r="M721" s="540"/>
      <c r="N721" s="540"/>
      <c r="O721" s="540"/>
      <c r="P721" s="540"/>
      <c r="Q721" s="540"/>
      <c r="R721" s="540"/>
      <c r="S721" s="540"/>
      <c r="T721" s="540"/>
      <c r="U721" s="540"/>
      <c r="V721" s="540"/>
      <c r="W721" s="540"/>
      <c r="X721" s="540"/>
      <c r="Y721" s="540"/>
      <c r="Z721" s="540"/>
    </row>
    <row r="722" ht="171.75" customHeight="1">
      <c r="A722" s="540"/>
      <c r="B722" s="540"/>
      <c r="C722" s="540"/>
      <c r="D722" s="540"/>
      <c r="E722" s="540"/>
      <c r="F722" s="540"/>
      <c r="G722" s="540"/>
      <c r="H722" s="540"/>
      <c r="I722" s="540"/>
      <c r="J722" s="540"/>
      <c r="K722" s="540"/>
      <c r="L722" s="540"/>
      <c r="M722" s="540"/>
      <c r="N722" s="540"/>
      <c r="O722" s="540"/>
      <c r="P722" s="540"/>
      <c r="Q722" s="540"/>
      <c r="R722" s="540"/>
      <c r="S722" s="540"/>
      <c r="T722" s="540"/>
      <c r="U722" s="540"/>
      <c r="V722" s="540"/>
      <c r="W722" s="540"/>
      <c r="X722" s="540"/>
      <c r="Y722" s="540"/>
      <c r="Z722" s="540"/>
    </row>
    <row r="723" ht="171.75" customHeight="1">
      <c r="A723" s="540"/>
      <c r="B723" s="540"/>
      <c r="C723" s="540"/>
      <c r="D723" s="540"/>
      <c r="E723" s="540"/>
      <c r="F723" s="540"/>
      <c r="G723" s="540"/>
      <c r="H723" s="540"/>
      <c r="I723" s="540"/>
      <c r="J723" s="540"/>
      <c r="K723" s="540"/>
      <c r="L723" s="540"/>
      <c r="M723" s="540"/>
      <c r="N723" s="540"/>
      <c r="O723" s="540"/>
      <c r="P723" s="540"/>
      <c r="Q723" s="540"/>
      <c r="R723" s="540"/>
      <c r="S723" s="540"/>
      <c r="T723" s="540"/>
      <c r="U723" s="540"/>
      <c r="V723" s="540"/>
      <c r="W723" s="540"/>
      <c r="X723" s="540"/>
      <c r="Y723" s="540"/>
      <c r="Z723" s="540"/>
    </row>
    <row r="724" ht="171.75" customHeight="1">
      <c r="A724" s="540"/>
      <c r="B724" s="540"/>
      <c r="C724" s="540"/>
      <c r="D724" s="540"/>
      <c r="E724" s="540"/>
      <c r="F724" s="540"/>
      <c r="G724" s="540"/>
      <c r="H724" s="540"/>
      <c r="I724" s="540"/>
      <c r="J724" s="540"/>
      <c r="K724" s="540"/>
      <c r="L724" s="540"/>
      <c r="M724" s="540"/>
      <c r="N724" s="540"/>
      <c r="O724" s="540"/>
      <c r="P724" s="540"/>
      <c r="Q724" s="540"/>
      <c r="R724" s="540"/>
      <c r="S724" s="540"/>
      <c r="T724" s="540"/>
      <c r="U724" s="540"/>
      <c r="V724" s="540"/>
      <c r="W724" s="540"/>
      <c r="X724" s="540"/>
      <c r="Y724" s="540"/>
      <c r="Z724" s="540"/>
    </row>
    <row r="725" ht="171.75" customHeight="1">
      <c r="A725" s="540"/>
      <c r="B725" s="540"/>
      <c r="C725" s="540"/>
      <c r="D725" s="540"/>
      <c r="E725" s="540"/>
      <c r="F725" s="540"/>
      <c r="G725" s="540"/>
      <c r="H725" s="540"/>
      <c r="I725" s="540"/>
      <c r="J725" s="540"/>
      <c r="K725" s="540"/>
      <c r="L725" s="540"/>
      <c r="M725" s="540"/>
      <c r="N725" s="540"/>
      <c r="O725" s="540"/>
      <c r="P725" s="540"/>
      <c r="Q725" s="540"/>
      <c r="R725" s="540"/>
      <c r="S725" s="540"/>
      <c r="T725" s="540"/>
      <c r="U725" s="540"/>
      <c r="V725" s="540"/>
      <c r="W725" s="540"/>
      <c r="X725" s="540"/>
      <c r="Y725" s="540"/>
      <c r="Z725" s="540"/>
    </row>
    <row r="726" ht="171.75" customHeight="1">
      <c r="A726" s="540"/>
      <c r="B726" s="540"/>
      <c r="C726" s="540"/>
      <c r="D726" s="540"/>
      <c r="E726" s="540"/>
      <c r="F726" s="540"/>
      <c r="G726" s="540"/>
      <c r="H726" s="540"/>
      <c r="I726" s="540"/>
      <c r="J726" s="540"/>
      <c r="K726" s="540"/>
      <c r="L726" s="540"/>
      <c r="M726" s="540"/>
      <c r="N726" s="540"/>
      <c r="O726" s="540"/>
      <c r="P726" s="540"/>
      <c r="Q726" s="540"/>
      <c r="R726" s="540"/>
      <c r="S726" s="540"/>
      <c r="T726" s="540"/>
      <c r="U726" s="540"/>
      <c r="V726" s="540"/>
      <c r="W726" s="540"/>
      <c r="X726" s="540"/>
      <c r="Y726" s="540"/>
      <c r="Z726" s="540"/>
    </row>
    <row r="727" ht="171.75" customHeight="1">
      <c r="A727" s="540"/>
      <c r="B727" s="540"/>
      <c r="C727" s="540"/>
      <c r="D727" s="540"/>
      <c r="E727" s="540"/>
      <c r="F727" s="540"/>
      <c r="G727" s="540"/>
      <c r="H727" s="540"/>
      <c r="I727" s="540"/>
      <c r="J727" s="540"/>
      <c r="K727" s="540"/>
      <c r="L727" s="540"/>
      <c r="M727" s="540"/>
      <c r="N727" s="540"/>
      <c r="O727" s="540"/>
      <c r="P727" s="540"/>
      <c r="Q727" s="540"/>
      <c r="R727" s="540"/>
      <c r="S727" s="540"/>
      <c r="T727" s="540"/>
      <c r="U727" s="540"/>
      <c r="V727" s="540"/>
      <c r="W727" s="540"/>
      <c r="X727" s="540"/>
      <c r="Y727" s="540"/>
      <c r="Z727" s="540"/>
    </row>
    <row r="728" ht="171.75" customHeight="1">
      <c r="A728" s="540"/>
      <c r="B728" s="540"/>
      <c r="C728" s="540"/>
      <c r="D728" s="540"/>
      <c r="E728" s="540"/>
      <c r="F728" s="540"/>
      <c r="G728" s="540"/>
      <c r="H728" s="540"/>
      <c r="I728" s="540"/>
      <c r="J728" s="540"/>
      <c r="K728" s="540"/>
      <c r="L728" s="540"/>
      <c r="M728" s="540"/>
      <c r="N728" s="540"/>
      <c r="O728" s="540"/>
      <c r="P728" s="540"/>
      <c r="Q728" s="540"/>
      <c r="R728" s="540"/>
      <c r="S728" s="540"/>
      <c r="T728" s="540"/>
      <c r="U728" s="540"/>
      <c r="V728" s="540"/>
      <c r="W728" s="540"/>
      <c r="X728" s="540"/>
      <c r="Y728" s="540"/>
      <c r="Z728" s="540"/>
    </row>
    <row r="729" ht="171.75" customHeight="1">
      <c r="A729" s="540"/>
      <c r="B729" s="540"/>
      <c r="C729" s="540"/>
      <c r="D729" s="540"/>
      <c r="E729" s="540"/>
      <c r="F729" s="540"/>
      <c r="G729" s="540"/>
      <c r="H729" s="540"/>
      <c r="I729" s="540"/>
      <c r="J729" s="540"/>
      <c r="K729" s="540"/>
      <c r="L729" s="540"/>
      <c r="M729" s="540"/>
      <c r="N729" s="540"/>
      <c r="O729" s="540"/>
      <c r="P729" s="540"/>
      <c r="Q729" s="540"/>
      <c r="R729" s="540"/>
      <c r="S729" s="540"/>
      <c r="T729" s="540"/>
      <c r="U729" s="540"/>
      <c r="V729" s="540"/>
      <c r="W729" s="540"/>
      <c r="X729" s="540"/>
      <c r="Y729" s="540"/>
      <c r="Z729" s="540"/>
    </row>
    <row r="730" ht="171.75" customHeight="1">
      <c r="A730" s="540"/>
      <c r="B730" s="540"/>
      <c r="C730" s="540"/>
      <c r="D730" s="540"/>
      <c r="E730" s="540"/>
      <c r="F730" s="540"/>
      <c r="G730" s="540"/>
      <c r="H730" s="540"/>
      <c r="I730" s="540"/>
      <c r="J730" s="540"/>
      <c r="K730" s="540"/>
      <c r="L730" s="540"/>
      <c r="M730" s="540"/>
      <c r="N730" s="540"/>
      <c r="O730" s="540"/>
      <c r="P730" s="540"/>
      <c r="Q730" s="540"/>
      <c r="R730" s="540"/>
      <c r="S730" s="540"/>
      <c r="T730" s="540"/>
      <c r="U730" s="540"/>
      <c r="V730" s="540"/>
      <c r="W730" s="540"/>
      <c r="X730" s="540"/>
      <c r="Y730" s="540"/>
      <c r="Z730" s="540"/>
    </row>
    <row r="731" ht="171.75" customHeight="1">
      <c r="A731" s="540"/>
      <c r="B731" s="540"/>
      <c r="C731" s="540"/>
      <c r="D731" s="540"/>
      <c r="E731" s="540"/>
      <c r="F731" s="540"/>
      <c r="G731" s="540"/>
      <c r="H731" s="540"/>
      <c r="I731" s="540"/>
      <c r="J731" s="540"/>
      <c r="K731" s="540"/>
      <c r="L731" s="540"/>
      <c r="M731" s="540"/>
      <c r="N731" s="540"/>
      <c r="O731" s="540"/>
      <c r="P731" s="540"/>
      <c r="Q731" s="540"/>
      <c r="R731" s="540"/>
      <c r="S731" s="540"/>
      <c r="T731" s="540"/>
      <c r="U731" s="540"/>
      <c r="V731" s="540"/>
      <c r="W731" s="540"/>
      <c r="X731" s="540"/>
      <c r="Y731" s="540"/>
      <c r="Z731" s="540"/>
    </row>
    <row r="732" ht="171.75" customHeight="1">
      <c r="A732" s="540"/>
      <c r="B732" s="540"/>
      <c r="C732" s="540"/>
      <c r="D732" s="540"/>
      <c r="E732" s="540"/>
      <c r="F732" s="540"/>
      <c r="G732" s="540"/>
      <c r="H732" s="540"/>
      <c r="I732" s="540"/>
      <c r="J732" s="540"/>
      <c r="K732" s="540"/>
      <c r="L732" s="540"/>
      <c r="M732" s="540"/>
      <c r="N732" s="540"/>
      <c r="O732" s="540"/>
      <c r="P732" s="540"/>
      <c r="Q732" s="540"/>
      <c r="R732" s="540"/>
      <c r="S732" s="540"/>
      <c r="T732" s="540"/>
      <c r="U732" s="540"/>
      <c r="V732" s="540"/>
      <c r="W732" s="540"/>
      <c r="X732" s="540"/>
      <c r="Y732" s="540"/>
      <c r="Z732" s="540"/>
    </row>
    <row r="733" ht="171.75" customHeight="1">
      <c r="A733" s="540"/>
      <c r="B733" s="540"/>
      <c r="C733" s="540"/>
      <c r="D733" s="540"/>
      <c r="E733" s="540"/>
      <c r="F733" s="540"/>
      <c r="G733" s="540"/>
      <c r="H733" s="540"/>
      <c r="I733" s="540"/>
      <c r="J733" s="540"/>
      <c r="K733" s="540"/>
      <c r="L733" s="540"/>
      <c r="M733" s="540"/>
      <c r="N733" s="540"/>
      <c r="O733" s="540"/>
      <c r="P733" s="540"/>
      <c r="Q733" s="540"/>
      <c r="R733" s="540"/>
      <c r="S733" s="540"/>
      <c r="T733" s="540"/>
      <c r="U733" s="540"/>
      <c r="V733" s="540"/>
      <c r="W733" s="540"/>
      <c r="X733" s="540"/>
      <c r="Y733" s="540"/>
      <c r="Z733" s="540"/>
    </row>
    <row r="734" ht="171.75" customHeight="1">
      <c r="A734" s="540"/>
      <c r="B734" s="540"/>
      <c r="C734" s="540"/>
      <c r="D734" s="540"/>
      <c r="E734" s="540"/>
      <c r="F734" s="540"/>
      <c r="G734" s="540"/>
      <c r="H734" s="540"/>
      <c r="I734" s="540"/>
      <c r="J734" s="540"/>
      <c r="K734" s="540"/>
      <c r="L734" s="540"/>
      <c r="M734" s="540"/>
      <c r="N734" s="540"/>
      <c r="O734" s="540"/>
      <c r="P734" s="540"/>
      <c r="Q734" s="540"/>
      <c r="R734" s="540"/>
      <c r="S734" s="540"/>
      <c r="T734" s="540"/>
      <c r="U734" s="540"/>
      <c r="V734" s="540"/>
      <c r="W734" s="540"/>
      <c r="X734" s="540"/>
      <c r="Y734" s="540"/>
      <c r="Z734" s="540"/>
    </row>
    <row r="735" ht="171.75" customHeight="1">
      <c r="A735" s="540"/>
      <c r="B735" s="540"/>
      <c r="C735" s="540"/>
      <c r="D735" s="540"/>
      <c r="E735" s="540"/>
      <c r="F735" s="540"/>
      <c r="G735" s="540"/>
      <c r="H735" s="540"/>
      <c r="I735" s="540"/>
      <c r="J735" s="540"/>
      <c r="K735" s="540"/>
      <c r="L735" s="540"/>
      <c r="M735" s="540"/>
      <c r="N735" s="540"/>
      <c r="O735" s="540"/>
      <c r="P735" s="540"/>
      <c r="Q735" s="540"/>
      <c r="R735" s="540"/>
      <c r="S735" s="540"/>
      <c r="T735" s="540"/>
      <c r="U735" s="540"/>
      <c r="V735" s="540"/>
      <c r="W735" s="540"/>
      <c r="X735" s="540"/>
      <c r="Y735" s="540"/>
      <c r="Z735" s="540"/>
    </row>
    <row r="736" ht="171.75" customHeight="1">
      <c r="A736" s="540"/>
      <c r="B736" s="540"/>
      <c r="C736" s="540"/>
      <c r="D736" s="540"/>
      <c r="E736" s="540"/>
      <c r="F736" s="540"/>
      <c r="G736" s="540"/>
      <c r="H736" s="540"/>
      <c r="I736" s="540"/>
      <c r="J736" s="540"/>
      <c r="K736" s="540"/>
      <c r="L736" s="540"/>
      <c r="M736" s="540"/>
      <c r="N736" s="540"/>
      <c r="O736" s="540"/>
      <c r="P736" s="540"/>
      <c r="Q736" s="540"/>
      <c r="R736" s="540"/>
      <c r="S736" s="540"/>
      <c r="T736" s="540"/>
      <c r="U736" s="540"/>
      <c r="V736" s="540"/>
      <c r="W736" s="540"/>
      <c r="X736" s="540"/>
      <c r="Y736" s="540"/>
      <c r="Z736" s="540"/>
    </row>
    <row r="737" ht="171.75" customHeight="1">
      <c r="A737" s="540"/>
      <c r="B737" s="540"/>
      <c r="C737" s="540"/>
      <c r="D737" s="540"/>
      <c r="E737" s="540"/>
      <c r="F737" s="540"/>
      <c r="G737" s="540"/>
      <c r="H737" s="540"/>
      <c r="I737" s="540"/>
      <c r="J737" s="540"/>
      <c r="K737" s="540"/>
      <c r="L737" s="540"/>
      <c r="M737" s="540"/>
      <c r="N737" s="540"/>
      <c r="O737" s="540"/>
      <c r="P737" s="540"/>
      <c r="Q737" s="540"/>
      <c r="R737" s="540"/>
      <c r="S737" s="540"/>
      <c r="T737" s="540"/>
      <c r="U737" s="540"/>
      <c r="V737" s="540"/>
      <c r="W737" s="540"/>
      <c r="X737" s="540"/>
      <c r="Y737" s="540"/>
      <c r="Z737" s="540"/>
    </row>
    <row r="738" ht="171.75" customHeight="1">
      <c r="A738" s="540"/>
      <c r="B738" s="540"/>
      <c r="C738" s="540"/>
      <c r="D738" s="540"/>
      <c r="E738" s="540"/>
      <c r="F738" s="540"/>
      <c r="G738" s="540"/>
      <c r="H738" s="540"/>
      <c r="I738" s="540"/>
      <c r="J738" s="540"/>
      <c r="K738" s="540"/>
      <c r="L738" s="540"/>
      <c r="M738" s="540"/>
      <c r="N738" s="540"/>
      <c r="O738" s="540"/>
      <c r="P738" s="540"/>
      <c r="Q738" s="540"/>
      <c r="R738" s="540"/>
      <c r="S738" s="540"/>
      <c r="T738" s="540"/>
      <c r="U738" s="540"/>
      <c r="V738" s="540"/>
      <c r="W738" s="540"/>
      <c r="X738" s="540"/>
      <c r="Y738" s="540"/>
      <c r="Z738" s="540"/>
    </row>
    <row r="739" ht="171.75" customHeight="1">
      <c r="A739" s="540"/>
      <c r="B739" s="540"/>
      <c r="C739" s="540"/>
      <c r="D739" s="540"/>
      <c r="E739" s="540"/>
      <c r="F739" s="540"/>
      <c r="G739" s="540"/>
      <c r="H739" s="540"/>
      <c r="I739" s="540"/>
      <c r="J739" s="540"/>
      <c r="K739" s="540"/>
      <c r="L739" s="540"/>
      <c r="M739" s="540"/>
      <c r="N739" s="540"/>
      <c r="O739" s="540"/>
      <c r="P739" s="540"/>
      <c r="Q739" s="540"/>
      <c r="R739" s="540"/>
      <c r="S739" s="540"/>
      <c r="T739" s="540"/>
      <c r="U739" s="540"/>
      <c r="V739" s="540"/>
      <c r="W739" s="540"/>
      <c r="X739" s="540"/>
      <c r="Y739" s="540"/>
      <c r="Z739" s="540"/>
    </row>
    <row r="740" ht="171.75" customHeight="1">
      <c r="A740" s="540"/>
      <c r="B740" s="540"/>
      <c r="C740" s="540"/>
      <c r="D740" s="540"/>
      <c r="E740" s="540"/>
      <c r="F740" s="540"/>
      <c r="G740" s="540"/>
      <c r="H740" s="540"/>
      <c r="I740" s="540"/>
      <c r="J740" s="540"/>
      <c r="K740" s="540"/>
      <c r="L740" s="540"/>
      <c r="M740" s="540"/>
      <c r="N740" s="540"/>
      <c r="O740" s="540"/>
      <c r="P740" s="540"/>
      <c r="Q740" s="540"/>
      <c r="R740" s="540"/>
      <c r="S740" s="540"/>
      <c r="T740" s="540"/>
      <c r="U740" s="540"/>
      <c r="V740" s="540"/>
      <c r="W740" s="540"/>
      <c r="X740" s="540"/>
      <c r="Y740" s="540"/>
      <c r="Z740" s="540"/>
    </row>
    <row r="741" ht="171.75" customHeight="1">
      <c r="A741" s="540"/>
      <c r="B741" s="540"/>
      <c r="C741" s="540"/>
      <c r="D741" s="540"/>
      <c r="E741" s="540"/>
      <c r="F741" s="540"/>
      <c r="G741" s="540"/>
      <c r="H741" s="540"/>
      <c r="I741" s="540"/>
      <c r="J741" s="540"/>
      <c r="K741" s="540"/>
      <c r="L741" s="540"/>
      <c r="M741" s="540"/>
      <c r="N741" s="540"/>
      <c r="O741" s="540"/>
      <c r="P741" s="540"/>
      <c r="Q741" s="540"/>
      <c r="R741" s="540"/>
      <c r="S741" s="540"/>
      <c r="T741" s="540"/>
      <c r="U741" s="540"/>
      <c r="V741" s="540"/>
      <c r="W741" s="540"/>
      <c r="X741" s="540"/>
      <c r="Y741" s="540"/>
      <c r="Z741" s="540"/>
    </row>
    <row r="742" ht="171.75" customHeight="1">
      <c r="A742" s="540"/>
      <c r="B742" s="540"/>
      <c r="C742" s="540"/>
      <c r="D742" s="540"/>
      <c r="E742" s="540"/>
      <c r="F742" s="540"/>
      <c r="G742" s="540"/>
      <c r="H742" s="540"/>
      <c r="I742" s="540"/>
      <c r="J742" s="540"/>
      <c r="K742" s="540"/>
      <c r="L742" s="540"/>
      <c r="M742" s="540"/>
      <c r="N742" s="540"/>
      <c r="O742" s="540"/>
      <c r="P742" s="540"/>
      <c r="Q742" s="540"/>
      <c r="R742" s="540"/>
      <c r="S742" s="540"/>
      <c r="T742" s="540"/>
      <c r="U742" s="540"/>
      <c r="V742" s="540"/>
      <c r="W742" s="540"/>
      <c r="X742" s="540"/>
      <c r="Y742" s="540"/>
      <c r="Z742" s="540"/>
    </row>
    <row r="743" ht="171.75" customHeight="1">
      <c r="A743" s="540"/>
      <c r="B743" s="540"/>
      <c r="C743" s="540"/>
      <c r="D743" s="540"/>
      <c r="E743" s="540"/>
      <c r="F743" s="540"/>
      <c r="G743" s="540"/>
      <c r="H743" s="540"/>
      <c r="I743" s="540"/>
      <c r="J743" s="540"/>
      <c r="K743" s="540"/>
      <c r="L743" s="540"/>
      <c r="M743" s="540"/>
      <c r="N743" s="540"/>
      <c r="O743" s="540"/>
      <c r="P743" s="540"/>
      <c r="Q743" s="540"/>
      <c r="R743" s="540"/>
      <c r="S743" s="540"/>
      <c r="T743" s="540"/>
      <c r="U743" s="540"/>
      <c r="V743" s="540"/>
      <c r="W743" s="540"/>
      <c r="X743" s="540"/>
      <c r="Y743" s="540"/>
      <c r="Z743" s="540"/>
    </row>
    <row r="744" ht="171.75" customHeight="1">
      <c r="A744" s="540"/>
      <c r="B744" s="540"/>
      <c r="C744" s="540"/>
      <c r="D744" s="540"/>
      <c r="E744" s="540"/>
      <c r="F744" s="540"/>
      <c r="G744" s="540"/>
      <c r="H744" s="540"/>
      <c r="I744" s="540"/>
      <c r="J744" s="540"/>
      <c r="K744" s="540"/>
      <c r="L744" s="540"/>
      <c r="M744" s="540"/>
      <c r="N744" s="540"/>
      <c r="O744" s="540"/>
      <c r="P744" s="540"/>
      <c r="Q744" s="540"/>
      <c r="R744" s="540"/>
      <c r="S744" s="540"/>
      <c r="T744" s="540"/>
      <c r="U744" s="540"/>
      <c r="V744" s="540"/>
      <c r="W744" s="540"/>
      <c r="X744" s="540"/>
      <c r="Y744" s="540"/>
      <c r="Z744" s="540"/>
    </row>
    <row r="745" ht="171.75" customHeight="1">
      <c r="A745" s="540"/>
      <c r="B745" s="540"/>
      <c r="C745" s="540"/>
      <c r="D745" s="540"/>
      <c r="E745" s="540"/>
      <c r="F745" s="540"/>
      <c r="G745" s="540"/>
      <c r="H745" s="540"/>
      <c r="I745" s="540"/>
      <c r="J745" s="540"/>
      <c r="K745" s="540"/>
      <c r="L745" s="540"/>
      <c r="M745" s="540"/>
      <c r="N745" s="540"/>
      <c r="O745" s="540"/>
      <c r="P745" s="540"/>
      <c r="Q745" s="540"/>
      <c r="R745" s="540"/>
      <c r="S745" s="540"/>
      <c r="T745" s="540"/>
      <c r="U745" s="540"/>
      <c r="V745" s="540"/>
      <c r="W745" s="540"/>
      <c r="X745" s="540"/>
      <c r="Y745" s="540"/>
      <c r="Z745" s="540"/>
    </row>
    <row r="746" ht="171.75" customHeight="1">
      <c r="A746" s="540"/>
      <c r="B746" s="540"/>
      <c r="C746" s="540"/>
      <c r="D746" s="540"/>
      <c r="E746" s="540"/>
      <c r="F746" s="540"/>
      <c r="G746" s="540"/>
      <c r="H746" s="540"/>
      <c r="I746" s="540"/>
      <c r="J746" s="540"/>
      <c r="K746" s="540"/>
      <c r="L746" s="540"/>
      <c r="M746" s="540"/>
      <c r="N746" s="540"/>
      <c r="O746" s="540"/>
      <c r="P746" s="540"/>
      <c r="Q746" s="540"/>
      <c r="R746" s="540"/>
      <c r="S746" s="540"/>
      <c r="T746" s="540"/>
      <c r="U746" s="540"/>
      <c r="V746" s="540"/>
      <c r="W746" s="540"/>
      <c r="X746" s="540"/>
      <c r="Y746" s="540"/>
      <c r="Z746" s="540"/>
    </row>
    <row r="747" ht="171.75" customHeight="1">
      <c r="A747" s="540"/>
      <c r="B747" s="540"/>
      <c r="C747" s="540"/>
      <c r="D747" s="540"/>
      <c r="E747" s="540"/>
      <c r="F747" s="540"/>
      <c r="G747" s="540"/>
      <c r="H747" s="540"/>
      <c r="I747" s="540"/>
      <c r="J747" s="540"/>
      <c r="K747" s="540"/>
      <c r="L747" s="540"/>
      <c r="M747" s="540"/>
      <c r="N747" s="540"/>
      <c r="O747" s="540"/>
      <c r="P747" s="540"/>
      <c r="Q747" s="540"/>
      <c r="R747" s="540"/>
      <c r="S747" s="540"/>
      <c r="T747" s="540"/>
      <c r="U747" s="540"/>
      <c r="V747" s="540"/>
      <c r="W747" s="540"/>
      <c r="X747" s="540"/>
      <c r="Y747" s="540"/>
      <c r="Z747" s="540"/>
    </row>
    <row r="748" ht="171.75" customHeight="1">
      <c r="A748" s="540"/>
      <c r="B748" s="540"/>
      <c r="C748" s="540"/>
      <c r="D748" s="540"/>
      <c r="E748" s="540"/>
      <c r="F748" s="540"/>
      <c r="G748" s="540"/>
      <c r="H748" s="540"/>
      <c r="I748" s="540"/>
      <c r="J748" s="540"/>
      <c r="K748" s="540"/>
      <c r="L748" s="540"/>
      <c r="M748" s="540"/>
      <c r="N748" s="540"/>
      <c r="O748" s="540"/>
      <c r="P748" s="540"/>
      <c r="Q748" s="540"/>
      <c r="R748" s="540"/>
      <c r="S748" s="540"/>
      <c r="T748" s="540"/>
      <c r="U748" s="540"/>
      <c r="V748" s="540"/>
      <c r="W748" s="540"/>
      <c r="X748" s="540"/>
      <c r="Y748" s="540"/>
      <c r="Z748" s="540"/>
    </row>
    <row r="749" ht="171.75" customHeight="1">
      <c r="A749" s="540"/>
      <c r="B749" s="540"/>
      <c r="C749" s="540"/>
      <c r="D749" s="540"/>
      <c r="E749" s="540"/>
      <c r="F749" s="540"/>
      <c r="G749" s="540"/>
      <c r="H749" s="540"/>
      <c r="I749" s="540"/>
      <c r="J749" s="540"/>
      <c r="K749" s="540"/>
      <c r="L749" s="540"/>
      <c r="M749" s="540"/>
      <c r="N749" s="540"/>
      <c r="O749" s="540"/>
      <c r="P749" s="540"/>
      <c r="Q749" s="540"/>
      <c r="R749" s="540"/>
      <c r="S749" s="540"/>
      <c r="T749" s="540"/>
      <c r="U749" s="540"/>
      <c r="V749" s="540"/>
      <c r="W749" s="540"/>
      <c r="X749" s="540"/>
      <c r="Y749" s="540"/>
      <c r="Z749" s="540"/>
    </row>
    <row r="750" ht="171.75" customHeight="1">
      <c r="A750" s="540"/>
      <c r="B750" s="540"/>
      <c r="C750" s="540"/>
      <c r="D750" s="540"/>
      <c r="E750" s="540"/>
      <c r="F750" s="540"/>
      <c r="G750" s="540"/>
      <c r="H750" s="540"/>
      <c r="I750" s="540"/>
      <c r="J750" s="540"/>
      <c r="K750" s="540"/>
      <c r="L750" s="540"/>
      <c r="M750" s="540"/>
      <c r="N750" s="540"/>
      <c r="O750" s="540"/>
      <c r="P750" s="540"/>
      <c r="Q750" s="540"/>
      <c r="R750" s="540"/>
      <c r="S750" s="540"/>
      <c r="T750" s="540"/>
      <c r="U750" s="540"/>
      <c r="V750" s="540"/>
      <c r="W750" s="540"/>
      <c r="X750" s="540"/>
      <c r="Y750" s="540"/>
      <c r="Z750" s="540"/>
    </row>
    <row r="751" ht="171.75" customHeight="1">
      <c r="A751" s="540"/>
      <c r="B751" s="540"/>
      <c r="C751" s="540"/>
      <c r="D751" s="540"/>
      <c r="E751" s="540"/>
      <c r="F751" s="540"/>
      <c r="G751" s="540"/>
      <c r="H751" s="540"/>
      <c r="I751" s="540"/>
      <c r="J751" s="540"/>
      <c r="K751" s="540"/>
      <c r="L751" s="540"/>
      <c r="M751" s="540"/>
      <c r="N751" s="540"/>
      <c r="O751" s="540"/>
      <c r="P751" s="540"/>
      <c r="Q751" s="540"/>
      <c r="R751" s="540"/>
      <c r="S751" s="540"/>
      <c r="T751" s="540"/>
      <c r="U751" s="540"/>
      <c r="V751" s="540"/>
      <c r="W751" s="540"/>
      <c r="X751" s="540"/>
      <c r="Y751" s="540"/>
      <c r="Z751" s="540"/>
    </row>
    <row r="752" ht="171.75" customHeight="1">
      <c r="A752" s="540"/>
      <c r="B752" s="540"/>
      <c r="C752" s="540"/>
      <c r="D752" s="540"/>
      <c r="E752" s="540"/>
      <c r="F752" s="540"/>
      <c r="G752" s="540"/>
      <c r="H752" s="540"/>
      <c r="I752" s="540"/>
      <c r="J752" s="540"/>
      <c r="K752" s="540"/>
      <c r="L752" s="540"/>
      <c r="M752" s="540"/>
      <c r="N752" s="540"/>
      <c r="O752" s="540"/>
      <c r="P752" s="540"/>
      <c r="Q752" s="540"/>
      <c r="R752" s="540"/>
      <c r="S752" s="540"/>
      <c r="T752" s="540"/>
      <c r="U752" s="540"/>
      <c r="V752" s="540"/>
      <c r="W752" s="540"/>
      <c r="X752" s="540"/>
      <c r="Y752" s="540"/>
      <c r="Z752" s="540"/>
    </row>
    <row r="753" ht="171.75" customHeight="1">
      <c r="A753" s="540"/>
      <c r="B753" s="540"/>
      <c r="C753" s="540"/>
      <c r="D753" s="540"/>
      <c r="E753" s="540"/>
      <c r="F753" s="540"/>
      <c r="G753" s="540"/>
      <c r="H753" s="540"/>
      <c r="I753" s="540"/>
      <c r="J753" s="540"/>
      <c r="K753" s="540"/>
      <c r="L753" s="540"/>
      <c r="M753" s="540"/>
      <c r="N753" s="540"/>
      <c r="O753" s="540"/>
      <c r="P753" s="540"/>
      <c r="Q753" s="540"/>
      <c r="R753" s="540"/>
      <c r="S753" s="540"/>
      <c r="T753" s="540"/>
      <c r="U753" s="540"/>
      <c r="V753" s="540"/>
      <c r="W753" s="540"/>
      <c r="X753" s="540"/>
      <c r="Y753" s="540"/>
      <c r="Z753" s="540"/>
    </row>
    <row r="754" ht="171.75" customHeight="1">
      <c r="A754" s="540"/>
      <c r="B754" s="540"/>
      <c r="C754" s="540"/>
      <c r="D754" s="540"/>
      <c r="E754" s="540"/>
      <c r="F754" s="540"/>
      <c r="G754" s="540"/>
      <c r="H754" s="540"/>
      <c r="I754" s="540"/>
      <c r="J754" s="540"/>
      <c r="K754" s="540"/>
      <c r="L754" s="540"/>
      <c r="M754" s="540"/>
      <c r="N754" s="540"/>
      <c r="O754" s="540"/>
      <c r="P754" s="540"/>
      <c r="Q754" s="540"/>
      <c r="R754" s="540"/>
      <c r="S754" s="540"/>
      <c r="T754" s="540"/>
      <c r="U754" s="540"/>
      <c r="V754" s="540"/>
      <c r="W754" s="540"/>
      <c r="X754" s="540"/>
      <c r="Y754" s="540"/>
      <c r="Z754" s="540"/>
    </row>
    <row r="755" ht="171.75" customHeight="1">
      <c r="A755" s="540"/>
      <c r="B755" s="540"/>
      <c r="C755" s="540"/>
      <c r="D755" s="540"/>
      <c r="E755" s="540"/>
      <c r="F755" s="540"/>
      <c r="G755" s="540"/>
      <c r="H755" s="540"/>
      <c r="I755" s="540"/>
      <c r="J755" s="540"/>
      <c r="K755" s="540"/>
      <c r="L755" s="540"/>
      <c r="M755" s="540"/>
      <c r="N755" s="540"/>
      <c r="O755" s="540"/>
      <c r="P755" s="540"/>
      <c r="Q755" s="540"/>
      <c r="R755" s="540"/>
      <c r="S755" s="540"/>
      <c r="T755" s="540"/>
      <c r="U755" s="540"/>
      <c r="V755" s="540"/>
      <c r="W755" s="540"/>
      <c r="X755" s="540"/>
      <c r="Y755" s="540"/>
      <c r="Z755" s="540"/>
    </row>
    <row r="756" ht="171.75" customHeight="1">
      <c r="A756" s="540"/>
      <c r="B756" s="540"/>
      <c r="C756" s="540"/>
      <c r="D756" s="540"/>
      <c r="E756" s="540"/>
      <c r="F756" s="540"/>
      <c r="G756" s="540"/>
      <c r="H756" s="540"/>
      <c r="I756" s="540"/>
      <c r="J756" s="540"/>
      <c r="K756" s="540"/>
      <c r="L756" s="540"/>
      <c r="M756" s="540"/>
      <c r="N756" s="540"/>
      <c r="O756" s="540"/>
      <c r="P756" s="540"/>
      <c r="Q756" s="540"/>
      <c r="R756" s="540"/>
      <c r="S756" s="540"/>
      <c r="T756" s="540"/>
      <c r="U756" s="540"/>
      <c r="V756" s="540"/>
      <c r="W756" s="540"/>
      <c r="X756" s="540"/>
      <c r="Y756" s="540"/>
      <c r="Z756" s="540"/>
    </row>
    <row r="757" ht="171.75" customHeight="1">
      <c r="A757" s="540"/>
      <c r="B757" s="540"/>
      <c r="C757" s="540"/>
      <c r="D757" s="540"/>
      <c r="E757" s="540"/>
      <c r="F757" s="540"/>
      <c r="G757" s="540"/>
      <c r="H757" s="540"/>
      <c r="I757" s="540"/>
      <c r="J757" s="540"/>
      <c r="K757" s="540"/>
      <c r="L757" s="540"/>
      <c r="M757" s="540"/>
      <c r="N757" s="540"/>
      <c r="O757" s="540"/>
      <c r="P757" s="540"/>
      <c r="Q757" s="540"/>
      <c r="R757" s="540"/>
      <c r="S757" s="540"/>
      <c r="T757" s="540"/>
      <c r="U757" s="540"/>
      <c r="V757" s="540"/>
      <c r="W757" s="540"/>
      <c r="X757" s="540"/>
      <c r="Y757" s="540"/>
      <c r="Z757" s="540"/>
    </row>
    <row r="758" ht="171.75" customHeight="1">
      <c r="A758" s="540"/>
      <c r="B758" s="540"/>
      <c r="C758" s="540"/>
      <c r="D758" s="540"/>
      <c r="E758" s="540"/>
      <c r="F758" s="540"/>
      <c r="G758" s="540"/>
      <c r="H758" s="540"/>
      <c r="I758" s="540"/>
      <c r="J758" s="540"/>
      <c r="K758" s="540"/>
      <c r="L758" s="540"/>
      <c r="M758" s="540"/>
      <c r="N758" s="540"/>
      <c r="O758" s="540"/>
      <c r="P758" s="540"/>
      <c r="Q758" s="540"/>
      <c r="R758" s="540"/>
      <c r="S758" s="540"/>
      <c r="T758" s="540"/>
      <c r="U758" s="540"/>
      <c r="V758" s="540"/>
      <c r="W758" s="540"/>
      <c r="X758" s="540"/>
      <c r="Y758" s="540"/>
      <c r="Z758" s="540"/>
    </row>
    <row r="759" ht="171.75" customHeight="1">
      <c r="A759" s="540"/>
      <c r="B759" s="540"/>
      <c r="C759" s="540"/>
      <c r="D759" s="540"/>
      <c r="E759" s="540"/>
      <c r="F759" s="540"/>
      <c r="G759" s="540"/>
      <c r="H759" s="540"/>
      <c r="I759" s="540"/>
      <c r="J759" s="540"/>
      <c r="K759" s="540"/>
      <c r="L759" s="540"/>
      <c r="M759" s="540"/>
      <c r="N759" s="540"/>
      <c r="O759" s="540"/>
      <c r="P759" s="540"/>
      <c r="Q759" s="540"/>
      <c r="R759" s="540"/>
      <c r="S759" s="540"/>
      <c r="T759" s="540"/>
      <c r="U759" s="540"/>
      <c r="V759" s="540"/>
      <c r="W759" s="540"/>
      <c r="X759" s="540"/>
      <c r="Y759" s="540"/>
      <c r="Z759" s="540"/>
    </row>
    <row r="760" ht="171.75" customHeight="1">
      <c r="A760" s="540"/>
      <c r="B760" s="540"/>
      <c r="C760" s="540"/>
      <c r="D760" s="540"/>
      <c r="E760" s="540"/>
      <c r="F760" s="540"/>
      <c r="G760" s="540"/>
      <c r="H760" s="540"/>
      <c r="I760" s="540"/>
      <c r="J760" s="540"/>
      <c r="K760" s="540"/>
      <c r="L760" s="540"/>
      <c r="M760" s="540"/>
      <c r="N760" s="540"/>
      <c r="O760" s="540"/>
      <c r="P760" s="540"/>
      <c r="Q760" s="540"/>
      <c r="R760" s="540"/>
      <c r="S760" s="540"/>
      <c r="T760" s="540"/>
      <c r="U760" s="540"/>
      <c r="V760" s="540"/>
      <c r="W760" s="540"/>
      <c r="X760" s="540"/>
      <c r="Y760" s="540"/>
      <c r="Z760" s="540"/>
    </row>
    <row r="761" ht="171.75" customHeight="1">
      <c r="A761" s="540"/>
      <c r="B761" s="540"/>
      <c r="C761" s="540"/>
      <c r="D761" s="540"/>
      <c r="E761" s="540"/>
      <c r="F761" s="540"/>
      <c r="G761" s="540"/>
      <c r="H761" s="540"/>
      <c r="I761" s="540"/>
      <c r="J761" s="540"/>
      <c r="K761" s="540"/>
      <c r="L761" s="540"/>
      <c r="M761" s="540"/>
      <c r="N761" s="540"/>
      <c r="O761" s="540"/>
      <c r="P761" s="540"/>
      <c r="Q761" s="540"/>
      <c r="R761" s="540"/>
      <c r="S761" s="540"/>
      <c r="T761" s="540"/>
      <c r="U761" s="540"/>
      <c r="V761" s="540"/>
      <c r="W761" s="540"/>
      <c r="X761" s="540"/>
      <c r="Y761" s="540"/>
      <c r="Z761" s="540"/>
    </row>
    <row r="762" ht="171.75" customHeight="1">
      <c r="A762" s="540"/>
      <c r="B762" s="540"/>
      <c r="C762" s="540"/>
      <c r="D762" s="540"/>
      <c r="E762" s="540"/>
      <c r="F762" s="540"/>
      <c r="G762" s="540"/>
      <c r="H762" s="540"/>
      <c r="I762" s="540"/>
      <c r="J762" s="540"/>
      <c r="K762" s="540"/>
      <c r="L762" s="540"/>
      <c r="M762" s="540"/>
      <c r="N762" s="540"/>
      <c r="O762" s="540"/>
      <c r="P762" s="540"/>
      <c r="Q762" s="540"/>
      <c r="R762" s="540"/>
      <c r="S762" s="540"/>
      <c r="T762" s="540"/>
      <c r="U762" s="540"/>
      <c r="V762" s="540"/>
      <c r="W762" s="540"/>
      <c r="X762" s="540"/>
      <c r="Y762" s="540"/>
      <c r="Z762" s="540"/>
    </row>
    <row r="763" ht="171.75" customHeight="1">
      <c r="A763" s="540"/>
      <c r="B763" s="540"/>
      <c r="C763" s="540"/>
      <c r="D763" s="540"/>
      <c r="E763" s="540"/>
      <c r="F763" s="540"/>
      <c r="G763" s="540"/>
      <c r="H763" s="540"/>
      <c r="I763" s="540"/>
      <c r="J763" s="540"/>
      <c r="K763" s="540"/>
      <c r="L763" s="540"/>
      <c r="M763" s="540"/>
      <c r="N763" s="540"/>
      <c r="O763" s="540"/>
      <c r="P763" s="540"/>
      <c r="Q763" s="540"/>
      <c r="R763" s="540"/>
      <c r="S763" s="540"/>
      <c r="T763" s="540"/>
      <c r="U763" s="540"/>
      <c r="V763" s="540"/>
      <c r="W763" s="540"/>
      <c r="X763" s="540"/>
      <c r="Y763" s="540"/>
      <c r="Z763" s="540"/>
    </row>
    <row r="764" ht="171.75" customHeight="1">
      <c r="A764" s="540"/>
      <c r="B764" s="540"/>
      <c r="C764" s="540"/>
      <c r="D764" s="540"/>
      <c r="E764" s="540"/>
      <c r="F764" s="540"/>
      <c r="G764" s="540"/>
      <c r="H764" s="540"/>
      <c r="I764" s="540"/>
      <c r="J764" s="540"/>
      <c r="K764" s="540"/>
      <c r="L764" s="540"/>
      <c r="M764" s="540"/>
      <c r="N764" s="540"/>
      <c r="O764" s="540"/>
      <c r="P764" s="540"/>
      <c r="Q764" s="540"/>
      <c r="R764" s="540"/>
      <c r="S764" s="540"/>
      <c r="T764" s="540"/>
      <c r="U764" s="540"/>
      <c r="V764" s="540"/>
      <c r="W764" s="540"/>
      <c r="X764" s="540"/>
      <c r="Y764" s="540"/>
      <c r="Z764" s="540"/>
    </row>
    <row r="765" ht="171.75" customHeight="1">
      <c r="A765" s="540"/>
      <c r="B765" s="540"/>
      <c r="C765" s="540"/>
      <c r="D765" s="540"/>
      <c r="E765" s="540"/>
      <c r="F765" s="540"/>
      <c r="G765" s="540"/>
      <c r="H765" s="540"/>
      <c r="I765" s="540"/>
      <c r="J765" s="540"/>
      <c r="K765" s="540"/>
      <c r="L765" s="540"/>
      <c r="M765" s="540"/>
      <c r="N765" s="540"/>
      <c r="O765" s="540"/>
      <c r="P765" s="540"/>
      <c r="Q765" s="540"/>
      <c r="R765" s="540"/>
      <c r="S765" s="540"/>
      <c r="T765" s="540"/>
      <c r="U765" s="540"/>
      <c r="V765" s="540"/>
      <c r="W765" s="540"/>
      <c r="X765" s="540"/>
      <c r="Y765" s="540"/>
      <c r="Z765" s="540"/>
    </row>
    <row r="766" ht="171.75" customHeight="1">
      <c r="A766" s="540"/>
      <c r="B766" s="540"/>
      <c r="C766" s="540"/>
      <c r="D766" s="540"/>
      <c r="E766" s="540"/>
      <c r="F766" s="540"/>
      <c r="G766" s="540"/>
      <c r="H766" s="540"/>
      <c r="I766" s="540"/>
      <c r="J766" s="540"/>
      <c r="K766" s="540"/>
      <c r="L766" s="540"/>
      <c r="M766" s="540"/>
      <c r="N766" s="540"/>
      <c r="O766" s="540"/>
      <c r="P766" s="540"/>
      <c r="Q766" s="540"/>
      <c r="R766" s="540"/>
      <c r="S766" s="540"/>
      <c r="T766" s="540"/>
      <c r="U766" s="540"/>
      <c r="V766" s="540"/>
      <c r="W766" s="540"/>
      <c r="X766" s="540"/>
      <c r="Y766" s="540"/>
      <c r="Z766" s="540"/>
    </row>
    <row r="767" ht="171.75" customHeight="1">
      <c r="A767" s="540"/>
      <c r="B767" s="540"/>
      <c r="C767" s="540"/>
      <c r="D767" s="540"/>
      <c r="E767" s="540"/>
      <c r="F767" s="540"/>
      <c r="G767" s="540"/>
      <c r="H767" s="540"/>
      <c r="I767" s="540"/>
      <c r="J767" s="540"/>
      <c r="K767" s="540"/>
      <c r="L767" s="540"/>
      <c r="M767" s="540"/>
      <c r="N767" s="540"/>
      <c r="O767" s="540"/>
      <c r="P767" s="540"/>
      <c r="Q767" s="540"/>
      <c r="R767" s="540"/>
      <c r="S767" s="540"/>
      <c r="T767" s="540"/>
      <c r="U767" s="540"/>
      <c r="V767" s="540"/>
      <c r="W767" s="540"/>
      <c r="X767" s="540"/>
      <c r="Y767" s="540"/>
      <c r="Z767" s="540"/>
    </row>
    <row r="768" ht="171.75" customHeight="1">
      <c r="A768" s="540"/>
      <c r="B768" s="540"/>
      <c r="C768" s="540"/>
      <c r="D768" s="540"/>
      <c r="E768" s="540"/>
      <c r="F768" s="540"/>
      <c r="G768" s="540"/>
      <c r="H768" s="540"/>
      <c r="I768" s="540"/>
      <c r="J768" s="540"/>
      <c r="K768" s="540"/>
      <c r="L768" s="540"/>
      <c r="M768" s="540"/>
      <c r="N768" s="540"/>
      <c r="O768" s="540"/>
      <c r="P768" s="540"/>
      <c r="Q768" s="540"/>
      <c r="R768" s="540"/>
      <c r="S768" s="540"/>
      <c r="T768" s="540"/>
      <c r="U768" s="540"/>
      <c r="V768" s="540"/>
      <c r="W768" s="540"/>
      <c r="X768" s="540"/>
      <c r="Y768" s="540"/>
      <c r="Z768" s="540"/>
    </row>
    <row r="769" ht="171.75" customHeight="1">
      <c r="A769" s="540"/>
      <c r="B769" s="540"/>
      <c r="C769" s="540"/>
      <c r="D769" s="540"/>
      <c r="E769" s="540"/>
      <c r="F769" s="540"/>
      <c r="G769" s="540"/>
      <c r="H769" s="540"/>
      <c r="I769" s="540"/>
      <c r="J769" s="540"/>
      <c r="K769" s="540"/>
      <c r="L769" s="540"/>
      <c r="M769" s="540"/>
      <c r="N769" s="540"/>
      <c r="O769" s="540"/>
      <c r="P769" s="540"/>
      <c r="Q769" s="540"/>
      <c r="R769" s="540"/>
      <c r="S769" s="540"/>
      <c r="T769" s="540"/>
      <c r="U769" s="540"/>
      <c r="V769" s="540"/>
      <c r="W769" s="540"/>
      <c r="X769" s="540"/>
      <c r="Y769" s="540"/>
      <c r="Z769" s="540"/>
    </row>
    <row r="770" ht="171.75" customHeight="1">
      <c r="A770" s="540"/>
      <c r="B770" s="540"/>
      <c r="C770" s="540"/>
      <c r="D770" s="540"/>
      <c r="E770" s="540"/>
      <c r="F770" s="540"/>
      <c r="G770" s="540"/>
      <c r="H770" s="540"/>
      <c r="I770" s="540"/>
      <c r="J770" s="540"/>
      <c r="K770" s="540"/>
      <c r="L770" s="540"/>
      <c r="M770" s="540"/>
      <c r="N770" s="540"/>
      <c r="O770" s="540"/>
      <c r="P770" s="540"/>
      <c r="Q770" s="540"/>
      <c r="R770" s="540"/>
      <c r="S770" s="540"/>
      <c r="T770" s="540"/>
      <c r="U770" s="540"/>
      <c r="V770" s="540"/>
      <c r="W770" s="540"/>
      <c r="X770" s="540"/>
      <c r="Y770" s="540"/>
      <c r="Z770" s="540"/>
    </row>
    <row r="771" ht="171.75" customHeight="1">
      <c r="A771" s="540"/>
      <c r="B771" s="540"/>
      <c r="C771" s="540"/>
      <c r="D771" s="540"/>
      <c r="E771" s="540"/>
      <c r="F771" s="540"/>
      <c r="G771" s="540"/>
      <c r="H771" s="540"/>
      <c r="I771" s="540"/>
      <c r="J771" s="540"/>
      <c r="K771" s="540"/>
      <c r="L771" s="540"/>
      <c r="M771" s="540"/>
      <c r="N771" s="540"/>
      <c r="O771" s="540"/>
      <c r="P771" s="540"/>
      <c r="Q771" s="540"/>
      <c r="R771" s="540"/>
      <c r="S771" s="540"/>
      <c r="T771" s="540"/>
      <c r="U771" s="540"/>
      <c r="V771" s="540"/>
      <c r="W771" s="540"/>
      <c r="X771" s="540"/>
      <c r="Y771" s="540"/>
      <c r="Z771" s="540"/>
    </row>
    <row r="772" ht="171.75" customHeight="1">
      <c r="A772" s="540"/>
      <c r="B772" s="540"/>
      <c r="C772" s="540"/>
      <c r="D772" s="540"/>
      <c r="E772" s="540"/>
      <c r="F772" s="540"/>
      <c r="G772" s="540"/>
      <c r="H772" s="540"/>
      <c r="I772" s="540"/>
      <c r="J772" s="540"/>
      <c r="K772" s="540"/>
      <c r="L772" s="540"/>
      <c r="M772" s="540"/>
      <c r="N772" s="540"/>
      <c r="O772" s="540"/>
      <c r="P772" s="540"/>
      <c r="Q772" s="540"/>
      <c r="R772" s="540"/>
      <c r="S772" s="540"/>
      <c r="T772" s="540"/>
      <c r="U772" s="540"/>
      <c r="V772" s="540"/>
      <c r="W772" s="540"/>
      <c r="X772" s="540"/>
      <c r="Y772" s="540"/>
      <c r="Z772" s="540"/>
    </row>
    <row r="773" ht="171.75" customHeight="1">
      <c r="A773" s="540"/>
      <c r="B773" s="540"/>
      <c r="C773" s="540"/>
      <c r="D773" s="540"/>
      <c r="E773" s="540"/>
      <c r="F773" s="540"/>
      <c r="G773" s="540"/>
      <c r="H773" s="540"/>
      <c r="I773" s="540"/>
      <c r="J773" s="540"/>
      <c r="K773" s="540"/>
      <c r="L773" s="540"/>
      <c r="M773" s="540"/>
      <c r="N773" s="540"/>
      <c r="O773" s="540"/>
      <c r="P773" s="540"/>
      <c r="Q773" s="540"/>
      <c r="R773" s="540"/>
      <c r="S773" s="540"/>
      <c r="T773" s="540"/>
      <c r="U773" s="540"/>
      <c r="V773" s="540"/>
      <c r="W773" s="540"/>
      <c r="X773" s="540"/>
      <c r="Y773" s="540"/>
      <c r="Z773" s="540"/>
    </row>
    <row r="774" ht="171.75" customHeight="1">
      <c r="A774" s="540"/>
      <c r="B774" s="540"/>
      <c r="C774" s="540"/>
      <c r="D774" s="540"/>
      <c r="E774" s="540"/>
      <c r="F774" s="540"/>
      <c r="G774" s="540"/>
      <c r="H774" s="540"/>
      <c r="I774" s="540"/>
      <c r="J774" s="540"/>
      <c r="K774" s="540"/>
      <c r="L774" s="540"/>
      <c r="M774" s="540"/>
      <c r="N774" s="540"/>
      <c r="O774" s="540"/>
      <c r="P774" s="540"/>
      <c r="Q774" s="540"/>
      <c r="R774" s="540"/>
      <c r="S774" s="540"/>
      <c r="T774" s="540"/>
      <c r="U774" s="540"/>
      <c r="V774" s="540"/>
      <c r="W774" s="540"/>
      <c r="X774" s="540"/>
      <c r="Y774" s="540"/>
      <c r="Z774" s="540"/>
    </row>
    <row r="775" ht="171.75" customHeight="1">
      <c r="A775" s="540"/>
      <c r="B775" s="540"/>
      <c r="C775" s="540"/>
      <c r="D775" s="540"/>
      <c r="E775" s="540"/>
      <c r="F775" s="540"/>
      <c r="G775" s="540"/>
      <c r="H775" s="540"/>
      <c r="I775" s="540"/>
      <c r="J775" s="540"/>
      <c r="K775" s="540"/>
      <c r="L775" s="540"/>
      <c r="M775" s="540"/>
      <c r="N775" s="540"/>
      <c r="O775" s="540"/>
      <c r="P775" s="540"/>
      <c r="Q775" s="540"/>
      <c r="R775" s="540"/>
      <c r="S775" s="540"/>
      <c r="T775" s="540"/>
      <c r="U775" s="540"/>
      <c r="V775" s="540"/>
      <c r="W775" s="540"/>
      <c r="X775" s="540"/>
      <c r="Y775" s="540"/>
      <c r="Z775" s="540"/>
    </row>
    <row r="776" ht="171.75" customHeight="1">
      <c r="A776" s="540"/>
      <c r="B776" s="540"/>
      <c r="C776" s="540"/>
      <c r="D776" s="540"/>
      <c r="E776" s="540"/>
      <c r="F776" s="540"/>
      <c r="G776" s="540"/>
      <c r="H776" s="540"/>
      <c r="I776" s="540"/>
      <c r="J776" s="540"/>
      <c r="K776" s="540"/>
      <c r="L776" s="540"/>
      <c r="M776" s="540"/>
      <c r="N776" s="540"/>
      <c r="O776" s="540"/>
      <c r="P776" s="540"/>
      <c r="Q776" s="540"/>
      <c r="R776" s="540"/>
      <c r="S776" s="540"/>
      <c r="T776" s="540"/>
      <c r="U776" s="540"/>
      <c r="V776" s="540"/>
      <c r="W776" s="540"/>
      <c r="X776" s="540"/>
      <c r="Y776" s="540"/>
      <c r="Z776" s="540"/>
    </row>
    <row r="777" ht="171.75" customHeight="1">
      <c r="A777" s="540"/>
      <c r="B777" s="540"/>
      <c r="C777" s="540"/>
      <c r="D777" s="540"/>
      <c r="E777" s="540"/>
      <c r="F777" s="540"/>
      <c r="G777" s="540"/>
      <c r="H777" s="540"/>
      <c r="I777" s="540"/>
      <c r="J777" s="540"/>
      <c r="K777" s="540"/>
      <c r="L777" s="540"/>
      <c r="M777" s="540"/>
      <c r="N777" s="540"/>
      <c r="O777" s="540"/>
      <c r="P777" s="540"/>
      <c r="Q777" s="540"/>
      <c r="R777" s="540"/>
      <c r="S777" s="540"/>
      <c r="T777" s="540"/>
      <c r="U777" s="540"/>
      <c r="V777" s="540"/>
      <c r="W777" s="540"/>
      <c r="X777" s="540"/>
      <c r="Y777" s="540"/>
      <c r="Z777" s="540"/>
    </row>
    <row r="778" ht="171.75" customHeight="1">
      <c r="A778" s="540"/>
      <c r="B778" s="540"/>
      <c r="C778" s="540"/>
      <c r="D778" s="540"/>
      <c r="E778" s="540"/>
      <c r="F778" s="540"/>
      <c r="G778" s="540"/>
      <c r="H778" s="540"/>
      <c r="I778" s="540"/>
      <c r="J778" s="540"/>
      <c r="K778" s="540"/>
      <c r="L778" s="540"/>
      <c r="M778" s="540"/>
      <c r="N778" s="540"/>
      <c r="O778" s="540"/>
      <c r="P778" s="540"/>
      <c r="Q778" s="540"/>
      <c r="R778" s="540"/>
      <c r="S778" s="540"/>
      <c r="T778" s="540"/>
      <c r="U778" s="540"/>
      <c r="V778" s="540"/>
      <c r="W778" s="540"/>
      <c r="X778" s="540"/>
      <c r="Y778" s="540"/>
      <c r="Z778" s="540"/>
    </row>
    <row r="779" ht="171.75" customHeight="1">
      <c r="A779" s="540"/>
      <c r="B779" s="540"/>
      <c r="C779" s="540"/>
      <c r="D779" s="540"/>
      <c r="E779" s="540"/>
      <c r="F779" s="540"/>
      <c r="G779" s="540"/>
      <c r="H779" s="540"/>
      <c r="I779" s="540"/>
      <c r="J779" s="540"/>
      <c r="K779" s="540"/>
      <c r="L779" s="540"/>
      <c r="M779" s="540"/>
      <c r="N779" s="540"/>
      <c r="O779" s="540"/>
      <c r="P779" s="540"/>
      <c r="Q779" s="540"/>
      <c r="R779" s="540"/>
      <c r="S779" s="540"/>
      <c r="T779" s="540"/>
      <c r="U779" s="540"/>
      <c r="V779" s="540"/>
      <c r="W779" s="540"/>
      <c r="X779" s="540"/>
      <c r="Y779" s="540"/>
      <c r="Z779" s="540"/>
    </row>
    <row r="780" ht="171.75" customHeight="1">
      <c r="A780" s="540"/>
      <c r="B780" s="540"/>
      <c r="C780" s="540"/>
      <c r="D780" s="540"/>
      <c r="E780" s="540"/>
      <c r="F780" s="540"/>
      <c r="G780" s="540"/>
      <c r="H780" s="540"/>
      <c r="I780" s="540"/>
      <c r="J780" s="540"/>
      <c r="K780" s="540"/>
      <c r="L780" s="540"/>
      <c r="M780" s="540"/>
      <c r="N780" s="540"/>
      <c r="O780" s="540"/>
      <c r="P780" s="540"/>
      <c r="Q780" s="540"/>
      <c r="R780" s="540"/>
      <c r="S780" s="540"/>
      <c r="T780" s="540"/>
      <c r="U780" s="540"/>
      <c r="V780" s="540"/>
      <c r="W780" s="540"/>
      <c r="X780" s="540"/>
      <c r="Y780" s="540"/>
      <c r="Z780" s="540"/>
    </row>
    <row r="781" ht="171.75" customHeight="1">
      <c r="A781" s="540"/>
      <c r="B781" s="540"/>
      <c r="C781" s="540"/>
      <c r="D781" s="540"/>
      <c r="E781" s="540"/>
      <c r="F781" s="540"/>
      <c r="G781" s="540"/>
      <c r="H781" s="540"/>
      <c r="I781" s="540"/>
      <c r="J781" s="540"/>
      <c r="K781" s="540"/>
      <c r="L781" s="540"/>
      <c r="M781" s="540"/>
      <c r="N781" s="540"/>
      <c r="O781" s="540"/>
      <c r="P781" s="540"/>
      <c r="Q781" s="540"/>
      <c r="R781" s="540"/>
      <c r="S781" s="540"/>
      <c r="T781" s="540"/>
      <c r="U781" s="540"/>
      <c r="V781" s="540"/>
      <c r="W781" s="540"/>
      <c r="X781" s="540"/>
      <c r="Y781" s="540"/>
      <c r="Z781" s="540"/>
    </row>
    <row r="782" ht="171.75" customHeight="1">
      <c r="A782" s="540"/>
      <c r="B782" s="540"/>
      <c r="C782" s="540"/>
      <c r="D782" s="540"/>
      <c r="E782" s="540"/>
      <c r="F782" s="540"/>
      <c r="G782" s="540"/>
      <c r="H782" s="540"/>
      <c r="I782" s="540"/>
      <c r="J782" s="540"/>
      <c r="K782" s="540"/>
      <c r="L782" s="540"/>
      <c r="M782" s="540"/>
      <c r="N782" s="540"/>
      <c r="O782" s="540"/>
      <c r="P782" s="540"/>
      <c r="Q782" s="540"/>
      <c r="R782" s="540"/>
      <c r="S782" s="540"/>
      <c r="T782" s="540"/>
      <c r="U782" s="540"/>
      <c r="V782" s="540"/>
      <c r="W782" s="540"/>
      <c r="X782" s="540"/>
      <c r="Y782" s="540"/>
      <c r="Z782" s="540"/>
    </row>
    <row r="783" ht="171.75" customHeight="1">
      <c r="A783" s="540"/>
      <c r="B783" s="540"/>
      <c r="C783" s="540"/>
      <c r="D783" s="540"/>
      <c r="E783" s="540"/>
      <c r="F783" s="540"/>
      <c r="G783" s="540"/>
      <c r="H783" s="540"/>
      <c r="I783" s="540"/>
      <c r="J783" s="540"/>
      <c r="K783" s="540"/>
      <c r="L783" s="540"/>
      <c r="M783" s="540"/>
      <c r="N783" s="540"/>
      <c r="O783" s="540"/>
      <c r="P783" s="540"/>
      <c r="Q783" s="540"/>
      <c r="R783" s="540"/>
      <c r="S783" s="540"/>
      <c r="T783" s="540"/>
      <c r="U783" s="540"/>
      <c r="V783" s="540"/>
      <c r="W783" s="540"/>
      <c r="X783" s="540"/>
      <c r="Y783" s="540"/>
      <c r="Z783" s="540"/>
    </row>
    <row r="784" ht="171.75" customHeight="1">
      <c r="A784" s="540"/>
      <c r="B784" s="540"/>
      <c r="C784" s="540"/>
      <c r="D784" s="540"/>
      <c r="E784" s="540"/>
      <c r="F784" s="540"/>
      <c r="G784" s="540"/>
      <c r="H784" s="540"/>
      <c r="I784" s="540"/>
      <c r="J784" s="540"/>
      <c r="K784" s="540"/>
      <c r="L784" s="540"/>
      <c r="M784" s="540"/>
      <c r="N784" s="540"/>
      <c r="O784" s="540"/>
      <c r="P784" s="540"/>
      <c r="Q784" s="540"/>
      <c r="R784" s="540"/>
      <c r="S784" s="540"/>
      <c r="T784" s="540"/>
      <c r="U784" s="540"/>
      <c r="V784" s="540"/>
      <c r="W784" s="540"/>
      <c r="X784" s="540"/>
      <c r="Y784" s="540"/>
      <c r="Z784" s="540"/>
    </row>
    <row r="785" ht="171.75" customHeight="1">
      <c r="A785" s="540"/>
      <c r="B785" s="540"/>
      <c r="C785" s="540"/>
      <c r="D785" s="540"/>
      <c r="E785" s="540"/>
      <c r="F785" s="540"/>
      <c r="G785" s="540"/>
      <c r="H785" s="540"/>
      <c r="I785" s="540"/>
      <c r="J785" s="540"/>
      <c r="K785" s="540"/>
      <c r="L785" s="540"/>
      <c r="M785" s="540"/>
      <c r="N785" s="540"/>
      <c r="O785" s="540"/>
      <c r="P785" s="540"/>
      <c r="Q785" s="540"/>
      <c r="R785" s="540"/>
      <c r="S785" s="540"/>
      <c r="T785" s="540"/>
      <c r="U785" s="540"/>
      <c r="V785" s="540"/>
      <c r="W785" s="540"/>
      <c r="X785" s="540"/>
      <c r="Y785" s="540"/>
      <c r="Z785" s="540"/>
    </row>
    <row r="786" ht="171.75" customHeight="1">
      <c r="A786" s="540"/>
      <c r="B786" s="540"/>
      <c r="C786" s="540"/>
      <c r="D786" s="540"/>
      <c r="E786" s="540"/>
      <c r="F786" s="540"/>
      <c r="G786" s="540"/>
      <c r="H786" s="540"/>
      <c r="I786" s="540"/>
      <c r="J786" s="540"/>
      <c r="K786" s="540"/>
      <c r="L786" s="540"/>
      <c r="M786" s="540"/>
      <c r="N786" s="540"/>
      <c r="O786" s="540"/>
      <c r="P786" s="540"/>
      <c r="Q786" s="540"/>
      <c r="R786" s="540"/>
      <c r="S786" s="540"/>
      <c r="T786" s="540"/>
      <c r="U786" s="540"/>
      <c r="V786" s="540"/>
      <c r="W786" s="540"/>
      <c r="X786" s="540"/>
      <c r="Y786" s="540"/>
      <c r="Z786" s="540"/>
    </row>
    <row r="787" ht="171.75" customHeight="1">
      <c r="A787" s="540"/>
      <c r="B787" s="540"/>
      <c r="C787" s="540"/>
      <c r="D787" s="540"/>
      <c r="E787" s="540"/>
      <c r="F787" s="540"/>
      <c r="G787" s="540"/>
      <c r="H787" s="540"/>
      <c r="I787" s="540"/>
      <c r="J787" s="540"/>
      <c r="K787" s="540"/>
      <c r="L787" s="540"/>
      <c r="M787" s="540"/>
      <c r="N787" s="540"/>
      <c r="O787" s="540"/>
      <c r="P787" s="540"/>
      <c r="Q787" s="540"/>
      <c r="R787" s="540"/>
      <c r="S787" s="540"/>
      <c r="T787" s="540"/>
      <c r="U787" s="540"/>
      <c r="V787" s="540"/>
      <c r="W787" s="540"/>
      <c r="X787" s="540"/>
      <c r="Y787" s="540"/>
      <c r="Z787" s="540"/>
    </row>
    <row r="788" ht="171.75" customHeight="1">
      <c r="A788" s="540"/>
      <c r="B788" s="540"/>
      <c r="C788" s="540"/>
      <c r="D788" s="540"/>
      <c r="E788" s="540"/>
      <c r="F788" s="540"/>
      <c r="G788" s="540"/>
      <c r="H788" s="540"/>
      <c r="I788" s="540"/>
      <c r="J788" s="540"/>
      <c r="K788" s="540"/>
      <c r="L788" s="540"/>
      <c r="M788" s="540"/>
      <c r="N788" s="540"/>
      <c r="O788" s="540"/>
      <c r="P788" s="540"/>
      <c r="Q788" s="540"/>
      <c r="R788" s="540"/>
      <c r="S788" s="540"/>
      <c r="T788" s="540"/>
      <c r="U788" s="540"/>
      <c r="V788" s="540"/>
      <c r="W788" s="540"/>
      <c r="X788" s="540"/>
      <c r="Y788" s="540"/>
      <c r="Z788" s="540"/>
    </row>
    <row r="789" ht="171.75" customHeight="1">
      <c r="A789" s="540"/>
      <c r="B789" s="540"/>
      <c r="C789" s="540"/>
      <c r="D789" s="540"/>
      <c r="E789" s="540"/>
      <c r="F789" s="540"/>
      <c r="G789" s="540"/>
      <c r="H789" s="540"/>
      <c r="I789" s="540"/>
      <c r="J789" s="540"/>
      <c r="K789" s="540"/>
      <c r="L789" s="540"/>
      <c r="M789" s="540"/>
      <c r="N789" s="540"/>
      <c r="O789" s="540"/>
      <c r="P789" s="540"/>
      <c r="Q789" s="540"/>
      <c r="R789" s="540"/>
      <c r="S789" s="540"/>
      <c r="T789" s="540"/>
      <c r="U789" s="540"/>
      <c r="V789" s="540"/>
      <c r="W789" s="540"/>
      <c r="X789" s="540"/>
      <c r="Y789" s="540"/>
      <c r="Z789" s="540"/>
    </row>
    <row r="790" ht="171.75" customHeight="1">
      <c r="A790" s="540"/>
      <c r="B790" s="540"/>
      <c r="C790" s="540"/>
      <c r="D790" s="540"/>
      <c r="E790" s="540"/>
      <c r="F790" s="540"/>
      <c r="G790" s="540"/>
      <c r="H790" s="540"/>
      <c r="I790" s="540"/>
      <c r="J790" s="540"/>
      <c r="K790" s="540"/>
      <c r="L790" s="540"/>
      <c r="M790" s="540"/>
      <c r="N790" s="540"/>
      <c r="O790" s="540"/>
      <c r="P790" s="540"/>
      <c r="Q790" s="540"/>
      <c r="R790" s="540"/>
      <c r="S790" s="540"/>
      <c r="T790" s="540"/>
      <c r="U790" s="540"/>
      <c r="V790" s="540"/>
      <c r="W790" s="540"/>
      <c r="X790" s="540"/>
      <c r="Y790" s="540"/>
      <c r="Z790" s="540"/>
    </row>
    <row r="791" ht="171.75" customHeight="1">
      <c r="A791" s="540"/>
      <c r="B791" s="540"/>
      <c r="C791" s="540"/>
      <c r="D791" s="540"/>
      <c r="E791" s="540"/>
      <c r="F791" s="540"/>
      <c r="G791" s="540"/>
      <c r="H791" s="540"/>
      <c r="I791" s="540"/>
      <c r="J791" s="540"/>
      <c r="K791" s="540"/>
      <c r="L791" s="540"/>
      <c r="M791" s="540"/>
      <c r="N791" s="540"/>
      <c r="O791" s="540"/>
      <c r="P791" s="540"/>
      <c r="Q791" s="540"/>
      <c r="R791" s="540"/>
      <c r="S791" s="540"/>
      <c r="T791" s="540"/>
      <c r="U791" s="540"/>
      <c r="V791" s="540"/>
      <c r="W791" s="540"/>
      <c r="X791" s="540"/>
      <c r="Y791" s="540"/>
      <c r="Z791" s="540"/>
    </row>
    <row r="792" ht="171.75" customHeight="1">
      <c r="A792" s="540"/>
      <c r="B792" s="540"/>
      <c r="C792" s="540"/>
      <c r="D792" s="540"/>
      <c r="E792" s="540"/>
      <c r="F792" s="540"/>
      <c r="G792" s="540"/>
      <c r="H792" s="540"/>
      <c r="I792" s="540"/>
      <c r="J792" s="540"/>
      <c r="K792" s="540"/>
      <c r="L792" s="540"/>
      <c r="M792" s="540"/>
      <c r="N792" s="540"/>
      <c r="O792" s="540"/>
      <c r="P792" s="540"/>
      <c r="Q792" s="540"/>
      <c r="R792" s="540"/>
      <c r="S792" s="540"/>
      <c r="T792" s="540"/>
      <c r="U792" s="540"/>
      <c r="V792" s="540"/>
      <c r="W792" s="540"/>
      <c r="X792" s="540"/>
      <c r="Y792" s="540"/>
      <c r="Z792" s="540"/>
    </row>
    <row r="793" ht="171.75" customHeight="1">
      <c r="A793" s="540"/>
      <c r="B793" s="540"/>
      <c r="C793" s="540"/>
      <c r="D793" s="540"/>
      <c r="E793" s="540"/>
      <c r="F793" s="540"/>
      <c r="G793" s="540"/>
      <c r="H793" s="540"/>
      <c r="I793" s="540"/>
      <c r="J793" s="540"/>
      <c r="K793" s="540"/>
      <c r="L793" s="540"/>
      <c r="M793" s="540"/>
      <c r="N793" s="540"/>
      <c r="O793" s="540"/>
      <c r="P793" s="540"/>
      <c r="Q793" s="540"/>
      <c r="R793" s="540"/>
      <c r="S793" s="540"/>
      <c r="T793" s="540"/>
      <c r="U793" s="540"/>
      <c r="V793" s="540"/>
      <c r="W793" s="540"/>
      <c r="X793" s="540"/>
      <c r="Y793" s="540"/>
      <c r="Z793" s="540"/>
    </row>
    <row r="794" ht="171.75" customHeight="1">
      <c r="A794" s="540"/>
      <c r="B794" s="540"/>
      <c r="C794" s="540"/>
      <c r="D794" s="540"/>
      <c r="E794" s="540"/>
      <c r="F794" s="540"/>
      <c r="G794" s="540"/>
      <c r="H794" s="540"/>
      <c r="I794" s="540"/>
      <c r="J794" s="540"/>
      <c r="K794" s="540"/>
      <c r="L794" s="540"/>
      <c r="M794" s="540"/>
      <c r="N794" s="540"/>
      <c r="O794" s="540"/>
      <c r="P794" s="540"/>
      <c r="Q794" s="540"/>
      <c r="R794" s="540"/>
      <c r="S794" s="540"/>
      <c r="T794" s="540"/>
      <c r="U794" s="540"/>
      <c r="V794" s="540"/>
      <c r="W794" s="540"/>
      <c r="X794" s="540"/>
      <c r="Y794" s="540"/>
      <c r="Z794" s="540"/>
    </row>
    <row r="795" ht="171.75" customHeight="1">
      <c r="A795" s="540"/>
      <c r="B795" s="540"/>
      <c r="C795" s="540"/>
      <c r="D795" s="540"/>
      <c r="E795" s="540"/>
      <c r="F795" s="540"/>
      <c r="G795" s="540"/>
      <c r="H795" s="540"/>
      <c r="I795" s="540"/>
      <c r="J795" s="540"/>
      <c r="K795" s="540"/>
      <c r="L795" s="540"/>
      <c r="M795" s="540"/>
      <c r="N795" s="540"/>
      <c r="O795" s="540"/>
      <c r="P795" s="540"/>
      <c r="Q795" s="540"/>
      <c r="R795" s="540"/>
      <c r="S795" s="540"/>
      <c r="T795" s="540"/>
      <c r="U795" s="540"/>
      <c r="V795" s="540"/>
      <c r="W795" s="540"/>
      <c r="X795" s="540"/>
      <c r="Y795" s="540"/>
      <c r="Z795" s="540"/>
    </row>
    <row r="796" ht="171.75" customHeight="1">
      <c r="A796" s="540"/>
      <c r="B796" s="540"/>
      <c r="C796" s="540"/>
      <c r="D796" s="540"/>
      <c r="E796" s="540"/>
      <c r="F796" s="540"/>
      <c r="G796" s="540"/>
      <c r="H796" s="540"/>
      <c r="I796" s="540"/>
      <c r="J796" s="540"/>
      <c r="K796" s="540"/>
      <c r="L796" s="540"/>
      <c r="M796" s="540"/>
      <c r="N796" s="540"/>
      <c r="O796" s="540"/>
      <c r="P796" s="540"/>
      <c r="Q796" s="540"/>
      <c r="R796" s="540"/>
      <c r="S796" s="540"/>
      <c r="T796" s="540"/>
      <c r="U796" s="540"/>
      <c r="V796" s="540"/>
      <c r="W796" s="540"/>
      <c r="X796" s="540"/>
      <c r="Y796" s="540"/>
      <c r="Z796" s="540"/>
    </row>
    <row r="797" ht="171.75" customHeight="1">
      <c r="A797" s="540"/>
      <c r="B797" s="540"/>
      <c r="C797" s="540"/>
      <c r="D797" s="540"/>
      <c r="E797" s="540"/>
      <c r="F797" s="540"/>
      <c r="G797" s="540"/>
      <c r="H797" s="540"/>
      <c r="I797" s="540"/>
      <c r="J797" s="540"/>
      <c r="K797" s="540"/>
      <c r="L797" s="540"/>
      <c r="M797" s="540"/>
      <c r="N797" s="540"/>
      <c r="O797" s="540"/>
      <c r="P797" s="540"/>
      <c r="Q797" s="540"/>
      <c r="R797" s="540"/>
      <c r="S797" s="540"/>
      <c r="T797" s="540"/>
      <c r="U797" s="540"/>
      <c r="V797" s="540"/>
      <c r="W797" s="540"/>
      <c r="X797" s="540"/>
      <c r="Y797" s="540"/>
      <c r="Z797" s="540"/>
    </row>
    <row r="798" ht="171.75" customHeight="1">
      <c r="A798" s="540"/>
      <c r="B798" s="540"/>
      <c r="C798" s="540"/>
      <c r="D798" s="540"/>
      <c r="E798" s="540"/>
      <c r="F798" s="540"/>
      <c r="G798" s="540"/>
      <c r="H798" s="540"/>
      <c r="I798" s="540"/>
      <c r="J798" s="540"/>
      <c r="K798" s="540"/>
      <c r="L798" s="540"/>
      <c r="M798" s="540"/>
      <c r="N798" s="540"/>
      <c r="O798" s="540"/>
      <c r="P798" s="540"/>
      <c r="Q798" s="540"/>
      <c r="R798" s="540"/>
      <c r="S798" s="540"/>
      <c r="T798" s="540"/>
      <c r="U798" s="540"/>
      <c r="V798" s="540"/>
      <c r="W798" s="540"/>
      <c r="X798" s="540"/>
      <c r="Y798" s="540"/>
      <c r="Z798" s="540"/>
    </row>
    <row r="799" ht="171.75" customHeight="1">
      <c r="A799" s="540"/>
      <c r="B799" s="540"/>
      <c r="C799" s="540"/>
      <c r="D799" s="540"/>
      <c r="E799" s="540"/>
      <c r="F799" s="540"/>
      <c r="G799" s="540"/>
      <c r="H799" s="540"/>
      <c r="I799" s="540"/>
      <c r="J799" s="540"/>
      <c r="K799" s="540"/>
      <c r="L799" s="540"/>
      <c r="M799" s="540"/>
      <c r="N799" s="540"/>
      <c r="O799" s="540"/>
      <c r="P799" s="540"/>
      <c r="Q799" s="540"/>
      <c r="R799" s="540"/>
      <c r="S799" s="540"/>
      <c r="T799" s="540"/>
      <c r="U799" s="540"/>
      <c r="V799" s="540"/>
      <c r="W799" s="540"/>
      <c r="X799" s="540"/>
      <c r="Y799" s="540"/>
      <c r="Z799" s="540"/>
    </row>
    <row r="800" ht="171.75" customHeight="1">
      <c r="A800" s="540"/>
      <c r="B800" s="540"/>
      <c r="C800" s="540"/>
      <c r="D800" s="540"/>
      <c r="E800" s="540"/>
      <c r="F800" s="540"/>
      <c r="G800" s="540"/>
      <c r="H800" s="540"/>
      <c r="I800" s="540"/>
      <c r="J800" s="540"/>
      <c r="K800" s="540"/>
      <c r="L800" s="540"/>
      <c r="M800" s="540"/>
      <c r="N800" s="540"/>
      <c r="O800" s="540"/>
      <c r="P800" s="540"/>
      <c r="Q800" s="540"/>
      <c r="R800" s="540"/>
      <c r="S800" s="540"/>
      <c r="T800" s="540"/>
      <c r="U800" s="540"/>
      <c r="V800" s="540"/>
      <c r="W800" s="540"/>
      <c r="X800" s="540"/>
      <c r="Y800" s="540"/>
      <c r="Z800" s="540"/>
    </row>
    <row r="801" ht="171.75" customHeight="1">
      <c r="A801" s="540"/>
      <c r="B801" s="540"/>
      <c r="C801" s="540"/>
      <c r="D801" s="540"/>
      <c r="E801" s="540"/>
      <c r="F801" s="540"/>
      <c r="G801" s="540"/>
      <c r="H801" s="540"/>
      <c r="I801" s="540"/>
      <c r="J801" s="540"/>
      <c r="K801" s="540"/>
      <c r="L801" s="540"/>
      <c r="M801" s="540"/>
      <c r="N801" s="540"/>
      <c r="O801" s="540"/>
      <c r="P801" s="540"/>
      <c r="Q801" s="540"/>
      <c r="R801" s="540"/>
      <c r="S801" s="540"/>
      <c r="T801" s="540"/>
      <c r="U801" s="540"/>
      <c r="V801" s="540"/>
      <c r="W801" s="540"/>
      <c r="X801" s="540"/>
      <c r="Y801" s="540"/>
      <c r="Z801" s="540"/>
    </row>
    <row r="802" ht="171.75" customHeight="1">
      <c r="A802" s="540"/>
      <c r="B802" s="540"/>
      <c r="C802" s="540"/>
      <c r="D802" s="540"/>
      <c r="E802" s="540"/>
      <c r="F802" s="540"/>
      <c r="G802" s="540"/>
      <c r="H802" s="540"/>
      <c r="I802" s="540"/>
      <c r="J802" s="540"/>
      <c r="K802" s="540"/>
      <c r="L802" s="540"/>
      <c r="M802" s="540"/>
      <c r="N802" s="540"/>
      <c r="O802" s="540"/>
      <c r="P802" s="540"/>
      <c r="Q802" s="540"/>
      <c r="R802" s="540"/>
      <c r="S802" s="540"/>
      <c r="T802" s="540"/>
      <c r="U802" s="540"/>
      <c r="V802" s="540"/>
      <c r="W802" s="540"/>
      <c r="X802" s="540"/>
      <c r="Y802" s="540"/>
      <c r="Z802" s="540"/>
    </row>
    <row r="803" ht="171.75" customHeight="1">
      <c r="A803" s="540"/>
      <c r="B803" s="540"/>
      <c r="C803" s="540"/>
      <c r="D803" s="540"/>
      <c r="E803" s="540"/>
      <c r="F803" s="540"/>
      <c r="G803" s="540"/>
      <c r="H803" s="540"/>
      <c r="I803" s="540"/>
      <c r="J803" s="540"/>
      <c r="K803" s="540"/>
      <c r="L803" s="540"/>
      <c r="M803" s="540"/>
      <c r="N803" s="540"/>
      <c r="O803" s="540"/>
      <c r="P803" s="540"/>
      <c r="Q803" s="540"/>
      <c r="R803" s="540"/>
      <c r="S803" s="540"/>
      <c r="T803" s="540"/>
      <c r="U803" s="540"/>
      <c r="V803" s="540"/>
      <c r="W803" s="540"/>
      <c r="X803" s="540"/>
      <c r="Y803" s="540"/>
      <c r="Z803" s="540"/>
    </row>
    <row r="804" ht="171.75" customHeight="1">
      <c r="A804" s="540"/>
      <c r="B804" s="540"/>
      <c r="C804" s="540"/>
      <c r="D804" s="540"/>
      <c r="E804" s="540"/>
      <c r="F804" s="540"/>
      <c r="G804" s="540"/>
      <c r="H804" s="540"/>
      <c r="I804" s="540"/>
      <c r="J804" s="540"/>
      <c r="K804" s="540"/>
      <c r="L804" s="540"/>
      <c r="M804" s="540"/>
      <c r="N804" s="540"/>
      <c r="O804" s="540"/>
      <c r="P804" s="540"/>
      <c r="Q804" s="540"/>
      <c r="R804" s="540"/>
      <c r="S804" s="540"/>
      <c r="T804" s="540"/>
      <c r="U804" s="540"/>
      <c r="V804" s="540"/>
      <c r="W804" s="540"/>
      <c r="X804" s="540"/>
      <c r="Y804" s="540"/>
      <c r="Z804" s="540"/>
    </row>
    <row r="805" ht="171.75" customHeight="1">
      <c r="A805" s="540"/>
      <c r="B805" s="540"/>
      <c r="C805" s="540"/>
      <c r="D805" s="540"/>
      <c r="E805" s="540"/>
      <c r="F805" s="540"/>
      <c r="G805" s="540"/>
      <c r="H805" s="540"/>
      <c r="I805" s="540"/>
      <c r="J805" s="540"/>
      <c r="K805" s="540"/>
      <c r="L805" s="540"/>
      <c r="M805" s="540"/>
      <c r="N805" s="540"/>
      <c r="O805" s="540"/>
      <c r="P805" s="540"/>
      <c r="Q805" s="540"/>
      <c r="R805" s="540"/>
      <c r="S805" s="540"/>
      <c r="T805" s="540"/>
      <c r="U805" s="540"/>
      <c r="V805" s="540"/>
      <c r="W805" s="540"/>
      <c r="X805" s="540"/>
      <c r="Y805" s="540"/>
      <c r="Z805" s="540"/>
    </row>
    <row r="806" ht="171.75" customHeight="1">
      <c r="A806" s="540"/>
      <c r="B806" s="540"/>
      <c r="C806" s="540"/>
      <c r="D806" s="540"/>
      <c r="E806" s="540"/>
      <c r="F806" s="540"/>
      <c r="G806" s="540"/>
      <c r="H806" s="540"/>
      <c r="I806" s="540"/>
      <c r="J806" s="540"/>
      <c r="K806" s="540"/>
      <c r="L806" s="540"/>
      <c r="M806" s="540"/>
      <c r="N806" s="540"/>
      <c r="O806" s="540"/>
      <c r="P806" s="540"/>
      <c r="Q806" s="540"/>
      <c r="R806" s="540"/>
      <c r="S806" s="540"/>
      <c r="T806" s="540"/>
      <c r="U806" s="540"/>
      <c r="V806" s="540"/>
      <c r="W806" s="540"/>
      <c r="X806" s="540"/>
      <c r="Y806" s="540"/>
      <c r="Z806" s="540"/>
    </row>
    <row r="807" ht="171.75" customHeight="1">
      <c r="A807" s="540"/>
      <c r="B807" s="540"/>
      <c r="C807" s="540"/>
      <c r="D807" s="540"/>
      <c r="E807" s="540"/>
      <c r="F807" s="540"/>
      <c r="G807" s="540"/>
      <c r="H807" s="540"/>
      <c r="I807" s="540"/>
      <c r="J807" s="540"/>
      <c r="K807" s="540"/>
      <c r="L807" s="540"/>
      <c r="M807" s="540"/>
      <c r="N807" s="540"/>
      <c r="O807" s="540"/>
      <c r="P807" s="540"/>
      <c r="Q807" s="540"/>
      <c r="R807" s="540"/>
      <c r="S807" s="540"/>
      <c r="T807" s="540"/>
      <c r="U807" s="540"/>
      <c r="V807" s="540"/>
      <c r="W807" s="540"/>
      <c r="X807" s="540"/>
      <c r="Y807" s="540"/>
      <c r="Z807" s="540"/>
    </row>
    <row r="808" ht="171.75" customHeight="1">
      <c r="A808" s="540"/>
      <c r="B808" s="540"/>
      <c r="C808" s="540"/>
      <c r="D808" s="540"/>
      <c r="E808" s="540"/>
      <c r="F808" s="540"/>
      <c r="G808" s="540"/>
      <c r="H808" s="540"/>
      <c r="I808" s="540"/>
      <c r="J808" s="540"/>
      <c r="K808" s="540"/>
      <c r="L808" s="540"/>
      <c r="M808" s="540"/>
      <c r="N808" s="540"/>
      <c r="O808" s="540"/>
      <c r="P808" s="540"/>
      <c r="Q808" s="540"/>
      <c r="R808" s="540"/>
      <c r="S808" s="540"/>
      <c r="T808" s="540"/>
      <c r="U808" s="540"/>
      <c r="V808" s="540"/>
      <c r="W808" s="540"/>
      <c r="X808" s="540"/>
      <c r="Y808" s="540"/>
      <c r="Z808" s="540"/>
    </row>
    <row r="809" ht="171.75" customHeight="1">
      <c r="A809" s="540"/>
      <c r="B809" s="540"/>
      <c r="C809" s="540"/>
      <c r="D809" s="540"/>
      <c r="E809" s="540"/>
      <c r="F809" s="540"/>
      <c r="G809" s="540"/>
      <c r="H809" s="540"/>
      <c r="I809" s="540"/>
      <c r="J809" s="540"/>
      <c r="K809" s="540"/>
      <c r="L809" s="540"/>
      <c r="M809" s="540"/>
      <c r="N809" s="540"/>
      <c r="O809" s="540"/>
      <c r="P809" s="540"/>
      <c r="Q809" s="540"/>
      <c r="R809" s="540"/>
      <c r="S809" s="540"/>
      <c r="T809" s="540"/>
      <c r="U809" s="540"/>
      <c r="V809" s="540"/>
      <c r="W809" s="540"/>
      <c r="X809" s="540"/>
      <c r="Y809" s="540"/>
      <c r="Z809" s="540"/>
    </row>
    <row r="810" ht="171.75" customHeight="1">
      <c r="A810" s="540"/>
      <c r="B810" s="540"/>
      <c r="C810" s="540"/>
      <c r="D810" s="540"/>
      <c r="E810" s="540"/>
      <c r="F810" s="540"/>
      <c r="G810" s="540"/>
      <c r="H810" s="540"/>
      <c r="I810" s="540"/>
      <c r="J810" s="540"/>
      <c r="K810" s="540"/>
      <c r="L810" s="540"/>
      <c r="M810" s="540"/>
      <c r="N810" s="540"/>
      <c r="O810" s="540"/>
      <c r="P810" s="540"/>
      <c r="Q810" s="540"/>
      <c r="R810" s="540"/>
      <c r="S810" s="540"/>
      <c r="T810" s="540"/>
      <c r="U810" s="540"/>
      <c r="V810" s="540"/>
      <c r="W810" s="540"/>
      <c r="X810" s="540"/>
      <c r="Y810" s="540"/>
      <c r="Z810" s="540"/>
    </row>
    <row r="811" ht="171.75" customHeight="1">
      <c r="A811" s="540"/>
      <c r="B811" s="540"/>
      <c r="C811" s="540"/>
      <c r="D811" s="540"/>
      <c r="E811" s="540"/>
      <c r="F811" s="540"/>
      <c r="G811" s="540"/>
      <c r="H811" s="540"/>
      <c r="I811" s="540"/>
      <c r="J811" s="540"/>
      <c r="K811" s="540"/>
      <c r="L811" s="540"/>
      <c r="M811" s="540"/>
      <c r="N811" s="540"/>
      <c r="O811" s="540"/>
      <c r="P811" s="540"/>
      <c r="Q811" s="540"/>
      <c r="R811" s="540"/>
      <c r="S811" s="540"/>
      <c r="T811" s="540"/>
      <c r="U811" s="540"/>
      <c r="V811" s="540"/>
      <c r="W811" s="540"/>
      <c r="X811" s="540"/>
      <c r="Y811" s="540"/>
      <c r="Z811" s="540"/>
    </row>
    <row r="812" ht="171.75" customHeight="1">
      <c r="A812" s="540"/>
      <c r="B812" s="540"/>
      <c r="C812" s="540"/>
      <c r="D812" s="540"/>
      <c r="E812" s="540"/>
      <c r="F812" s="540"/>
      <c r="G812" s="540"/>
      <c r="H812" s="540"/>
      <c r="I812" s="540"/>
      <c r="J812" s="540"/>
      <c r="K812" s="540"/>
      <c r="L812" s="540"/>
      <c r="M812" s="540"/>
      <c r="N812" s="540"/>
      <c r="O812" s="540"/>
      <c r="P812" s="540"/>
      <c r="Q812" s="540"/>
      <c r="R812" s="540"/>
      <c r="S812" s="540"/>
      <c r="T812" s="540"/>
      <c r="U812" s="540"/>
      <c r="V812" s="540"/>
      <c r="W812" s="540"/>
      <c r="X812" s="540"/>
      <c r="Y812" s="540"/>
      <c r="Z812" s="540"/>
    </row>
    <row r="813" ht="171.75" customHeight="1">
      <c r="A813" s="540"/>
      <c r="B813" s="540"/>
      <c r="C813" s="540"/>
      <c r="D813" s="540"/>
      <c r="E813" s="540"/>
      <c r="F813" s="540"/>
      <c r="G813" s="540"/>
      <c r="H813" s="540"/>
      <c r="I813" s="540"/>
      <c r="J813" s="540"/>
      <c r="K813" s="540"/>
      <c r="L813" s="540"/>
      <c r="M813" s="540"/>
      <c r="N813" s="540"/>
      <c r="O813" s="540"/>
      <c r="P813" s="540"/>
      <c r="Q813" s="540"/>
      <c r="R813" s="540"/>
      <c r="S813" s="540"/>
      <c r="T813" s="540"/>
      <c r="U813" s="540"/>
      <c r="V813" s="540"/>
      <c r="W813" s="540"/>
      <c r="X813" s="540"/>
      <c r="Y813" s="540"/>
      <c r="Z813" s="540"/>
    </row>
    <row r="814" ht="171.75" customHeight="1">
      <c r="A814" s="540"/>
      <c r="B814" s="540"/>
      <c r="C814" s="540"/>
      <c r="D814" s="540"/>
      <c r="E814" s="540"/>
      <c r="F814" s="540"/>
      <c r="G814" s="540"/>
      <c r="H814" s="540"/>
      <c r="I814" s="540"/>
      <c r="J814" s="540"/>
      <c r="K814" s="540"/>
      <c r="L814" s="540"/>
      <c r="M814" s="540"/>
      <c r="N814" s="540"/>
      <c r="O814" s="540"/>
      <c r="P814" s="540"/>
      <c r="Q814" s="540"/>
      <c r="R814" s="540"/>
      <c r="S814" s="540"/>
      <c r="T814" s="540"/>
      <c r="U814" s="540"/>
      <c r="V814" s="540"/>
      <c r="W814" s="540"/>
      <c r="X814" s="540"/>
      <c r="Y814" s="540"/>
      <c r="Z814" s="540"/>
    </row>
    <row r="815" ht="171.75" customHeight="1">
      <c r="A815" s="540"/>
      <c r="B815" s="540"/>
      <c r="C815" s="540"/>
      <c r="D815" s="540"/>
      <c r="E815" s="540"/>
      <c r="F815" s="540"/>
      <c r="G815" s="540"/>
      <c r="H815" s="540"/>
      <c r="I815" s="540"/>
      <c r="J815" s="540"/>
      <c r="K815" s="540"/>
      <c r="L815" s="540"/>
      <c r="M815" s="540"/>
      <c r="N815" s="540"/>
      <c r="O815" s="540"/>
      <c r="P815" s="540"/>
      <c r="Q815" s="540"/>
      <c r="R815" s="540"/>
      <c r="S815" s="540"/>
      <c r="T815" s="540"/>
      <c r="U815" s="540"/>
      <c r="V815" s="540"/>
      <c r="W815" s="540"/>
      <c r="X815" s="540"/>
      <c r="Y815" s="540"/>
      <c r="Z815" s="540"/>
    </row>
    <row r="816" ht="171.75" customHeight="1">
      <c r="A816" s="540"/>
      <c r="B816" s="540"/>
      <c r="C816" s="540"/>
      <c r="D816" s="540"/>
      <c r="E816" s="540"/>
      <c r="F816" s="540"/>
      <c r="G816" s="540"/>
      <c r="H816" s="540"/>
      <c r="I816" s="540"/>
      <c r="J816" s="540"/>
      <c r="K816" s="540"/>
      <c r="L816" s="540"/>
      <c r="M816" s="540"/>
      <c r="N816" s="540"/>
      <c r="O816" s="540"/>
      <c r="P816" s="540"/>
      <c r="Q816" s="540"/>
      <c r="R816" s="540"/>
      <c r="S816" s="540"/>
      <c r="T816" s="540"/>
      <c r="U816" s="540"/>
      <c r="V816" s="540"/>
      <c r="W816" s="540"/>
      <c r="X816" s="540"/>
      <c r="Y816" s="540"/>
      <c r="Z816" s="540"/>
    </row>
    <row r="817" ht="171.75" customHeight="1">
      <c r="A817" s="540"/>
      <c r="B817" s="540"/>
      <c r="C817" s="540"/>
      <c r="D817" s="540"/>
      <c r="E817" s="540"/>
      <c r="F817" s="540"/>
      <c r="G817" s="540"/>
      <c r="H817" s="540"/>
      <c r="I817" s="540"/>
      <c r="J817" s="540"/>
      <c r="K817" s="540"/>
      <c r="L817" s="540"/>
      <c r="M817" s="540"/>
      <c r="N817" s="540"/>
      <c r="O817" s="540"/>
      <c r="P817" s="540"/>
      <c r="Q817" s="540"/>
      <c r="R817" s="540"/>
      <c r="S817" s="540"/>
      <c r="T817" s="540"/>
      <c r="U817" s="540"/>
      <c r="V817" s="540"/>
      <c r="W817" s="540"/>
      <c r="X817" s="540"/>
      <c r="Y817" s="540"/>
      <c r="Z817" s="540"/>
    </row>
    <row r="818" ht="171.75" customHeight="1">
      <c r="A818" s="540"/>
      <c r="B818" s="540"/>
      <c r="C818" s="540"/>
      <c r="D818" s="540"/>
      <c r="E818" s="540"/>
      <c r="F818" s="540"/>
      <c r="G818" s="540"/>
      <c r="H818" s="540"/>
      <c r="I818" s="540"/>
      <c r="J818" s="540"/>
      <c r="K818" s="540"/>
      <c r="L818" s="540"/>
      <c r="M818" s="540"/>
      <c r="N818" s="540"/>
      <c r="O818" s="540"/>
      <c r="P818" s="540"/>
      <c r="Q818" s="540"/>
      <c r="R818" s="540"/>
      <c r="S818" s="540"/>
      <c r="T818" s="540"/>
      <c r="U818" s="540"/>
      <c r="V818" s="540"/>
      <c r="W818" s="540"/>
      <c r="X818" s="540"/>
      <c r="Y818" s="540"/>
      <c r="Z818" s="540"/>
    </row>
    <row r="819" ht="171.75" customHeight="1">
      <c r="A819" s="540"/>
      <c r="B819" s="540"/>
      <c r="C819" s="540"/>
      <c r="D819" s="540"/>
      <c r="E819" s="540"/>
      <c r="F819" s="540"/>
      <c r="G819" s="540"/>
      <c r="H819" s="540"/>
      <c r="I819" s="540"/>
      <c r="J819" s="540"/>
      <c r="K819" s="540"/>
      <c r="L819" s="540"/>
      <c r="M819" s="540"/>
      <c r="N819" s="540"/>
      <c r="O819" s="540"/>
      <c r="P819" s="540"/>
      <c r="Q819" s="540"/>
      <c r="R819" s="540"/>
      <c r="S819" s="540"/>
      <c r="T819" s="540"/>
      <c r="U819" s="540"/>
      <c r="V819" s="540"/>
      <c r="W819" s="540"/>
      <c r="X819" s="540"/>
      <c r="Y819" s="540"/>
      <c r="Z819" s="540"/>
    </row>
    <row r="820" ht="171.75" customHeight="1">
      <c r="A820" s="540"/>
      <c r="B820" s="540"/>
      <c r="C820" s="540"/>
      <c r="D820" s="540"/>
      <c r="E820" s="540"/>
      <c r="F820" s="540"/>
      <c r="G820" s="540"/>
      <c r="H820" s="540"/>
      <c r="I820" s="540"/>
      <c r="J820" s="540"/>
      <c r="K820" s="540"/>
      <c r="L820" s="540"/>
      <c r="M820" s="540"/>
      <c r="N820" s="540"/>
      <c r="O820" s="540"/>
      <c r="P820" s="540"/>
      <c r="Q820" s="540"/>
      <c r="R820" s="540"/>
      <c r="S820" s="540"/>
      <c r="T820" s="540"/>
      <c r="U820" s="540"/>
      <c r="V820" s="540"/>
      <c r="W820" s="540"/>
      <c r="X820" s="540"/>
      <c r="Y820" s="540"/>
      <c r="Z820" s="540"/>
    </row>
    <row r="821" ht="171.75" customHeight="1">
      <c r="A821" s="540"/>
      <c r="B821" s="540"/>
      <c r="C821" s="540"/>
      <c r="D821" s="540"/>
      <c r="E821" s="540"/>
      <c r="F821" s="540"/>
      <c r="G821" s="540"/>
      <c r="H821" s="540"/>
      <c r="I821" s="540"/>
      <c r="J821" s="540"/>
      <c r="K821" s="540"/>
      <c r="L821" s="540"/>
      <c r="M821" s="540"/>
      <c r="N821" s="540"/>
      <c r="O821" s="540"/>
      <c r="P821" s="540"/>
      <c r="Q821" s="540"/>
      <c r="R821" s="540"/>
      <c r="S821" s="540"/>
      <c r="T821" s="540"/>
      <c r="U821" s="540"/>
      <c r="V821" s="540"/>
      <c r="W821" s="540"/>
      <c r="X821" s="540"/>
      <c r="Y821" s="540"/>
      <c r="Z821" s="540"/>
    </row>
    <row r="822" ht="171.75" customHeight="1">
      <c r="A822" s="540"/>
      <c r="B822" s="540"/>
      <c r="C822" s="540"/>
      <c r="D822" s="540"/>
      <c r="E822" s="540"/>
      <c r="F822" s="540"/>
      <c r="G822" s="540"/>
      <c r="H822" s="540"/>
      <c r="I822" s="540"/>
      <c r="J822" s="540"/>
      <c r="K822" s="540"/>
      <c r="L822" s="540"/>
      <c r="M822" s="540"/>
      <c r="N822" s="540"/>
      <c r="O822" s="540"/>
      <c r="P822" s="540"/>
      <c r="Q822" s="540"/>
      <c r="R822" s="540"/>
      <c r="S822" s="540"/>
      <c r="T822" s="540"/>
      <c r="U822" s="540"/>
      <c r="V822" s="540"/>
      <c r="W822" s="540"/>
      <c r="X822" s="540"/>
      <c r="Y822" s="540"/>
      <c r="Z822" s="540"/>
    </row>
    <row r="823" ht="171.75" customHeight="1">
      <c r="A823" s="540"/>
      <c r="B823" s="540"/>
      <c r="C823" s="540"/>
      <c r="D823" s="540"/>
      <c r="E823" s="540"/>
      <c r="F823" s="540"/>
      <c r="G823" s="540"/>
      <c r="H823" s="540"/>
      <c r="I823" s="540"/>
      <c r="J823" s="540"/>
      <c r="K823" s="540"/>
      <c r="L823" s="540"/>
      <c r="M823" s="540"/>
      <c r="N823" s="540"/>
      <c r="O823" s="540"/>
      <c r="P823" s="540"/>
      <c r="Q823" s="540"/>
      <c r="R823" s="540"/>
      <c r="S823" s="540"/>
      <c r="T823" s="540"/>
      <c r="U823" s="540"/>
      <c r="V823" s="540"/>
      <c r="W823" s="540"/>
      <c r="X823" s="540"/>
      <c r="Y823" s="540"/>
      <c r="Z823" s="540"/>
    </row>
    <row r="824" ht="171.75" customHeight="1">
      <c r="A824" s="540"/>
      <c r="B824" s="540"/>
      <c r="C824" s="540"/>
      <c r="D824" s="540"/>
      <c r="E824" s="540"/>
      <c r="F824" s="540"/>
      <c r="G824" s="540"/>
      <c r="H824" s="540"/>
      <c r="I824" s="540"/>
      <c r="J824" s="540"/>
      <c r="K824" s="540"/>
      <c r="L824" s="540"/>
      <c r="M824" s="540"/>
      <c r="N824" s="540"/>
      <c r="O824" s="540"/>
      <c r="P824" s="540"/>
      <c r="Q824" s="540"/>
      <c r="R824" s="540"/>
      <c r="S824" s="540"/>
      <c r="T824" s="540"/>
      <c r="U824" s="540"/>
      <c r="V824" s="540"/>
      <c r="W824" s="540"/>
      <c r="X824" s="540"/>
      <c r="Y824" s="540"/>
      <c r="Z824" s="540"/>
    </row>
    <row r="825" ht="171.75" customHeight="1">
      <c r="A825" s="540"/>
      <c r="B825" s="540"/>
      <c r="C825" s="540"/>
      <c r="D825" s="540"/>
      <c r="E825" s="540"/>
      <c r="F825" s="540"/>
      <c r="G825" s="540"/>
      <c r="H825" s="540"/>
      <c r="I825" s="540"/>
      <c r="J825" s="540"/>
      <c r="K825" s="540"/>
      <c r="L825" s="540"/>
      <c r="M825" s="540"/>
      <c r="N825" s="540"/>
      <c r="O825" s="540"/>
      <c r="P825" s="540"/>
      <c r="Q825" s="540"/>
      <c r="R825" s="540"/>
      <c r="S825" s="540"/>
      <c r="T825" s="540"/>
      <c r="U825" s="540"/>
      <c r="V825" s="540"/>
      <c r="W825" s="540"/>
      <c r="X825" s="540"/>
      <c r="Y825" s="540"/>
      <c r="Z825" s="540"/>
    </row>
    <row r="826" ht="171.75" customHeight="1">
      <c r="A826" s="540"/>
      <c r="B826" s="540"/>
      <c r="C826" s="540"/>
      <c r="D826" s="540"/>
      <c r="E826" s="540"/>
      <c r="F826" s="540"/>
      <c r="G826" s="540"/>
      <c r="H826" s="540"/>
      <c r="I826" s="540"/>
      <c r="J826" s="540"/>
      <c r="K826" s="540"/>
      <c r="L826" s="540"/>
      <c r="M826" s="540"/>
      <c r="N826" s="540"/>
      <c r="O826" s="540"/>
      <c r="P826" s="540"/>
      <c r="Q826" s="540"/>
      <c r="R826" s="540"/>
      <c r="S826" s="540"/>
      <c r="T826" s="540"/>
      <c r="U826" s="540"/>
      <c r="V826" s="540"/>
      <c r="W826" s="540"/>
      <c r="X826" s="540"/>
      <c r="Y826" s="540"/>
      <c r="Z826" s="540"/>
    </row>
    <row r="827" ht="171.75" customHeight="1">
      <c r="A827" s="540"/>
      <c r="B827" s="540"/>
      <c r="C827" s="540"/>
      <c r="D827" s="540"/>
      <c r="E827" s="540"/>
      <c r="F827" s="540"/>
      <c r="G827" s="540"/>
      <c r="H827" s="540"/>
      <c r="I827" s="540"/>
      <c r="J827" s="540"/>
      <c r="K827" s="540"/>
      <c r="L827" s="540"/>
      <c r="M827" s="540"/>
      <c r="N827" s="540"/>
      <c r="O827" s="540"/>
      <c r="P827" s="540"/>
      <c r="Q827" s="540"/>
      <c r="R827" s="540"/>
      <c r="S827" s="540"/>
      <c r="T827" s="540"/>
      <c r="U827" s="540"/>
      <c r="V827" s="540"/>
      <c r="W827" s="540"/>
      <c r="X827" s="540"/>
      <c r="Y827" s="540"/>
      <c r="Z827" s="540"/>
    </row>
    <row r="828" ht="171.75" customHeight="1">
      <c r="A828" s="540"/>
      <c r="B828" s="540"/>
      <c r="C828" s="540"/>
      <c r="D828" s="540"/>
      <c r="E828" s="540"/>
      <c r="F828" s="540"/>
      <c r="G828" s="540"/>
      <c r="H828" s="540"/>
      <c r="I828" s="540"/>
      <c r="J828" s="540"/>
      <c r="K828" s="540"/>
      <c r="L828" s="540"/>
      <c r="M828" s="540"/>
      <c r="N828" s="540"/>
      <c r="O828" s="540"/>
      <c r="P828" s="540"/>
      <c r="Q828" s="540"/>
      <c r="R828" s="540"/>
      <c r="S828" s="540"/>
      <c r="T828" s="540"/>
      <c r="U828" s="540"/>
      <c r="V828" s="540"/>
      <c r="W828" s="540"/>
      <c r="X828" s="540"/>
      <c r="Y828" s="540"/>
      <c r="Z828" s="540"/>
    </row>
    <row r="829" ht="171.75" customHeight="1">
      <c r="A829" s="540"/>
      <c r="B829" s="540"/>
      <c r="C829" s="540"/>
      <c r="D829" s="540"/>
      <c r="E829" s="540"/>
      <c r="F829" s="540"/>
      <c r="G829" s="540"/>
      <c r="H829" s="540"/>
      <c r="I829" s="540"/>
      <c r="J829" s="540"/>
      <c r="K829" s="540"/>
      <c r="L829" s="540"/>
      <c r="M829" s="540"/>
      <c r="N829" s="540"/>
      <c r="O829" s="540"/>
      <c r="P829" s="540"/>
      <c r="Q829" s="540"/>
      <c r="R829" s="540"/>
      <c r="S829" s="540"/>
      <c r="T829" s="540"/>
      <c r="U829" s="540"/>
      <c r="V829" s="540"/>
      <c r="W829" s="540"/>
      <c r="X829" s="540"/>
      <c r="Y829" s="540"/>
      <c r="Z829" s="540"/>
    </row>
    <row r="830" ht="171.75" customHeight="1">
      <c r="A830" s="540"/>
      <c r="B830" s="540"/>
      <c r="C830" s="540"/>
      <c r="D830" s="540"/>
      <c r="E830" s="540"/>
      <c r="F830" s="540"/>
      <c r="G830" s="540"/>
      <c r="H830" s="540"/>
      <c r="I830" s="540"/>
      <c r="J830" s="540"/>
      <c r="K830" s="540"/>
      <c r="L830" s="540"/>
      <c r="M830" s="540"/>
      <c r="N830" s="540"/>
      <c r="O830" s="540"/>
      <c r="P830" s="540"/>
      <c r="Q830" s="540"/>
      <c r="R830" s="540"/>
      <c r="S830" s="540"/>
      <c r="T830" s="540"/>
      <c r="U830" s="540"/>
      <c r="V830" s="540"/>
      <c r="W830" s="540"/>
      <c r="X830" s="540"/>
      <c r="Y830" s="540"/>
      <c r="Z830" s="540"/>
    </row>
    <row r="831" ht="171.75" customHeight="1">
      <c r="A831" s="540"/>
      <c r="B831" s="540"/>
      <c r="C831" s="540"/>
      <c r="D831" s="540"/>
      <c r="E831" s="540"/>
      <c r="F831" s="540"/>
      <c r="G831" s="540"/>
      <c r="H831" s="540"/>
      <c r="I831" s="540"/>
      <c r="J831" s="540"/>
      <c r="K831" s="540"/>
      <c r="L831" s="540"/>
      <c r="M831" s="540"/>
      <c r="N831" s="540"/>
      <c r="O831" s="540"/>
      <c r="P831" s="540"/>
      <c r="Q831" s="540"/>
      <c r="R831" s="540"/>
      <c r="S831" s="540"/>
      <c r="T831" s="540"/>
      <c r="U831" s="540"/>
      <c r="V831" s="540"/>
      <c r="W831" s="540"/>
      <c r="X831" s="540"/>
      <c r="Y831" s="540"/>
      <c r="Z831" s="540"/>
    </row>
    <row r="832" ht="171.75" customHeight="1">
      <c r="A832" s="540"/>
      <c r="B832" s="540"/>
      <c r="C832" s="540"/>
      <c r="D832" s="540"/>
      <c r="E832" s="540"/>
      <c r="F832" s="540"/>
      <c r="G832" s="540"/>
      <c r="H832" s="540"/>
      <c r="I832" s="540"/>
      <c r="J832" s="540"/>
      <c r="K832" s="540"/>
      <c r="L832" s="540"/>
      <c r="M832" s="540"/>
      <c r="N832" s="540"/>
      <c r="O832" s="540"/>
      <c r="P832" s="540"/>
      <c r="Q832" s="540"/>
      <c r="R832" s="540"/>
      <c r="S832" s="540"/>
      <c r="T832" s="540"/>
      <c r="U832" s="540"/>
      <c r="V832" s="540"/>
      <c r="W832" s="540"/>
      <c r="X832" s="540"/>
      <c r="Y832" s="540"/>
      <c r="Z832" s="540"/>
    </row>
    <row r="833" ht="171.75" customHeight="1">
      <c r="A833" s="540"/>
      <c r="B833" s="540"/>
      <c r="C833" s="540"/>
      <c r="D833" s="540"/>
      <c r="E833" s="540"/>
      <c r="F833" s="540"/>
      <c r="G833" s="540"/>
      <c r="H833" s="540"/>
      <c r="I833" s="540"/>
      <c r="J833" s="540"/>
      <c r="K833" s="540"/>
      <c r="L833" s="540"/>
      <c r="M833" s="540"/>
      <c r="N833" s="540"/>
      <c r="O833" s="540"/>
      <c r="P833" s="540"/>
      <c r="Q833" s="540"/>
      <c r="R833" s="540"/>
      <c r="S833" s="540"/>
      <c r="T833" s="540"/>
      <c r="U833" s="540"/>
      <c r="V833" s="540"/>
      <c r="W833" s="540"/>
      <c r="X833" s="540"/>
      <c r="Y833" s="540"/>
      <c r="Z833" s="540"/>
    </row>
    <row r="834" ht="171.75" customHeight="1">
      <c r="A834" s="540"/>
      <c r="B834" s="540"/>
      <c r="C834" s="540"/>
      <c r="D834" s="540"/>
      <c r="E834" s="540"/>
      <c r="F834" s="540"/>
      <c r="G834" s="540"/>
      <c r="H834" s="540"/>
      <c r="I834" s="540"/>
      <c r="J834" s="540"/>
      <c r="K834" s="540"/>
      <c r="L834" s="540"/>
      <c r="M834" s="540"/>
      <c r="N834" s="540"/>
      <c r="O834" s="540"/>
      <c r="P834" s="540"/>
      <c r="Q834" s="540"/>
      <c r="R834" s="540"/>
      <c r="S834" s="540"/>
      <c r="T834" s="540"/>
      <c r="U834" s="540"/>
      <c r="V834" s="540"/>
      <c r="W834" s="540"/>
      <c r="X834" s="540"/>
      <c r="Y834" s="540"/>
      <c r="Z834" s="540"/>
    </row>
    <row r="835" ht="171.75" customHeight="1">
      <c r="A835" s="540"/>
      <c r="B835" s="540"/>
      <c r="C835" s="540"/>
      <c r="D835" s="540"/>
      <c r="E835" s="540"/>
      <c r="F835" s="540"/>
      <c r="G835" s="540"/>
      <c r="H835" s="540"/>
      <c r="I835" s="540"/>
      <c r="J835" s="540"/>
      <c r="K835" s="540"/>
      <c r="L835" s="540"/>
      <c r="M835" s="540"/>
      <c r="N835" s="540"/>
      <c r="O835" s="540"/>
      <c r="P835" s="540"/>
      <c r="Q835" s="540"/>
      <c r="R835" s="540"/>
      <c r="S835" s="540"/>
      <c r="T835" s="540"/>
      <c r="U835" s="540"/>
      <c r="V835" s="540"/>
      <c r="W835" s="540"/>
      <c r="X835" s="540"/>
      <c r="Y835" s="540"/>
      <c r="Z835" s="540"/>
    </row>
    <row r="836" ht="171.75" customHeight="1">
      <c r="A836" s="540"/>
      <c r="B836" s="540"/>
      <c r="C836" s="540"/>
      <c r="D836" s="540"/>
      <c r="E836" s="540"/>
      <c r="F836" s="540"/>
      <c r="G836" s="540"/>
      <c r="H836" s="540"/>
      <c r="I836" s="540"/>
      <c r="J836" s="540"/>
      <c r="K836" s="540"/>
      <c r="L836" s="540"/>
      <c r="M836" s="540"/>
      <c r="N836" s="540"/>
      <c r="O836" s="540"/>
      <c r="P836" s="540"/>
      <c r="Q836" s="540"/>
      <c r="R836" s="540"/>
      <c r="S836" s="540"/>
      <c r="T836" s="540"/>
      <c r="U836" s="540"/>
      <c r="V836" s="540"/>
      <c r="W836" s="540"/>
      <c r="X836" s="540"/>
      <c r="Y836" s="540"/>
      <c r="Z836" s="540"/>
    </row>
    <row r="837" ht="171.75" customHeight="1">
      <c r="A837" s="540"/>
      <c r="B837" s="540"/>
      <c r="C837" s="540"/>
      <c r="D837" s="540"/>
      <c r="E837" s="540"/>
      <c r="F837" s="540"/>
      <c r="G837" s="540"/>
      <c r="H837" s="540"/>
      <c r="I837" s="540"/>
      <c r="J837" s="540"/>
      <c r="K837" s="540"/>
      <c r="L837" s="540"/>
      <c r="M837" s="540"/>
      <c r="N837" s="540"/>
      <c r="O837" s="540"/>
      <c r="P837" s="540"/>
      <c r="Q837" s="540"/>
      <c r="R837" s="540"/>
      <c r="S837" s="540"/>
      <c r="T837" s="540"/>
      <c r="U837" s="540"/>
      <c r="V837" s="540"/>
      <c r="W837" s="540"/>
      <c r="X837" s="540"/>
      <c r="Y837" s="540"/>
      <c r="Z837" s="540"/>
    </row>
    <row r="838" ht="171.75" customHeight="1">
      <c r="A838" s="540"/>
      <c r="B838" s="540"/>
      <c r="C838" s="540"/>
      <c r="D838" s="540"/>
      <c r="E838" s="540"/>
      <c r="F838" s="540"/>
      <c r="G838" s="540"/>
      <c r="H838" s="540"/>
      <c r="I838" s="540"/>
      <c r="J838" s="540"/>
      <c r="K838" s="540"/>
      <c r="L838" s="540"/>
      <c r="M838" s="540"/>
      <c r="N838" s="540"/>
      <c r="O838" s="540"/>
      <c r="P838" s="540"/>
      <c r="Q838" s="540"/>
      <c r="R838" s="540"/>
      <c r="S838" s="540"/>
      <c r="T838" s="540"/>
      <c r="U838" s="540"/>
      <c r="V838" s="540"/>
      <c r="W838" s="540"/>
      <c r="X838" s="540"/>
      <c r="Y838" s="540"/>
      <c r="Z838" s="540"/>
    </row>
    <row r="839" ht="171.75" customHeight="1">
      <c r="A839" s="540"/>
      <c r="B839" s="540"/>
      <c r="C839" s="540"/>
      <c r="D839" s="540"/>
      <c r="E839" s="540"/>
      <c r="F839" s="540"/>
      <c r="G839" s="540"/>
      <c r="H839" s="540"/>
      <c r="I839" s="540"/>
      <c r="J839" s="540"/>
      <c r="K839" s="540"/>
      <c r="L839" s="540"/>
      <c r="M839" s="540"/>
      <c r="N839" s="540"/>
      <c r="O839" s="540"/>
      <c r="P839" s="540"/>
      <c r="Q839" s="540"/>
      <c r="R839" s="540"/>
      <c r="S839" s="540"/>
      <c r="T839" s="540"/>
      <c r="U839" s="540"/>
      <c r="V839" s="540"/>
      <c r="W839" s="540"/>
      <c r="X839" s="540"/>
      <c r="Y839" s="540"/>
      <c r="Z839" s="540"/>
    </row>
    <row r="840" ht="171.75" customHeight="1">
      <c r="A840" s="540"/>
      <c r="B840" s="540"/>
      <c r="C840" s="540"/>
      <c r="D840" s="540"/>
      <c r="E840" s="540"/>
      <c r="F840" s="540"/>
      <c r="G840" s="540"/>
      <c r="H840" s="540"/>
      <c r="I840" s="540"/>
      <c r="J840" s="540"/>
      <c r="K840" s="540"/>
      <c r="L840" s="540"/>
      <c r="M840" s="540"/>
      <c r="N840" s="540"/>
      <c r="O840" s="540"/>
      <c r="P840" s="540"/>
      <c r="Q840" s="540"/>
      <c r="R840" s="540"/>
      <c r="S840" s="540"/>
      <c r="T840" s="540"/>
      <c r="U840" s="540"/>
      <c r="V840" s="540"/>
      <c r="W840" s="540"/>
      <c r="X840" s="540"/>
      <c r="Y840" s="540"/>
      <c r="Z840" s="540"/>
    </row>
    <row r="841" ht="171.75" customHeight="1">
      <c r="A841" s="540"/>
      <c r="B841" s="540"/>
      <c r="C841" s="540"/>
      <c r="D841" s="540"/>
      <c r="E841" s="540"/>
      <c r="F841" s="540"/>
      <c r="G841" s="540"/>
      <c r="H841" s="540"/>
      <c r="I841" s="540"/>
      <c r="J841" s="540"/>
      <c r="K841" s="540"/>
      <c r="L841" s="540"/>
      <c r="M841" s="540"/>
      <c r="N841" s="540"/>
      <c r="O841" s="540"/>
      <c r="P841" s="540"/>
      <c r="Q841" s="540"/>
      <c r="R841" s="540"/>
      <c r="S841" s="540"/>
      <c r="T841" s="540"/>
      <c r="U841" s="540"/>
      <c r="V841" s="540"/>
      <c r="W841" s="540"/>
      <c r="X841" s="540"/>
      <c r="Y841" s="540"/>
      <c r="Z841" s="540"/>
    </row>
    <row r="842" ht="171.75" customHeight="1">
      <c r="A842" s="540"/>
      <c r="B842" s="540"/>
      <c r="C842" s="540"/>
      <c r="D842" s="540"/>
      <c r="E842" s="540"/>
      <c r="F842" s="540"/>
      <c r="G842" s="540"/>
      <c r="H842" s="540"/>
      <c r="I842" s="540"/>
      <c r="J842" s="540"/>
      <c r="K842" s="540"/>
      <c r="L842" s="540"/>
      <c r="M842" s="540"/>
      <c r="N842" s="540"/>
      <c r="O842" s="540"/>
      <c r="P842" s="540"/>
      <c r="Q842" s="540"/>
      <c r="R842" s="540"/>
      <c r="S842" s="540"/>
      <c r="T842" s="540"/>
      <c r="U842" s="540"/>
      <c r="V842" s="540"/>
      <c r="W842" s="540"/>
      <c r="X842" s="540"/>
      <c r="Y842" s="540"/>
      <c r="Z842" s="540"/>
    </row>
    <row r="843" ht="171.75" customHeight="1">
      <c r="A843" s="540"/>
      <c r="B843" s="540"/>
      <c r="C843" s="540"/>
      <c r="D843" s="540"/>
      <c r="E843" s="540"/>
      <c r="F843" s="540"/>
      <c r="G843" s="540"/>
      <c r="H843" s="540"/>
      <c r="I843" s="540"/>
      <c r="J843" s="540"/>
      <c r="K843" s="540"/>
      <c r="L843" s="540"/>
      <c r="M843" s="540"/>
      <c r="N843" s="540"/>
      <c r="O843" s="540"/>
      <c r="P843" s="540"/>
      <c r="Q843" s="540"/>
      <c r="R843" s="540"/>
      <c r="S843" s="540"/>
      <c r="T843" s="540"/>
      <c r="U843" s="540"/>
      <c r="V843" s="540"/>
      <c r="W843" s="540"/>
      <c r="X843" s="540"/>
      <c r="Y843" s="540"/>
      <c r="Z843" s="540"/>
    </row>
    <row r="844" ht="171.75" customHeight="1">
      <c r="A844" s="540"/>
      <c r="B844" s="540"/>
      <c r="C844" s="540"/>
      <c r="D844" s="540"/>
      <c r="E844" s="540"/>
      <c r="F844" s="540"/>
      <c r="G844" s="540"/>
      <c r="H844" s="540"/>
      <c r="I844" s="540"/>
      <c r="J844" s="540"/>
      <c r="K844" s="540"/>
      <c r="L844" s="540"/>
      <c r="M844" s="540"/>
      <c r="N844" s="540"/>
      <c r="O844" s="540"/>
      <c r="P844" s="540"/>
      <c r="Q844" s="540"/>
      <c r="R844" s="540"/>
      <c r="S844" s="540"/>
      <c r="T844" s="540"/>
      <c r="U844" s="540"/>
      <c r="V844" s="540"/>
      <c r="W844" s="540"/>
      <c r="X844" s="540"/>
      <c r="Y844" s="540"/>
      <c r="Z844" s="540"/>
    </row>
    <row r="845" ht="171.75" customHeight="1">
      <c r="A845" s="540"/>
      <c r="B845" s="540"/>
      <c r="C845" s="540"/>
      <c r="D845" s="540"/>
      <c r="E845" s="540"/>
      <c r="F845" s="540"/>
      <c r="G845" s="540"/>
      <c r="H845" s="540"/>
      <c r="I845" s="540"/>
      <c r="J845" s="540"/>
      <c r="K845" s="540"/>
      <c r="L845" s="540"/>
      <c r="M845" s="540"/>
      <c r="N845" s="540"/>
      <c r="O845" s="540"/>
      <c r="P845" s="540"/>
      <c r="Q845" s="540"/>
      <c r="R845" s="540"/>
      <c r="S845" s="540"/>
      <c r="T845" s="540"/>
      <c r="U845" s="540"/>
      <c r="V845" s="540"/>
      <c r="W845" s="540"/>
      <c r="X845" s="540"/>
      <c r="Y845" s="540"/>
      <c r="Z845" s="540"/>
    </row>
    <row r="846" ht="171.75" customHeight="1">
      <c r="A846" s="540"/>
      <c r="B846" s="540"/>
      <c r="C846" s="540"/>
      <c r="D846" s="540"/>
      <c r="E846" s="540"/>
      <c r="F846" s="540"/>
      <c r="G846" s="540"/>
      <c r="H846" s="540"/>
      <c r="I846" s="540"/>
      <c r="J846" s="540"/>
      <c r="K846" s="540"/>
      <c r="L846" s="540"/>
      <c r="M846" s="540"/>
      <c r="N846" s="540"/>
      <c r="O846" s="540"/>
      <c r="P846" s="540"/>
      <c r="Q846" s="540"/>
      <c r="R846" s="540"/>
      <c r="S846" s="540"/>
      <c r="T846" s="540"/>
      <c r="U846" s="540"/>
      <c r="V846" s="540"/>
      <c r="W846" s="540"/>
      <c r="X846" s="540"/>
      <c r="Y846" s="540"/>
      <c r="Z846" s="540"/>
    </row>
    <row r="847" ht="171.75" customHeight="1">
      <c r="A847" s="540"/>
      <c r="B847" s="540"/>
      <c r="C847" s="540"/>
      <c r="D847" s="540"/>
      <c r="E847" s="540"/>
      <c r="F847" s="540"/>
      <c r="G847" s="540"/>
      <c r="H847" s="540"/>
      <c r="I847" s="540"/>
      <c r="J847" s="540"/>
      <c r="K847" s="540"/>
      <c r="L847" s="540"/>
      <c r="M847" s="540"/>
      <c r="N847" s="540"/>
      <c r="O847" s="540"/>
      <c r="P847" s="540"/>
      <c r="Q847" s="540"/>
      <c r="R847" s="540"/>
      <c r="S847" s="540"/>
      <c r="T847" s="540"/>
      <c r="U847" s="540"/>
      <c r="V847" s="540"/>
      <c r="W847" s="540"/>
      <c r="X847" s="540"/>
      <c r="Y847" s="540"/>
      <c r="Z847" s="540"/>
    </row>
    <row r="848" ht="171.75" customHeight="1">
      <c r="A848" s="540"/>
      <c r="B848" s="540"/>
      <c r="C848" s="540"/>
      <c r="D848" s="540"/>
      <c r="E848" s="540"/>
      <c r="F848" s="540"/>
      <c r="G848" s="540"/>
      <c r="H848" s="540"/>
      <c r="I848" s="540"/>
      <c r="J848" s="540"/>
      <c r="K848" s="540"/>
      <c r="L848" s="540"/>
      <c r="M848" s="540"/>
      <c r="N848" s="540"/>
      <c r="O848" s="540"/>
      <c r="P848" s="540"/>
      <c r="Q848" s="540"/>
      <c r="R848" s="540"/>
      <c r="S848" s="540"/>
      <c r="T848" s="540"/>
      <c r="U848" s="540"/>
      <c r="V848" s="540"/>
      <c r="W848" s="540"/>
      <c r="X848" s="540"/>
      <c r="Y848" s="540"/>
      <c r="Z848" s="540"/>
    </row>
    <row r="849" ht="171.75" customHeight="1">
      <c r="A849" s="540"/>
      <c r="B849" s="540"/>
      <c r="C849" s="540"/>
      <c r="D849" s="540"/>
      <c r="E849" s="540"/>
      <c r="F849" s="540"/>
      <c r="G849" s="540"/>
      <c r="H849" s="540"/>
      <c r="I849" s="540"/>
      <c r="J849" s="540"/>
      <c r="K849" s="540"/>
      <c r="L849" s="540"/>
      <c r="M849" s="540"/>
      <c r="N849" s="540"/>
      <c r="O849" s="540"/>
      <c r="P849" s="540"/>
      <c r="Q849" s="540"/>
      <c r="R849" s="540"/>
      <c r="S849" s="540"/>
      <c r="T849" s="540"/>
      <c r="U849" s="540"/>
      <c r="V849" s="540"/>
      <c r="W849" s="540"/>
      <c r="X849" s="540"/>
      <c r="Y849" s="540"/>
      <c r="Z849" s="540"/>
    </row>
    <row r="850" ht="171.75" customHeight="1">
      <c r="A850" s="540"/>
      <c r="B850" s="540"/>
      <c r="C850" s="540"/>
      <c r="D850" s="540"/>
      <c r="E850" s="540"/>
      <c r="F850" s="540"/>
      <c r="G850" s="540"/>
      <c r="H850" s="540"/>
      <c r="I850" s="540"/>
      <c r="J850" s="540"/>
      <c r="K850" s="540"/>
      <c r="L850" s="540"/>
      <c r="M850" s="540"/>
      <c r="N850" s="540"/>
      <c r="O850" s="540"/>
      <c r="P850" s="540"/>
      <c r="Q850" s="540"/>
      <c r="R850" s="540"/>
      <c r="S850" s="540"/>
      <c r="T850" s="540"/>
      <c r="U850" s="540"/>
      <c r="V850" s="540"/>
      <c r="W850" s="540"/>
      <c r="X850" s="540"/>
      <c r="Y850" s="540"/>
      <c r="Z850" s="540"/>
    </row>
    <row r="851" ht="171.75" customHeight="1">
      <c r="A851" s="540"/>
      <c r="B851" s="540"/>
      <c r="C851" s="540"/>
      <c r="D851" s="540"/>
      <c r="E851" s="540"/>
      <c r="F851" s="540"/>
      <c r="G851" s="540"/>
      <c r="H851" s="540"/>
      <c r="I851" s="540"/>
      <c r="J851" s="540"/>
      <c r="K851" s="540"/>
      <c r="L851" s="540"/>
      <c r="M851" s="540"/>
      <c r="N851" s="540"/>
      <c r="O851" s="540"/>
      <c r="P851" s="540"/>
      <c r="Q851" s="540"/>
      <c r="R851" s="540"/>
      <c r="S851" s="540"/>
      <c r="T851" s="540"/>
      <c r="U851" s="540"/>
      <c r="V851" s="540"/>
      <c r="W851" s="540"/>
      <c r="X851" s="540"/>
      <c r="Y851" s="540"/>
      <c r="Z851" s="540"/>
    </row>
    <row r="852" ht="171.75" customHeight="1">
      <c r="A852" s="540"/>
      <c r="B852" s="540"/>
      <c r="C852" s="540"/>
      <c r="D852" s="540"/>
      <c r="E852" s="540"/>
      <c r="F852" s="540"/>
      <c r="G852" s="540"/>
      <c r="H852" s="540"/>
      <c r="I852" s="540"/>
      <c r="J852" s="540"/>
      <c r="K852" s="540"/>
      <c r="L852" s="540"/>
      <c r="M852" s="540"/>
      <c r="N852" s="540"/>
      <c r="O852" s="540"/>
      <c r="P852" s="540"/>
      <c r="Q852" s="540"/>
      <c r="R852" s="540"/>
      <c r="S852" s="540"/>
      <c r="T852" s="540"/>
      <c r="U852" s="540"/>
      <c r="V852" s="540"/>
      <c r="W852" s="540"/>
      <c r="X852" s="540"/>
      <c r="Y852" s="540"/>
      <c r="Z852" s="540"/>
    </row>
    <row r="853" ht="171.75" customHeight="1">
      <c r="A853" s="540"/>
      <c r="B853" s="540"/>
      <c r="C853" s="540"/>
      <c r="D853" s="540"/>
      <c r="E853" s="540"/>
      <c r="F853" s="540"/>
      <c r="G853" s="540"/>
      <c r="H853" s="540"/>
      <c r="I853" s="540"/>
      <c r="J853" s="540"/>
      <c r="K853" s="540"/>
      <c r="L853" s="540"/>
      <c r="M853" s="540"/>
      <c r="N853" s="540"/>
      <c r="O853" s="540"/>
      <c r="P853" s="540"/>
      <c r="Q853" s="540"/>
      <c r="R853" s="540"/>
      <c r="S853" s="540"/>
      <c r="T853" s="540"/>
      <c r="U853" s="540"/>
      <c r="V853" s="540"/>
      <c r="W853" s="540"/>
      <c r="X853" s="540"/>
      <c r="Y853" s="540"/>
      <c r="Z853" s="540"/>
    </row>
    <row r="854" ht="171.75" customHeight="1">
      <c r="A854" s="540"/>
      <c r="B854" s="540"/>
      <c r="C854" s="540"/>
      <c r="D854" s="540"/>
      <c r="E854" s="540"/>
      <c r="F854" s="540"/>
      <c r="G854" s="540"/>
      <c r="H854" s="540"/>
      <c r="I854" s="540"/>
      <c r="J854" s="540"/>
      <c r="K854" s="540"/>
      <c r="L854" s="540"/>
      <c r="M854" s="540"/>
      <c r="N854" s="540"/>
      <c r="O854" s="540"/>
      <c r="P854" s="540"/>
      <c r="Q854" s="540"/>
      <c r="R854" s="540"/>
      <c r="S854" s="540"/>
      <c r="T854" s="540"/>
      <c r="U854" s="540"/>
      <c r="V854" s="540"/>
      <c r="W854" s="540"/>
      <c r="X854" s="540"/>
      <c r="Y854" s="540"/>
      <c r="Z854" s="540"/>
    </row>
    <row r="855" ht="171.75" customHeight="1">
      <c r="A855" s="540"/>
      <c r="B855" s="540"/>
      <c r="C855" s="540"/>
      <c r="D855" s="540"/>
      <c r="E855" s="540"/>
      <c r="F855" s="540"/>
      <c r="G855" s="540"/>
      <c r="H855" s="540"/>
      <c r="I855" s="540"/>
      <c r="J855" s="540"/>
      <c r="K855" s="540"/>
      <c r="L855" s="540"/>
      <c r="M855" s="540"/>
      <c r="N855" s="540"/>
      <c r="O855" s="540"/>
      <c r="P855" s="540"/>
      <c r="Q855" s="540"/>
      <c r="R855" s="540"/>
      <c r="S855" s="540"/>
      <c r="T855" s="540"/>
      <c r="U855" s="540"/>
      <c r="V855" s="540"/>
      <c r="W855" s="540"/>
      <c r="X855" s="540"/>
      <c r="Y855" s="540"/>
      <c r="Z855" s="540"/>
    </row>
    <row r="856" ht="171.75" customHeight="1">
      <c r="A856" s="540"/>
      <c r="B856" s="540"/>
      <c r="C856" s="540"/>
      <c r="D856" s="540"/>
      <c r="E856" s="540"/>
      <c r="F856" s="540"/>
      <c r="G856" s="540"/>
      <c r="H856" s="540"/>
      <c r="I856" s="540"/>
      <c r="J856" s="540"/>
      <c r="K856" s="540"/>
      <c r="L856" s="540"/>
      <c r="M856" s="540"/>
      <c r="N856" s="540"/>
      <c r="O856" s="540"/>
      <c r="P856" s="540"/>
      <c r="Q856" s="540"/>
      <c r="R856" s="540"/>
      <c r="S856" s="540"/>
      <c r="T856" s="540"/>
      <c r="U856" s="540"/>
      <c r="V856" s="540"/>
      <c r="W856" s="540"/>
      <c r="X856" s="540"/>
      <c r="Y856" s="540"/>
      <c r="Z856" s="540"/>
    </row>
    <row r="857" ht="171.75" customHeight="1">
      <c r="A857" s="540"/>
      <c r="B857" s="540"/>
      <c r="C857" s="540"/>
      <c r="D857" s="540"/>
      <c r="E857" s="540"/>
      <c r="F857" s="540"/>
      <c r="G857" s="540"/>
      <c r="H857" s="540"/>
      <c r="I857" s="540"/>
      <c r="J857" s="540"/>
      <c r="K857" s="540"/>
      <c r="L857" s="540"/>
      <c r="M857" s="540"/>
      <c r="N857" s="540"/>
      <c r="O857" s="540"/>
      <c r="P857" s="540"/>
      <c r="Q857" s="540"/>
      <c r="R857" s="540"/>
      <c r="S857" s="540"/>
      <c r="T857" s="540"/>
      <c r="U857" s="540"/>
      <c r="V857" s="540"/>
      <c r="W857" s="540"/>
      <c r="X857" s="540"/>
      <c r="Y857" s="540"/>
      <c r="Z857" s="540"/>
    </row>
    <row r="858" ht="171.75" customHeight="1">
      <c r="A858" s="540"/>
      <c r="B858" s="540"/>
      <c r="C858" s="540"/>
      <c r="D858" s="540"/>
      <c r="E858" s="540"/>
      <c r="F858" s="540"/>
      <c r="G858" s="540"/>
      <c r="H858" s="540"/>
      <c r="I858" s="540"/>
      <c r="J858" s="540"/>
      <c r="K858" s="540"/>
      <c r="L858" s="540"/>
      <c r="M858" s="540"/>
      <c r="N858" s="540"/>
      <c r="O858" s="540"/>
      <c r="P858" s="540"/>
      <c r="Q858" s="540"/>
      <c r="R858" s="540"/>
      <c r="S858" s="540"/>
      <c r="T858" s="540"/>
      <c r="U858" s="540"/>
      <c r="V858" s="540"/>
      <c r="W858" s="540"/>
      <c r="X858" s="540"/>
      <c r="Y858" s="540"/>
      <c r="Z858" s="540"/>
    </row>
    <row r="859" ht="171.75" customHeight="1">
      <c r="A859" s="540"/>
      <c r="B859" s="540"/>
      <c r="C859" s="540"/>
      <c r="D859" s="540"/>
      <c r="E859" s="540"/>
      <c r="F859" s="540"/>
      <c r="G859" s="540"/>
      <c r="H859" s="540"/>
      <c r="I859" s="540"/>
      <c r="J859" s="540"/>
      <c r="K859" s="540"/>
      <c r="L859" s="540"/>
      <c r="M859" s="540"/>
      <c r="N859" s="540"/>
      <c r="O859" s="540"/>
      <c r="P859" s="540"/>
      <c r="Q859" s="540"/>
      <c r="R859" s="540"/>
      <c r="S859" s="540"/>
      <c r="T859" s="540"/>
      <c r="U859" s="540"/>
      <c r="V859" s="540"/>
      <c r="W859" s="540"/>
      <c r="X859" s="540"/>
      <c r="Y859" s="540"/>
      <c r="Z859" s="540"/>
    </row>
    <row r="860" ht="171.75" customHeight="1">
      <c r="A860" s="540"/>
      <c r="B860" s="540"/>
      <c r="C860" s="540"/>
      <c r="D860" s="540"/>
      <c r="E860" s="540"/>
      <c r="F860" s="540"/>
      <c r="G860" s="540"/>
      <c r="H860" s="540"/>
      <c r="I860" s="540"/>
      <c r="J860" s="540"/>
      <c r="K860" s="540"/>
      <c r="L860" s="540"/>
      <c r="M860" s="540"/>
      <c r="N860" s="540"/>
      <c r="O860" s="540"/>
      <c r="P860" s="540"/>
      <c r="Q860" s="540"/>
      <c r="R860" s="540"/>
      <c r="S860" s="540"/>
      <c r="T860" s="540"/>
      <c r="U860" s="540"/>
      <c r="V860" s="540"/>
      <c r="W860" s="540"/>
      <c r="X860" s="540"/>
      <c r="Y860" s="540"/>
      <c r="Z860" s="540"/>
    </row>
    <row r="861" ht="171.75" customHeight="1">
      <c r="A861" s="540"/>
      <c r="B861" s="540"/>
      <c r="C861" s="540"/>
      <c r="D861" s="540"/>
      <c r="E861" s="540"/>
      <c r="F861" s="540"/>
      <c r="G861" s="540"/>
      <c r="H861" s="540"/>
      <c r="I861" s="540"/>
      <c r="J861" s="540"/>
      <c r="K861" s="540"/>
      <c r="L861" s="540"/>
      <c r="M861" s="540"/>
      <c r="N861" s="540"/>
      <c r="O861" s="540"/>
      <c r="P861" s="540"/>
      <c r="Q861" s="540"/>
      <c r="R861" s="540"/>
      <c r="S861" s="540"/>
      <c r="T861" s="540"/>
      <c r="U861" s="540"/>
      <c r="V861" s="540"/>
      <c r="W861" s="540"/>
      <c r="X861" s="540"/>
      <c r="Y861" s="540"/>
      <c r="Z861" s="540"/>
    </row>
    <row r="862" ht="171.75" customHeight="1">
      <c r="A862" s="540"/>
      <c r="B862" s="540"/>
      <c r="C862" s="540"/>
      <c r="D862" s="540"/>
      <c r="E862" s="540"/>
      <c r="F862" s="540"/>
      <c r="G862" s="540"/>
      <c r="H862" s="540"/>
      <c r="I862" s="540"/>
      <c r="J862" s="540"/>
      <c r="K862" s="540"/>
      <c r="L862" s="540"/>
      <c r="M862" s="540"/>
      <c r="N862" s="540"/>
      <c r="O862" s="540"/>
      <c r="P862" s="540"/>
      <c r="Q862" s="540"/>
      <c r="R862" s="540"/>
      <c r="S862" s="540"/>
      <c r="T862" s="540"/>
      <c r="U862" s="540"/>
      <c r="V862" s="540"/>
      <c r="W862" s="540"/>
      <c r="X862" s="540"/>
      <c r="Y862" s="540"/>
      <c r="Z862" s="540"/>
    </row>
    <row r="863" ht="171.75" customHeight="1">
      <c r="A863" s="540"/>
      <c r="B863" s="540"/>
      <c r="C863" s="540"/>
      <c r="D863" s="540"/>
      <c r="E863" s="540"/>
      <c r="F863" s="540"/>
      <c r="G863" s="540"/>
      <c r="H863" s="540"/>
      <c r="I863" s="540"/>
      <c r="J863" s="540"/>
      <c r="K863" s="540"/>
      <c r="L863" s="540"/>
      <c r="M863" s="540"/>
      <c r="N863" s="540"/>
      <c r="O863" s="540"/>
      <c r="P863" s="540"/>
      <c r="Q863" s="540"/>
      <c r="R863" s="540"/>
      <c r="S863" s="540"/>
      <c r="T863" s="540"/>
      <c r="U863" s="540"/>
      <c r="V863" s="540"/>
      <c r="W863" s="540"/>
      <c r="X863" s="540"/>
      <c r="Y863" s="540"/>
      <c r="Z863" s="540"/>
    </row>
    <row r="864" ht="171.75" customHeight="1">
      <c r="A864" s="540"/>
      <c r="B864" s="540"/>
      <c r="C864" s="540"/>
      <c r="D864" s="540"/>
      <c r="E864" s="540"/>
      <c r="F864" s="540"/>
      <c r="G864" s="540"/>
      <c r="H864" s="540"/>
      <c r="I864" s="540"/>
      <c r="J864" s="540"/>
      <c r="K864" s="540"/>
      <c r="L864" s="540"/>
      <c r="M864" s="540"/>
      <c r="N864" s="540"/>
      <c r="O864" s="540"/>
      <c r="P864" s="540"/>
      <c r="Q864" s="540"/>
      <c r="R864" s="540"/>
      <c r="S864" s="540"/>
      <c r="T864" s="540"/>
      <c r="U864" s="540"/>
      <c r="V864" s="540"/>
      <c r="W864" s="540"/>
      <c r="X864" s="540"/>
      <c r="Y864" s="540"/>
      <c r="Z864" s="540"/>
    </row>
    <row r="865" ht="171.75" customHeight="1">
      <c r="A865" s="540"/>
      <c r="B865" s="540"/>
      <c r="C865" s="540"/>
      <c r="D865" s="540"/>
      <c r="E865" s="540"/>
      <c r="F865" s="540"/>
      <c r="G865" s="540"/>
      <c r="H865" s="540"/>
      <c r="I865" s="540"/>
      <c r="J865" s="540"/>
      <c r="K865" s="540"/>
      <c r="L865" s="540"/>
      <c r="M865" s="540"/>
      <c r="N865" s="540"/>
      <c r="O865" s="540"/>
      <c r="P865" s="540"/>
      <c r="Q865" s="540"/>
      <c r="R865" s="540"/>
      <c r="S865" s="540"/>
      <c r="T865" s="540"/>
      <c r="U865" s="540"/>
      <c r="V865" s="540"/>
      <c r="W865" s="540"/>
      <c r="X865" s="540"/>
      <c r="Y865" s="540"/>
      <c r="Z865" s="540"/>
    </row>
    <row r="866" ht="171.75" customHeight="1">
      <c r="A866" s="540"/>
      <c r="B866" s="540"/>
      <c r="C866" s="540"/>
      <c r="D866" s="540"/>
      <c r="E866" s="540"/>
      <c r="F866" s="540"/>
      <c r="G866" s="540"/>
      <c r="H866" s="540"/>
      <c r="I866" s="540"/>
      <c r="J866" s="540"/>
      <c r="K866" s="540"/>
      <c r="L866" s="540"/>
      <c r="M866" s="540"/>
      <c r="N866" s="540"/>
      <c r="O866" s="540"/>
      <c r="P866" s="540"/>
      <c r="Q866" s="540"/>
      <c r="R866" s="540"/>
      <c r="S866" s="540"/>
      <c r="T866" s="540"/>
      <c r="U866" s="540"/>
      <c r="V866" s="540"/>
      <c r="W866" s="540"/>
      <c r="X866" s="540"/>
      <c r="Y866" s="540"/>
      <c r="Z866" s="540"/>
    </row>
    <row r="867" ht="171.75" customHeight="1">
      <c r="A867" s="540"/>
      <c r="B867" s="540"/>
      <c r="C867" s="540"/>
      <c r="D867" s="540"/>
      <c r="E867" s="540"/>
      <c r="F867" s="540"/>
      <c r="G867" s="540"/>
      <c r="H867" s="540"/>
      <c r="I867" s="540"/>
      <c r="J867" s="540"/>
      <c r="K867" s="540"/>
      <c r="L867" s="540"/>
      <c r="M867" s="540"/>
      <c r="N867" s="540"/>
      <c r="O867" s="540"/>
      <c r="P867" s="540"/>
      <c r="Q867" s="540"/>
      <c r="R867" s="540"/>
      <c r="S867" s="540"/>
      <c r="T867" s="540"/>
      <c r="U867" s="540"/>
      <c r="V867" s="540"/>
      <c r="W867" s="540"/>
      <c r="X867" s="540"/>
      <c r="Y867" s="540"/>
      <c r="Z867" s="540"/>
    </row>
    <row r="868" ht="171.75" customHeight="1">
      <c r="A868" s="540"/>
      <c r="B868" s="540"/>
      <c r="C868" s="540"/>
      <c r="D868" s="540"/>
      <c r="E868" s="540"/>
      <c r="F868" s="540"/>
      <c r="G868" s="540"/>
      <c r="H868" s="540"/>
      <c r="I868" s="540"/>
      <c r="J868" s="540"/>
      <c r="K868" s="540"/>
      <c r="L868" s="540"/>
      <c r="M868" s="540"/>
      <c r="N868" s="540"/>
      <c r="O868" s="540"/>
      <c r="P868" s="540"/>
      <c r="Q868" s="540"/>
      <c r="R868" s="540"/>
      <c r="S868" s="540"/>
      <c r="T868" s="540"/>
      <c r="U868" s="540"/>
      <c r="V868" s="540"/>
      <c r="W868" s="540"/>
      <c r="X868" s="540"/>
      <c r="Y868" s="540"/>
      <c r="Z868" s="540"/>
    </row>
    <row r="869" ht="171.75" customHeight="1">
      <c r="A869" s="540"/>
      <c r="B869" s="540"/>
      <c r="C869" s="540"/>
      <c r="D869" s="540"/>
      <c r="E869" s="540"/>
      <c r="F869" s="540"/>
      <c r="G869" s="540"/>
      <c r="H869" s="540"/>
      <c r="I869" s="540"/>
      <c r="J869" s="540"/>
      <c r="K869" s="540"/>
      <c r="L869" s="540"/>
      <c r="M869" s="540"/>
      <c r="N869" s="540"/>
      <c r="O869" s="540"/>
      <c r="P869" s="540"/>
      <c r="Q869" s="540"/>
      <c r="R869" s="540"/>
      <c r="S869" s="540"/>
      <c r="T869" s="540"/>
      <c r="U869" s="540"/>
      <c r="V869" s="540"/>
      <c r="W869" s="540"/>
      <c r="X869" s="540"/>
      <c r="Y869" s="540"/>
      <c r="Z869" s="540"/>
    </row>
    <row r="870" ht="171.75" customHeight="1">
      <c r="A870" s="540"/>
      <c r="B870" s="540"/>
      <c r="C870" s="540"/>
      <c r="D870" s="540"/>
      <c r="E870" s="540"/>
      <c r="F870" s="540"/>
      <c r="G870" s="540"/>
      <c r="H870" s="540"/>
      <c r="I870" s="540"/>
      <c r="J870" s="540"/>
      <c r="K870" s="540"/>
      <c r="L870" s="540"/>
      <c r="M870" s="540"/>
      <c r="N870" s="540"/>
      <c r="O870" s="540"/>
      <c r="P870" s="540"/>
      <c r="Q870" s="540"/>
      <c r="R870" s="540"/>
      <c r="S870" s="540"/>
      <c r="T870" s="540"/>
      <c r="U870" s="540"/>
      <c r="V870" s="540"/>
      <c r="W870" s="540"/>
      <c r="X870" s="540"/>
      <c r="Y870" s="540"/>
      <c r="Z870" s="540"/>
    </row>
    <row r="871" ht="171.75" customHeight="1">
      <c r="A871" s="540"/>
      <c r="B871" s="540"/>
      <c r="C871" s="540"/>
      <c r="D871" s="540"/>
      <c r="E871" s="540"/>
      <c r="F871" s="540"/>
      <c r="G871" s="540"/>
      <c r="H871" s="540"/>
      <c r="I871" s="540"/>
      <c r="J871" s="540"/>
      <c r="K871" s="540"/>
      <c r="L871" s="540"/>
      <c r="M871" s="540"/>
      <c r="N871" s="540"/>
      <c r="O871" s="540"/>
      <c r="P871" s="540"/>
      <c r="Q871" s="540"/>
      <c r="R871" s="540"/>
      <c r="S871" s="540"/>
      <c r="T871" s="540"/>
      <c r="U871" s="540"/>
      <c r="V871" s="540"/>
      <c r="W871" s="540"/>
      <c r="X871" s="540"/>
      <c r="Y871" s="540"/>
      <c r="Z871" s="540"/>
    </row>
    <row r="872" ht="171.75" customHeight="1">
      <c r="A872" s="540"/>
      <c r="B872" s="540"/>
      <c r="C872" s="540"/>
      <c r="D872" s="540"/>
      <c r="E872" s="540"/>
      <c r="F872" s="540"/>
      <c r="G872" s="540"/>
      <c r="H872" s="540"/>
      <c r="I872" s="540"/>
      <c r="J872" s="540"/>
      <c r="K872" s="540"/>
      <c r="L872" s="540"/>
      <c r="M872" s="540"/>
      <c r="N872" s="540"/>
      <c r="O872" s="540"/>
      <c r="P872" s="540"/>
      <c r="Q872" s="540"/>
      <c r="R872" s="540"/>
      <c r="S872" s="540"/>
      <c r="T872" s="540"/>
      <c r="U872" s="540"/>
      <c r="V872" s="540"/>
      <c r="W872" s="540"/>
      <c r="X872" s="540"/>
      <c r="Y872" s="540"/>
      <c r="Z872" s="540"/>
    </row>
    <row r="873" ht="171.75" customHeight="1">
      <c r="A873" s="540"/>
      <c r="B873" s="540"/>
      <c r="C873" s="540"/>
      <c r="D873" s="540"/>
      <c r="E873" s="540"/>
      <c r="F873" s="540"/>
      <c r="G873" s="540"/>
      <c r="H873" s="540"/>
      <c r="I873" s="540"/>
      <c r="J873" s="540"/>
      <c r="K873" s="540"/>
      <c r="L873" s="540"/>
      <c r="M873" s="540"/>
      <c r="N873" s="540"/>
      <c r="O873" s="540"/>
      <c r="P873" s="540"/>
      <c r="Q873" s="540"/>
      <c r="R873" s="540"/>
      <c r="S873" s="540"/>
      <c r="T873" s="540"/>
      <c r="U873" s="540"/>
      <c r="V873" s="540"/>
      <c r="W873" s="540"/>
      <c r="X873" s="540"/>
      <c r="Y873" s="540"/>
      <c r="Z873" s="540"/>
    </row>
    <row r="874" ht="171.75" customHeight="1">
      <c r="A874" s="540"/>
      <c r="B874" s="540"/>
      <c r="C874" s="540"/>
      <c r="D874" s="540"/>
      <c r="E874" s="540"/>
      <c r="F874" s="540"/>
      <c r="G874" s="540"/>
      <c r="H874" s="540"/>
      <c r="I874" s="540"/>
      <c r="J874" s="540"/>
      <c r="K874" s="540"/>
      <c r="L874" s="540"/>
      <c r="M874" s="540"/>
      <c r="N874" s="540"/>
      <c r="O874" s="540"/>
      <c r="P874" s="540"/>
      <c r="Q874" s="540"/>
      <c r="R874" s="540"/>
      <c r="S874" s="540"/>
      <c r="T874" s="540"/>
      <c r="U874" s="540"/>
      <c r="V874" s="540"/>
      <c r="W874" s="540"/>
      <c r="X874" s="540"/>
      <c r="Y874" s="540"/>
      <c r="Z874" s="540"/>
    </row>
    <row r="875" ht="171.75" customHeight="1">
      <c r="A875" s="540"/>
      <c r="B875" s="540"/>
      <c r="C875" s="540"/>
      <c r="D875" s="540"/>
      <c r="E875" s="540"/>
      <c r="F875" s="540"/>
      <c r="G875" s="540"/>
      <c r="H875" s="540"/>
      <c r="I875" s="540"/>
      <c r="J875" s="540"/>
      <c r="K875" s="540"/>
      <c r="L875" s="540"/>
      <c r="M875" s="540"/>
      <c r="N875" s="540"/>
      <c r="O875" s="540"/>
      <c r="P875" s="540"/>
      <c r="Q875" s="540"/>
      <c r="R875" s="540"/>
      <c r="S875" s="540"/>
      <c r="T875" s="540"/>
      <c r="U875" s="540"/>
      <c r="V875" s="540"/>
      <c r="W875" s="540"/>
      <c r="X875" s="540"/>
      <c r="Y875" s="540"/>
      <c r="Z875" s="540"/>
    </row>
    <row r="876" ht="171.75" customHeight="1">
      <c r="A876" s="540"/>
      <c r="B876" s="540"/>
      <c r="C876" s="540"/>
      <c r="D876" s="540"/>
      <c r="E876" s="540"/>
      <c r="F876" s="540"/>
      <c r="G876" s="540"/>
      <c r="H876" s="540"/>
      <c r="I876" s="540"/>
      <c r="J876" s="540"/>
      <c r="K876" s="540"/>
      <c r="L876" s="540"/>
      <c r="M876" s="540"/>
      <c r="N876" s="540"/>
      <c r="O876" s="540"/>
      <c r="P876" s="540"/>
      <c r="Q876" s="540"/>
      <c r="R876" s="540"/>
      <c r="S876" s="540"/>
      <c r="T876" s="540"/>
      <c r="U876" s="540"/>
      <c r="V876" s="540"/>
      <c r="W876" s="540"/>
      <c r="X876" s="540"/>
      <c r="Y876" s="540"/>
      <c r="Z876" s="540"/>
    </row>
    <row r="877" ht="171.75" customHeight="1">
      <c r="A877" s="540"/>
      <c r="B877" s="540"/>
      <c r="C877" s="540"/>
      <c r="D877" s="540"/>
      <c r="E877" s="540"/>
      <c r="F877" s="540"/>
      <c r="G877" s="540"/>
      <c r="H877" s="540"/>
      <c r="I877" s="540"/>
      <c r="J877" s="540"/>
      <c r="K877" s="540"/>
      <c r="L877" s="540"/>
      <c r="M877" s="540"/>
      <c r="N877" s="540"/>
      <c r="O877" s="540"/>
      <c r="P877" s="540"/>
      <c r="Q877" s="540"/>
      <c r="R877" s="540"/>
      <c r="S877" s="540"/>
      <c r="T877" s="540"/>
      <c r="U877" s="540"/>
      <c r="V877" s="540"/>
      <c r="W877" s="540"/>
      <c r="X877" s="540"/>
      <c r="Y877" s="540"/>
      <c r="Z877" s="540"/>
    </row>
    <row r="878" ht="171.75" customHeight="1">
      <c r="A878" s="540"/>
      <c r="B878" s="540"/>
      <c r="C878" s="540"/>
      <c r="D878" s="540"/>
      <c r="E878" s="540"/>
      <c r="F878" s="540"/>
      <c r="G878" s="540"/>
      <c r="H878" s="540"/>
      <c r="I878" s="540"/>
      <c r="J878" s="540"/>
      <c r="K878" s="540"/>
      <c r="L878" s="540"/>
      <c r="M878" s="540"/>
      <c r="N878" s="540"/>
      <c r="O878" s="540"/>
      <c r="P878" s="540"/>
      <c r="Q878" s="540"/>
      <c r="R878" s="540"/>
      <c r="S878" s="540"/>
      <c r="T878" s="540"/>
      <c r="U878" s="540"/>
      <c r="V878" s="540"/>
      <c r="W878" s="540"/>
      <c r="X878" s="540"/>
      <c r="Y878" s="540"/>
      <c r="Z878" s="540"/>
    </row>
    <row r="879" ht="171.75" customHeight="1">
      <c r="A879" s="540"/>
      <c r="B879" s="540"/>
      <c r="C879" s="540"/>
      <c r="D879" s="540"/>
      <c r="E879" s="540"/>
      <c r="F879" s="540"/>
      <c r="G879" s="540"/>
      <c r="H879" s="540"/>
      <c r="I879" s="540"/>
      <c r="J879" s="540"/>
      <c r="K879" s="540"/>
      <c r="L879" s="540"/>
      <c r="M879" s="540"/>
      <c r="N879" s="540"/>
      <c r="O879" s="540"/>
      <c r="P879" s="540"/>
      <c r="Q879" s="540"/>
      <c r="R879" s="540"/>
      <c r="S879" s="540"/>
      <c r="T879" s="540"/>
      <c r="U879" s="540"/>
      <c r="V879" s="540"/>
      <c r="W879" s="540"/>
      <c r="X879" s="540"/>
      <c r="Y879" s="540"/>
      <c r="Z879" s="540"/>
    </row>
    <row r="880" ht="171.75" customHeight="1">
      <c r="A880" s="540"/>
      <c r="B880" s="540"/>
      <c r="C880" s="540"/>
      <c r="D880" s="540"/>
      <c r="E880" s="540"/>
      <c r="F880" s="540"/>
      <c r="G880" s="540"/>
      <c r="H880" s="540"/>
      <c r="I880" s="540"/>
      <c r="J880" s="540"/>
      <c r="K880" s="540"/>
      <c r="L880" s="540"/>
      <c r="M880" s="540"/>
      <c r="N880" s="540"/>
      <c r="O880" s="540"/>
      <c r="P880" s="540"/>
      <c r="Q880" s="540"/>
      <c r="R880" s="540"/>
      <c r="S880" s="540"/>
      <c r="T880" s="540"/>
      <c r="U880" s="540"/>
      <c r="V880" s="540"/>
      <c r="W880" s="540"/>
      <c r="X880" s="540"/>
      <c r="Y880" s="540"/>
      <c r="Z880" s="540"/>
    </row>
    <row r="881" ht="171.75" customHeight="1">
      <c r="A881" s="540"/>
      <c r="B881" s="540"/>
      <c r="C881" s="540"/>
      <c r="D881" s="540"/>
      <c r="E881" s="540"/>
      <c r="F881" s="540"/>
      <c r="G881" s="540"/>
      <c r="H881" s="540"/>
      <c r="I881" s="540"/>
      <c r="J881" s="540"/>
      <c r="K881" s="540"/>
      <c r="L881" s="540"/>
      <c r="M881" s="540"/>
      <c r="N881" s="540"/>
      <c r="O881" s="540"/>
      <c r="P881" s="540"/>
      <c r="Q881" s="540"/>
      <c r="R881" s="540"/>
      <c r="S881" s="540"/>
      <c r="T881" s="540"/>
      <c r="U881" s="540"/>
      <c r="V881" s="540"/>
      <c r="W881" s="540"/>
      <c r="X881" s="540"/>
      <c r="Y881" s="540"/>
      <c r="Z881" s="540"/>
    </row>
    <row r="882" ht="171.75" customHeight="1">
      <c r="A882" s="540"/>
      <c r="B882" s="540"/>
      <c r="C882" s="540"/>
      <c r="D882" s="540"/>
      <c r="E882" s="540"/>
      <c r="F882" s="540"/>
      <c r="G882" s="540"/>
      <c r="H882" s="540"/>
      <c r="I882" s="540"/>
      <c r="J882" s="540"/>
      <c r="K882" s="540"/>
      <c r="L882" s="540"/>
      <c r="M882" s="540"/>
      <c r="N882" s="540"/>
      <c r="O882" s="540"/>
      <c r="P882" s="540"/>
      <c r="Q882" s="540"/>
      <c r="R882" s="540"/>
      <c r="S882" s="540"/>
      <c r="T882" s="540"/>
      <c r="U882" s="540"/>
      <c r="V882" s="540"/>
      <c r="W882" s="540"/>
      <c r="X882" s="540"/>
      <c r="Y882" s="540"/>
      <c r="Z882" s="540"/>
    </row>
    <row r="883" ht="171.75" customHeight="1">
      <c r="A883" s="540"/>
      <c r="B883" s="540"/>
      <c r="C883" s="540"/>
      <c r="D883" s="540"/>
      <c r="E883" s="540"/>
      <c r="F883" s="540"/>
      <c r="G883" s="540"/>
      <c r="H883" s="540"/>
      <c r="I883" s="540"/>
      <c r="J883" s="540"/>
      <c r="K883" s="540"/>
      <c r="L883" s="540"/>
      <c r="M883" s="540"/>
      <c r="N883" s="540"/>
      <c r="O883" s="540"/>
      <c r="P883" s="540"/>
      <c r="Q883" s="540"/>
      <c r="R883" s="540"/>
      <c r="S883" s="540"/>
      <c r="T883" s="540"/>
      <c r="U883" s="540"/>
      <c r="V883" s="540"/>
      <c r="W883" s="540"/>
      <c r="X883" s="540"/>
      <c r="Y883" s="540"/>
      <c r="Z883" s="540"/>
    </row>
    <row r="884" ht="171.75" customHeight="1">
      <c r="A884" s="540"/>
      <c r="B884" s="540"/>
      <c r="C884" s="540"/>
      <c r="D884" s="540"/>
      <c r="E884" s="540"/>
      <c r="F884" s="540"/>
      <c r="G884" s="540"/>
      <c r="H884" s="540"/>
      <c r="I884" s="540"/>
      <c r="J884" s="540"/>
      <c r="K884" s="540"/>
      <c r="L884" s="540"/>
      <c r="M884" s="540"/>
      <c r="N884" s="540"/>
      <c r="O884" s="540"/>
      <c r="P884" s="540"/>
      <c r="Q884" s="540"/>
      <c r="R884" s="540"/>
      <c r="S884" s="540"/>
      <c r="T884" s="540"/>
      <c r="U884" s="540"/>
      <c r="V884" s="540"/>
      <c r="W884" s="540"/>
      <c r="X884" s="540"/>
      <c r="Y884" s="540"/>
      <c r="Z884" s="540"/>
    </row>
    <row r="885" ht="171.75" customHeight="1">
      <c r="A885" s="540"/>
      <c r="B885" s="540"/>
      <c r="C885" s="540"/>
      <c r="D885" s="540"/>
      <c r="E885" s="540"/>
      <c r="F885" s="540"/>
      <c r="G885" s="540"/>
      <c r="H885" s="540"/>
      <c r="I885" s="540"/>
      <c r="J885" s="540"/>
      <c r="K885" s="540"/>
      <c r="L885" s="540"/>
      <c r="M885" s="540"/>
      <c r="N885" s="540"/>
      <c r="O885" s="540"/>
      <c r="P885" s="540"/>
      <c r="Q885" s="540"/>
      <c r="R885" s="540"/>
      <c r="S885" s="540"/>
      <c r="T885" s="540"/>
      <c r="U885" s="540"/>
      <c r="V885" s="540"/>
      <c r="W885" s="540"/>
      <c r="X885" s="540"/>
      <c r="Y885" s="540"/>
      <c r="Z885" s="540"/>
    </row>
    <row r="886" ht="171.75" customHeight="1">
      <c r="A886" s="540"/>
      <c r="B886" s="540"/>
      <c r="C886" s="540"/>
      <c r="D886" s="540"/>
      <c r="E886" s="540"/>
      <c r="F886" s="540"/>
      <c r="G886" s="540"/>
      <c r="H886" s="540"/>
      <c r="I886" s="540"/>
      <c r="J886" s="540"/>
      <c r="K886" s="540"/>
      <c r="L886" s="540"/>
      <c r="M886" s="540"/>
      <c r="N886" s="540"/>
      <c r="O886" s="540"/>
      <c r="P886" s="540"/>
      <c r="Q886" s="540"/>
      <c r="R886" s="540"/>
      <c r="S886" s="540"/>
      <c r="T886" s="540"/>
      <c r="U886" s="540"/>
      <c r="V886" s="540"/>
      <c r="W886" s="540"/>
      <c r="X886" s="540"/>
      <c r="Y886" s="540"/>
      <c r="Z886" s="540"/>
    </row>
    <row r="887" ht="171.75" customHeight="1">
      <c r="A887" s="540"/>
      <c r="B887" s="540"/>
      <c r="C887" s="540"/>
      <c r="D887" s="540"/>
      <c r="E887" s="540"/>
      <c r="F887" s="540"/>
      <c r="G887" s="540"/>
      <c r="H887" s="540"/>
      <c r="I887" s="540"/>
      <c r="J887" s="540"/>
      <c r="K887" s="540"/>
      <c r="L887" s="540"/>
      <c r="M887" s="540"/>
      <c r="N887" s="540"/>
      <c r="O887" s="540"/>
      <c r="P887" s="540"/>
      <c r="Q887" s="540"/>
      <c r="R887" s="540"/>
      <c r="S887" s="540"/>
      <c r="T887" s="540"/>
      <c r="U887" s="540"/>
      <c r="V887" s="540"/>
      <c r="W887" s="540"/>
      <c r="X887" s="540"/>
      <c r="Y887" s="540"/>
      <c r="Z887" s="540"/>
    </row>
    <row r="888" ht="171.75" customHeight="1">
      <c r="A888" s="540"/>
      <c r="B888" s="540"/>
      <c r="C888" s="540"/>
      <c r="D888" s="540"/>
      <c r="E888" s="540"/>
      <c r="F888" s="540"/>
      <c r="G888" s="540"/>
      <c r="H888" s="540"/>
      <c r="I888" s="540"/>
      <c r="J888" s="540"/>
      <c r="K888" s="540"/>
      <c r="L888" s="540"/>
      <c r="M888" s="540"/>
      <c r="N888" s="540"/>
      <c r="O888" s="540"/>
      <c r="P888" s="540"/>
      <c r="Q888" s="540"/>
      <c r="R888" s="540"/>
      <c r="S888" s="540"/>
      <c r="T888" s="540"/>
      <c r="U888" s="540"/>
      <c r="V888" s="540"/>
      <c r="W888" s="540"/>
      <c r="X888" s="540"/>
      <c r="Y888" s="540"/>
      <c r="Z888" s="540"/>
    </row>
    <row r="889" ht="171.75" customHeight="1">
      <c r="A889" s="540"/>
      <c r="B889" s="540"/>
      <c r="C889" s="540"/>
      <c r="D889" s="540"/>
      <c r="E889" s="540"/>
      <c r="F889" s="540"/>
      <c r="G889" s="540"/>
      <c r="H889" s="540"/>
      <c r="I889" s="540"/>
      <c r="J889" s="540"/>
      <c r="K889" s="540"/>
      <c r="L889" s="540"/>
      <c r="M889" s="540"/>
      <c r="N889" s="540"/>
      <c r="O889" s="540"/>
      <c r="P889" s="540"/>
      <c r="Q889" s="540"/>
      <c r="R889" s="540"/>
      <c r="S889" s="540"/>
      <c r="T889" s="540"/>
      <c r="U889" s="540"/>
      <c r="V889" s="540"/>
      <c r="W889" s="540"/>
      <c r="X889" s="540"/>
      <c r="Y889" s="540"/>
      <c r="Z889" s="540"/>
    </row>
    <row r="890" ht="171.75" customHeight="1">
      <c r="A890" s="540"/>
      <c r="B890" s="540"/>
      <c r="C890" s="540"/>
      <c r="D890" s="540"/>
      <c r="E890" s="540"/>
      <c r="F890" s="540"/>
      <c r="G890" s="540"/>
      <c r="H890" s="540"/>
      <c r="I890" s="540"/>
      <c r="J890" s="540"/>
      <c r="K890" s="540"/>
      <c r="L890" s="540"/>
      <c r="M890" s="540"/>
      <c r="N890" s="540"/>
      <c r="O890" s="540"/>
      <c r="P890" s="540"/>
      <c r="Q890" s="540"/>
      <c r="R890" s="540"/>
      <c r="S890" s="540"/>
      <c r="T890" s="540"/>
      <c r="U890" s="540"/>
      <c r="V890" s="540"/>
      <c r="W890" s="540"/>
      <c r="X890" s="540"/>
      <c r="Y890" s="540"/>
      <c r="Z890" s="540"/>
    </row>
    <row r="891" ht="171.75" customHeight="1">
      <c r="A891" s="540"/>
      <c r="B891" s="540"/>
      <c r="C891" s="540"/>
      <c r="D891" s="540"/>
      <c r="E891" s="540"/>
      <c r="F891" s="540"/>
      <c r="G891" s="540"/>
      <c r="H891" s="540"/>
      <c r="I891" s="540"/>
      <c r="J891" s="540"/>
      <c r="K891" s="540"/>
      <c r="L891" s="540"/>
      <c r="M891" s="540"/>
      <c r="N891" s="540"/>
      <c r="O891" s="540"/>
      <c r="P891" s="540"/>
      <c r="Q891" s="540"/>
      <c r="R891" s="540"/>
      <c r="S891" s="540"/>
      <c r="T891" s="540"/>
      <c r="U891" s="540"/>
      <c r="V891" s="540"/>
      <c r="W891" s="540"/>
      <c r="X891" s="540"/>
      <c r="Y891" s="540"/>
      <c r="Z891" s="540"/>
    </row>
    <row r="892" ht="171.75" customHeight="1">
      <c r="A892" s="540"/>
      <c r="B892" s="540"/>
      <c r="C892" s="540"/>
      <c r="D892" s="540"/>
      <c r="E892" s="540"/>
      <c r="F892" s="540"/>
      <c r="G892" s="540"/>
      <c r="H892" s="540"/>
      <c r="I892" s="540"/>
      <c r="J892" s="540"/>
      <c r="K892" s="540"/>
      <c r="L892" s="540"/>
      <c r="M892" s="540"/>
      <c r="N892" s="540"/>
      <c r="O892" s="540"/>
      <c r="P892" s="540"/>
      <c r="Q892" s="540"/>
      <c r="R892" s="540"/>
      <c r="S892" s="540"/>
      <c r="T892" s="540"/>
      <c r="U892" s="540"/>
      <c r="V892" s="540"/>
      <c r="W892" s="540"/>
      <c r="X892" s="540"/>
      <c r="Y892" s="540"/>
      <c r="Z892" s="540"/>
    </row>
    <row r="893" ht="171.75" customHeight="1">
      <c r="A893" s="540"/>
      <c r="B893" s="540"/>
      <c r="C893" s="540"/>
      <c r="D893" s="540"/>
      <c r="E893" s="540"/>
      <c r="F893" s="540"/>
      <c r="G893" s="540"/>
      <c r="H893" s="540"/>
      <c r="I893" s="540"/>
      <c r="J893" s="540"/>
      <c r="K893" s="540"/>
      <c r="L893" s="540"/>
      <c r="M893" s="540"/>
      <c r="N893" s="540"/>
      <c r="O893" s="540"/>
      <c r="P893" s="540"/>
      <c r="Q893" s="540"/>
      <c r="R893" s="540"/>
      <c r="S893" s="540"/>
      <c r="T893" s="540"/>
      <c r="U893" s="540"/>
      <c r="V893" s="540"/>
      <c r="W893" s="540"/>
      <c r="X893" s="540"/>
      <c r="Y893" s="540"/>
      <c r="Z893" s="540"/>
    </row>
    <row r="894" ht="171.75" customHeight="1">
      <c r="A894" s="540"/>
      <c r="B894" s="540"/>
      <c r="C894" s="540"/>
      <c r="D894" s="540"/>
      <c r="E894" s="540"/>
      <c r="F894" s="540"/>
      <c r="G894" s="540"/>
      <c r="H894" s="540"/>
      <c r="I894" s="540"/>
      <c r="J894" s="540"/>
      <c r="K894" s="540"/>
      <c r="L894" s="540"/>
      <c r="M894" s="540"/>
      <c r="N894" s="540"/>
      <c r="O894" s="540"/>
      <c r="P894" s="540"/>
      <c r="Q894" s="540"/>
      <c r="R894" s="540"/>
      <c r="S894" s="540"/>
      <c r="T894" s="540"/>
      <c r="U894" s="540"/>
      <c r="V894" s="540"/>
      <c r="W894" s="540"/>
      <c r="X894" s="540"/>
      <c r="Y894" s="540"/>
      <c r="Z894" s="540"/>
    </row>
    <row r="895" ht="171.75" customHeight="1">
      <c r="A895" s="540"/>
      <c r="B895" s="540"/>
      <c r="C895" s="540"/>
      <c r="D895" s="540"/>
      <c r="E895" s="540"/>
      <c r="F895" s="540"/>
      <c r="G895" s="540"/>
      <c r="H895" s="540"/>
      <c r="I895" s="540"/>
      <c r="J895" s="540"/>
      <c r="K895" s="540"/>
      <c r="L895" s="540"/>
      <c r="M895" s="540"/>
      <c r="N895" s="540"/>
      <c r="O895" s="540"/>
      <c r="P895" s="540"/>
      <c r="Q895" s="540"/>
      <c r="R895" s="540"/>
      <c r="S895" s="540"/>
      <c r="T895" s="540"/>
      <c r="U895" s="540"/>
      <c r="V895" s="540"/>
      <c r="W895" s="540"/>
      <c r="X895" s="540"/>
      <c r="Y895" s="540"/>
      <c r="Z895" s="540"/>
    </row>
    <row r="896" ht="171.75" customHeight="1">
      <c r="A896" s="540"/>
      <c r="B896" s="540"/>
      <c r="C896" s="540"/>
      <c r="D896" s="540"/>
      <c r="E896" s="540"/>
      <c r="F896" s="540"/>
      <c r="G896" s="540"/>
      <c r="H896" s="540"/>
      <c r="I896" s="540"/>
      <c r="J896" s="540"/>
      <c r="K896" s="540"/>
      <c r="L896" s="540"/>
      <c r="M896" s="540"/>
      <c r="N896" s="540"/>
      <c r="O896" s="540"/>
      <c r="P896" s="540"/>
      <c r="Q896" s="540"/>
      <c r="R896" s="540"/>
      <c r="S896" s="540"/>
      <c r="T896" s="540"/>
      <c r="U896" s="540"/>
      <c r="V896" s="540"/>
      <c r="W896" s="540"/>
      <c r="X896" s="540"/>
      <c r="Y896" s="540"/>
      <c r="Z896" s="540"/>
    </row>
    <row r="897" ht="171.75" customHeight="1">
      <c r="A897" s="540"/>
      <c r="B897" s="540"/>
      <c r="C897" s="540"/>
      <c r="D897" s="540"/>
      <c r="E897" s="540"/>
      <c r="F897" s="540"/>
      <c r="G897" s="540"/>
      <c r="H897" s="540"/>
      <c r="I897" s="540"/>
      <c r="J897" s="540"/>
      <c r="K897" s="540"/>
      <c r="L897" s="540"/>
      <c r="M897" s="540"/>
      <c r="N897" s="540"/>
      <c r="O897" s="540"/>
      <c r="P897" s="540"/>
      <c r="Q897" s="540"/>
      <c r="R897" s="540"/>
      <c r="S897" s="540"/>
      <c r="T897" s="540"/>
      <c r="U897" s="540"/>
      <c r="V897" s="540"/>
      <c r="W897" s="540"/>
      <c r="X897" s="540"/>
      <c r="Y897" s="540"/>
      <c r="Z897" s="540"/>
    </row>
    <row r="898" ht="171.75" customHeight="1">
      <c r="A898" s="540"/>
      <c r="B898" s="540"/>
      <c r="C898" s="540"/>
      <c r="D898" s="540"/>
      <c r="E898" s="540"/>
      <c r="F898" s="540"/>
      <c r="G898" s="540"/>
      <c r="H898" s="540"/>
      <c r="I898" s="540"/>
      <c r="J898" s="540"/>
      <c r="K898" s="540"/>
      <c r="L898" s="540"/>
      <c r="M898" s="540"/>
      <c r="N898" s="540"/>
      <c r="O898" s="540"/>
      <c r="P898" s="540"/>
      <c r="Q898" s="540"/>
      <c r="R898" s="540"/>
      <c r="S898" s="540"/>
      <c r="T898" s="540"/>
      <c r="U898" s="540"/>
      <c r="V898" s="540"/>
      <c r="W898" s="540"/>
      <c r="X898" s="540"/>
      <c r="Y898" s="540"/>
      <c r="Z898" s="540"/>
    </row>
    <row r="899" ht="171.75" customHeight="1">
      <c r="A899" s="540"/>
      <c r="B899" s="540"/>
      <c r="C899" s="540"/>
      <c r="D899" s="540"/>
      <c r="E899" s="540"/>
      <c r="F899" s="540"/>
      <c r="G899" s="540"/>
      <c r="H899" s="540"/>
      <c r="I899" s="540"/>
      <c r="J899" s="540"/>
      <c r="K899" s="540"/>
      <c r="L899" s="540"/>
      <c r="M899" s="540"/>
      <c r="N899" s="540"/>
      <c r="O899" s="540"/>
      <c r="P899" s="540"/>
      <c r="Q899" s="540"/>
      <c r="R899" s="540"/>
      <c r="S899" s="540"/>
      <c r="T899" s="540"/>
      <c r="U899" s="540"/>
      <c r="V899" s="540"/>
      <c r="W899" s="540"/>
      <c r="X899" s="540"/>
      <c r="Y899" s="540"/>
      <c r="Z899" s="540"/>
    </row>
    <row r="900" ht="171.75" customHeight="1">
      <c r="A900" s="540"/>
      <c r="B900" s="540"/>
      <c r="C900" s="540"/>
      <c r="D900" s="540"/>
      <c r="E900" s="540"/>
      <c r="F900" s="540"/>
      <c r="G900" s="540"/>
      <c r="H900" s="540"/>
      <c r="I900" s="540"/>
      <c r="J900" s="540"/>
      <c r="K900" s="540"/>
      <c r="L900" s="540"/>
      <c r="M900" s="540"/>
      <c r="N900" s="540"/>
      <c r="O900" s="540"/>
      <c r="P900" s="540"/>
      <c r="Q900" s="540"/>
      <c r="R900" s="540"/>
      <c r="S900" s="540"/>
      <c r="T900" s="540"/>
      <c r="U900" s="540"/>
      <c r="V900" s="540"/>
      <c r="W900" s="540"/>
      <c r="X900" s="540"/>
      <c r="Y900" s="540"/>
      <c r="Z900" s="540"/>
    </row>
    <row r="901" ht="171.75" customHeight="1">
      <c r="A901" s="540"/>
      <c r="B901" s="540"/>
      <c r="C901" s="540"/>
      <c r="D901" s="540"/>
      <c r="E901" s="540"/>
      <c r="F901" s="540"/>
      <c r="G901" s="540"/>
      <c r="H901" s="540"/>
      <c r="I901" s="540"/>
      <c r="J901" s="540"/>
      <c r="K901" s="540"/>
      <c r="L901" s="540"/>
      <c r="M901" s="540"/>
      <c r="N901" s="540"/>
      <c r="O901" s="540"/>
      <c r="P901" s="540"/>
      <c r="Q901" s="540"/>
      <c r="R901" s="540"/>
      <c r="S901" s="540"/>
      <c r="T901" s="540"/>
      <c r="U901" s="540"/>
      <c r="V901" s="540"/>
      <c r="W901" s="540"/>
      <c r="X901" s="540"/>
      <c r="Y901" s="540"/>
      <c r="Z901" s="540"/>
    </row>
    <row r="902" ht="171.75" customHeight="1">
      <c r="A902" s="540"/>
      <c r="B902" s="540"/>
      <c r="C902" s="540"/>
      <c r="D902" s="540"/>
      <c r="E902" s="540"/>
      <c r="F902" s="540"/>
      <c r="G902" s="540"/>
      <c r="H902" s="540"/>
      <c r="I902" s="540"/>
      <c r="J902" s="540"/>
      <c r="K902" s="540"/>
      <c r="L902" s="540"/>
      <c r="M902" s="540"/>
      <c r="N902" s="540"/>
      <c r="O902" s="540"/>
      <c r="P902" s="540"/>
      <c r="Q902" s="540"/>
      <c r="R902" s="540"/>
      <c r="S902" s="540"/>
      <c r="T902" s="540"/>
      <c r="U902" s="540"/>
      <c r="V902" s="540"/>
      <c r="W902" s="540"/>
      <c r="X902" s="540"/>
      <c r="Y902" s="540"/>
      <c r="Z902" s="540"/>
    </row>
    <row r="903" ht="171.75" customHeight="1">
      <c r="A903" s="540"/>
      <c r="B903" s="540"/>
      <c r="C903" s="540"/>
      <c r="D903" s="540"/>
      <c r="E903" s="540"/>
      <c r="F903" s="540"/>
      <c r="G903" s="540"/>
      <c r="H903" s="540"/>
      <c r="I903" s="540"/>
      <c r="J903" s="540"/>
      <c r="K903" s="540"/>
      <c r="L903" s="540"/>
      <c r="M903" s="540"/>
      <c r="N903" s="540"/>
      <c r="O903" s="540"/>
      <c r="P903" s="540"/>
      <c r="Q903" s="540"/>
      <c r="R903" s="540"/>
      <c r="S903" s="540"/>
      <c r="T903" s="540"/>
      <c r="U903" s="540"/>
      <c r="V903" s="540"/>
      <c r="W903" s="540"/>
      <c r="X903" s="540"/>
      <c r="Y903" s="540"/>
      <c r="Z903" s="540"/>
    </row>
    <row r="904" ht="171.75" customHeight="1">
      <c r="A904" s="540"/>
      <c r="B904" s="540"/>
      <c r="C904" s="540"/>
      <c r="D904" s="540"/>
      <c r="E904" s="540"/>
      <c r="F904" s="540"/>
      <c r="G904" s="540"/>
      <c r="H904" s="540"/>
      <c r="I904" s="540"/>
      <c r="J904" s="540"/>
      <c r="K904" s="540"/>
      <c r="L904" s="540"/>
      <c r="M904" s="540"/>
      <c r="N904" s="540"/>
      <c r="O904" s="540"/>
      <c r="P904" s="540"/>
      <c r="Q904" s="540"/>
      <c r="R904" s="540"/>
      <c r="S904" s="540"/>
      <c r="T904" s="540"/>
      <c r="U904" s="540"/>
      <c r="V904" s="540"/>
      <c r="W904" s="540"/>
      <c r="X904" s="540"/>
      <c r="Y904" s="540"/>
      <c r="Z904" s="540"/>
    </row>
    <row r="905" ht="171.75" customHeight="1">
      <c r="A905" s="540"/>
      <c r="B905" s="540"/>
      <c r="C905" s="540"/>
      <c r="D905" s="540"/>
      <c r="E905" s="540"/>
      <c r="F905" s="540"/>
      <c r="G905" s="540"/>
      <c r="H905" s="540"/>
      <c r="I905" s="540"/>
      <c r="J905" s="540"/>
      <c r="K905" s="540"/>
      <c r="L905" s="540"/>
      <c r="M905" s="540"/>
      <c r="N905" s="540"/>
      <c r="O905" s="540"/>
      <c r="P905" s="540"/>
      <c r="Q905" s="540"/>
      <c r="R905" s="540"/>
      <c r="S905" s="540"/>
      <c r="T905" s="540"/>
      <c r="U905" s="540"/>
      <c r="V905" s="540"/>
      <c r="W905" s="540"/>
      <c r="X905" s="540"/>
      <c r="Y905" s="540"/>
      <c r="Z905" s="540"/>
    </row>
    <row r="906" ht="171.75" customHeight="1">
      <c r="A906" s="540"/>
      <c r="B906" s="540"/>
      <c r="C906" s="540"/>
      <c r="D906" s="540"/>
      <c r="E906" s="540"/>
      <c r="F906" s="540"/>
      <c r="G906" s="540"/>
      <c r="H906" s="540"/>
      <c r="I906" s="540"/>
      <c r="J906" s="540"/>
      <c r="K906" s="540"/>
      <c r="L906" s="540"/>
      <c r="M906" s="540"/>
      <c r="N906" s="540"/>
      <c r="O906" s="540"/>
      <c r="P906" s="540"/>
      <c r="Q906" s="540"/>
      <c r="R906" s="540"/>
      <c r="S906" s="540"/>
      <c r="T906" s="540"/>
      <c r="U906" s="540"/>
      <c r="V906" s="540"/>
      <c r="W906" s="540"/>
      <c r="X906" s="540"/>
      <c r="Y906" s="540"/>
      <c r="Z906" s="540"/>
    </row>
    <row r="907" ht="171.75" customHeight="1">
      <c r="A907" s="540"/>
      <c r="B907" s="540"/>
      <c r="C907" s="540"/>
      <c r="D907" s="540"/>
      <c r="E907" s="540"/>
      <c r="F907" s="540"/>
      <c r="G907" s="540"/>
      <c r="H907" s="540"/>
      <c r="I907" s="540"/>
      <c r="J907" s="540"/>
      <c r="K907" s="540"/>
      <c r="L907" s="540"/>
      <c r="M907" s="540"/>
      <c r="N907" s="540"/>
      <c r="O907" s="540"/>
      <c r="P907" s="540"/>
      <c r="Q907" s="540"/>
      <c r="R907" s="540"/>
      <c r="S907" s="540"/>
      <c r="T907" s="540"/>
      <c r="U907" s="540"/>
      <c r="V907" s="540"/>
      <c r="W907" s="540"/>
      <c r="X907" s="540"/>
      <c r="Y907" s="540"/>
      <c r="Z907" s="540"/>
    </row>
    <row r="908" ht="171.75" customHeight="1">
      <c r="A908" s="540"/>
      <c r="B908" s="540"/>
      <c r="C908" s="540"/>
      <c r="D908" s="540"/>
      <c r="E908" s="540"/>
      <c r="F908" s="540"/>
      <c r="G908" s="540"/>
      <c r="H908" s="540"/>
      <c r="I908" s="540"/>
      <c r="J908" s="540"/>
      <c r="K908" s="540"/>
      <c r="L908" s="540"/>
      <c r="M908" s="540"/>
      <c r="N908" s="540"/>
      <c r="O908" s="540"/>
      <c r="P908" s="540"/>
      <c r="Q908" s="540"/>
      <c r="R908" s="540"/>
      <c r="S908" s="540"/>
      <c r="T908" s="540"/>
      <c r="U908" s="540"/>
      <c r="V908" s="540"/>
      <c r="W908" s="540"/>
      <c r="X908" s="540"/>
      <c r="Y908" s="540"/>
      <c r="Z908" s="540"/>
    </row>
    <row r="909" ht="171.75" customHeight="1">
      <c r="A909" s="540"/>
      <c r="B909" s="540"/>
      <c r="C909" s="540"/>
      <c r="D909" s="540"/>
      <c r="E909" s="540"/>
      <c r="F909" s="540"/>
      <c r="G909" s="540"/>
      <c r="H909" s="540"/>
      <c r="I909" s="540"/>
      <c r="J909" s="540"/>
      <c r="K909" s="540"/>
      <c r="L909" s="540"/>
      <c r="M909" s="540"/>
      <c r="N909" s="540"/>
      <c r="O909" s="540"/>
      <c r="P909" s="540"/>
      <c r="Q909" s="540"/>
      <c r="R909" s="540"/>
      <c r="S909" s="540"/>
      <c r="T909" s="540"/>
      <c r="U909" s="540"/>
      <c r="V909" s="540"/>
      <c r="W909" s="540"/>
      <c r="X909" s="540"/>
      <c r="Y909" s="540"/>
      <c r="Z909" s="540"/>
    </row>
    <row r="910" ht="171.75" customHeight="1">
      <c r="A910" s="540"/>
      <c r="B910" s="540"/>
      <c r="C910" s="540"/>
      <c r="D910" s="540"/>
      <c r="E910" s="540"/>
      <c r="F910" s="540"/>
      <c r="G910" s="540"/>
      <c r="H910" s="540"/>
      <c r="I910" s="540"/>
      <c r="J910" s="540"/>
      <c r="K910" s="540"/>
      <c r="L910" s="540"/>
      <c r="M910" s="540"/>
      <c r="N910" s="540"/>
      <c r="O910" s="540"/>
      <c r="P910" s="540"/>
      <c r="Q910" s="540"/>
      <c r="R910" s="540"/>
      <c r="S910" s="540"/>
      <c r="T910" s="540"/>
      <c r="U910" s="540"/>
      <c r="V910" s="540"/>
      <c r="W910" s="540"/>
      <c r="X910" s="540"/>
      <c r="Y910" s="540"/>
      <c r="Z910" s="540"/>
    </row>
    <row r="911" ht="171.75" customHeight="1">
      <c r="A911" s="540"/>
      <c r="B911" s="540"/>
      <c r="C911" s="540"/>
      <c r="D911" s="540"/>
      <c r="E911" s="540"/>
      <c r="F911" s="540"/>
      <c r="G911" s="540"/>
      <c r="H911" s="540"/>
      <c r="I911" s="540"/>
      <c r="J911" s="540"/>
      <c r="K911" s="540"/>
      <c r="L911" s="540"/>
      <c r="M911" s="540"/>
      <c r="N911" s="540"/>
      <c r="O911" s="540"/>
      <c r="P911" s="540"/>
      <c r="Q911" s="540"/>
      <c r="R911" s="540"/>
      <c r="S911" s="540"/>
      <c r="T911" s="540"/>
      <c r="U911" s="540"/>
      <c r="V911" s="540"/>
      <c r="W911" s="540"/>
      <c r="X911" s="540"/>
      <c r="Y911" s="540"/>
      <c r="Z911" s="540"/>
    </row>
    <row r="912" ht="171.75" customHeight="1">
      <c r="A912" s="540"/>
      <c r="B912" s="540"/>
      <c r="C912" s="540"/>
      <c r="D912" s="540"/>
      <c r="E912" s="540"/>
      <c r="F912" s="540"/>
      <c r="G912" s="540"/>
      <c r="H912" s="540"/>
      <c r="I912" s="540"/>
      <c r="J912" s="540"/>
      <c r="K912" s="540"/>
      <c r="L912" s="540"/>
      <c r="M912" s="540"/>
      <c r="N912" s="540"/>
      <c r="O912" s="540"/>
      <c r="P912" s="540"/>
      <c r="Q912" s="540"/>
      <c r="R912" s="540"/>
      <c r="S912" s="540"/>
      <c r="T912" s="540"/>
      <c r="U912" s="540"/>
      <c r="V912" s="540"/>
      <c r="W912" s="540"/>
      <c r="X912" s="540"/>
      <c r="Y912" s="540"/>
      <c r="Z912" s="540"/>
    </row>
    <row r="913" ht="171.75" customHeight="1">
      <c r="A913" s="540"/>
      <c r="B913" s="540"/>
      <c r="C913" s="540"/>
      <c r="D913" s="540"/>
      <c r="E913" s="540"/>
      <c r="F913" s="540"/>
      <c r="G913" s="540"/>
      <c r="H913" s="540"/>
      <c r="I913" s="540"/>
      <c r="J913" s="540"/>
      <c r="K913" s="540"/>
      <c r="L913" s="540"/>
      <c r="M913" s="540"/>
      <c r="N913" s="540"/>
      <c r="O913" s="540"/>
      <c r="P913" s="540"/>
      <c r="Q913" s="540"/>
      <c r="R913" s="540"/>
      <c r="S913" s="540"/>
      <c r="T913" s="540"/>
      <c r="U913" s="540"/>
      <c r="V913" s="540"/>
      <c r="W913" s="540"/>
      <c r="X913" s="540"/>
      <c r="Y913" s="540"/>
      <c r="Z913" s="540"/>
    </row>
    <row r="914" ht="171.75" customHeight="1">
      <c r="A914" s="540"/>
      <c r="B914" s="540"/>
      <c r="C914" s="540"/>
      <c r="D914" s="540"/>
      <c r="E914" s="540"/>
      <c r="F914" s="540"/>
      <c r="G914" s="540"/>
      <c r="H914" s="540"/>
      <c r="I914" s="540"/>
      <c r="J914" s="540"/>
      <c r="K914" s="540"/>
      <c r="L914" s="540"/>
      <c r="M914" s="540"/>
      <c r="N914" s="540"/>
      <c r="O914" s="540"/>
      <c r="P914" s="540"/>
      <c r="Q914" s="540"/>
      <c r="R914" s="540"/>
      <c r="S914" s="540"/>
      <c r="T914" s="540"/>
      <c r="U914" s="540"/>
      <c r="V914" s="540"/>
      <c r="W914" s="540"/>
      <c r="X914" s="540"/>
      <c r="Y914" s="540"/>
      <c r="Z914" s="540"/>
    </row>
    <row r="915" ht="171.75" customHeight="1">
      <c r="A915" s="540"/>
      <c r="B915" s="540"/>
      <c r="C915" s="540"/>
      <c r="D915" s="540"/>
      <c r="E915" s="540"/>
      <c r="F915" s="540"/>
      <c r="G915" s="540"/>
      <c r="H915" s="540"/>
      <c r="I915" s="540"/>
      <c r="J915" s="540"/>
      <c r="K915" s="540"/>
      <c r="L915" s="540"/>
      <c r="M915" s="540"/>
      <c r="N915" s="540"/>
      <c r="O915" s="540"/>
      <c r="P915" s="540"/>
      <c r="Q915" s="540"/>
      <c r="R915" s="540"/>
      <c r="S915" s="540"/>
      <c r="T915" s="540"/>
      <c r="U915" s="540"/>
      <c r="V915" s="540"/>
      <c r="W915" s="540"/>
      <c r="X915" s="540"/>
      <c r="Y915" s="540"/>
      <c r="Z915" s="540"/>
    </row>
    <row r="916" ht="171.75" customHeight="1">
      <c r="A916" s="540"/>
      <c r="B916" s="540"/>
      <c r="C916" s="540"/>
      <c r="D916" s="540"/>
      <c r="E916" s="540"/>
      <c r="F916" s="540"/>
      <c r="G916" s="540"/>
      <c r="H916" s="540"/>
      <c r="I916" s="540"/>
      <c r="J916" s="540"/>
      <c r="K916" s="540"/>
      <c r="L916" s="540"/>
      <c r="M916" s="540"/>
      <c r="N916" s="540"/>
      <c r="O916" s="540"/>
      <c r="P916" s="540"/>
      <c r="Q916" s="540"/>
      <c r="R916" s="540"/>
      <c r="S916" s="540"/>
      <c r="T916" s="540"/>
      <c r="U916" s="540"/>
      <c r="V916" s="540"/>
      <c r="W916" s="540"/>
      <c r="X916" s="540"/>
      <c r="Y916" s="540"/>
      <c r="Z916" s="540"/>
    </row>
    <row r="917" ht="171.75" customHeight="1">
      <c r="A917" s="540"/>
      <c r="B917" s="540"/>
      <c r="C917" s="540"/>
      <c r="D917" s="540"/>
      <c r="E917" s="540"/>
      <c r="F917" s="540"/>
      <c r="G917" s="540"/>
      <c r="H917" s="540"/>
      <c r="I917" s="540"/>
      <c r="J917" s="540"/>
      <c r="K917" s="540"/>
      <c r="L917" s="540"/>
      <c r="M917" s="540"/>
      <c r="N917" s="540"/>
      <c r="O917" s="540"/>
      <c r="P917" s="540"/>
      <c r="Q917" s="540"/>
      <c r="R917" s="540"/>
      <c r="S917" s="540"/>
      <c r="T917" s="540"/>
      <c r="U917" s="540"/>
      <c r="V917" s="540"/>
      <c r="W917" s="540"/>
      <c r="X917" s="540"/>
      <c r="Y917" s="540"/>
      <c r="Z917" s="540"/>
    </row>
    <row r="918" ht="171.75" customHeight="1">
      <c r="A918" s="540"/>
      <c r="B918" s="540"/>
      <c r="C918" s="540"/>
      <c r="D918" s="540"/>
      <c r="E918" s="540"/>
      <c r="F918" s="540"/>
      <c r="G918" s="540"/>
      <c r="H918" s="540"/>
      <c r="I918" s="540"/>
      <c r="J918" s="540"/>
      <c r="K918" s="540"/>
      <c r="L918" s="540"/>
      <c r="M918" s="540"/>
      <c r="N918" s="540"/>
      <c r="O918" s="540"/>
      <c r="P918" s="540"/>
      <c r="Q918" s="540"/>
      <c r="R918" s="540"/>
      <c r="S918" s="540"/>
      <c r="T918" s="540"/>
      <c r="U918" s="540"/>
      <c r="V918" s="540"/>
      <c r="W918" s="540"/>
      <c r="X918" s="540"/>
      <c r="Y918" s="540"/>
      <c r="Z918" s="540"/>
    </row>
    <row r="919" ht="171.75" customHeight="1">
      <c r="A919" s="540"/>
      <c r="B919" s="540"/>
      <c r="C919" s="540"/>
      <c r="D919" s="540"/>
      <c r="E919" s="540"/>
      <c r="F919" s="540"/>
      <c r="G919" s="540"/>
      <c r="H919" s="540"/>
      <c r="I919" s="540"/>
      <c r="J919" s="540"/>
      <c r="K919" s="540"/>
      <c r="L919" s="540"/>
      <c r="M919" s="540"/>
      <c r="N919" s="540"/>
      <c r="O919" s="540"/>
      <c r="P919" s="540"/>
      <c r="Q919" s="540"/>
      <c r="R919" s="540"/>
      <c r="S919" s="540"/>
      <c r="T919" s="540"/>
      <c r="U919" s="540"/>
      <c r="V919" s="540"/>
      <c r="W919" s="540"/>
      <c r="X919" s="540"/>
      <c r="Y919" s="540"/>
      <c r="Z919" s="540"/>
    </row>
    <row r="920" ht="171.75" customHeight="1">
      <c r="A920" s="540"/>
      <c r="B920" s="540"/>
      <c r="C920" s="540"/>
      <c r="D920" s="540"/>
      <c r="E920" s="540"/>
      <c r="F920" s="540"/>
      <c r="G920" s="540"/>
      <c r="H920" s="540"/>
      <c r="I920" s="540"/>
      <c r="J920" s="540"/>
      <c r="K920" s="540"/>
      <c r="L920" s="540"/>
      <c r="M920" s="540"/>
      <c r="N920" s="540"/>
      <c r="O920" s="540"/>
      <c r="P920" s="540"/>
      <c r="Q920" s="540"/>
      <c r="R920" s="540"/>
      <c r="S920" s="540"/>
      <c r="T920" s="540"/>
      <c r="U920" s="540"/>
      <c r="V920" s="540"/>
      <c r="W920" s="540"/>
      <c r="X920" s="540"/>
      <c r="Y920" s="540"/>
      <c r="Z920" s="540"/>
    </row>
    <row r="921" ht="171.75" customHeight="1">
      <c r="A921" s="540"/>
      <c r="B921" s="540"/>
      <c r="C921" s="540"/>
      <c r="D921" s="540"/>
      <c r="E921" s="540"/>
      <c r="F921" s="540"/>
      <c r="G921" s="540"/>
      <c r="H921" s="540"/>
      <c r="I921" s="540"/>
      <c r="J921" s="540"/>
      <c r="K921" s="540"/>
      <c r="L921" s="540"/>
      <c r="M921" s="540"/>
      <c r="N921" s="540"/>
      <c r="O921" s="540"/>
      <c r="P921" s="540"/>
      <c r="Q921" s="540"/>
      <c r="R921" s="540"/>
      <c r="S921" s="540"/>
      <c r="T921" s="540"/>
      <c r="U921" s="540"/>
      <c r="V921" s="540"/>
      <c r="W921" s="540"/>
      <c r="X921" s="540"/>
      <c r="Y921" s="540"/>
      <c r="Z921" s="540"/>
    </row>
    <row r="922" ht="171.75" customHeight="1">
      <c r="A922" s="540"/>
      <c r="B922" s="540"/>
      <c r="C922" s="540"/>
      <c r="D922" s="540"/>
      <c r="E922" s="540"/>
      <c r="F922" s="540"/>
      <c r="G922" s="540"/>
      <c r="H922" s="540"/>
      <c r="I922" s="540"/>
      <c r="J922" s="540"/>
      <c r="K922" s="540"/>
      <c r="L922" s="540"/>
      <c r="M922" s="540"/>
      <c r="N922" s="540"/>
      <c r="O922" s="540"/>
      <c r="P922" s="540"/>
      <c r="Q922" s="540"/>
      <c r="R922" s="540"/>
      <c r="S922" s="540"/>
      <c r="T922" s="540"/>
      <c r="U922" s="540"/>
      <c r="V922" s="540"/>
      <c r="W922" s="540"/>
      <c r="X922" s="540"/>
      <c r="Y922" s="540"/>
      <c r="Z922" s="540"/>
    </row>
    <row r="923" ht="171.75" customHeight="1">
      <c r="A923" s="540"/>
      <c r="B923" s="540"/>
      <c r="C923" s="540"/>
      <c r="D923" s="540"/>
      <c r="E923" s="540"/>
      <c r="F923" s="540"/>
      <c r="G923" s="540"/>
      <c r="H923" s="540"/>
      <c r="I923" s="540"/>
      <c r="J923" s="540"/>
      <c r="K923" s="540"/>
      <c r="L923" s="540"/>
      <c r="M923" s="540"/>
      <c r="N923" s="540"/>
      <c r="O923" s="540"/>
      <c r="P923" s="540"/>
      <c r="Q923" s="540"/>
      <c r="R923" s="540"/>
      <c r="S923" s="540"/>
      <c r="T923" s="540"/>
      <c r="U923" s="540"/>
      <c r="V923" s="540"/>
      <c r="W923" s="540"/>
      <c r="X923" s="540"/>
      <c r="Y923" s="540"/>
      <c r="Z923" s="540"/>
    </row>
    <row r="924" ht="171.75" customHeight="1">
      <c r="A924" s="540"/>
      <c r="B924" s="540"/>
      <c r="C924" s="540"/>
      <c r="D924" s="540"/>
      <c r="E924" s="540"/>
      <c r="F924" s="540"/>
      <c r="G924" s="540"/>
      <c r="H924" s="540"/>
      <c r="I924" s="540"/>
      <c r="J924" s="540"/>
      <c r="K924" s="540"/>
      <c r="L924" s="540"/>
      <c r="M924" s="540"/>
      <c r="N924" s="540"/>
      <c r="O924" s="540"/>
      <c r="P924" s="540"/>
      <c r="Q924" s="540"/>
      <c r="R924" s="540"/>
      <c r="S924" s="540"/>
      <c r="T924" s="540"/>
      <c r="U924" s="540"/>
      <c r="V924" s="540"/>
      <c r="W924" s="540"/>
      <c r="X924" s="540"/>
      <c r="Y924" s="540"/>
      <c r="Z924" s="540"/>
    </row>
    <row r="925" ht="171.75" customHeight="1">
      <c r="A925" s="540"/>
      <c r="B925" s="540"/>
      <c r="C925" s="540"/>
      <c r="D925" s="540"/>
      <c r="E925" s="540"/>
      <c r="F925" s="540"/>
      <c r="G925" s="540"/>
      <c r="H925" s="540"/>
      <c r="I925" s="540"/>
      <c r="J925" s="540"/>
      <c r="K925" s="540"/>
      <c r="L925" s="540"/>
      <c r="M925" s="540"/>
      <c r="N925" s="540"/>
      <c r="O925" s="540"/>
      <c r="P925" s="540"/>
      <c r="Q925" s="540"/>
      <c r="R925" s="540"/>
      <c r="S925" s="540"/>
      <c r="T925" s="540"/>
      <c r="U925" s="540"/>
      <c r="V925" s="540"/>
      <c r="W925" s="540"/>
      <c r="X925" s="540"/>
      <c r="Y925" s="540"/>
      <c r="Z925" s="540"/>
    </row>
    <row r="926" ht="171.75" customHeight="1">
      <c r="A926" s="540"/>
      <c r="B926" s="540"/>
      <c r="C926" s="540"/>
      <c r="D926" s="540"/>
      <c r="E926" s="540"/>
      <c r="F926" s="540"/>
      <c r="G926" s="540"/>
      <c r="H926" s="540"/>
      <c r="I926" s="540"/>
      <c r="J926" s="540"/>
      <c r="K926" s="540"/>
      <c r="L926" s="540"/>
      <c r="M926" s="540"/>
      <c r="N926" s="540"/>
      <c r="O926" s="540"/>
      <c r="P926" s="540"/>
      <c r="Q926" s="540"/>
      <c r="R926" s="540"/>
      <c r="S926" s="540"/>
      <c r="T926" s="540"/>
      <c r="U926" s="540"/>
      <c r="V926" s="540"/>
      <c r="W926" s="540"/>
      <c r="X926" s="540"/>
      <c r="Y926" s="540"/>
      <c r="Z926" s="540"/>
    </row>
    <row r="927" ht="171.75" customHeight="1">
      <c r="A927" s="540"/>
      <c r="B927" s="540"/>
      <c r="C927" s="540"/>
      <c r="D927" s="540"/>
      <c r="E927" s="540"/>
      <c r="F927" s="540"/>
      <c r="G927" s="540"/>
      <c r="H927" s="540"/>
      <c r="I927" s="540"/>
      <c r="J927" s="540"/>
      <c r="K927" s="540"/>
      <c r="L927" s="540"/>
      <c r="M927" s="540"/>
      <c r="N927" s="540"/>
      <c r="O927" s="540"/>
      <c r="P927" s="540"/>
      <c r="Q927" s="540"/>
      <c r="R927" s="540"/>
      <c r="S927" s="540"/>
      <c r="T927" s="540"/>
      <c r="U927" s="540"/>
      <c r="V927" s="540"/>
      <c r="W927" s="540"/>
      <c r="X927" s="540"/>
      <c r="Y927" s="540"/>
      <c r="Z927" s="540"/>
    </row>
    <row r="928" ht="171.75" customHeight="1">
      <c r="A928" s="540"/>
      <c r="B928" s="540"/>
      <c r="C928" s="540"/>
      <c r="D928" s="540"/>
      <c r="E928" s="540"/>
      <c r="F928" s="540"/>
      <c r="G928" s="540"/>
      <c r="H928" s="540"/>
      <c r="I928" s="540"/>
      <c r="J928" s="540"/>
      <c r="K928" s="540"/>
      <c r="L928" s="540"/>
      <c r="M928" s="540"/>
      <c r="N928" s="540"/>
      <c r="O928" s="540"/>
      <c r="P928" s="540"/>
      <c r="Q928" s="540"/>
      <c r="R928" s="540"/>
      <c r="S928" s="540"/>
      <c r="T928" s="540"/>
      <c r="U928" s="540"/>
      <c r="V928" s="540"/>
      <c r="W928" s="540"/>
      <c r="X928" s="540"/>
      <c r="Y928" s="540"/>
      <c r="Z928" s="540"/>
    </row>
    <row r="929" ht="171.75" customHeight="1">
      <c r="A929" s="540"/>
      <c r="B929" s="540"/>
      <c r="C929" s="540"/>
      <c r="D929" s="540"/>
      <c r="E929" s="540"/>
      <c r="F929" s="540"/>
      <c r="G929" s="540"/>
      <c r="H929" s="540"/>
      <c r="I929" s="540"/>
      <c r="J929" s="540"/>
      <c r="K929" s="540"/>
      <c r="L929" s="540"/>
      <c r="M929" s="540"/>
      <c r="N929" s="540"/>
      <c r="O929" s="540"/>
      <c r="P929" s="540"/>
      <c r="Q929" s="540"/>
      <c r="R929" s="540"/>
      <c r="S929" s="540"/>
      <c r="T929" s="540"/>
      <c r="U929" s="540"/>
      <c r="V929" s="540"/>
      <c r="W929" s="540"/>
      <c r="X929" s="540"/>
      <c r="Y929" s="540"/>
      <c r="Z929" s="540"/>
    </row>
    <row r="930" ht="171.75" customHeight="1">
      <c r="A930" s="540"/>
      <c r="B930" s="540"/>
      <c r="C930" s="540"/>
      <c r="D930" s="540"/>
      <c r="E930" s="540"/>
      <c r="F930" s="540"/>
      <c r="G930" s="540"/>
      <c r="H930" s="540"/>
      <c r="I930" s="540"/>
      <c r="J930" s="540"/>
      <c r="K930" s="540"/>
      <c r="L930" s="540"/>
      <c r="M930" s="540"/>
      <c r="N930" s="540"/>
      <c r="O930" s="540"/>
      <c r="P930" s="540"/>
      <c r="Q930" s="540"/>
      <c r="R930" s="540"/>
      <c r="S930" s="540"/>
      <c r="T930" s="540"/>
      <c r="U930" s="540"/>
      <c r="V930" s="540"/>
      <c r="W930" s="540"/>
      <c r="X930" s="540"/>
      <c r="Y930" s="540"/>
      <c r="Z930" s="540"/>
    </row>
    <row r="931" ht="171.75" customHeight="1">
      <c r="A931" s="540"/>
      <c r="B931" s="540"/>
      <c r="C931" s="540"/>
      <c r="D931" s="540"/>
      <c r="E931" s="540"/>
      <c r="F931" s="540"/>
      <c r="G931" s="540"/>
      <c r="H931" s="540"/>
      <c r="I931" s="540"/>
      <c r="J931" s="540"/>
      <c r="K931" s="540"/>
      <c r="L931" s="540"/>
      <c r="M931" s="540"/>
      <c r="N931" s="540"/>
      <c r="O931" s="540"/>
      <c r="P931" s="540"/>
      <c r="Q931" s="540"/>
      <c r="R931" s="540"/>
      <c r="S931" s="540"/>
      <c r="T931" s="540"/>
      <c r="U931" s="540"/>
      <c r="V931" s="540"/>
      <c r="W931" s="540"/>
      <c r="X931" s="540"/>
      <c r="Y931" s="540"/>
      <c r="Z931" s="540"/>
    </row>
    <row r="932" ht="171.75" customHeight="1">
      <c r="A932" s="540"/>
      <c r="B932" s="540"/>
      <c r="C932" s="540"/>
      <c r="D932" s="540"/>
      <c r="E932" s="540"/>
      <c r="F932" s="540"/>
      <c r="G932" s="540"/>
      <c r="H932" s="540"/>
      <c r="I932" s="540"/>
      <c r="J932" s="540"/>
      <c r="K932" s="540"/>
      <c r="L932" s="540"/>
      <c r="M932" s="540"/>
      <c r="N932" s="540"/>
      <c r="O932" s="540"/>
      <c r="P932" s="540"/>
      <c r="Q932" s="540"/>
      <c r="R932" s="540"/>
      <c r="S932" s="540"/>
      <c r="T932" s="540"/>
      <c r="U932" s="540"/>
      <c r="V932" s="540"/>
      <c r="W932" s="540"/>
      <c r="X932" s="540"/>
      <c r="Y932" s="540"/>
      <c r="Z932" s="540"/>
    </row>
    <row r="933" ht="171.75" customHeight="1">
      <c r="A933" s="540"/>
      <c r="B933" s="540"/>
      <c r="C933" s="540"/>
      <c r="D933" s="540"/>
      <c r="E933" s="540"/>
      <c r="F933" s="540"/>
      <c r="G933" s="540"/>
      <c r="H933" s="540"/>
      <c r="I933" s="540"/>
      <c r="J933" s="540"/>
      <c r="K933" s="540"/>
      <c r="L933" s="540"/>
      <c r="M933" s="540"/>
      <c r="N933" s="540"/>
      <c r="O933" s="540"/>
      <c r="P933" s="540"/>
      <c r="Q933" s="540"/>
      <c r="R933" s="540"/>
      <c r="S933" s="540"/>
      <c r="T933" s="540"/>
      <c r="U933" s="540"/>
      <c r="V933" s="540"/>
      <c r="W933" s="540"/>
      <c r="X933" s="540"/>
      <c r="Y933" s="540"/>
      <c r="Z933" s="540"/>
    </row>
    <row r="934" ht="171.75" customHeight="1">
      <c r="A934" s="540"/>
      <c r="B934" s="540"/>
      <c r="C934" s="540"/>
      <c r="D934" s="540"/>
      <c r="E934" s="540"/>
      <c r="F934" s="540"/>
      <c r="G934" s="540"/>
      <c r="H934" s="540"/>
      <c r="I934" s="540"/>
      <c r="J934" s="540"/>
      <c r="K934" s="540"/>
      <c r="L934" s="540"/>
      <c r="M934" s="540"/>
      <c r="N934" s="540"/>
      <c r="O934" s="540"/>
      <c r="P934" s="540"/>
      <c r="Q934" s="540"/>
      <c r="R934" s="540"/>
      <c r="S934" s="540"/>
      <c r="T934" s="540"/>
      <c r="U934" s="540"/>
      <c r="V934" s="540"/>
      <c r="W934" s="540"/>
      <c r="X934" s="540"/>
      <c r="Y934" s="540"/>
      <c r="Z934" s="540"/>
    </row>
    <row r="935" ht="171.75" customHeight="1">
      <c r="A935" s="540"/>
      <c r="B935" s="540"/>
      <c r="C935" s="540"/>
      <c r="D935" s="540"/>
      <c r="E935" s="540"/>
      <c r="F935" s="540"/>
      <c r="G935" s="540"/>
      <c r="H935" s="540"/>
      <c r="I935" s="540"/>
      <c r="J935" s="540"/>
      <c r="K935" s="540"/>
      <c r="L935" s="540"/>
      <c r="M935" s="540"/>
      <c r="N935" s="540"/>
      <c r="O935" s="540"/>
      <c r="P935" s="540"/>
      <c r="Q935" s="540"/>
      <c r="R935" s="540"/>
      <c r="S935" s="540"/>
      <c r="T935" s="540"/>
      <c r="U935" s="540"/>
      <c r="V935" s="540"/>
      <c r="W935" s="540"/>
      <c r="X935" s="540"/>
      <c r="Y935" s="540"/>
      <c r="Z935" s="540"/>
    </row>
    <row r="936" ht="171.75" customHeight="1">
      <c r="A936" s="540"/>
      <c r="B936" s="540"/>
      <c r="C936" s="540"/>
      <c r="D936" s="540"/>
      <c r="E936" s="540"/>
      <c r="F936" s="540"/>
      <c r="G936" s="540"/>
      <c r="H936" s="540"/>
      <c r="I936" s="540"/>
      <c r="J936" s="540"/>
      <c r="K936" s="540"/>
      <c r="L936" s="540"/>
      <c r="M936" s="540"/>
      <c r="N936" s="540"/>
      <c r="O936" s="540"/>
      <c r="P936" s="540"/>
      <c r="Q936" s="540"/>
      <c r="R936" s="540"/>
      <c r="S936" s="540"/>
      <c r="T936" s="540"/>
      <c r="U936" s="540"/>
      <c r="V936" s="540"/>
      <c r="W936" s="540"/>
      <c r="X936" s="540"/>
      <c r="Y936" s="540"/>
      <c r="Z936" s="540"/>
    </row>
    <row r="937" ht="171.75" customHeight="1">
      <c r="A937" s="540"/>
      <c r="B937" s="540"/>
      <c r="C937" s="540"/>
      <c r="D937" s="540"/>
      <c r="E937" s="540"/>
      <c r="F937" s="540"/>
      <c r="G937" s="540"/>
      <c r="H937" s="540"/>
      <c r="I937" s="540"/>
      <c r="J937" s="540"/>
      <c r="K937" s="540"/>
      <c r="L937" s="540"/>
      <c r="M937" s="540"/>
      <c r="N937" s="540"/>
      <c r="O937" s="540"/>
      <c r="P937" s="540"/>
      <c r="Q937" s="540"/>
      <c r="R937" s="540"/>
      <c r="S937" s="540"/>
      <c r="T937" s="540"/>
      <c r="U937" s="540"/>
      <c r="V937" s="540"/>
      <c r="W937" s="540"/>
      <c r="X937" s="540"/>
      <c r="Y937" s="540"/>
      <c r="Z937" s="540"/>
    </row>
    <row r="938" ht="171.75" customHeight="1">
      <c r="A938" s="540"/>
      <c r="B938" s="540"/>
      <c r="C938" s="540"/>
      <c r="D938" s="540"/>
      <c r="E938" s="540"/>
      <c r="F938" s="540"/>
      <c r="G938" s="540"/>
      <c r="H938" s="540"/>
      <c r="I938" s="540"/>
      <c r="J938" s="540"/>
      <c r="K938" s="540"/>
      <c r="L938" s="540"/>
      <c r="M938" s="540"/>
      <c r="N938" s="540"/>
      <c r="O938" s="540"/>
      <c r="P938" s="540"/>
      <c r="Q938" s="540"/>
      <c r="R938" s="540"/>
      <c r="S938" s="540"/>
      <c r="T938" s="540"/>
      <c r="U938" s="540"/>
      <c r="V938" s="540"/>
      <c r="W938" s="540"/>
      <c r="X938" s="540"/>
      <c r="Y938" s="540"/>
      <c r="Z938" s="540"/>
    </row>
    <row r="939" ht="171.75" customHeight="1">
      <c r="A939" s="540"/>
      <c r="B939" s="540"/>
      <c r="C939" s="540"/>
      <c r="D939" s="540"/>
      <c r="E939" s="540"/>
      <c r="F939" s="540"/>
      <c r="G939" s="540"/>
      <c r="H939" s="540"/>
      <c r="I939" s="540"/>
      <c r="J939" s="540"/>
      <c r="K939" s="540"/>
      <c r="L939" s="540"/>
      <c r="M939" s="540"/>
      <c r="N939" s="540"/>
      <c r="O939" s="540"/>
      <c r="P939" s="540"/>
      <c r="Q939" s="540"/>
      <c r="R939" s="540"/>
      <c r="S939" s="540"/>
      <c r="T939" s="540"/>
      <c r="U939" s="540"/>
      <c r="V939" s="540"/>
      <c r="W939" s="540"/>
      <c r="X939" s="540"/>
      <c r="Y939" s="540"/>
      <c r="Z939" s="540"/>
    </row>
    <row r="940" ht="171.75" customHeight="1">
      <c r="A940" s="540"/>
      <c r="B940" s="540"/>
      <c r="C940" s="540"/>
      <c r="D940" s="540"/>
      <c r="E940" s="540"/>
      <c r="F940" s="540"/>
      <c r="G940" s="540"/>
      <c r="H940" s="540"/>
      <c r="I940" s="540"/>
      <c r="J940" s="540"/>
      <c r="K940" s="540"/>
      <c r="L940" s="540"/>
      <c r="M940" s="540"/>
      <c r="N940" s="540"/>
      <c r="O940" s="540"/>
      <c r="P940" s="540"/>
      <c r="Q940" s="540"/>
      <c r="R940" s="540"/>
      <c r="S940" s="540"/>
      <c r="T940" s="540"/>
      <c r="U940" s="540"/>
      <c r="V940" s="540"/>
      <c r="W940" s="540"/>
      <c r="X940" s="540"/>
      <c r="Y940" s="540"/>
      <c r="Z940" s="540"/>
    </row>
    <row r="941" ht="171.75" customHeight="1">
      <c r="A941" s="540"/>
      <c r="B941" s="540"/>
      <c r="C941" s="540"/>
      <c r="D941" s="540"/>
      <c r="E941" s="540"/>
      <c r="F941" s="540"/>
      <c r="G941" s="540"/>
      <c r="H941" s="540"/>
      <c r="I941" s="540"/>
      <c r="J941" s="540"/>
      <c r="K941" s="540"/>
      <c r="L941" s="540"/>
      <c r="M941" s="540"/>
      <c r="N941" s="540"/>
      <c r="O941" s="540"/>
      <c r="P941" s="540"/>
      <c r="Q941" s="540"/>
      <c r="R941" s="540"/>
      <c r="S941" s="540"/>
      <c r="T941" s="540"/>
      <c r="U941" s="540"/>
      <c r="V941" s="540"/>
      <c r="W941" s="540"/>
      <c r="X941" s="540"/>
      <c r="Y941" s="540"/>
      <c r="Z941" s="540"/>
    </row>
    <row r="942" ht="171.75" customHeight="1">
      <c r="A942" s="540"/>
      <c r="B942" s="540"/>
      <c r="C942" s="540"/>
      <c r="D942" s="540"/>
      <c r="E942" s="540"/>
      <c r="F942" s="540"/>
      <c r="G942" s="540"/>
      <c r="H942" s="540"/>
      <c r="I942" s="540"/>
      <c r="J942" s="540"/>
      <c r="K942" s="540"/>
      <c r="L942" s="540"/>
      <c r="M942" s="540"/>
      <c r="N942" s="540"/>
      <c r="O942" s="540"/>
      <c r="P942" s="540"/>
      <c r="Q942" s="540"/>
      <c r="R942" s="540"/>
      <c r="S942" s="540"/>
      <c r="T942" s="540"/>
      <c r="U942" s="540"/>
      <c r="V942" s="540"/>
      <c r="W942" s="540"/>
      <c r="X942" s="540"/>
      <c r="Y942" s="540"/>
      <c r="Z942" s="540"/>
    </row>
    <row r="943" ht="171.75" customHeight="1">
      <c r="A943" s="540"/>
      <c r="B943" s="540"/>
      <c r="C943" s="540"/>
      <c r="D943" s="540"/>
      <c r="E943" s="540"/>
      <c r="F943" s="540"/>
      <c r="G943" s="540"/>
      <c r="H943" s="540"/>
      <c r="I943" s="540"/>
      <c r="J943" s="540"/>
      <c r="K943" s="540"/>
      <c r="L943" s="540"/>
      <c r="M943" s="540"/>
      <c r="N943" s="540"/>
      <c r="O943" s="540"/>
      <c r="P943" s="540"/>
      <c r="Q943" s="540"/>
      <c r="R943" s="540"/>
      <c r="S943" s="540"/>
      <c r="T943" s="540"/>
      <c r="U943" s="540"/>
      <c r="V943" s="540"/>
      <c r="W943" s="540"/>
      <c r="X943" s="540"/>
      <c r="Y943" s="540"/>
      <c r="Z943" s="540"/>
    </row>
    <row r="944" ht="171.75" customHeight="1">
      <c r="A944" s="540"/>
      <c r="B944" s="540"/>
      <c r="C944" s="540"/>
      <c r="D944" s="540"/>
      <c r="E944" s="540"/>
      <c r="F944" s="540"/>
      <c r="G944" s="540"/>
      <c r="H944" s="540"/>
      <c r="I944" s="540"/>
      <c r="J944" s="540"/>
      <c r="K944" s="540"/>
      <c r="L944" s="540"/>
      <c r="M944" s="540"/>
      <c r="N944" s="540"/>
      <c r="O944" s="540"/>
      <c r="P944" s="540"/>
      <c r="Q944" s="540"/>
      <c r="R944" s="540"/>
      <c r="S944" s="540"/>
      <c r="T944" s="540"/>
      <c r="U944" s="540"/>
      <c r="V944" s="540"/>
      <c r="W944" s="540"/>
      <c r="X944" s="540"/>
      <c r="Y944" s="540"/>
      <c r="Z944" s="540"/>
    </row>
    <row r="945" ht="171.75" customHeight="1">
      <c r="A945" s="540"/>
      <c r="B945" s="540"/>
      <c r="C945" s="540"/>
      <c r="D945" s="540"/>
      <c r="E945" s="540"/>
      <c r="F945" s="540"/>
      <c r="G945" s="540"/>
      <c r="H945" s="540"/>
      <c r="I945" s="540"/>
      <c r="J945" s="540"/>
      <c r="K945" s="540"/>
      <c r="L945" s="540"/>
      <c r="M945" s="540"/>
      <c r="N945" s="540"/>
      <c r="O945" s="540"/>
      <c r="P945" s="540"/>
      <c r="Q945" s="540"/>
      <c r="R945" s="540"/>
      <c r="S945" s="540"/>
      <c r="T945" s="540"/>
      <c r="U945" s="540"/>
      <c r="V945" s="540"/>
      <c r="W945" s="540"/>
      <c r="X945" s="540"/>
      <c r="Y945" s="540"/>
      <c r="Z945" s="540"/>
    </row>
    <row r="946" ht="171.75" customHeight="1">
      <c r="A946" s="540"/>
      <c r="B946" s="540"/>
      <c r="C946" s="540"/>
      <c r="D946" s="540"/>
      <c r="E946" s="540"/>
      <c r="F946" s="540"/>
      <c r="G946" s="540"/>
      <c r="H946" s="540"/>
      <c r="I946" s="540"/>
      <c r="J946" s="540"/>
      <c r="K946" s="540"/>
      <c r="L946" s="540"/>
      <c r="M946" s="540"/>
      <c r="N946" s="540"/>
      <c r="O946" s="540"/>
      <c r="P946" s="540"/>
      <c r="Q946" s="540"/>
      <c r="R946" s="540"/>
      <c r="S946" s="540"/>
      <c r="T946" s="540"/>
      <c r="U946" s="540"/>
      <c r="V946" s="540"/>
      <c r="W946" s="540"/>
      <c r="X946" s="540"/>
      <c r="Y946" s="540"/>
      <c r="Z946" s="540"/>
    </row>
    <row r="947" ht="171.75" customHeight="1">
      <c r="A947" s="540"/>
      <c r="B947" s="540"/>
      <c r="C947" s="540"/>
      <c r="D947" s="540"/>
      <c r="E947" s="540"/>
      <c r="F947" s="540"/>
      <c r="G947" s="540"/>
      <c r="H947" s="540"/>
      <c r="I947" s="540"/>
      <c r="J947" s="540"/>
      <c r="K947" s="540"/>
      <c r="L947" s="540"/>
      <c r="M947" s="540"/>
      <c r="N947" s="540"/>
      <c r="O947" s="540"/>
      <c r="P947" s="540"/>
      <c r="Q947" s="540"/>
      <c r="R947" s="540"/>
      <c r="S947" s="540"/>
      <c r="T947" s="540"/>
      <c r="U947" s="540"/>
      <c r="V947" s="540"/>
      <c r="W947" s="540"/>
      <c r="X947" s="540"/>
      <c r="Y947" s="540"/>
      <c r="Z947" s="540"/>
    </row>
    <row r="948" ht="171.75" customHeight="1">
      <c r="A948" s="540"/>
      <c r="B948" s="540"/>
      <c r="C948" s="540"/>
      <c r="D948" s="540"/>
      <c r="E948" s="540"/>
      <c r="F948" s="540"/>
      <c r="G948" s="540"/>
      <c r="H948" s="540"/>
      <c r="I948" s="540"/>
      <c r="J948" s="540"/>
      <c r="K948" s="540"/>
      <c r="L948" s="540"/>
      <c r="M948" s="540"/>
      <c r="N948" s="540"/>
      <c r="O948" s="540"/>
      <c r="P948" s="540"/>
      <c r="Q948" s="540"/>
      <c r="R948" s="540"/>
      <c r="S948" s="540"/>
      <c r="T948" s="540"/>
      <c r="U948" s="540"/>
      <c r="V948" s="540"/>
      <c r="W948" s="540"/>
      <c r="X948" s="540"/>
      <c r="Y948" s="540"/>
      <c r="Z948" s="540"/>
    </row>
    <row r="949" ht="171.75" customHeight="1">
      <c r="A949" s="540"/>
      <c r="B949" s="540"/>
      <c r="C949" s="540"/>
      <c r="D949" s="540"/>
      <c r="E949" s="540"/>
      <c r="F949" s="540"/>
      <c r="G949" s="540"/>
      <c r="H949" s="540"/>
      <c r="I949" s="540"/>
      <c r="J949" s="540"/>
      <c r="K949" s="540"/>
      <c r="L949" s="540"/>
      <c r="M949" s="540"/>
      <c r="N949" s="540"/>
      <c r="O949" s="540"/>
      <c r="P949" s="540"/>
      <c r="Q949" s="540"/>
      <c r="R949" s="540"/>
      <c r="S949" s="540"/>
      <c r="T949" s="540"/>
      <c r="U949" s="540"/>
      <c r="V949" s="540"/>
      <c r="W949" s="540"/>
      <c r="X949" s="540"/>
      <c r="Y949" s="540"/>
      <c r="Z949" s="540"/>
    </row>
    <row r="950" ht="171.75" customHeight="1">
      <c r="A950" s="540"/>
      <c r="B950" s="540"/>
      <c r="C950" s="540"/>
      <c r="D950" s="540"/>
      <c r="E950" s="540"/>
      <c r="F950" s="540"/>
      <c r="G950" s="540"/>
      <c r="H950" s="540"/>
      <c r="I950" s="540"/>
      <c r="J950" s="540"/>
      <c r="K950" s="540"/>
      <c r="L950" s="540"/>
      <c r="M950" s="540"/>
      <c r="N950" s="540"/>
      <c r="O950" s="540"/>
      <c r="P950" s="540"/>
      <c r="Q950" s="540"/>
      <c r="R950" s="540"/>
      <c r="S950" s="540"/>
      <c r="T950" s="540"/>
      <c r="U950" s="540"/>
      <c r="V950" s="540"/>
      <c r="W950" s="540"/>
      <c r="X950" s="540"/>
      <c r="Y950" s="540"/>
      <c r="Z950" s="540"/>
    </row>
    <row r="951" ht="171.75" customHeight="1">
      <c r="A951" s="540"/>
      <c r="B951" s="540"/>
      <c r="C951" s="540"/>
      <c r="D951" s="540"/>
      <c r="E951" s="540"/>
      <c r="F951" s="540"/>
      <c r="G951" s="540"/>
      <c r="H951" s="540"/>
      <c r="I951" s="540"/>
      <c r="J951" s="540"/>
      <c r="K951" s="540"/>
      <c r="L951" s="540"/>
      <c r="M951" s="540"/>
      <c r="N951" s="540"/>
      <c r="O951" s="540"/>
      <c r="P951" s="540"/>
      <c r="Q951" s="540"/>
      <c r="R951" s="540"/>
      <c r="S951" s="540"/>
      <c r="T951" s="540"/>
      <c r="U951" s="540"/>
      <c r="V951" s="540"/>
      <c r="W951" s="540"/>
      <c r="X951" s="540"/>
      <c r="Y951" s="540"/>
      <c r="Z951" s="540"/>
    </row>
    <row r="952" ht="171.75" customHeight="1">
      <c r="A952" s="540"/>
      <c r="B952" s="540"/>
      <c r="C952" s="540"/>
      <c r="D952" s="540"/>
      <c r="E952" s="540"/>
      <c r="F952" s="540"/>
      <c r="G952" s="540"/>
      <c r="H952" s="540"/>
      <c r="I952" s="540"/>
      <c r="J952" s="540"/>
      <c r="K952" s="540"/>
      <c r="L952" s="540"/>
      <c r="M952" s="540"/>
      <c r="N952" s="540"/>
      <c r="O952" s="540"/>
      <c r="P952" s="540"/>
      <c r="Q952" s="540"/>
      <c r="R952" s="540"/>
      <c r="S952" s="540"/>
      <c r="T952" s="540"/>
      <c r="U952" s="540"/>
      <c r="V952" s="540"/>
      <c r="W952" s="540"/>
      <c r="X952" s="540"/>
      <c r="Y952" s="540"/>
      <c r="Z952" s="540"/>
    </row>
    <row r="953" ht="171.75" customHeight="1">
      <c r="A953" s="540"/>
      <c r="B953" s="540"/>
      <c r="C953" s="540"/>
      <c r="D953" s="540"/>
      <c r="E953" s="540"/>
      <c r="F953" s="540"/>
      <c r="G953" s="540"/>
      <c r="H953" s="540"/>
      <c r="I953" s="540"/>
      <c r="J953" s="540"/>
      <c r="K953" s="540"/>
      <c r="L953" s="540"/>
      <c r="M953" s="540"/>
      <c r="N953" s="540"/>
      <c r="O953" s="540"/>
      <c r="P953" s="540"/>
      <c r="Q953" s="540"/>
      <c r="R953" s="540"/>
      <c r="S953" s="540"/>
      <c r="T953" s="540"/>
      <c r="U953" s="540"/>
      <c r="V953" s="540"/>
      <c r="W953" s="540"/>
      <c r="X953" s="540"/>
      <c r="Y953" s="540"/>
      <c r="Z953" s="540"/>
    </row>
    <row r="954" ht="171.75" customHeight="1">
      <c r="A954" s="540"/>
      <c r="B954" s="540"/>
      <c r="C954" s="540"/>
      <c r="D954" s="540"/>
      <c r="E954" s="540"/>
      <c r="F954" s="540"/>
      <c r="G954" s="540"/>
      <c r="H954" s="540"/>
      <c r="I954" s="540"/>
      <c r="J954" s="540"/>
      <c r="K954" s="540"/>
      <c r="L954" s="540"/>
      <c r="M954" s="540"/>
      <c r="N954" s="540"/>
      <c r="O954" s="540"/>
      <c r="P954" s="540"/>
      <c r="Q954" s="540"/>
      <c r="R954" s="540"/>
      <c r="S954" s="540"/>
      <c r="T954" s="540"/>
      <c r="U954" s="540"/>
      <c r="V954" s="540"/>
      <c r="W954" s="540"/>
      <c r="X954" s="540"/>
      <c r="Y954" s="540"/>
      <c r="Z954" s="540"/>
    </row>
    <row r="955" ht="171.75" customHeight="1">
      <c r="A955" s="540"/>
      <c r="B955" s="540"/>
      <c r="C955" s="540"/>
      <c r="D955" s="540"/>
      <c r="E955" s="540"/>
      <c r="F955" s="540"/>
      <c r="G955" s="540"/>
      <c r="H955" s="540"/>
      <c r="I955" s="540"/>
      <c r="J955" s="540"/>
      <c r="K955" s="540"/>
      <c r="L955" s="540"/>
      <c r="M955" s="540"/>
      <c r="N955" s="540"/>
      <c r="O955" s="540"/>
      <c r="P955" s="540"/>
      <c r="Q955" s="540"/>
      <c r="R955" s="540"/>
      <c r="S955" s="540"/>
      <c r="T955" s="540"/>
      <c r="U955" s="540"/>
      <c r="V955" s="540"/>
      <c r="W955" s="540"/>
      <c r="X955" s="540"/>
      <c r="Y955" s="540"/>
      <c r="Z955" s="540"/>
    </row>
    <row r="956" ht="171.75" customHeight="1">
      <c r="A956" s="540"/>
      <c r="B956" s="540"/>
      <c r="C956" s="540"/>
      <c r="D956" s="540"/>
      <c r="E956" s="540"/>
      <c r="F956" s="540"/>
      <c r="G956" s="540"/>
      <c r="H956" s="540"/>
      <c r="I956" s="540"/>
      <c r="J956" s="540"/>
      <c r="K956" s="540"/>
      <c r="L956" s="540"/>
      <c r="M956" s="540"/>
      <c r="N956" s="540"/>
      <c r="O956" s="540"/>
      <c r="P956" s="540"/>
      <c r="Q956" s="540"/>
      <c r="R956" s="540"/>
      <c r="S956" s="540"/>
      <c r="T956" s="540"/>
      <c r="U956" s="540"/>
      <c r="V956" s="540"/>
      <c r="W956" s="540"/>
      <c r="X956" s="540"/>
      <c r="Y956" s="540"/>
      <c r="Z956" s="540"/>
    </row>
    <row r="957" ht="171.75" customHeight="1">
      <c r="A957" s="540"/>
      <c r="B957" s="540"/>
      <c r="C957" s="540"/>
      <c r="D957" s="540"/>
      <c r="E957" s="540"/>
      <c r="F957" s="540"/>
      <c r="G957" s="540"/>
      <c r="H957" s="540"/>
      <c r="I957" s="540"/>
      <c r="J957" s="540"/>
      <c r="K957" s="540"/>
      <c r="L957" s="540"/>
      <c r="M957" s="540"/>
      <c r="N957" s="540"/>
      <c r="O957" s="540"/>
      <c r="P957" s="540"/>
      <c r="Q957" s="540"/>
      <c r="R957" s="540"/>
      <c r="S957" s="540"/>
      <c r="T957" s="540"/>
      <c r="U957" s="540"/>
      <c r="V957" s="540"/>
      <c r="W957" s="540"/>
      <c r="X957" s="540"/>
      <c r="Y957" s="540"/>
      <c r="Z957" s="540"/>
    </row>
    <row r="958" ht="171.75" customHeight="1">
      <c r="A958" s="540"/>
      <c r="B958" s="540"/>
      <c r="C958" s="540"/>
      <c r="D958" s="540"/>
      <c r="E958" s="540"/>
      <c r="F958" s="540"/>
      <c r="G958" s="540"/>
      <c r="H958" s="540"/>
      <c r="I958" s="540"/>
      <c r="J958" s="540"/>
      <c r="K958" s="540"/>
      <c r="L958" s="540"/>
      <c r="M958" s="540"/>
      <c r="N958" s="540"/>
      <c r="O958" s="540"/>
      <c r="P958" s="540"/>
      <c r="Q958" s="540"/>
      <c r="R958" s="540"/>
      <c r="S958" s="540"/>
      <c r="T958" s="540"/>
      <c r="U958" s="540"/>
      <c r="V958" s="540"/>
      <c r="W958" s="540"/>
      <c r="X958" s="540"/>
      <c r="Y958" s="540"/>
      <c r="Z958" s="540"/>
    </row>
    <row r="959" ht="171.75" customHeight="1">
      <c r="A959" s="540"/>
      <c r="B959" s="540"/>
      <c r="C959" s="540"/>
      <c r="D959" s="540"/>
      <c r="E959" s="540"/>
      <c r="F959" s="540"/>
      <c r="G959" s="540"/>
      <c r="H959" s="540"/>
      <c r="I959" s="540"/>
      <c r="J959" s="540"/>
      <c r="K959" s="540"/>
      <c r="L959" s="540"/>
      <c r="M959" s="540"/>
      <c r="N959" s="540"/>
      <c r="O959" s="540"/>
      <c r="P959" s="540"/>
      <c r="Q959" s="540"/>
      <c r="R959" s="540"/>
      <c r="S959" s="540"/>
      <c r="T959" s="540"/>
      <c r="U959" s="540"/>
      <c r="V959" s="540"/>
      <c r="W959" s="540"/>
      <c r="X959" s="540"/>
      <c r="Y959" s="540"/>
      <c r="Z959" s="540"/>
    </row>
    <row r="960" ht="171.75" customHeight="1">
      <c r="A960" s="540"/>
      <c r="B960" s="540"/>
      <c r="C960" s="540"/>
      <c r="D960" s="540"/>
      <c r="E960" s="540"/>
      <c r="F960" s="540"/>
      <c r="G960" s="540"/>
      <c r="H960" s="540"/>
      <c r="I960" s="540"/>
      <c r="J960" s="540"/>
      <c r="K960" s="540"/>
      <c r="L960" s="540"/>
      <c r="M960" s="540"/>
      <c r="N960" s="540"/>
      <c r="O960" s="540"/>
      <c r="P960" s="540"/>
      <c r="Q960" s="540"/>
      <c r="R960" s="540"/>
      <c r="S960" s="540"/>
      <c r="T960" s="540"/>
      <c r="U960" s="540"/>
      <c r="V960" s="540"/>
      <c r="W960" s="540"/>
      <c r="X960" s="540"/>
      <c r="Y960" s="540"/>
      <c r="Z960" s="540"/>
    </row>
    <row r="961" ht="171.75" customHeight="1">
      <c r="A961" s="540"/>
      <c r="B961" s="540"/>
      <c r="C961" s="540"/>
      <c r="D961" s="540"/>
      <c r="E961" s="540"/>
      <c r="F961" s="540"/>
      <c r="G961" s="540"/>
      <c r="H961" s="540"/>
      <c r="I961" s="540"/>
      <c r="J961" s="540"/>
      <c r="K961" s="540"/>
      <c r="L961" s="540"/>
      <c r="M961" s="540"/>
      <c r="N961" s="540"/>
      <c r="O961" s="540"/>
      <c r="P961" s="540"/>
      <c r="Q961" s="540"/>
      <c r="R961" s="540"/>
      <c r="S961" s="540"/>
      <c r="T961" s="540"/>
      <c r="U961" s="540"/>
      <c r="V961" s="540"/>
      <c r="W961" s="540"/>
      <c r="X961" s="540"/>
      <c r="Y961" s="540"/>
      <c r="Z961" s="540"/>
    </row>
    <row r="962" ht="171.75" customHeight="1">
      <c r="A962" s="540"/>
      <c r="B962" s="540"/>
      <c r="C962" s="540"/>
      <c r="D962" s="540"/>
      <c r="E962" s="540"/>
      <c r="F962" s="540"/>
      <c r="G962" s="540"/>
      <c r="H962" s="540"/>
      <c r="I962" s="540"/>
      <c r="J962" s="540"/>
      <c r="K962" s="540"/>
      <c r="L962" s="540"/>
      <c r="M962" s="540"/>
      <c r="N962" s="540"/>
      <c r="O962" s="540"/>
      <c r="P962" s="540"/>
      <c r="Q962" s="540"/>
      <c r="R962" s="540"/>
      <c r="S962" s="540"/>
      <c r="T962" s="540"/>
      <c r="U962" s="540"/>
      <c r="V962" s="540"/>
      <c r="W962" s="540"/>
      <c r="X962" s="540"/>
      <c r="Y962" s="540"/>
      <c r="Z962" s="540"/>
    </row>
    <row r="963" ht="171.75" customHeight="1">
      <c r="A963" s="540"/>
      <c r="B963" s="540"/>
      <c r="C963" s="540"/>
      <c r="D963" s="540"/>
      <c r="E963" s="540"/>
      <c r="F963" s="540"/>
      <c r="G963" s="540"/>
      <c r="H963" s="540"/>
      <c r="I963" s="540"/>
      <c r="J963" s="540"/>
      <c r="K963" s="540"/>
      <c r="L963" s="540"/>
      <c r="M963" s="540"/>
      <c r="N963" s="540"/>
      <c r="O963" s="540"/>
      <c r="P963" s="540"/>
      <c r="Q963" s="540"/>
      <c r="R963" s="540"/>
      <c r="S963" s="540"/>
      <c r="T963" s="540"/>
      <c r="U963" s="540"/>
      <c r="V963" s="540"/>
      <c r="W963" s="540"/>
      <c r="X963" s="540"/>
      <c r="Y963" s="540"/>
      <c r="Z963" s="540"/>
    </row>
    <row r="964" ht="171.75" customHeight="1">
      <c r="A964" s="540"/>
      <c r="B964" s="540"/>
      <c r="C964" s="540"/>
      <c r="D964" s="540"/>
      <c r="E964" s="540"/>
      <c r="F964" s="540"/>
      <c r="G964" s="540"/>
      <c r="H964" s="540"/>
      <c r="I964" s="540"/>
      <c r="J964" s="540"/>
      <c r="K964" s="540"/>
      <c r="L964" s="540"/>
      <c r="M964" s="540"/>
      <c r="N964" s="540"/>
      <c r="O964" s="540"/>
      <c r="P964" s="540"/>
      <c r="Q964" s="540"/>
      <c r="R964" s="540"/>
      <c r="S964" s="540"/>
      <c r="T964" s="540"/>
      <c r="U964" s="540"/>
      <c r="V964" s="540"/>
      <c r="W964" s="540"/>
      <c r="X964" s="540"/>
      <c r="Y964" s="540"/>
      <c r="Z964" s="540"/>
    </row>
    <row r="965" ht="171.75" customHeight="1">
      <c r="A965" s="540"/>
      <c r="B965" s="540"/>
      <c r="C965" s="540"/>
      <c r="D965" s="540"/>
      <c r="E965" s="540"/>
      <c r="F965" s="540"/>
      <c r="G965" s="540"/>
      <c r="H965" s="540"/>
      <c r="I965" s="540"/>
      <c r="J965" s="540"/>
      <c r="K965" s="540"/>
      <c r="L965" s="540"/>
      <c r="M965" s="540"/>
      <c r="N965" s="540"/>
      <c r="O965" s="540"/>
      <c r="P965" s="540"/>
      <c r="Q965" s="540"/>
      <c r="R965" s="540"/>
      <c r="S965" s="540"/>
      <c r="T965" s="540"/>
      <c r="U965" s="540"/>
      <c r="V965" s="540"/>
      <c r="W965" s="540"/>
      <c r="X965" s="540"/>
      <c r="Y965" s="540"/>
      <c r="Z965" s="540"/>
    </row>
    <row r="966" ht="171.75" customHeight="1">
      <c r="A966" s="540"/>
      <c r="B966" s="540"/>
      <c r="C966" s="540"/>
      <c r="D966" s="540"/>
      <c r="E966" s="540"/>
      <c r="F966" s="540"/>
      <c r="G966" s="540"/>
      <c r="H966" s="540"/>
      <c r="I966" s="540"/>
      <c r="J966" s="540"/>
      <c r="K966" s="540"/>
      <c r="L966" s="540"/>
      <c r="M966" s="540"/>
      <c r="N966" s="540"/>
      <c r="O966" s="540"/>
      <c r="P966" s="540"/>
      <c r="Q966" s="540"/>
      <c r="R966" s="540"/>
      <c r="S966" s="540"/>
      <c r="T966" s="540"/>
      <c r="U966" s="540"/>
      <c r="V966" s="540"/>
      <c r="W966" s="540"/>
      <c r="X966" s="540"/>
      <c r="Y966" s="540"/>
      <c r="Z966" s="540"/>
    </row>
    <row r="967" ht="171.75" customHeight="1">
      <c r="A967" s="540"/>
      <c r="B967" s="540"/>
      <c r="C967" s="540"/>
      <c r="D967" s="540"/>
      <c r="E967" s="540"/>
      <c r="F967" s="540"/>
      <c r="G967" s="540"/>
      <c r="H967" s="540"/>
      <c r="I967" s="540"/>
      <c r="J967" s="540"/>
      <c r="K967" s="540"/>
      <c r="L967" s="540"/>
      <c r="M967" s="540"/>
      <c r="N967" s="540"/>
      <c r="O967" s="540"/>
      <c r="P967" s="540"/>
      <c r="Q967" s="540"/>
      <c r="R967" s="540"/>
      <c r="S967" s="540"/>
      <c r="T967" s="540"/>
      <c r="U967" s="540"/>
      <c r="V967" s="540"/>
      <c r="W967" s="540"/>
      <c r="X967" s="540"/>
      <c r="Y967" s="540"/>
      <c r="Z967" s="540"/>
    </row>
    <row r="968" ht="171.75" customHeight="1">
      <c r="A968" s="540"/>
      <c r="B968" s="540"/>
      <c r="C968" s="540"/>
      <c r="D968" s="540"/>
      <c r="E968" s="540"/>
      <c r="F968" s="540"/>
      <c r="G968" s="540"/>
      <c r="H968" s="540"/>
      <c r="I968" s="540"/>
      <c r="J968" s="540"/>
      <c r="K968" s="540"/>
      <c r="L968" s="540"/>
      <c r="M968" s="540"/>
      <c r="N968" s="540"/>
      <c r="O968" s="540"/>
      <c r="P968" s="540"/>
      <c r="Q968" s="540"/>
      <c r="R968" s="540"/>
      <c r="S968" s="540"/>
      <c r="T968" s="540"/>
      <c r="U968" s="540"/>
      <c r="V968" s="540"/>
      <c r="W968" s="540"/>
      <c r="X968" s="540"/>
      <c r="Y968" s="540"/>
      <c r="Z968" s="540"/>
    </row>
    <row r="969" ht="171.75" customHeight="1">
      <c r="A969" s="540"/>
      <c r="B969" s="540"/>
      <c r="C969" s="540"/>
      <c r="D969" s="540"/>
      <c r="E969" s="540"/>
      <c r="F969" s="540"/>
      <c r="G969" s="540"/>
      <c r="H969" s="540"/>
      <c r="I969" s="540"/>
      <c r="J969" s="540"/>
      <c r="K969" s="540"/>
      <c r="L969" s="540"/>
      <c r="M969" s="540"/>
      <c r="N969" s="540"/>
      <c r="O969" s="540"/>
      <c r="P969" s="540"/>
      <c r="Q969" s="540"/>
      <c r="R969" s="540"/>
      <c r="S969" s="540"/>
      <c r="T969" s="540"/>
      <c r="U969" s="540"/>
      <c r="V969" s="540"/>
      <c r="W969" s="540"/>
      <c r="X969" s="540"/>
      <c r="Y969" s="540"/>
      <c r="Z969" s="540"/>
    </row>
    <row r="970" ht="171.75" customHeight="1">
      <c r="A970" s="540"/>
      <c r="B970" s="540"/>
      <c r="C970" s="540"/>
      <c r="D970" s="540"/>
      <c r="E970" s="540"/>
      <c r="F970" s="540"/>
      <c r="G970" s="540"/>
      <c r="H970" s="540"/>
      <c r="I970" s="540"/>
      <c r="J970" s="540"/>
      <c r="K970" s="540"/>
      <c r="L970" s="540"/>
      <c r="M970" s="540"/>
      <c r="N970" s="540"/>
      <c r="O970" s="540"/>
      <c r="P970" s="540"/>
      <c r="Q970" s="540"/>
      <c r="R970" s="540"/>
      <c r="S970" s="540"/>
      <c r="T970" s="540"/>
      <c r="U970" s="540"/>
      <c r="V970" s="540"/>
      <c r="W970" s="540"/>
      <c r="X970" s="540"/>
      <c r="Y970" s="540"/>
      <c r="Z970" s="540"/>
    </row>
    <row r="971" ht="171.75" customHeight="1">
      <c r="A971" s="540"/>
      <c r="B971" s="540"/>
      <c r="C971" s="540"/>
      <c r="D971" s="540"/>
      <c r="E971" s="540"/>
      <c r="F971" s="540"/>
      <c r="G971" s="540"/>
      <c r="H971" s="540"/>
      <c r="I971" s="540"/>
      <c r="J971" s="540"/>
      <c r="K971" s="540"/>
      <c r="L971" s="540"/>
      <c r="M971" s="540"/>
      <c r="N971" s="540"/>
      <c r="O971" s="540"/>
      <c r="P971" s="540"/>
      <c r="Q971" s="540"/>
      <c r="R971" s="540"/>
      <c r="S971" s="540"/>
      <c r="T971" s="540"/>
      <c r="U971" s="540"/>
      <c r="V971" s="540"/>
      <c r="W971" s="540"/>
      <c r="X971" s="540"/>
      <c r="Y971" s="540"/>
      <c r="Z971" s="540"/>
    </row>
    <row r="972" ht="171.75" customHeight="1">
      <c r="A972" s="540"/>
      <c r="B972" s="540"/>
      <c r="C972" s="540"/>
      <c r="D972" s="540"/>
      <c r="E972" s="540"/>
      <c r="F972" s="540"/>
      <c r="G972" s="540"/>
      <c r="H972" s="540"/>
      <c r="I972" s="540"/>
      <c r="J972" s="540"/>
      <c r="K972" s="540"/>
      <c r="L972" s="540"/>
      <c r="M972" s="540"/>
      <c r="N972" s="540"/>
      <c r="O972" s="540"/>
      <c r="P972" s="540"/>
      <c r="Q972" s="540"/>
      <c r="R972" s="540"/>
      <c r="S972" s="540"/>
      <c r="T972" s="540"/>
      <c r="U972" s="540"/>
      <c r="V972" s="540"/>
      <c r="W972" s="540"/>
      <c r="X972" s="540"/>
      <c r="Y972" s="540"/>
      <c r="Z972" s="540"/>
    </row>
    <row r="973" ht="171.75" customHeight="1">
      <c r="A973" s="540"/>
      <c r="B973" s="540"/>
      <c r="C973" s="540"/>
      <c r="D973" s="540"/>
      <c r="E973" s="540"/>
      <c r="F973" s="540"/>
      <c r="G973" s="540"/>
      <c r="H973" s="540"/>
      <c r="I973" s="540"/>
      <c r="J973" s="540"/>
      <c r="K973" s="540"/>
      <c r="L973" s="540"/>
      <c r="M973" s="540"/>
      <c r="N973" s="540"/>
      <c r="O973" s="540"/>
      <c r="P973" s="540"/>
      <c r="Q973" s="540"/>
      <c r="R973" s="540"/>
      <c r="S973" s="540"/>
      <c r="T973" s="540"/>
      <c r="U973" s="540"/>
      <c r="V973" s="540"/>
      <c r="W973" s="540"/>
      <c r="X973" s="540"/>
      <c r="Y973" s="540"/>
      <c r="Z973" s="540"/>
    </row>
    <row r="974" ht="171.75" customHeight="1">
      <c r="A974" s="540"/>
      <c r="B974" s="540"/>
      <c r="C974" s="540"/>
      <c r="D974" s="540"/>
      <c r="E974" s="540"/>
      <c r="F974" s="540"/>
      <c r="G974" s="540"/>
      <c r="H974" s="540"/>
      <c r="I974" s="540"/>
      <c r="J974" s="540"/>
      <c r="K974" s="540"/>
      <c r="L974" s="540"/>
      <c r="M974" s="540"/>
      <c r="N974" s="540"/>
      <c r="O974" s="540"/>
      <c r="P974" s="540"/>
      <c r="Q974" s="540"/>
      <c r="R974" s="540"/>
      <c r="S974" s="540"/>
      <c r="T974" s="540"/>
      <c r="U974" s="540"/>
      <c r="V974" s="540"/>
      <c r="W974" s="540"/>
      <c r="X974" s="540"/>
      <c r="Y974" s="540"/>
      <c r="Z974" s="540"/>
    </row>
    <row r="975" ht="171.75" customHeight="1">
      <c r="A975" s="540"/>
      <c r="B975" s="540"/>
      <c r="C975" s="540"/>
      <c r="D975" s="540"/>
      <c r="E975" s="540"/>
      <c r="F975" s="540"/>
      <c r="G975" s="540"/>
      <c r="H975" s="540"/>
      <c r="I975" s="540"/>
      <c r="J975" s="540"/>
      <c r="K975" s="540"/>
      <c r="L975" s="540"/>
      <c r="M975" s="540"/>
      <c r="N975" s="540"/>
      <c r="O975" s="540"/>
      <c r="P975" s="540"/>
      <c r="Q975" s="540"/>
      <c r="R975" s="540"/>
      <c r="S975" s="540"/>
      <c r="T975" s="540"/>
      <c r="U975" s="540"/>
      <c r="V975" s="540"/>
      <c r="W975" s="540"/>
      <c r="X975" s="540"/>
      <c r="Y975" s="540"/>
      <c r="Z975" s="540"/>
    </row>
    <row r="976" ht="171.75" customHeight="1">
      <c r="A976" s="540"/>
      <c r="B976" s="540"/>
      <c r="C976" s="540"/>
      <c r="D976" s="540"/>
      <c r="E976" s="540"/>
      <c r="F976" s="540"/>
      <c r="G976" s="540"/>
      <c r="H976" s="540"/>
      <c r="I976" s="540"/>
      <c r="J976" s="540"/>
      <c r="K976" s="540"/>
      <c r="L976" s="540"/>
      <c r="M976" s="540"/>
      <c r="N976" s="540"/>
      <c r="O976" s="540"/>
      <c r="P976" s="540"/>
      <c r="Q976" s="540"/>
      <c r="R976" s="540"/>
      <c r="S976" s="540"/>
      <c r="T976" s="540"/>
      <c r="U976" s="540"/>
      <c r="V976" s="540"/>
      <c r="W976" s="540"/>
      <c r="X976" s="540"/>
      <c r="Y976" s="540"/>
      <c r="Z976" s="540"/>
    </row>
    <row r="977" ht="171.75" customHeight="1">
      <c r="A977" s="540"/>
      <c r="B977" s="540"/>
      <c r="C977" s="540"/>
      <c r="D977" s="540"/>
      <c r="E977" s="540"/>
      <c r="F977" s="540"/>
      <c r="G977" s="540"/>
      <c r="H977" s="540"/>
      <c r="I977" s="540"/>
      <c r="J977" s="540"/>
      <c r="K977" s="540"/>
      <c r="L977" s="540"/>
      <c r="M977" s="540"/>
      <c r="N977" s="540"/>
      <c r="O977" s="540"/>
      <c r="P977" s="540"/>
      <c r="Q977" s="540"/>
      <c r="R977" s="540"/>
      <c r="S977" s="540"/>
      <c r="T977" s="540"/>
      <c r="U977" s="540"/>
      <c r="V977" s="540"/>
      <c r="W977" s="540"/>
      <c r="X977" s="540"/>
      <c r="Y977" s="540"/>
      <c r="Z977" s="540"/>
    </row>
    <row r="978" ht="171.75" customHeight="1">
      <c r="A978" s="540"/>
      <c r="B978" s="540"/>
      <c r="C978" s="540"/>
      <c r="D978" s="540"/>
      <c r="E978" s="540"/>
      <c r="F978" s="540"/>
      <c r="G978" s="540"/>
      <c r="H978" s="540"/>
      <c r="I978" s="540"/>
      <c r="J978" s="540"/>
      <c r="K978" s="540"/>
      <c r="L978" s="540"/>
      <c r="M978" s="540"/>
      <c r="N978" s="540"/>
      <c r="O978" s="540"/>
      <c r="P978" s="540"/>
      <c r="Q978" s="540"/>
      <c r="R978" s="540"/>
      <c r="S978" s="540"/>
      <c r="T978" s="540"/>
      <c r="U978" s="540"/>
      <c r="V978" s="540"/>
      <c r="W978" s="540"/>
      <c r="X978" s="540"/>
      <c r="Y978" s="540"/>
      <c r="Z978" s="540"/>
    </row>
    <row r="979" ht="171.75" customHeight="1">
      <c r="A979" s="540"/>
      <c r="B979" s="540"/>
      <c r="C979" s="540"/>
      <c r="D979" s="540"/>
      <c r="E979" s="540"/>
      <c r="F979" s="540"/>
      <c r="G979" s="540"/>
      <c r="H979" s="540"/>
      <c r="I979" s="540"/>
      <c r="J979" s="540"/>
      <c r="K979" s="540"/>
      <c r="L979" s="540"/>
      <c r="M979" s="540"/>
      <c r="N979" s="540"/>
      <c r="O979" s="540"/>
      <c r="P979" s="540"/>
      <c r="Q979" s="540"/>
      <c r="R979" s="540"/>
      <c r="S979" s="540"/>
      <c r="T979" s="540"/>
      <c r="U979" s="540"/>
      <c r="V979" s="540"/>
      <c r="W979" s="540"/>
      <c r="X979" s="540"/>
      <c r="Y979" s="540"/>
      <c r="Z979" s="540"/>
    </row>
    <row r="980" ht="171.75" customHeight="1">
      <c r="A980" s="540"/>
      <c r="B980" s="540"/>
      <c r="C980" s="540"/>
      <c r="D980" s="540"/>
      <c r="E980" s="540"/>
      <c r="F980" s="540"/>
      <c r="G980" s="540"/>
      <c r="H980" s="540"/>
      <c r="I980" s="540"/>
      <c r="J980" s="540"/>
      <c r="K980" s="540"/>
      <c r="L980" s="540"/>
      <c r="M980" s="540"/>
      <c r="N980" s="540"/>
      <c r="O980" s="540"/>
      <c r="P980" s="540"/>
      <c r="Q980" s="540"/>
      <c r="R980" s="540"/>
      <c r="S980" s="540"/>
      <c r="T980" s="540"/>
      <c r="U980" s="540"/>
      <c r="V980" s="540"/>
      <c r="W980" s="540"/>
      <c r="X980" s="540"/>
      <c r="Y980" s="540"/>
      <c r="Z980" s="540"/>
    </row>
    <row r="981" ht="171.75" customHeight="1">
      <c r="A981" s="540"/>
      <c r="B981" s="540"/>
      <c r="C981" s="540"/>
      <c r="D981" s="540"/>
      <c r="E981" s="540"/>
      <c r="F981" s="540"/>
      <c r="G981" s="540"/>
      <c r="H981" s="540"/>
      <c r="I981" s="540"/>
      <c r="J981" s="540"/>
      <c r="K981" s="540"/>
      <c r="L981" s="540"/>
      <c r="M981" s="540"/>
      <c r="N981" s="540"/>
      <c r="O981" s="540"/>
      <c r="P981" s="540"/>
      <c r="Q981" s="540"/>
      <c r="R981" s="540"/>
      <c r="S981" s="540"/>
      <c r="T981" s="540"/>
      <c r="U981" s="540"/>
      <c r="V981" s="540"/>
      <c r="W981" s="540"/>
      <c r="X981" s="540"/>
      <c r="Y981" s="540"/>
      <c r="Z981" s="540"/>
    </row>
    <row r="982" ht="171.75" customHeight="1">
      <c r="A982" s="540"/>
      <c r="B982" s="540"/>
      <c r="C982" s="540"/>
      <c r="D982" s="540"/>
      <c r="E982" s="540"/>
      <c r="F982" s="540"/>
      <c r="G982" s="540"/>
      <c r="H982" s="540"/>
      <c r="I982" s="540"/>
      <c r="J982" s="540"/>
      <c r="K982" s="540"/>
      <c r="L982" s="540"/>
      <c r="M982" s="540"/>
      <c r="N982" s="540"/>
      <c r="O982" s="540"/>
      <c r="P982" s="540"/>
      <c r="Q982" s="540"/>
      <c r="R982" s="540"/>
      <c r="S982" s="540"/>
      <c r="T982" s="540"/>
      <c r="U982" s="540"/>
      <c r="V982" s="540"/>
      <c r="W982" s="540"/>
      <c r="X982" s="540"/>
      <c r="Y982" s="540"/>
      <c r="Z982" s="540"/>
    </row>
    <row r="983" ht="171.75" customHeight="1">
      <c r="A983" s="540"/>
      <c r="B983" s="540"/>
      <c r="C983" s="540"/>
      <c r="D983" s="540"/>
      <c r="E983" s="540"/>
      <c r="F983" s="540"/>
      <c r="G983" s="540"/>
      <c r="H983" s="540"/>
      <c r="I983" s="540"/>
      <c r="J983" s="540"/>
      <c r="K983" s="540"/>
      <c r="L983" s="540"/>
      <c r="M983" s="540"/>
      <c r="N983" s="540"/>
      <c r="O983" s="540"/>
      <c r="P983" s="540"/>
      <c r="Q983" s="540"/>
      <c r="R983" s="540"/>
      <c r="S983" s="540"/>
      <c r="T983" s="540"/>
      <c r="U983" s="540"/>
      <c r="V983" s="540"/>
      <c r="W983" s="540"/>
      <c r="X983" s="540"/>
      <c r="Y983" s="540"/>
      <c r="Z983" s="540"/>
    </row>
    <row r="984" ht="171.75" customHeight="1">
      <c r="A984" s="540"/>
      <c r="B984" s="540"/>
      <c r="C984" s="540"/>
      <c r="D984" s="540"/>
      <c r="E984" s="540"/>
      <c r="F984" s="540"/>
      <c r="G984" s="540"/>
      <c r="H984" s="540"/>
      <c r="I984" s="540"/>
      <c r="J984" s="540"/>
      <c r="K984" s="540"/>
      <c r="L984" s="540"/>
      <c r="M984" s="540"/>
      <c r="N984" s="540"/>
      <c r="O984" s="540"/>
      <c r="P984" s="540"/>
      <c r="Q984" s="540"/>
      <c r="R984" s="540"/>
      <c r="S984" s="540"/>
      <c r="T984" s="540"/>
      <c r="U984" s="540"/>
      <c r="V984" s="540"/>
      <c r="W984" s="540"/>
      <c r="X984" s="540"/>
      <c r="Y984" s="540"/>
      <c r="Z984" s="540"/>
    </row>
    <row r="985" ht="171.75" customHeight="1">
      <c r="A985" s="540"/>
      <c r="B985" s="540"/>
      <c r="C985" s="540"/>
      <c r="D985" s="540"/>
      <c r="E985" s="540"/>
      <c r="F985" s="540"/>
      <c r="G985" s="540"/>
      <c r="H985" s="540"/>
      <c r="I985" s="540"/>
      <c r="J985" s="540"/>
      <c r="K985" s="540"/>
      <c r="L985" s="540"/>
      <c r="M985" s="540"/>
      <c r="N985" s="540"/>
      <c r="O985" s="540"/>
      <c r="P985" s="540"/>
      <c r="Q985" s="540"/>
      <c r="R985" s="540"/>
      <c r="S985" s="540"/>
      <c r="T985" s="540"/>
      <c r="U985" s="540"/>
      <c r="V985" s="540"/>
      <c r="W985" s="540"/>
      <c r="X985" s="540"/>
      <c r="Y985" s="540"/>
      <c r="Z985" s="540"/>
    </row>
    <row r="986" ht="171.75" customHeight="1">
      <c r="A986" s="540"/>
      <c r="B986" s="540"/>
      <c r="C986" s="540"/>
      <c r="D986" s="540"/>
      <c r="E986" s="540"/>
      <c r="F986" s="540"/>
      <c r="G986" s="540"/>
      <c r="H986" s="540"/>
      <c r="I986" s="540"/>
      <c r="J986" s="540"/>
      <c r="K986" s="540"/>
      <c r="L986" s="540"/>
      <c r="M986" s="540"/>
      <c r="N986" s="540"/>
      <c r="O986" s="540"/>
      <c r="P986" s="540"/>
      <c r="Q986" s="540"/>
      <c r="R986" s="540"/>
      <c r="S986" s="540"/>
      <c r="T986" s="540"/>
      <c r="U986" s="540"/>
      <c r="V986" s="540"/>
      <c r="W986" s="540"/>
      <c r="X986" s="540"/>
      <c r="Y986" s="540"/>
      <c r="Z986" s="540"/>
    </row>
    <row r="987" ht="171.75" customHeight="1">
      <c r="A987" s="540"/>
      <c r="B987" s="540"/>
      <c r="C987" s="540"/>
      <c r="D987" s="540"/>
      <c r="E987" s="540"/>
      <c r="F987" s="540"/>
      <c r="G987" s="540"/>
      <c r="H987" s="540"/>
      <c r="I987" s="540"/>
      <c r="J987" s="540"/>
      <c r="K987" s="540"/>
      <c r="L987" s="540"/>
      <c r="M987" s="540"/>
      <c r="N987" s="540"/>
      <c r="O987" s="540"/>
      <c r="P987" s="540"/>
      <c r="Q987" s="540"/>
      <c r="R987" s="540"/>
      <c r="S987" s="540"/>
      <c r="T987" s="540"/>
      <c r="U987" s="540"/>
      <c r="V987" s="540"/>
      <c r="W987" s="540"/>
      <c r="X987" s="540"/>
      <c r="Y987" s="540"/>
      <c r="Z987" s="540"/>
    </row>
    <row r="988" ht="171.75" customHeight="1">
      <c r="A988" s="540"/>
      <c r="B988" s="540"/>
      <c r="C988" s="540"/>
      <c r="D988" s="540"/>
      <c r="E988" s="540"/>
      <c r="F988" s="540"/>
      <c r="G988" s="540"/>
      <c r="H988" s="540"/>
      <c r="I988" s="540"/>
      <c r="J988" s="540"/>
      <c r="K988" s="540"/>
      <c r="L988" s="540"/>
      <c r="M988" s="540"/>
      <c r="N988" s="540"/>
      <c r="O988" s="540"/>
      <c r="P988" s="540"/>
      <c r="Q988" s="540"/>
      <c r="R988" s="540"/>
      <c r="S988" s="540"/>
      <c r="T988" s="540"/>
      <c r="U988" s="540"/>
      <c r="V988" s="540"/>
      <c r="W988" s="540"/>
      <c r="X988" s="540"/>
      <c r="Y988" s="540"/>
      <c r="Z988" s="540"/>
    </row>
    <row r="989" ht="171.75" customHeight="1">
      <c r="A989" s="540"/>
      <c r="B989" s="540"/>
      <c r="C989" s="540"/>
      <c r="D989" s="540"/>
      <c r="E989" s="540"/>
      <c r="F989" s="540"/>
      <c r="G989" s="540"/>
      <c r="H989" s="540"/>
      <c r="I989" s="540"/>
      <c r="J989" s="540"/>
      <c r="K989" s="540"/>
      <c r="L989" s="540"/>
      <c r="M989" s="540"/>
      <c r="N989" s="540"/>
      <c r="O989" s="540"/>
      <c r="P989" s="540"/>
      <c r="Q989" s="540"/>
      <c r="R989" s="540"/>
      <c r="S989" s="540"/>
      <c r="T989" s="540"/>
      <c r="U989" s="540"/>
      <c r="V989" s="540"/>
      <c r="W989" s="540"/>
      <c r="X989" s="540"/>
      <c r="Y989" s="540"/>
      <c r="Z989" s="540"/>
    </row>
    <row r="990" ht="171.75" customHeight="1">
      <c r="A990" s="540"/>
      <c r="B990" s="540"/>
      <c r="C990" s="540"/>
      <c r="D990" s="540"/>
      <c r="E990" s="540"/>
      <c r="F990" s="540"/>
      <c r="G990" s="540"/>
      <c r="H990" s="540"/>
      <c r="I990" s="540"/>
      <c r="J990" s="540"/>
      <c r="K990" s="540"/>
      <c r="L990" s="540"/>
      <c r="M990" s="540"/>
      <c r="N990" s="540"/>
      <c r="O990" s="540"/>
      <c r="P990" s="540"/>
      <c r="Q990" s="540"/>
      <c r="R990" s="540"/>
      <c r="S990" s="540"/>
      <c r="T990" s="540"/>
      <c r="U990" s="540"/>
      <c r="V990" s="540"/>
      <c r="W990" s="540"/>
      <c r="X990" s="540"/>
      <c r="Y990" s="540"/>
      <c r="Z990" s="540"/>
    </row>
    <row r="991" ht="171.75" customHeight="1">
      <c r="A991" s="540"/>
      <c r="B991" s="540"/>
      <c r="C991" s="540"/>
      <c r="D991" s="540"/>
      <c r="E991" s="540"/>
      <c r="F991" s="540"/>
      <c r="G991" s="540"/>
      <c r="H991" s="540"/>
      <c r="I991" s="540"/>
      <c r="J991" s="540"/>
      <c r="K991" s="540"/>
      <c r="L991" s="540"/>
      <c r="M991" s="540"/>
      <c r="N991" s="540"/>
      <c r="O991" s="540"/>
      <c r="P991" s="540"/>
      <c r="Q991" s="540"/>
      <c r="R991" s="540"/>
      <c r="S991" s="540"/>
      <c r="T991" s="540"/>
      <c r="U991" s="540"/>
      <c r="V991" s="540"/>
      <c r="W991" s="540"/>
      <c r="X991" s="540"/>
      <c r="Y991" s="540"/>
      <c r="Z991" s="540"/>
    </row>
    <row r="992" ht="171.75" customHeight="1">
      <c r="A992" s="540"/>
      <c r="B992" s="540"/>
      <c r="C992" s="540"/>
      <c r="D992" s="540"/>
      <c r="E992" s="540"/>
      <c r="F992" s="540"/>
      <c r="G992" s="540"/>
      <c r="H992" s="540"/>
      <c r="I992" s="540"/>
      <c r="J992" s="540"/>
      <c r="K992" s="540"/>
      <c r="L992" s="540"/>
      <c r="M992" s="540"/>
      <c r="N992" s="540"/>
      <c r="O992" s="540"/>
      <c r="P992" s="540"/>
      <c r="Q992" s="540"/>
      <c r="R992" s="540"/>
      <c r="S992" s="540"/>
      <c r="T992" s="540"/>
      <c r="U992" s="540"/>
      <c r="V992" s="540"/>
      <c r="W992" s="540"/>
      <c r="X992" s="540"/>
      <c r="Y992" s="540"/>
      <c r="Z992" s="540"/>
    </row>
    <row r="993" ht="171.75" customHeight="1">
      <c r="A993" s="540"/>
      <c r="B993" s="540"/>
      <c r="C993" s="540"/>
      <c r="D993" s="540"/>
      <c r="E993" s="540"/>
      <c r="F993" s="540"/>
      <c r="G993" s="540"/>
      <c r="H993" s="540"/>
      <c r="I993" s="540"/>
      <c r="J993" s="540"/>
      <c r="K993" s="540"/>
      <c r="L993" s="540"/>
      <c r="M993" s="540"/>
      <c r="N993" s="540"/>
      <c r="O993" s="540"/>
      <c r="P993" s="540"/>
      <c r="Q993" s="540"/>
      <c r="R993" s="540"/>
      <c r="S993" s="540"/>
      <c r="T993" s="540"/>
      <c r="U993" s="540"/>
      <c r="V993" s="540"/>
      <c r="W993" s="540"/>
      <c r="X993" s="540"/>
      <c r="Y993" s="540"/>
      <c r="Z993" s="540"/>
    </row>
    <row r="994" ht="171.75" customHeight="1">
      <c r="A994" s="540"/>
      <c r="B994" s="540"/>
      <c r="C994" s="540"/>
      <c r="D994" s="540"/>
      <c r="E994" s="540"/>
      <c r="F994" s="540"/>
      <c r="G994" s="540"/>
      <c r="H994" s="540"/>
      <c r="I994" s="540"/>
      <c r="J994" s="540"/>
      <c r="K994" s="540"/>
      <c r="L994" s="540"/>
      <c r="M994" s="540"/>
      <c r="N994" s="540"/>
      <c r="O994" s="540"/>
      <c r="P994" s="540"/>
      <c r="Q994" s="540"/>
      <c r="R994" s="540"/>
      <c r="S994" s="540"/>
      <c r="T994" s="540"/>
      <c r="U994" s="540"/>
      <c r="V994" s="540"/>
      <c r="W994" s="540"/>
      <c r="X994" s="540"/>
      <c r="Y994" s="540"/>
      <c r="Z994" s="540"/>
    </row>
    <row r="995" ht="171.75" customHeight="1">
      <c r="A995" s="540"/>
      <c r="B995" s="540"/>
      <c r="C995" s="540"/>
      <c r="D995" s="540"/>
      <c r="E995" s="540"/>
      <c r="F995" s="540"/>
      <c r="G995" s="540"/>
      <c r="H995" s="540"/>
      <c r="I995" s="540"/>
      <c r="J995" s="540"/>
      <c r="K995" s="540"/>
      <c r="L995" s="540"/>
      <c r="M995" s="540"/>
      <c r="N995" s="540"/>
      <c r="O995" s="540"/>
      <c r="P995" s="540"/>
      <c r="Q995" s="540"/>
      <c r="R995" s="540"/>
      <c r="S995" s="540"/>
      <c r="T995" s="540"/>
      <c r="U995" s="540"/>
      <c r="V995" s="540"/>
      <c r="W995" s="540"/>
      <c r="X995" s="540"/>
      <c r="Y995" s="540"/>
      <c r="Z995" s="540"/>
    </row>
    <row r="996" ht="171.75" customHeight="1">
      <c r="A996" s="540"/>
      <c r="B996" s="540"/>
      <c r="C996" s="540"/>
      <c r="D996" s="540"/>
      <c r="E996" s="540"/>
      <c r="F996" s="540"/>
      <c r="G996" s="540"/>
      <c r="H996" s="540"/>
      <c r="I996" s="540"/>
      <c r="J996" s="540"/>
      <c r="K996" s="540"/>
      <c r="L996" s="540"/>
      <c r="M996" s="540"/>
      <c r="N996" s="540"/>
      <c r="O996" s="540"/>
      <c r="P996" s="540"/>
      <c r="Q996" s="540"/>
      <c r="R996" s="540"/>
      <c r="S996" s="540"/>
      <c r="T996" s="540"/>
      <c r="U996" s="540"/>
      <c r="V996" s="540"/>
      <c r="W996" s="540"/>
      <c r="X996" s="540"/>
      <c r="Y996" s="540"/>
      <c r="Z996" s="540"/>
    </row>
    <row r="997" ht="171.75" customHeight="1">
      <c r="A997" s="540"/>
      <c r="B997" s="540"/>
      <c r="C997" s="540"/>
      <c r="D997" s="540"/>
      <c r="E997" s="540"/>
      <c r="F997" s="540"/>
      <c r="G997" s="540"/>
      <c r="H997" s="540"/>
      <c r="I997" s="540"/>
      <c r="J997" s="540"/>
      <c r="K997" s="540"/>
      <c r="L997" s="540"/>
      <c r="M997" s="540"/>
      <c r="N997" s="540"/>
      <c r="O997" s="540"/>
      <c r="P997" s="540"/>
      <c r="Q997" s="540"/>
      <c r="R997" s="540"/>
      <c r="S997" s="540"/>
      <c r="T997" s="540"/>
      <c r="U997" s="540"/>
      <c r="V997" s="540"/>
      <c r="W997" s="540"/>
      <c r="X997" s="540"/>
      <c r="Y997" s="540"/>
      <c r="Z997" s="540"/>
    </row>
    <row r="998" ht="171.75" customHeight="1">
      <c r="A998" s="540"/>
      <c r="B998" s="540"/>
      <c r="C998" s="540"/>
      <c r="D998" s="540"/>
      <c r="E998" s="540"/>
      <c r="F998" s="540"/>
      <c r="G998" s="540"/>
      <c r="H998" s="540"/>
      <c r="I998" s="540"/>
      <c r="J998" s="540"/>
      <c r="K998" s="540"/>
      <c r="L998" s="540"/>
      <c r="M998" s="540"/>
      <c r="N998" s="540"/>
      <c r="O998" s="540"/>
      <c r="P998" s="540"/>
      <c r="Q998" s="540"/>
      <c r="R998" s="540"/>
      <c r="S998" s="540"/>
      <c r="T998" s="540"/>
      <c r="U998" s="540"/>
      <c r="V998" s="540"/>
      <c r="W998" s="540"/>
      <c r="X998" s="540"/>
      <c r="Y998" s="540"/>
      <c r="Z998" s="540"/>
    </row>
    <row r="999" ht="171.75" customHeight="1">
      <c r="A999" s="540"/>
      <c r="B999" s="540"/>
      <c r="C999" s="540"/>
      <c r="D999" s="540"/>
      <c r="E999" s="540"/>
      <c r="F999" s="540"/>
      <c r="G999" s="540"/>
      <c r="H999" s="540"/>
      <c r="I999" s="540"/>
      <c r="J999" s="540"/>
      <c r="K999" s="540"/>
      <c r="L999" s="540"/>
      <c r="M999" s="540"/>
      <c r="N999" s="540"/>
      <c r="O999" s="540"/>
      <c r="P999" s="540"/>
      <c r="Q999" s="540"/>
      <c r="R999" s="540"/>
      <c r="S999" s="540"/>
      <c r="T999" s="540"/>
      <c r="U999" s="540"/>
      <c r="V999" s="540"/>
      <c r="W999" s="540"/>
      <c r="X999" s="540"/>
      <c r="Y999" s="540"/>
      <c r="Z999" s="540"/>
    </row>
    <row r="1000" ht="171.75" customHeight="1">
      <c r="A1000" s="540"/>
      <c r="B1000" s="540"/>
      <c r="C1000" s="540"/>
      <c r="D1000" s="540"/>
      <c r="E1000" s="540"/>
      <c r="F1000" s="540"/>
      <c r="G1000" s="540"/>
      <c r="H1000" s="540"/>
      <c r="I1000" s="540"/>
      <c r="J1000" s="540"/>
      <c r="K1000" s="540"/>
      <c r="L1000" s="540"/>
      <c r="M1000" s="540"/>
      <c r="N1000" s="540"/>
      <c r="O1000" s="540"/>
      <c r="P1000" s="540"/>
      <c r="Q1000" s="540"/>
      <c r="R1000" s="540"/>
      <c r="S1000" s="540"/>
      <c r="T1000" s="540"/>
      <c r="U1000" s="540"/>
      <c r="V1000" s="540"/>
      <c r="W1000" s="540"/>
      <c r="X1000" s="540"/>
      <c r="Y1000" s="540"/>
      <c r="Z1000" s="540"/>
    </row>
  </sheetData>
  <mergeCells count="1">
    <mergeCell ref="R40:T40"/>
  </mergeCells>
  <dataValidations>
    <dataValidation type="list" allowBlank="1" showErrorMessage="1" sqref="Q3:Q52">
      <formula1>"武政,石原,福島,横尾,阿部,杉浦"</formula1>
    </dataValidation>
  </dataValidations>
  <hyperlinks>
    <hyperlink r:id="rId2" location="gid=0" ref="C1"/>
    <hyperlink r:id="rId3" location="gid=1441980861&amp;range=164:164" ref="R3"/>
    <hyperlink r:id="rId4" location="gid=421846303&amp;range=3:3" ref="R4"/>
    <hyperlink r:id="rId5" location="gid=970900620&amp;range=261:261" ref="R6"/>
    <hyperlink r:id="rId6" location="gid=970900620&amp;range=277:277" ref="R7"/>
    <hyperlink r:id="rId7" location="gid=1441980861&amp;range=174:174" ref="R8"/>
  </hyperlinks>
  <drawing r:id="rId8"/>
  <legacy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6.5"/>
    <col customWidth="1" min="3" max="3" width="6.13"/>
    <col customWidth="1" min="4" max="4" width="21.38"/>
    <col customWidth="1" min="5" max="5" width="12.5"/>
    <col customWidth="1" min="6" max="6" width="26.13"/>
    <col customWidth="1" min="7" max="7" width="9.38"/>
    <col customWidth="1" min="8" max="8" width="26.13"/>
    <col customWidth="1" min="9" max="9" width="8.25"/>
    <col customWidth="1" min="10" max="10" width="24.0"/>
  </cols>
  <sheetData>
    <row r="1">
      <c r="B1" s="568"/>
      <c r="C1" s="568"/>
    </row>
    <row r="2">
      <c r="B2" s="569" t="s">
        <v>1416</v>
      </c>
      <c r="C2" s="568"/>
    </row>
    <row r="3">
      <c r="B3" s="568"/>
      <c r="C3" s="568"/>
    </row>
    <row r="4" ht="42.75" customHeight="1">
      <c r="A4" s="231"/>
      <c r="B4" s="570" t="s">
        <v>135</v>
      </c>
      <c r="C4" s="570" t="s">
        <v>136</v>
      </c>
      <c r="D4" s="570" t="s">
        <v>0</v>
      </c>
      <c r="E4" s="570" t="s">
        <v>1417</v>
      </c>
      <c r="F4" s="570" t="s">
        <v>1418</v>
      </c>
      <c r="G4" s="570" t="s">
        <v>1419</v>
      </c>
      <c r="H4" s="571" t="s">
        <v>1420</v>
      </c>
      <c r="I4" s="571" t="s">
        <v>1421</v>
      </c>
      <c r="J4" s="570" t="s">
        <v>145</v>
      </c>
      <c r="K4" s="231"/>
      <c r="L4" s="231"/>
      <c r="M4" s="231"/>
      <c r="N4" s="231"/>
      <c r="O4" s="231"/>
      <c r="P4" s="231"/>
      <c r="Q4" s="231"/>
      <c r="R4" s="231"/>
      <c r="S4" s="231"/>
      <c r="T4" s="231"/>
      <c r="U4" s="231"/>
      <c r="V4" s="231"/>
      <c r="W4" s="231"/>
      <c r="X4" s="231"/>
      <c r="Y4" s="231"/>
      <c r="Z4" s="231"/>
    </row>
    <row r="5" ht="30.0" customHeight="1">
      <c r="B5" s="572" t="s">
        <v>181</v>
      </c>
      <c r="C5" s="573">
        <v>12.0</v>
      </c>
      <c r="D5" s="574" t="s">
        <v>333</v>
      </c>
      <c r="E5" s="575" t="s">
        <v>1422</v>
      </c>
      <c r="F5" s="574" t="s">
        <v>1423</v>
      </c>
      <c r="G5" s="575" t="s">
        <v>1424</v>
      </c>
      <c r="H5" s="576" t="s">
        <v>1425</v>
      </c>
      <c r="I5" s="577" t="s">
        <v>1426</v>
      </c>
      <c r="J5" s="578"/>
      <c r="K5" s="579" t="s">
        <v>1427</v>
      </c>
    </row>
    <row r="6" ht="30.0" customHeight="1">
      <c r="B6" s="572" t="s">
        <v>171</v>
      </c>
      <c r="C6" s="573">
        <v>13.0</v>
      </c>
      <c r="D6" s="574" t="s">
        <v>255</v>
      </c>
      <c r="E6" s="575">
        <v>4.0</v>
      </c>
      <c r="F6" s="574" t="s">
        <v>1428</v>
      </c>
      <c r="G6" s="575" t="s">
        <v>1429</v>
      </c>
      <c r="H6" s="580" t="s">
        <v>1430</v>
      </c>
      <c r="I6" s="577" t="s">
        <v>1431</v>
      </c>
      <c r="J6" s="578"/>
      <c r="K6" s="579" t="s">
        <v>1432</v>
      </c>
    </row>
    <row r="7" ht="30.0" customHeight="1">
      <c r="B7" s="572" t="s">
        <v>184</v>
      </c>
      <c r="C7" s="573">
        <v>8.0</v>
      </c>
      <c r="D7" s="574" t="s">
        <v>366</v>
      </c>
      <c r="E7" s="575">
        <v>5.0</v>
      </c>
      <c r="F7" s="574" t="s">
        <v>1433</v>
      </c>
      <c r="G7" s="575" t="s">
        <v>1429</v>
      </c>
      <c r="H7" s="580" t="s">
        <v>1434</v>
      </c>
      <c r="I7" s="577" t="s">
        <v>1426</v>
      </c>
      <c r="J7" s="578"/>
      <c r="K7" s="579" t="s">
        <v>1435</v>
      </c>
    </row>
    <row r="8" ht="30.0" customHeight="1">
      <c r="B8" s="572" t="s">
        <v>177</v>
      </c>
      <c r="C8" s="573">
        <v>13.0</v>
      </c>
      <c r="D8" s="574" t="s">
        <v>301</v>
      </c>
      <c r="E8" s="575">
        <v>12.0</v>
      </c>
      <c r="F8" s="574" t="s">
        <v>1436</v>
      </c>
      <c r="G8" s="575" t="s">
        <v>1429</v>
      </c>
      <c r="H8" s="580" t="s">
        <v>1437</v>
      </c>
      <c r="I8" s="577" t="s">
        <v>1431</v>
      </c>
      <c r="J8" s="578"/>
      <c r="K8" s="579" t="s">
        <v>1438</v>
      </c>
    </row>
    <row r="9" ht="30.0" customHeight="1">
      <c r="B9" s="572" t="s">
        <v>186</v>
      </c>
      <c r="C9" s="573">
        <v>8.0</v>
      </c>
      <c r="D9" s="574" t="s">
        <v>1439</v>
      </c>
      <c r="E9" s="575">
        <v>4.0</v>
      </c>
      <c r="F9" s="574" t="s">
        <v>1433</v>
      </c>
      <c r="G9" s="575" t="s">
        <v>1429</v>
      </c>
      <c r="H9" s="580" t="s">
        <v>1440</v>
      </c>
      <c r="I9" s="577" t="s">
        <v>1426</v>
      </c>
      <c r="J9" s="578"/>
      <c r="K9" s="579" t="s">
        <v>1441</v>
      </c>
    </row>
    <row r="10" ht="30.0" customHeight="1">
      <c r="B10" s="572" t="s">
        <v>194</v>
      </c>
      <c r="C10" s="573">
        <v>12.0</v>
      </c>
      <c r="D10" s="574" t="s">
        <v>456</v>
      </c>
      <c r="E10" s="575">
        <v>7.0</v>
      </c>
      <c r="F10" s="578"/>
      <c r="G10" s="575" t="s">
        <v>1429</v>
      </c>
      <c r="H10" s="576" t="s">
        <v>1442</v>
      </c>
      <c r="I10" s="577" t="s">
        <v>1443</v>
      </c>
      <c r="J10" s="578"/>
      <c r="K10" s="579" t="s">
        <v>1444</v>
      </c>
    </row>
    <row r="11" ht="30.0" customHeight="1">
      <c r="B11" s="572" t="s">
        <v>194</v>
      </c>
      <c r="C11" s="573">
        <v>17.0</v>
      </c>
      <c r="D11" s="574" t="s">
        <v>39</v>
      </c>
      <c r="E11" s="575" t="s">
        <v>1445</v>
      </c>
      <c r="F11" s="574" t="s">
        <v>1446</v>
      </c>
      <c r="G11" s="575" t="s">
        <v>1429</v>
      </c>
      <c r="H11" s="580" t="s">
        <v>1447</v>
      </c>
      <c r="I11" s="577" t="s">
        <v>1448</v>
      </c>
      <c r="J11" s="581" t="s">
        <v>1449</v>
      </c>
    </row>
    <row r="12">
      <c r="B12" s="568"/>
      <c r="C12" s="568"/>
    </row>
    <row r="13">
      <c r="B13" s="568"/>
      <c r="C13" s="568"/>
    </row>
    <row r="14">
      <c r="B14" s="568"/>
      <c r="C14" s="568"/>
    </row>
    <row r="15">
      <c r="B15" s="568"/>
      <c r="C15" s="568"/>
    </row>
    <row r="16">
      <c r="B16" s="568"/>
      <c r="C16" s="568"/>
    </row>
    <row r="17">
      <c r="B17" s="568"/>
      <c r="C17" s="568"/>
    </row>
    <row r="18">
      <c r="B18" s="568"/>
      <c r="C18" s="568"/>
    </row>
    <row r="19">
      <c r="B19" s="568"/>
      <c r="C19" s="568"/>
    </row>
    <row r="20">
      <c r="B20" s="568"/>
      <c r="C20" s="568"/>
    </row>
    <row r="21">
      <c r="B21" s="568"/>
      <c r="C21" s="568"/>
    </row>
    <row r="22">
      <c r="B22" s="568"/>
      <c r="C22" s="568"/>
    </row>
    <row r="23">
      <c r="B23" s="568"/>
      <c r="C23" s="568"/>
    </row>
    <row r="24">
      <c r="B24" s="568"/>
      <c r="C24" s="568"/>
    </row>
    <row r="25">
      <c r="B25" s="568"/>
      <c r="C25" s="568"/>
    </row>
    <row r="26">
      <c r="B26" s="568"/>
      <c r="C26" s="568"/>
    </row>
    <row r="27">
      <c r="B27" s="568"/>
      <c r="C27" s="568"/>
    </row>
    <row r="28">
      <c r="B28" s="568"/>
      <c r="C28" s="568"/>
    </row>
    <row r="29">
      <c r="B29" s="568"/>
      <c r="C29" s="568"/>
    </row>
    <row r="30">
      <c r="B30" s="568"/>
      <c r="C30" s="568"/>
    </row>
    <row r="31">
      <c r="B31" s="568"/>
      <c r="C31" s="568"/>
    </row>
    <row r="32">
      <c r="B32" s="568"/>
      <c r="C32" s="568"/>
    </row>
    <row r="33">
      <c r="B33" s="568"/>
      <c r="C33" s="568"/>
    </row>
    <row r="34">
      <c r="B34" s="568"/>
      <c r="C34" s="568"/>
    </row>
    <row r="35">
      <c r="B35" s="568"/>
      <c r="C35" s="568"/>
    </row>
    <row r="36">
      <c r="B36" s="568"/>
      <c r="C36" s="568"/>
    </row>
    <row r="37">
      <c r="B37" s="568"/>
      <c r="C37" s="568"/>
    </row>
    <row r="38">
      <c r="B38" s="568"/>
      <c r="C38" s="568"/>
    </row>
    <row r="39">
      <c r="B39" s="568"/>
      <c r="C39" s="568"/>
    </row>
    <row r="40">
      <c r="B40" s="568"/>
      <c r="C40" s="568"/>
    </row>
    <row r="41">
      <c r="B41" s="568"/>
      <c r="C41" s="568"/>
    </row>
    <row r="42">
      <c r="B42" s="568"/>
      <c r="C42" s="568"/>
    </row>
    <row r="43">
      <c r="B43" s="568"/>
      <c r="C43" s="568"/>
    </row>
    <row r="44">
      <c r="B44" s="568"/>
      <c r="C44" s="568"/>
    </row>
    <row r="45">
      <c r="B45" s="568"/>
      <c r="C45" s="568"/>
    </row>
    <row r="46">
      <c r="B46" s="568"/>
      <c r="C46" s="568"/>
    </row>
    <row r="47">
      <c r="B47" s="568"/>
      <c r="C47" s="568"/>
    </row>
    <row r="48">
      <c r="B48" s="568"/>
      <c r="C48" s="568"/>
    </row>
    <row r="49">
      <c r="B49" s="568"/>
      <c r="C49" s="568"/>
    </row>
    <row r="50">
      <c r="B50" s="568"/>
      <c r="C50" s="568"/>
    </row>
    <row r="51">
      <c r="B51" s="568"/>
      <c r="C51" s="568"/>
    </row>
    <row r="52">
      <c r="B52" s="568"/>
      <c r="C52" s="568"/>
    </row>
    <row r="53">
      <c r="B53" s="568"/>
      <c r="C53" s="568"/>
    </row>
    <row r="54">
      <c r="B54" s="568"/>
      <c r="C54" s="568"/>
    </row>
    <row r="55">
      <c r="B55" s="568"/>
      <c r="C55" s="568"/>
    </row>
    <row r="56">
      <c r="B56" s="568"/>
      <c r="C56" s="568"/>
    </row>
    <row r="57">
      <c r="B57" s="568"/>
      <c r="C57" s="568"/>
    </row>
    <row r="58">
      <c r="B58" s="568"/>
      <c r="C58" s="568"/>
    </row>
    <row r="59">
      <c r="B59" s="568"/>
      <c r="C59" s="568"/>
    </row>
    <row r="60">
      <c r="B60" s="568"/>
      <c r="C60" s="568"/>
    </row>
    <row r="61">
      <c r="B61" s="568"/>
      <c r="C61" s="568"/>
    </row>
    <row r="62">
      <c r="B62" s="568"/>
      <c r="C62" s="568"/>
    </row>
    <row r="63">
      <c r="B63" s="568"/>
      <c r="C63" s="568"/>
    </row>
    <row r="64">
      <c r="B64" s="568"/>
      <c r="C64" s="568"/>
    </row>
    <row r="65">
      <c r="B65" s="568"/>
      <c r="C65" s="568"/>
    </row>
    <row r="66">
      <c r="B66" s="568"/>
      <c r="C66" s="568"/>
    </row>
    <row r="67">
      <c r="B67" s="568"/>
      <c r="C67" s="568"/>
    </row>
    <row r="68">
      <c r="B68" s="568"/>
      <c r="C68" s="568"/>
    </row>
    <row r="69">
      <c r="B69" s="568"/>
      <c r="C69" s="568"/>
    </row>
    <row r="70">
      <c r="B70" s="568"/>
      <c r="C70" s="568"/>
    </row>
    <row r="71">
      <c r="B71" s="568"/>
      <c r="C71" s="568"/>
    </row>
    <row r="72">
      <c r="B72" s="568"/>
      <c r="C72" s="568"/>
    </row>
    <row r="73">
      <c r="B73" s="568"/>
      <c r="C73" s="568"/>
    </row>
    <row r="74">
      <c r="B74" s="568"/>
      <c r="C74" s="568"/>
    </row>
    <row r="75">
      <c r="B75" s="568"/>
      <c r="C75" s="568"/>
    </row>
    <row r="76">
      <c r="B76" s="568"/>
      <c r="C76" s="568"/>
    </row>
    <row r="77">
      <c r="B77" s="568"/>
      <c r="C77" s="568"/>
    </row>
    <row r="78">
      <c r="B78" s="568"/>
      <c r="C78" s="568"/>
    </row>
    <row r="79">
      <c r="B79" s="568"/>
      <c r="C79" s="568"/>
    </row>
    <row r="80">
      <c r="B80" s="568"/>
      <c r="C80" s="568"/>
    </row>
    <row r="81">
      <c r="B81" s="568"/>
      <c r="C81" s="568"/>
    </row>
    <row r="82">
      <c r="B82" s="568"/>
      <c r="C82" s="568"/>
    </row>
    <row r="83">
      <c r="B83" s="568"/>
      <c r="C83" s="568"/>
    </row>
    <row r="84">
      <c r="B84" s="568"/>
      <c r="C84" s="568"/>
    </row>
    <row r="85">
      <c r="B85" s="568"/>
      <c r="C85" s="568"/>
    </row>
    <row r="86">
      <c r="B86" s="568"/>
      <c r="C86" s="568"/>
    </row>
    <row r="87">
      <c r="B87" s="568"/>
      <c r="C87" s="568"/>
    </row>
    <row r="88">
      <c r="B88" s="568"/>
      <c r="C88" s="568"/>
    </row>
    <row r="89">
      <c r="B89" s="568"/>
      <c r="C89" s="568"/>
    </row>
    <row r="90">
      <c r="B90" s="568"/>
      <c r="C90" s="568"/>
    </row>
    <row r="91">
      <c r="B91" s="568"/>
      <c r="C91" s="568"/>
    </row>
    <row r="92">
      <c r="B92" s="568"/>
      <c r="C92" s="568"/>
    </row>
    <row r="93">
      <c r="B93" s="568"/>
      <c r="C93" s="568"/>
    </row>
    <row r="94">
      <c r="B94" s="568"/>
      <c r="C94" s="568"/>
    </row>
    <row r="95">
      <c r="B95" s="568"/>
      <c r="C95" s="568"/>
    </row>
    <row r="96">
      <c r="B96" s="568"/>
      <c r="C96" s="568"/>
    </row>
    <row r="97">
      <c r="B97" s="568"/>
      <c r="C97" s="568"/>
    </row>
    <row r="98">
      <c r="B98" s="568"/>
      <c r="C98" s="568"/>
    </row>
    <row r="99">
      <c r="B99" s="568"/>
      <c r="C99" s="568"/>
    </row>
    <row r="100">
      <c r="B100" s="568"/>
      <c r="C100" s="568"/>
    </row>
    <row r="101">
      <c r="B101" s="568"/>
      <c r="C101" s="568"/>
    </row>
    <row r="102">
      <c r="B102" s="568"/>
      <c r="C102" s="568"/>
    </row>
    <row r="103">
      <c r="B103" s="568"/>
      <c r="C103" s="568"/>
    </row>
    <row r="104">
      <c r="B104" s="568"/>
      <c r="C104" s="568"/>
    </row>
    <row r="105">
      <c r="B105" s="568"/>
      <c r="C105" s="568"/>
    </row>
    <row r="106">
      <c r="B106" s="568"/>
      <c r="C106" s="568"/>
    </row>
    <row r="107">
      <c r="B107" s="568"/>
      <c r="C107" s="568"/>
    </row>
    <row r="108">
      <c r="B108" s="568"/>
      <c r="C108" s="568"/>
    </row>
    <row r="109">
      <c r="B109" s="568"/>
      <c r="C109" s="568"/>
    </row>
    <row r="110">
      <c r="B110" s="568"/>
      <c r="C110" s="568"/>
    </row>
    <row r="111">
      <c r="B111" s="568"/>
      <c r="C111" s="568"/>
    </row>
    <row r="112">
      <c r="B112" s="568"/>
      <c r="C112" s="568"/>
    </row>
    <row r="113">
      <c r="B113" s="568"/>
      <c r="C113" s="568"/>
    </row>
    <row r="114">
      <c r="B114" s="568"/>
      <c r="C114" s="568"/>
    </row>
    <row r="115">
      <c r="B115" s="568"/>
      <c r="C115" s="568"/>
    </row>
    <row r="116">
      <c r="B116" s="568"/>
      <c r="C116" s="568"/>
    </row>
    <row r="117">
      <c r="B117" s="568"/>
      <c r="C117" s="568"/>
    </row>
    <row r="118">
      <c r="B118" s="568"/>
      <c r="C118" s="568"/>
    </row>
    <row r="119">
      <c r="B119" s="568"/>
      <c r="C119" s="568"/>
    </row>
    <row r="120">
      <c r="B120" s="568"/>
      <c r="C120" s="568"/>
    </row>
    <row r="121">
      <c r="B121" s="568"/>
      <c r="C121" s="568"/>
    </row>
    <row r="122">
      <c r="B122" s="568"/>
      <c r="C122" s="568"/>
    </row>
    <row r="123">
      <c r="B123" s="568"/>
      <c r="C123" s="568"/>
    </row>
    <row r="124">
      <c r="B124" s="568"/>
      <c r="C124" s="568"/>
    </row>
    <row r="125">
      <c r="B125" s="568"/>
      <c r="C125" s="568"/>
    </row>
    <row r="126">
      <c r="B126" s="568"/>
      <c r="C126" s="568"/>
    </row>
    <row r="127">
      <c r="B127" s="568"/>
      <c r="C127" s="568"/>
    </row>
    <row r="128">
      <c r="B128" s="568"/>
      <c r="C128" s="568"/>
    </row>
    <row r="129">
      <c r="B129" s="568"/>
      <c r="C129" s="568"/>
    </row>
    <row r="130">
      <c r="B130" s="568"/>
      <c r="C130" s="568"/>
    </row>
    <row r="131">
      <c r="B131" s="568"/>
      <c r="C131" s="568"/>
    </row>
    <row r="132">
      <c r="B132" s="568"/>
      <c r="C132" s="568"/>
    </row>
    <row r="133">
      <c r="B133" s="568"/>
      <c r="C133" s="568"/>
    </row>
    <row r="134">
      <c r="B134" s="568"/>
      <c r="C134" s="568"/>
    </row>
    <row r="135">
      <c r="B135" s="568"/>
      <c r="C135" s="568"/>
    </row>
    <row r="136">
      <c r="B136" s="568"/>
      <c r="C136" s="568"/>
    </row>
    <row r="137">
      <c r="B137" s="568"/>
      <c r="C137" s="568"/>
    </row>
    <row r="138">
      <c r="B138" s="568"/>
      <c r="C138" s="568"/>
    </row>
    <row r="139">
      <c r="B139" s="568"/>
      <c r="C139" s="568"/>
    </row>
    <row r="140">
      <c r="B140" s="568"/>
      <c r="C140" s="568"/>
    </row>
    <row r="141">
      <c r="B141" s="568"/>
      <c r="C141" s="568"/>
    </row>
    <row r="142">
      <c r="B142" s="568"/>
      <c r="C142" s="568"/>
    </row>
    <row r="143">
      <c r="B143" s="568"/>
      <c r="C143" s="568"/>
    </row>
    <row r="144">
      <c r="B144" s="568"/>
      <c r="C144" s="568"/>
    </row>
    <row r="145">
      <c r="B145" s="568"/>
      <c r="C145" s="568"/>
    </row>
    <row r="146">
      <c r="B146" s="568"/>
      <c r="C146" s="568"/>
    </row>
    <row r="147">
      <c r="B147" s="568"/>
      <c r="C147" s="568"/>
    </row>
    <row r="148">
      <c r="B148" s="568"/>
      <c r="C148" s="568"/>
    </row>
    <row r="149">
      <c r="B149" s="568"/>
      <c r="C149" s="568"/>
    </row>
    <row r="150">
      <c r="B150" s="568"/>
      <c r="C150" s="568"/>
    </row>
    <row r="151">
      <c r="B151" s="568"/>
      <c r="C151" s="568"/>
    </row>
    <row r="152">
      <c r="B152" s="568"/>
      <c r="C152" s="568"/>
    </row>
    <row r="153">
      <c r="B153" s="568"/>
      <c r="C153" s="568"/>
    </row>
    <row r="154">
      <c r="B154" s="568"/>
      <c r="C154" s="568"/>
    </row>
    <row r="155">
      <c r="B155" s="568"/>
      <c r="C155" s="568"/>
    </row>
    <row r="156">
      <c r="B156" s="568"/>
      <c r="C156" s="568"/>
    </row>
    <row r="157">
      <c r="B157" s="568"/>
      <c r="C157" s="568"/>
    </row>
    <row r="158">
      <c r="B158" s="568"/>
      <c r="C158" s="568"/>
    </row>
    <row r="159">
      <c r="B159" s="568"/>
      <c r="C159" s="568"/>
    </row>
    <row r="160">
      <c r="B160" s="568"/>
      <c r="C160" s="568"/>
    </row>
    <row r="161">
      <c r="B161" s="568"/>
      <c r="C161" s="568"/>
    </row>
    <row r="162">
      <c r="B162" s="568"/>
      <c r="C162" s="568"/>
    </row>
    <row r="163">
      <c r="B163" s="568"/>
      <c r="C163" s="568"/>
    </row>
    <row r="164">
      <c r="B164" s="568"/>
      <c r="C164" s="568"/>
    </row>
    <row r="165">
      <c r="B165" s="568"/>
      <c r="C165" s="568"/>
    </row>
    <row r="166">
      <c r="B166" s="568"/>
      <c r="C166" s="568"/>
    </row>
    <row r="167">
      <c r="B167" s="568"/>
      <c r="C167" s="568"/>
    </row>
    <row r="168">
      <c r="B168" s="568"/>
      <c r="C168" s="568"/>
    </row>
    <row r="169">
      <c r="B169" s="568"/>
      <c r="C169" s="568"/>
    </row>
    <row r="170">
      <c r="B170" s="568"/>
      <c r="C170" s="568"/>
    </row>
    <row r="171">
      <c r="B171" s="568"/>
      <c r="C171" s="568"/>
    </row>
    <row r="172">
      <c r="B172" s="568"/>
      <c r="C172" s="568"/>
    </row>
    <row r="173">
      <c r="B173" s="568"/>
      <c r="C173" s="568"/>
    </row>
    <row r="174">
      <c r="B174" s="568"/>
      <c r="C174" s="568"/>
    </row>
    <row r="175">
      <c r="B175" s="568"/>
      <c r="C175" s="568"/>
    </row>
    <row r="176">
      <c r="B176" s="568"/>
      <c r="C176" s="568"/>
    </row>
    <row r="177">
      <c r="B177" s="568"/>
      <c r="C177" s="568"/>
    </row>
    <row r="178">
      <c r="B178" s="568"/>
      <c r="C178" s="568"/>
    </row>
    <row r="179">
      <c r="B179" s="568"/>
      <c r="C179" s="568"/>
    </row>
    <row r="180">
      <c r="B180" s="568"/>
      <c r="C180" s="568"/>
    </row>
    <row r="181">
      <c r="B181" s="568"/>
      <c r="C181" s="568"/>
    </row>
    <row r="182">
      <c r="B182" s="568"/>
      <c r="C182" s="568"/>
    </row>
    <row r="183">
      <c r="B183" s="568"/>
      <c r="C183" s="568"/>
    </row>
    <row r="184">
      <c r="B184" s="568"/>
      <c r="C184" s="568"/>
    </row>
    <row r="185">
      <c r="B185" s="568"/>
      <c r="C185" s="568"/>
    </row>
    <row r="186">
      <c r="B186" s="568"/>
      <c r="C186" s="568"/>
    </row>
    <row r="187">
      <c r="B187" s="568"/>
      <c r="C187" s="568"/>
    </row>
    <row r="188">
      <c r="B188" s="568"/>
      <c r="C188" s="568"/>
    </row>
    <row r="189">
      <c r="B189" s="568"/>
      <c r="C189" s="568"/>
    </row>
    <row r="190">
      <c r="B190" s="568"/>
      <c r="C190" s="568"/>
    </row>
    <row r="191">
      <c r="B191" s="568"/>
      <c r="C191" s="568"/>
    </row>
    <row r="192">
      <c r="B192" s="568"/>
      <c r="C192" s="568"/>
    </row>
    <row r="193">
      <c r="B193" s="568"/>
      <c r="C193" s="568"/>
    </row>
    <row r="194">
      <c r="B194" s="568"/>
      <c r="C194" s="568"/>
    </row>
    <row r="195">
      <c r="B195" s="568"/>
      <c r="C195" s="568"/>
    </row>
    <row r="196">
      <c r="B196" s="568"/>
      <c r="C196" s="568"/>
    </row>
    <row r="197">
      <c r="B197" s="568"/>
      <c r="C197" s="568"/>
    </row>
    <row r="198">
      <c r="B198" s="568"/>
      <c r="C198" s="568"/>
    </row>
    <row r="199">
      <c r="B199" s="568"/>
      <c r="C199" s="568"/>
    </row>
    <row r="200">
      <c r="B200" s="568"/>
      <c r="C200" s="568"/>
    </row>
    <row r="201">
      <c r="B201" s="568"/>
      <c r="C201" s="568"/>
    </row>
    <row r="202">
      <c r="B202" s="568"/>
      <c r="C202" s="568"/>
    </row>
    <row r="203">
      <c r="B203" s="568"/>
      <c r="C203" s="568"/>
    </row>
    <row r="204">
      <c r="B204" s="568"/>
      <c r="C204" s="568"/>
    </row>
    <row r="205">
      <c r="B205" s="568"/>
      <c r="C205" s="568"/>
    </row>
    <row r="206">
      <c r="B206" s="568"/>
      <c r="C206" s="568"/>
    </row>
    <row r="207">
      <c r="B207" s="568"/>
      <c r="C207" s="568"/>
    </row>
    <row r="208">
      <c r="B208" s="568"/>
      <c r="C208" s="568"/>
    </row>
    <row r="209">
      <c r="B209" s="568"/>
      <c r="C209" s="568"/>
    </row>
    <row r="210">
      <c r="B210" s="568"/>
      <c r="C210" s="568"/>
    </row>
    <row r="211">
      <c r="B211" s="568"/>
      <c r="C211" s="568"/>
    </row>
    <row r="212">
      <c r="B212" s="568"/>
      <c r="C212" s="568"/>
    </row>
    <row r="213">
      <c r="B213" s="568"/>
      <c r="C213" s="568"/>
    </row>
    <row r="214">
      <c r="B214" s="568"/>
      <c r="C214" s="568"/>
    </row>
    <row r="215">
      <c r="B215" s="568"/>
      <c r="C215" s="568"/>
    </row>
    <row r="216">
      <c r="B216" s="568"/>
      <c r="C216" s="568"/>
    </row>
    <row r="217">
      <c r="B217" s="568"/>
      <c r="C217" s="568"/>
    </row>
    <row r="218">
      <c r="B218" s="568"/>
      <c r="C218" s="568"/>
    </row>
    <row r="219">
      <c r="B219" s="568"/>
      <c r="C219" s="568"/>
    </row>
    <row r="220">
      <c r="B220" s="568"/>
      <c r="C220" s="568"/>
    </row>
    <row r="221">
      <c r="B221" s="568"/>
      <c r="C221" s="568"/>
    </row>
    <row r="222">
      <c r="B222" s="568"/>
      <c r="C222" s="568"/>
    </row>
    <row r="223">
      <c r="B223" s="568"/>
      <c r="C223" s="568"/>
    </row>
    <row r="224">
      <c r="B224" s="568"/>
      <c r="C224" s="568"/>
    </row>
    <row r="225">
      <c r="B225" s="568"/>
      <c r="C225" s="568"/>
    </row>
    <row r="226">
      <c r="B226" s="568"/>
      <c r="C226" s="568"/>
    </row>
    <row r="227">
      <c r="B227" s="568"/>
      <c r="C227" s="568"/>
    </row>
    <row r="228">
      <c r="B228" s="568"/>
      <c r="C228" s="568"/>
    </row>
    <row r="229">
      <c r="B229" s="568"/>
      <c r="C229" s="568"/>
    </row>
    <row r="230">
      <c r="B230" s="568"/>
      <c r="C230" s="568"/>
    </row>
    <row r="231">
      <c r="B231" s="568"/>
      <c r="C231" s="568"/>
    </row>
    <row r="232">
      <c r="B232" s="568"/>
      <c r="C232" s="568"/>
    </row>
    <row r="233">
      <c r="B233" s="568"/>
      <c r="C233" s="568"/>
    </row>
    <row r="234">
      <c r="B234" s="568"/>
      <c r="C234" s="568"/>
    </row>
    <row r="235">
      <c r="B235" s="568"/>
      <c r="C235" s="568"/>
    </row>
    <row r="236">
      <c r="B236" s="568"/>
      <c r="C236" s="568"/>
    </row>
    <row r="237">
      <c r="B237" s="568"/>
      <c r="C237" s="568"/>
    </row>
    <row r="238">
      <c r="B238" s="568"/>
      <c r="C238" s="568"/>
    </row>
    <row r="239">
      <c r="B239" s="568"/>
      <c r="C239" s="568"/>
    </row>
    <row r="240">
      <c r="B240" s="568"/>
      <c r="C240" s="568"/>
    </row>
    <row r="241">
      <c r="B241" s="568"/>
      <c r="C241" s="568"/>
    </row>
    <row r="242">
      <c r="B242" s="568"/>
      <c r="C242" s="568"/>
    </row>
    <row r="243">
      <c r="B243" s="568"/>
      <c r="C243" s="568"/>
    </row>
    <row r="244">
      <c r="B244" s="568"/>
      <c r="C244" s="568"/>
    </row>
    <row r="245">
      <c r="B245" s="568"/>
      <c r="C245" s="568"/>
    </row>
    <row r="246">
      <c r="B246" s="568"/>
      <c r="C246" s="568"/>
    </row>
    <row r="247">
      <c r="B247" s="568"/>
      <c r="C247" s="568"/>
    </row>
    <row r="248">
      <c r="B248" s="568"/>
      <c r="C248" s="568"/>
    </row>
    <row r="249">
      <c r="B249" s="568"/>
      <c r="C249" s="568"/>
    </row>
    <row r="250">
      <c r="B250" s="568"/>
      <c r="C250" s="568"/>
    </row>
    <row r="251">
      <c r="B251" s="568"/>
      <c r="C251" s="568"/>
    </row>
    <row r="252">
      <c r="B252" s="568"/>
      <c r="C252" s="568"/>
    </row>
    <row r="253">
      <c r="B253" s="568"/>
      <c r="C253" s="568"/>
    </row>
    <row r="254">
      <c r="B254" s="568"/>
      <c r="C254" s="568"/>
    </row>
    <row r="255">
      <c r="B255" s="568"/>
      <c r="C255" s="568"/>
    </row>
    <row r="256">
      <c r="B256" s="568"/>
      <c r="C256" s="568"/>
    </row>
    <row r="257">
      <c r="B257" s="568"/>
      <c r="C257" s="568"/>
    </row>
    <row r="258">
      <c r="B258" s="568"/>
      <c r="C258" s="568"/>
    </row>
    <row r="259">
      <c r="B259" s="568"/>
      <c r="C259" s="568"/>
    </row>
    <row r="260">
      <c r="B260" s="568"/>
      <c r="C260" s="568"/>
    </row>
    <row r="261">
      <c r="B261" s="568"/>
      <c r="C261" s="568"/>
    </row>
    <row r="262">
      <c r="B262" s="568"/>
      <c r="C262" s="568"/>
    </row>
    <row r="263">
      <c r="B263" s="568"/>
      <c r="C263" s="568"/>
    </row>
    <row r="264">
      <c r="B264" s="568"/>
      <c r="C264" s="568"/>
    </row>
    <row r="265">
      <c r="B265" s="568"/>
      <c r="C265" s="568"/>
    </row>
    <row r="266">
      <c r="B266" s="568"/>
      <c r="C266" s="568"/>
    </row>
    <row r="267">
      <c r="B267" s="568"/>
      <c r="C267" s="568"/>
    </row>
    <row r="268">
      <c r="B268" s="568"/>
      <c r="C268" s="568"/>
    </row>
    <row r="269">
      <c r="B269" s="568"/>
      <c r="C269" s="568"/>
    </row>
    <row r="270">
      <c r="B270" s="568"/>
      <c r="C270" s="568"/>
    </row>
    <row r="271">
      <c r="B271" s="568"/>
      <c r="C271" s="568"/>
    </row>
    <row r="272">
      <c r="B272" s="568"/>
      <c r="C272" s="568"/>
    </row>
    <row r="273">
      <c r="B273" s="568"/>
      <c r="C273" s="568"/>
    </row>
    <row r="274">
      <c r="B274" s="568"/>
      <c r="C274" s="568"/>
    </row>
    <row r="275">
      <c r="B275" s="568"/>
      <c r="C275" s="568"/>
    </row>
    <row r="276">
      <c r="B276" s="568"/>
      <c r="C276" s="568"/>
    </row>
    <row r="277">
      <c r="B277" s="568"/>
      <c r="C277" s="568"/>
    </row>
    <row r="278">
      <c r="B278" s="568"/>
      <c r="C278" s="568"/>
    </row>
    <row r="279">
      <c r="B279" s="568"/>
      <c r="C279" s="568"/>
    </row>
    <row r="280">
      <c r="B280" s="568"/>
      <c r="C280" s="568"/>
    </row>
    <row r="281">
      <c r="B281" s="568"/>
      <c r="C281" s="568"/>
    </row>
    <row r="282">
      <c r="B282" s="568"/>
      <c r="C282" s="568"/>
    </row>
    <row r="283">
      <c r="B283" s="568"/>
      <c r="C283" s="568"/>
    </row>
    <row r="284">
      <c r="B284" s="568"/>
      <c r="C284" s="568"/>
    </row>
    <row r="285">
      <c r="B285" s="568"/>
      <c r="C285" s="568"/>
    </row>
    <row r="286">
      <c r="B286" s="568"/>
      <c r="C286" s="568"/>
    </row>
    <row r="287">
      <c r="B287" s="568"/>
      <c r="C287" s="568"/>
    </row>
    <row r="288">
      <c r="B288" s="568"/>
      <c r="C288" s="568"/>
    </row>
    <row r="289">
      <c r="B289" s="568"/>
      <c r="C289" s="568"/>
    </row>
    <row r="290">
      <c r="B290" s="568"/>
      <c r="C290" s="568"/>
    </row>
    <row r="291">
      <c r="B291" s="568"/>
      <c r="C291" s="568"/>
    </row>
    <row r="292">
      <c r="B292" s="568"/>
      <c r="C292" s="568"/>
    </row>
    <row r="293">
      <c r="B293" s="568"/>
      <c r="C293" s="568"/>
    </row>
    <row r="294">
      <c r="B294" s="568"/>
      <c r="C294" s="568"/>
    </row>
    <row r="295">
      <c r="B295" s="568"/>
      <c r="C295" s="568"/>
    </row>
    <row r="296">
      <c r="B296" s="568"/>
      <c r="C296" s="568"/>
    </row>
    <row r="297">
      <c r="B297" s="568"/>
      <c r="C297" s="568"/>
    </row>
    <row r="298">
      <c r="B298" s="568"/>
      <c r="C298" s="568"/>
    </row>
    <row r="299">
      <c r="B299" s="568"/>
      <c r="C299" s="568"/>
    </row>
    <row r="300">
      <c r="B300" s="568"/>
      <c r="C300" s="568"/>
    </row>
    <row r="301">
      <c r="B301" s="568"/>
      <c r="C301" s="568"/>
    </row>
    <row r="302">
      <c r="B302" s="568"/>
      <c r="C302" s="568"/>
    </row>
    <row r="303">
      <c r="B303" s="568"/>
      <c r="C303" s="568"/>
    </row>
    <row r="304">
      <c r="B304" s="568"/>
      <c r="C304" s="568"/>
    </row>
    <row r="305">
      <c r="B305" s="568"/>
      <c r="C305" s="568"/>
    </row>
    <row r="306">
      <c r="B306" s="568"/>
      <c r="C306" s="568"/>
    </row>
    <row r="307">
      <c r="B307" s="568"/>
      <c r="C307" s="568"/>
    </row>
    <row r="308">
      <c r="B308" s="568"/>
      <c r="C308" s="568"/>
    </row>
    <row r="309">
      <c r="B309" s="568"/>
      <c r="C309" s="568"/>
    </row>
    <row r="310">
      <c r="B310" s="568"/>
      <c r="C310" s="568"/>
    </row>
    <row r="311">
      <c r="B311" s="568"/>
      <c r="C311" s="568"/>
    </row>
    <row r="312">
      <c r="B312" s="568"/>
      <c r="C312" s="568"/>
    </row>
    <row r="313">
      <c r="B313" s="568"/>
      <c r="C313" s="568"/>
    </row>
    <row r="314">
      <c r="B314" s="568"/>
      <c r="C314" s="568"/>
    </row>
    <row r="315">
      <c r="B315" s="568"/>
      <c r="C315" s="568"/>
    </row>
    <row r="316">
      <c r="B316" s="568"/>
      <c r="C316" s="568"/>
    </row>
    <row r="317">
      <c r="B317" s="568"/>
      <c r="C317" s="568"/>
    </row>
    <row r="318">
      <c r="B318" s="568"/>
      <c r="C318" s="568"/>
    </row>
    <row r="319">
      <c r="B319" s="568"/>
      <c r="C319" s="568"/>
    </row>
    <row r="320">
      <c r="B320" s="568"/>
      <c r="C320" s="568"/>
    </row>
    <row r="321">
      <c r="B321" s="568"/>
      <c r="C321" s="568"/>
    </row>
    <row r="322">
      <c r="B322" s="568"/>
      <c r="C322" s="568"/>
    </row>
    <row r="323">
      <c r="B323" s="568"/>
      <c r="C323" s="568"/>
    </row>
    <row r="324">
      <c r="B324" s="568"/>
      <c r="C324" s="568"/>
    </row>
    <row r="325">
      <c r="B325" s="568"/>
      <c r="C325" s="568"/>
    </row>
    <row r="326">
      <c r="B326" s="568"/>
      <c r="C326" s="568"/>
    </row>
    <row r="327">
      <c r="B327" s="568"/>
      <c r="C327" s="568"/>
    </row>
    <row r="328">
      <c r="B328" s="568"/>
      <c r="C328" s="568"/>
    </row>
    <row r="329">
      <c r="B329" s="568"/>
      <c r="C329" s="568"/>
    </row>
    <row r="330">
      <c r="B330" s="568"/>
      <c r="C330" s="568"/>
    </row>
    <row r="331">
      <c r="B331" s="568"/>
      <c r="C331" s="568"/>
    </row>
    <row r="332">
      <c r="B332" s="568"/>
      <c r="C332" s="568"/>
    </row>
    <row r="333">
      <c r="B333" s="568"/>
      <c r="C333" s="568"/>
    </row>
    <row r="334">
      <c r="B334" s="568"/>
      <c r="C334" s="568"/>
    </row>
    <row r="335">
      <c r="B335" s="568"/>
      <c r="C335" s="568"/>
    </row>
    <row r="336">
      <c r="B336" s="568"/>
      <c r="C336" s="568"/>
    </row>
    <row r="337">
      <c r="B337" s="568"/>
      <c r="C337" s="568"/>
    </row>
    <row r="338">
      <c r="B338" s="568"/>
      <c r="C338" s="568"/>
    </row>
    <row r="339">
      <c r="B339" s="568"/>
      <c r="C339" s="568"/>
    </row>
    <row r="340">
      <c r="B340" s="568"/>
      <c r="C340" s="568"/>
    </row>
    <row r="341">
      <c r="B341" s="568"/>
      <c r="C341" s="568"/>
    </row>
    <row r="342">
      <c r="B342" s="568"/>
      <c r="C342" s="568"/>
    </row>
    <row r="343">
      <c r="B343" s="568"/>
      <c r="C343" s="568"/>
    </row>
    <row r="344">
      <c r="B344" s="568"/>
      <c r="C344" s="568"/>
    </row>
    <row r="345">
      <c r="B345" s="568"/>
      <c r="C345" s="568"/>
    </row>
    <row r="346">
      <c r="B346" s="568"/>
      <c r="C346" s="568"/>
    </row>
    <row r="347">
      <c r="B347" s="568"/>
      <c r="C347" s="568"/>
    </row>
    <row r="348">
      <c r="B348" s="568"/>
      <c r="C348" s="568"/>
    </row>
    <row r="349">
      <c r="B349" s="568"/>
      <c r="C349" s="568"/>
    </row>
    <row r="350">
      <c r="B350" s="568"/>
      <c r="C350" s="568"/>
    </row>
    <row r="351">
      <c r="B351" s="568"/>
      <c r="C351" s="568"/>
    </row>
    <row r="352">
      <c r="B352" s="568"/>
      <c r="C352" s="568"/>
    </row>
    <row r="353">
      <c r="B353" s="568"/>
      <c r="C353" s="568"/>
    </row>
    <row r="354">
      <c r="B354" s="568"/>
      <c r="C354" s="568"/>
    </row>
    <row r="355">
      <c r="B355" s="568"/>
      <c r="C355" s="568"/>
    </row>
    <row r="356">
      <c r="B356" s="568"/>
      <c r="C356" s="568"/>
    </row>
    <row r="357">
      <c r="B357" s="568"/>
      <c r="C357" s="568"/>
    </row>
    <row r="358">
      <c r="B358" s="568"/>
      <c r="C358" s="568"/>
    </row>
    <row r="359">
      <c r="B359" s="568"/>
      <c r="C359" s="568"/>
    </row>
    <row r="360">
      <c r="B360" s="568"/>
      <c r="C360" s="568"/>
    </row>
    <row r="361">
      <c r="B361" s="568"/>
      <c r="C361" s="568"/>
    </row>
    <row r="362">
      <c r="B362" s="568"/>
      <c r="C362" s="568"/>
    </row>
    <row r="363">
      <c r="B363" s="568"/>
      <c r="C363" s="568"/>
    </row>
    <row r="364">
      <c r="B364" s="568"/>
      <c r="C364" s="568"/>
    </row>
    <row r="365">
      <c r="B365" s="568"/>
      <c r="C365" s="568"/>
    </row>
    <row r="366">
      <c r="B366" s="568"/>
      <c r="C366" s="568"/>
    </row>
    <row r="367">
      <c r="B367" s="568"/>
      <c r="C367" s="568"/>
    </row>
    <row r="368">
      <c r="B368" s="568"/>
      <c r="C368" s="568"/>
    </row>
    <row r="369">
      <c r="B369" s="568"/>
      <c r="C369" s="568"/>
    </row>
    <row r="370">
      <c r="B370" s="568"/>
      <c r="C370" s="568"/>
    </row>
    <row r="371">
      <c r="B371" s="568"/>
      <c r="C371" s="568"/>
    </row>
    <row r="372">
      <c r="B372" s="568"/>
      <c r="C372" s="568"/>
    </row>
    <row r="373">
      <c r="B373" s="568"/>
      <c r="C373" s="568"/>
    </row>
    <row r="374">
      <c r="B374" s="568"/>
      <c r="C374" s="568"/>
    </row>
    <row r="375">
      <c r="B375" s="568"/>
      <c r="C375" s="568"/>
    </row>
    <row r="376">
      <c r="B376" s="568"/>
      <c r="C376" s="568"/>
    </row>
    <row r="377">
      <c r="B377" s="568"/>
      <c r="C377" s="568"/>
    </row>
    <row r="378">
      <c r="B378" s="568"/>
      <c r="C378" s="568"/>
    </row>
    <row r="379">
      <c r="B379" s="568"/>
      <c r="C379" s="568"/>
    </row>
    <row r="380">
      <c r="B380" s="568"/>
      <c r="C380" s="568"/>
    </row>
    <row r="381">
      <c r="B381" s="568"/>
      <c r="C381" s="568"/>
    </row>
    <row r="382">
      <c r="B382" s="568"/>
      <c r="C382" s="568"/>
    </row>
    <row r="383">
      <c r="B383" s="568"/>
      <c r="C383" s="568"/>
    </row>
    <row r="384">
      <c r="B384" s="568"/>
      <c r="C384" s="568"/>
    </row>
    <row r="385">
      <c r="B385" s="568"/>
      <c r="C385" s="568"/>
    </row>
    <row r="386">
      <c r="B386" s="568"/>
      <c r="C386" s="568"/>
    </row>
    <row r="387">
      <c r="B387" s="568"/>
      <c r="C387" s="568"/>
    </row>
    <row r="388">
      <c r="B388" s="568"/>
      <c r="C388" s="568"/>
    </row>
    <row r="389">
      <c r="B389" s="568"/>
      <c r="C389" s="568"/>
    </row>
    <row r="390">
      <c r="B390" s="568"/>
      <c r="C390" s="568"/>
    </row>
    <row r="391">
      <c r="B391" s="568"/>
      <c r="C391" s="568"/>
    </row>
    <row r="392">
      <c r="B392" s="568"/>
      <c r="C392" s="568"/>
    </row>
    <row r="393">
      <c r="B393" s="568"/>
      <c r="C393" s="568"/>
    </row>
    <row r="394">
      <c r="B394" s="568"/>
      <c r="C394" s="568"/>
    </row>
    <row r="395">
      <c r="B395" s="568"/>
      <c r="C395" s="568"/>
    </row>
    <row r="396">
      <c r="B396" s="568"/>
      <c r="C396" s="568"/>
    </row>
    <row r="397">
      <c r="B397" s="568"/>
      <c r="C397" s="568"/>
    </row>
    <row r="398">
      <c r="B398" s="568"/>
      <c r="C398" s="568"/>
    </row>
    <row r="399">
      <c r="B399" s="568"/>
      <c r="C399" s="568"/>
    </row>
    <row r="400">
      <c r="B400" s="568"/>
      <c r="C400" s="568"/>
    </row>
    <row r="401">
      <c r="B401" s="568"/>
      <c r="C401" s="568"/>
    </row>
    <row r="402">
      <c r="B402" s="568"/>
      <c r="C402" s="568"/>
    </row>
    <row r="403">
      <c r="B403" s="568"/>
      <c r="C403" s="568"/>
    </row>
    <row r="404">
      <c r="B404" s="568"/>
      <c r="C404" s="568"/>
    </row>
    <row r="405">
      <c r="B405" s="568"/>
      <c r="C405" s="568"/>
    </row>
    <row r="406">
      <c r="B406" s="568"/>
      <c r="C406" s="568"/>
    </row>
    <row r="407">
      <c r="B407" s="568"/>
      <c r="C407" s="568"/>
    </row>
    <row r="408">
      <c r="B408" s="568"/>
      <c r="C408" s="568"/>
    </row>
    <row r="409">
      <c r="B409" s="568"/>
      <c r="C409" s="568"/>
    </row>
    <row r="410">
      <c r="B410" s="568"/>
      <c r="C410" s="568"/>
    </row>
    <row r="411">
      <c r="B411" s="568"/>
      <c r="C411" s="568"/>
    </row>
    <row r="412">
      <c r="B412" s="568"/>
      <c r="C412" s="568"/>
    </row>
    <row r="413">
      <c r="B413" s="568"/>
      <c r="C413" s="568"/>
    </row>
    <row r="414">
      <c r="B414" s="568"/>
      <c r="C414" s="568"/>
    </row>
    <row r="415">
      <c r="B415" s="568"/>
      <c r="C415" s="568"/>
    </row>
    <row r="416">
      <c r="B416" s="568"/>
      <c r="C416" s="568"/>
    </row>
    <row r="417">
      <c r="B417" s="568"/>
      <c r="C417" s="568"/>
    </row>
    <row r="418">
      <c r="B418" s="568"/>
      <c r="C418" s="568"/>
    </row>
    <row r="419">
      <c r="B419" s="568"/>
      <c r="C419" s="568"/>
    </row>
    <row r="420">
      <c r="B420" s="568"/>
      <c r="C420" s="568"/>
    </row>
    <row r="421">
      <c r="B421" s="568"/>
      <c r="C421" s="568"/>
    </row>
    <row r="422">
      <c r="B422" s="568"/>
      <c r="C422" s="568"/>
    </row>
    <row r="423">
      <c r="B423" s="568"/>
      <c r="C423" s="568"/>
    </row>
    <row r="424">
      <c r="B424" s="568"/>
      <c r="C424" s="568"/>
    </row>
    <row r="425">
      <c r="B425" s="568"/>
      <c r="C425" s="568"/>
    </row>
    <row r="426">
      <c r="B426" s="568"/>
      <c r="C426" s="568"/>
    </row>
    <row r="427">
      <c r="B427" s="568"/>
      <c r="C427" s="568"/>
    </row>
    <row r="428">
      <c r="B428" s="568"/>
      <c r="C428" s="568"/>
    </row>
    <row r="429">
      <c r="B429" s="568"/>
      <c r="C429" s="568"/>
    </row>
    <row r="430">
      <c r="B430" s="568"/>
      <c r="C430" s="568"/>
    </row>
    <row r="431">
      <c r="B431" s="568"/>
      <c r="C431" s="568"/>
    </row>
    <row r="432">
      <c r="B432" s="568"/>
      <c r="C432" s="568"/>
    </row>
    <row r="433">
      <c r="B433" s="568"/>
      <c r="C433" s="568"/>
    </row>
    <row r="434">
      <c r="B434" s="568"/>
      <c r="C434" s="568"/>
    </row>
    <row r="435">
      <c r="B435" s="568"/>
      <c r="C435" s="568"/>
    </row>
    <row r="436">
      <c r="B436" s="568"/>
      <c r="C436" s="568"/>
    </row>
    <row r="437">
      <c r="B437" s="568"/>
      <c r="C437" s="568"/>
    </row>
    <row r="438">
      <c r="B438" s="568"/>
      <c r="C438" s="568"/>
    </row>
    <row r="439">
      <c r="B439" s="568"/>
      <c r="C439" s="568"/>
    </row>
    <row r="440">
      <c r="B440" s="568"/>
      <c r="C440" s="568"/>
    </row>
    <row r="441">
      <c r="B441" s="568"/>
      <c r="C441" s="568"/>
    </row>
    <row r="442">
      <c r="B442" s="568"/>
      <c r="C442" s="568"/>
    </row>
    <row r="443">
      <c r="B443" s="568"/>
      <c r="C443" s="568"/>
    </row>
    <row r="444">
      <c r="B444" s="568"/>
      <c r="C444" s="568"/>
    </row>
    <row r="445">
      <c r="B445" s="568"/>
      <c r="C445" s="568"/>
    </row>
    <row r="446">
      <c r="B446" s="568"/>
      <c r="C446" s="568"/>
    </row>
    <row r="447">
      <c r="B447" s="568"/>
      <c r="C447" s="568"/>
    </row>
    <row r="448">
      <c r="B448" s="568"/>
      <c r="C448" s="568"/>
    </row>
    <row r="449">
      <c r="B449" s="568"/>
      <c r="C449" s="568"/>
    </row>
    <row r="450">
      <c r="B450" s="568"/>
      <c r="C450" s="568"/>
    </row>
    <row r="451">
      <c r="B451" s="568"/>
      <c r="C451" s="568"/>
    </row>
    <row r="452">
      <c r="B452" s="568"/>
      <c r="C452" s="568"/>
    </row>
    <row r="453">
      <c r="B453" s="568"/>
      <c r="C453" s="568"/>
    </row>
    <row r="454">
      <c r="B454" s="568"/>
      <c r="C454" s="568"/>
    </row>
    <row r="455">
      <c r="B455" s="568"/>
      <c r="C455" s="568"/>
    </row>
    <row r="456">
      <c r="B456" s="568"/>
      <c r="C456" s="568"/>
    </row>
    <row r="457">
      <c r="B457" s="568"/>
      <c r="C457" s="568"/>
    </row>
    <row r="458">
      <c r="B458" s="568"/>
      <c r="C458" s="568"/>
    </row>
    <row r="459">
      <c r="B459" s="568"/>
      <c r="C459" s="568"/>
    </row>
    <row r="460">
      <c r="B460" s="568"/>
      <c r="C460" s="568"/>
    </row>
    <row r="461">
      <c r="B461" s="568"/>
      <c r="C461" s="568"/>
    </row>
    <row r="462">
      <c r="B462" s="568"/>
      <c r="C462" s="568"/>
    </row>
    <row r="463">
      <c r="B463" s="568"/>
      <c r="C463" s="568"/>
    </row>
    <row r="464">
      <c r="B464" s="568"/>
      <c r="C464" s="568"/>
    </row>
    <row r="465">
      <c r="B465" s="568"/>
      <c r="C465" s="568"/>
    </row>
    <row r="466">
      <c r="B466" s="568"/>
      <c r="C466" s="568"/>
    </row>
    <row r="467">
      <c r="B467" s="568"/>
      <c r="C467" s="568"/>
    </row>
    <row r="468">
      <c r="B468" s="568"/>
      <c r="C468" s="568"/>
    </row>
    <row r="469">
      <c r="B469" s="568"/>
      <c r="C469" s="568"/>
    </row>
    <row r="470">
      <c r="B470" s="568"/>
      <c r="C470" s="568"/>
    </row>
    <row r="471">
      <c r="B471" s="568"/>
      <c r="C471" s="568"/>
    </row>
    <row r="472">
      <c r="B472" s="568"/>
      <c r="C472" s="568"/>
    </row>
    <row r="473">
      <c r="B473" s="568"/>
      <c r="C473" s="568"/>
    </row>
    <row r="474">
      <c r="B474" s="568"/>
      <c r="C474" s="568"/>
    </row>
    <row r="475">
      <c r="B475" s="568"/>
      <c r="C475" s="568"/>
    </row>
    <row r="476">
      <c r="B476" s="568"/>
      <c r="C476" s="568"/>
    </row>
    <row r="477">
      <c r="B477" s="568"/>
      <c r="C477" s="568"/>
    </row>
    <row r="478">
      <c r="B478" s="568"/>
      <c r="C478" s="568"/>
    </row>
    <row r="479">
      <c r="B479" s="568"/>
      <c r="C479" s="568"/>
    </row>
    <row r="480">
      <c r="B480" s="568"/>
      <c r="C480" s="568"/>
    </row>
    <row r="481">
      <c r="B481" s="568"/>
      <c r="C481" s="568"/>
    </row>
    <row r="482">
      <c r="B482" s="568"/>
      <c r="C482" s="568"/>
    </row>
    <row r="483">
      <c r="B483" s="568"/>
      <c r="C483" s="568"/>
    </row>
    <row r="484">
      <c r="B484" s="568"/>
      <c r="C484" s="568"/>
    </row>
    <row r="485">
      <c r="B485" s="568"/>
      <c r="C485" s="568"/>
    </row>
    <row r="486">
      <c r="B486" s="568"/>
      <c r="C486" s="568"/>
    </row>
    <row r="487">
      <c r="B487" s="568"/>
      <c r="C487" s="568"/>
    </row>
    <row r="488">
      <c r="B488" s="568"/>
      <c r="C488" s="568"/>
    </row>
    <row r="489">
      <c r="B489" s="568"/>
      <c r="C489" s="568"/>
    </row>
    <row r="490">
      <c r="B490" s="568"/>
      <c r="C490" s="568"/>
    </row>
    <row r="491">
      <c r="B491" s="568"/>
      <c r="C491" s="568"/>
    </row>
    <row r="492">
      <c r="B492" s="568"/>
      <c r="C492" s="568"/>
    </row>
    <row r="493">
      <c r="B493" s="568"/>
      <c r="C493" s="568"/>
    </row>
    <row r="494">
      <c r="B494" s="568"/>
      <c r="C494" s="568"/>
    </row>
    <row r="495">
      <c r="B495" s="568"/>
      <c r="C495" s="568"/>
    </row>
    <row r="496">
      <c r="B496" s="568"/>
      <c r="C496" s="568"/>
    </row>
    <row r="497">
      <c r="B497" s="568"/>
      <c r="C497" s="568"/>
    </row>
    <row r="498">
      <c r="B498" s="568"/>
      <c r="C498" s="568"/>
    </row>
    <row r="499">
      <c r="B499" s="568"/>
      <c r="C499" s="568"/>
    </row>
    <row r="500">
      <c r="B500" s="568"/>
      <c r="C500" s="568"/>
    </row>
    <row r="501">
      <c r="B501" s="568"/>
      <c r="C501" s="568"/>
    </row>
    <row r="502">
      <c r="B502" s="568"/>
      <c r="C502" s="568"/>
    </row>
    <row r="503">
      <c r="B503" s="568"/>
      <c r="C503" s="568"/>
    </row>
    <row r="504">
      <c r="B504" s="568"/>
      <c r="C504" s="568"/>
    </row>
    <row r="505">
      <c r="B505" s="568"/>
      <c r="C505" s="568"/>
    </row>
    <row r="506">
      <c r="B506" s="568"/>
      <c r="C506" s="568"/>
    </row>
    <row r="507">
      <c r="B507" s="568"/>
      <c r="C507" s="568"/>
    </row>
    <row r="508">
      <c r="B508" s="568"/>
      <c r="C508" s="568"/>
    </row>
    <row r="509">
      <c r="B509" s="568"/>
      <c r="C509" s="568"/>
    </row>
    <row r="510">
      <c r="B510" s="568"/>
      <c r="C510" s="568"/>
    </row>
    <row r="511">
      <c r="B511" s="568"/>
      <c r="C511" s="568"/>
    </row>
    <row r="512">
      <c r="B512" s="568"/>
      <c r="C512" s="568"/>
    </row>
    <row r="513">
      <c r="B513" s="568"/>
      <c r="C513" s="568"/>
    </row>
    <row r="514">
      <c r="B514" s="568"/>
      <c r="C514" s="568"/>
    </row>
    <row r="515">
      <c r="B515" s="568"/>
      <c r="C515" s="568"/>
    </row>
    <row r="516">
      <c r="B516" s="568"/>
      <c r="C516" s="568"/>
    </row>
    <row r="517">
      <c r="B517" s="568"/>
      <c r="C517" s="568"/>
    </row>
    <row r="518">
      <c r="B518" s="568"/>
      <c r="C518" s="568"/>
    </row>
    <row r="519">
      <c r="B519" s="568"/>
      <c r="C519" s="568"/>
    </row>
    <row r="520">
      <c r="B520" s="568"/>
      <c r="C520" s="568"/>
    </row>
    <row r="521">
      <c r="B521" s="568"/>
      <c r="C521" s="568"/>
    </row>
    <row r="522">
      <c r="B522" s="568"/>
      <c r="C522" s="568"/>
    </row>
    <row r="523">
      <c r="B523" s="568"/>
      <c r="C523" s="568"/>
    </row>
    <row r="524">
      <c r="B524" s="568"/>
      <c r="C524" s="568"/>
    </row>
    <row r="525">
      <c r="B525" s="568"/>
      <c r="C525" s="568"/>
    </row>
    <row r="526">
      <c r="B526" s="568"/>
      <c r="C526" s="568"/>
    </row>
    <row r="527">
      <c r="B527" s="568"/>
      <c r="C527" s="568"/>
    </row>
    <row r="528">
      <c r="B528" s="568"/>
      <c r="C528" s="568"/>
    </row>
    <row r="529">
      <c r="B529" s="568"/>
      <c r="C529" s="568"/>
    </row>
    <row r="530">
      <c r="B530" s="568"/>
      <c r="C530" s="568"/>
    </row>
    <row r="531">
      <c r="B531" s="568"/>
      <c r="C531" s="568"/>
    </row>
    <row r="532">
      <c r="B532" s="568"/>
      <c r="C532" s="568"/>
    </row>
    <row r="533">
      <c r="B533" s="568"/>
      <c r="C533" s="568"/>
    </row>
    <row r="534">
      <c r="B534" s="568"/>
      <c r="C534" s="568"/>
    </row>
    <row r="535">
      <c r="B535" s="568"/>
      <c r="C535" s="568"/>
    </row>
    <row r="536">
      <c r="B536" s="568"/>
      <c r="C536" s="568"/>
    </row>
    <row r="537">
      <c r="B537" s="568"/>
      <c r="C537" s="568"/>
    </row>
    <row r="538">
      <c r="B538" s="568"/>
      <c r="C538" s="568"/>
    </row>
    <row r="539">
      <c r="B539" s="568"/>
      <c r="C539" s="568"/>
    </row>
    <row r="540">
      <c r="B540" s="568"/>
      <c r="C540" s="568"/>
    </row>
    <row r="541">
      <c r="B541" s="568"/>
      <c r="C541" s="568"/>
    </row>
    <row r="542">
      <c r="B542" s="568"/>
      <c r="C542" s="568"/>
    </row>
    <row r="543">
      <c r="B543" s="568"/>
      <c r="C543" s="568"/>
    </row>
    <row r="544">
      <c r="B544" s="568"/>
      <c r="C544" s="568"/>
    </row>
    <row r="545">
      <c r="B545" s="568"/>
      <c r="C545" s="568"/>
    </row>
    <row r="546">
      <c r="B546" s="568"/>
      <c r="C546" s="568"/>
    </row>
    <row r="547">
      <c r="B547" s="568"/>
      <c r="C547" s="568"/>
    </row>
    <row r="548">
      <c r="B548" s="568"/>
      <c r="C548" s="568"/>
    </row>
    <row r="549">
      <c r="B549" s="568"/>
      <c r="C549" s="568"/>
    </row>
    <row r="550">
      <c r="B550" s="568"/>
      <c r="C550" s="568"/>
    </row>
    <row r="551">
      <c r="B551" s="568"/>
      <c r="C551" s="568"/>
    </row>
    <row r="552">
      <c r="B552" s="568"/>
      <c r="C552" s="568"/>
    </row>
    <row r="553">
      <c r="B553" s="568"/>
      <c r="C553" s="568"/>
    </row>
    <row r="554">
      <c r="B554" s="568"/>
      <c r="C554" s="568"/>
    </row>
    <row r="555">
      <c r="B555" s="568"/>
      <c r="C555" s="568"/>
    </row>
    <row r="556">
      <c r="B556" s="568"/>
      <c r="C556" s="568"/>
    </row>
    <row r="557">
      <c r="B557" s="568"/>
      <c r="C557" s="568"/>
    </row>
    <row r="558">
      <c r="B558" s="568"/>
      <c r="C558" s="568"/>
    </row>
    <row r="559">
      <c r="B559" s="568"/>
      <c r="C559" s="568"/>
    </row>
    <row r="560">
      <c r="B560" s="568"/>
      <c r="C560" s="568"/>
    </row>
    <row r="561">
      <c r="B561" s="568"/>
      <c r="C561" s="568"/>
    </row>
    <row r="562">
      <c r="B562" s="568"/>
      <c r="C562" s="568"/>
    </row>
    <row r="563">
      <c r="B563" s="568"/>
      <c r="C563" s="568"/>
    </row>
    <row r="564">
      <c r="B564" s="568"/>
      <c r="C564" s="568"/>
    </row>
    <row r="565">
      <c r="B565" s="568"/>
      <c r="C565" s="568"/>
    </row>
    <row r="566">
      <c r="B566" s="568"/>
      <c r="C566" s="568"/>
    </row>
    <row r="567">
      <c r="B567" s="568"/>
      <c r="C567" s="568"/>
    </row>
    <row r="568">
      <c r="B568" s="568"/>
      <c r="C568" s="568"/>
    </row>
    <row r="569">
      <c r="B569" s="568"/>
      <c r="C569" s="568"/>
    </row>
    <row r="570">
      <c r="B570" s="568"/>
      <c r="C570" s="568"/>
    </row>
    <row r="571">
      <c r="B571" s="568"/>
      <c r="C571" s="568"/>
    </row>
    <row r="572">
      <c r="B572" s="568"/>
      <c r="C572" s="568"/>
    </row>
    <row r="573">
      <c r="B573" s="568"/>
      <c r="C573" s="568"/>
    </row>
    <row r="574">
      <c r="B574" s="568"/>
      <c r="C574" s="568"/>
    </row>
    <row r="575">
      <c r="B575" s="568"/>
      <c r="C575" s="568"/>
    </row>
    <row r="576">
      <c r="B576" s="568"/>
      <c r="C576" s="568"/>
    </row>
    <row r="577">
      <c r="B577" s="568"/>
      <c r="C577" s="568"/>
    </row>
    <row r="578">
      <c r="B578" s="568"/>
      <c r="C578" s="568"/>
    </row>
    <row r="579">
      <c r="B579" s="568"/>
      <c r="C579" s="568"/>
    </row>
    <row r="580">
      <c r="B580" s="568"/>
      <c r="C580" s="568"/>
    </row>
    <row r="581">
      <c r="B581" s="568"/>
      <c r="C581" s="568"/>
    </row>
    <row r="582">
      <c r="B582" s="568"/>
      <c r="C582" s="568"/>
    </row>
    <row r="583">
      <c r="B583" s="568"/>
      <c r="C583" s="568"/>
    </row>
    <row r="584">
      <c r="B584" s="568"/>
      <c r="C584" s="568"/>
    </row>
    <row r="585">
      <c r="B585" s="568"/>
      <c r="C585" s="568"/>
    </row>
    <row r="586">
      <c r="B586" s="568"/>
      <c r="C586" s="568"/>
    </row>
    <row r="587">
      <c r="B587" s="568"/>
      <c r="C587" s="568"/>
    </row>
    <row r="588">
      <c r="B588" s="568"/>
      <c r="C588" s="568"/>
    </row>
    <row r="589">
      <c r="B589" s="568"/>
      <c r="C589" s="568"/>
    </row>
    <row r="590">
      <c r="B590" s="568"/>
      <c r="C590" s="568"/>
    </row>
    <row r="591">
      <c r="B591" s="568"/>
      <c r="C591" s="568"/>
    </row>
    <row r="592">
      <c r="B592" s="568"/>
      <c r="C592" s="568"/>
    </row>
    <row r="593">
      <c r="B593" s="568"/>
      <c r="C593" s="568"/>
    </row>
    <row r="594">
      <c r="B594" s="568"/>
      <c r="C594" s="568"/>
    </row>
    <row r="595">
      <c r="B595" s="568"/>
      <c r="C595" s="568"/>
    </row>
    <row r="596">
      <c r="B596" s="568"/>
      <c r="C596" s="568"/>
    </row>
    <row r="597">
      <c r="B597" s="568"/>
      <c r="C597" s="568"/>
    </row>
    <row r="598">
      <c r="B598" s="568"/>
      <c r="C598" s="568"/>
    </row>
    <row r="599">
      <c r="B599" s="568"/>
      <c r="C599" s="568"/>
    </row>
    <row r="600">
      <c r="B600" s="568"/>
      <c r="C600" s="568"/>
    </row>
    <row r="601">
      <c r="B601" s="568"/>
      <c r="C601" s="568"/>
    </row>
    <row r="602">
      <c r="B602" s="568"/>
      <c r="C602" s="568"/>
    </row>
    <row r="603">
      <c r="B603" s="568"/>
      <c r="C603" s="568"/>
    </row>
    <row r="604">
      <c r="B604" s="568"/>
      <c r="C604" s="568"/>
    </row>
    <row r="605">
      <c r="B605" s="568"/>
      <c r="C605" s="568"/>
    </row>
    <row r="606">
      <c r="B606" s="568"/>
      <c r="C606" s="568"/>
    </row>
    <row r="607">
      <c r="B607" s="568"/>
      <c r="C607" s="568"/>
    </row>
    <row r="608">
      <c r="B608" s="568"/>
      <c r="C608" s="568"/>
    </row>
    <row r="609">
      <c r="B609" s="568"/>
      <c r="C609" s="568"/>
    </row>
    <row r="610">
      <c r="B610" s="568"/>
      <c r="C610" s="568"/>
    </row>
    <row r="611">
      <c r="B611" s="568"/>
      <c r="C611" s="568"/>
    </row>
    <row r="612">
      <c r="B612" s="568"/>
      <c r="C612" s="568"/>
    </row>
    <row r="613">
      <c r="B613" s="568"/>
      <c r="C613" s="568"/>
    </row>
    <row r="614">
      <c r="B614" s="568"/>
      <c r="C614" s="568"/>
    </row>
    <row r="615">
      <c r="B615" s="568"/>
      <c r="C615" s="568"/>
    </row>
    <row r="616">
      <c r="B616" s="568"/>
      <c r="C616" s="568"/>
    </row>
    <row r="617">
      <c r="B617" s="568"/>
      <c r="C617" s="568"/>
    </row>
    <row r="618">
      <c r="B618" s="568"/>
      <c r="C618" s="568"/>
    </row>
    <row r="619">
      <c r="B619" s="568"/>
      <c r="C619" s="568"/>
    </row>
    <row r="620">
      <c r="B620" s="568"/>
      <c r="C620" s="568"/>
    </row>
    <row r="621">
      <c r="B621" s="568"/>
      <c r="C621" s="568"/>
    </row>
    <row r="622">
      <c r="B622" s="568"/>
      <c r="C622" s="568"/>
    </row>
    <row r="623">
      <c r="B623" s="568"/>
      <c r="C623" s="568"/>
    </row>
    <row r="624">
      <c r="B624" s="568"/>
      <c r="C624" s="568"/>
    </row>
    <row r="625">
      <c r="B625" s="568"/>
      <c r="C625" s="568"/>
    </row>
    <row r="626">
      <c r="B626" s="568"/>
      <c r="C626" s="568"/>
    </row>
    <row r="627">
      <c r="B627" s="568"/>
      <c r="C627" s="568"/>
    </row>
    <row r="628">
      <c r="B628" s="568"/>
      <c r="C628" s="568"/>
    </row>
    <row r="629">
      <c r="B629" s="568"/>
      <c r="C629" s="568"/>
    </row>
    <row r="630">
      <c r="B630" s="568"/>
      <c r="C630" s="568"/>
    </row>
    <row r="631">
      <c r="B631" s="568"/>
      <c r="C631" s="568"/>
    </row>
    <row r="632">
      <c r="B632" s="568"/>
      <c r="C632" s="568"/>
    </row>
    <row r="633">
      <c r="B633" s="568"/>
      <c r="C633" s="568"/>
    </row>
    <row r="634">
      <c r="B634" s="568"/>
      <c r="C634" s="568"/>
    </row>
    <row r="635">
      <c r="B635" s="568"/>
      <c r="C635" s="568"/>
    </row>
    <row r="636">
      <c r="B636" s="568"/>
      <c r="C636" s="568"/>
    </row>
    <row r="637">
      <c r="B637" s="568"/>
      <c r="C637" s="568"/>
    </row>
    <row r="638">
      <c r="B638" s="568"/>
      <c r="C638" s="568"/>
    </row>
    <row r="639">
      <c r="B639" s="568"/>
      <c r="C639" s="568"/>
    </row>
    <row r="640">
      <c r="B640" s="568"/>
      <c r="C640" s="568"/>
    </row>
    <row r="641">
      <c r="B641" s="568"/>
      <c r="C641" s="568"/>
    </row>
    <row r="642">
      <c r="B642" s="568"/>
      <c r="C642" s="568"/>
    </row>
    <row r="643">
      <c r="B643" s="568"/>
      <c r="C643" s="568"/>
    </row>
    <row r="644">
      <c r="B644" s="568"/>
      <c r="C644" s="568"/>
    </row>
    <row r="645">
      <c r="B645" s="568"/>
      <c r="C645" s="568"/>
    </row>
    <row r="646">
      <c r="B646" s="568"/>
      <c r="C646" s="568"/>
    </row>
    <row r="647">
      <c r="B647" s="568"/>
      <c r="C647" s="568"/>
    </row>
    <row r="648">
      <c r="B648" s="568"/>
      <c r="C648" s="568"/>
    </row>
    <row r="649">
      <c r="B649" s="568"/>
      <c r="C649" s="568"/>
    </row>
    <row r="650">
      <c r="B650" s="568"/>
      <c r="C650" s="568"/>
    </row>
    <row r="651">
      <c r="B651" s="568"/>
      <c r="C651" s="568"/>
    </row>
    <row r="652">
      <c r="B652" s="568"/>
      <c r="C652" s="568"/>
    </row>
    <row r="653">
      <c r="B653" s="568"/>
      <c r="C653" s="568"/>
    </row>
    <row r="654">
      <c r="B654" s="568"/>
      <c r="C654" s="568"/>
    </row>
    <row r="655">
      <c r="B655" s="568"/>
      <c r="C655" s="568"/>
    </row>
    <row r="656">
      <c r="B656" s="568"/>
      <c r="C656" s="568"/>
    </row>
    <row r="657">
      <c r="B657" s="568"/>
      <c r="C657" s="568"/>
    </row>
    <row r="658">
      <c r="B658" s="568"/>
      <c r="C658" s="568"/>
    </row>
    <row r="659">
      <c r="B659" s="568"/>
      <c r="C659" s="568"/>
    </row>
    <row r="660">
      <c r="B660" s="568"/>
      <c r="C660" s="568"/>
    </row>
    <row r="661">
      <c r="B661" s="568"/>
      <c r="C661" s="568"/>
    </row>
    <row r="662">
      <c r="B662" s="568"/>
      <c r="C662" s="568"/>
    </row>
    <row r="663">
      <c r="B663" s="568"/>
      <c r="C663" s="568"/>
    </row>
    <row r="664">
      <c r="B664" s="568"/>
      <c r="C664" s="568"/>
    </row>
    <row r="665">
      <c r="B665" s="568"/>
      <c r="C665" s="568"/>
    </row>
    <row r="666">
      <c r="B666" s="568"/>
      <c r="C666" s="568"/>
    </row>
    <row r="667">
      <c r="B667" s="568"/>
      <c r="C667" s="568"/>
    </row>
    <row r="668">
      <c r="B668" s="568"/>
      <c r="C668" s="568"/>
    </row>
    <row r="669">
      <c r="B669" s="568"/>
      <c r="C669" s="568"/>
    </row>
    <row r="670">
      <c r="B670" s="568"/>
      <c r="C670" s="568"/>
    </row>
    <row r="671">
      <c r="B671" s="568"/>
      <c r="C671" s="568"/>
    </row>
    <row r="672">
      <c r="B672" s="568"/>
      <c r="C672" s="568"/>
    </row>
    <row r="673">
      <c r="B673" s="568"/>
      <c r="C673" s="568"/>
    </row>
    <row r="674">
      <c r="B674" s="568"/>
      <c r="C674" s="568"/>
    </row>
    <row r="675">
      <c r="B675" s="568"/>
      <c r="C675" s="568"/>
    </row>
    <row r="676">
      <c r="B676" s="568"/>
      <c r="C676" s="568"/>
    </row>
    <row r="677">
      <c r="B677" s="568"/>
      <c r="C677" s="568"/>
    </row>
    <row r="678">
      <c r="B678" s="568"/>
      <c r="C678" s="568"/>
    </row>
    <row r="679">
      <c r="B679" s="568"/>
      <c r="C679" s="568"/>
    </row>
    <row r="680">
      <c r="B680" s="568"/>
      <c r="C680" s="568"/>
    </row>
    <row r="681">
      <c r="B681" s="568"/>
      <c r="C681" s="568"/>
    </row>
    <row r="682">
      <c r="B682" s="568"/>
      <c r="C682" s="568"/>
    </row>
    <row r="683">
      <c r="B683" s="568"/>
      <c r="C683" s="568"/>
    </row>
    <row r="684">
      <c r="B684" s="568"/>
      <c r="C684" s="568"/>
    </row>
    <row r="685">
      <c r="B685" s="568"/>
      <c r="C685" s="568"/>
    </row>
    <row r="686">
      <c r="B686" s="568"/>
      <c r="C686" s="568"/>
    </row>
    <row r="687">
      <c r="B687" s="568"/>
      <c r="C687" s="568"/>
    </row>
    <row r="688">
      <c r="B688" s="568"/>
      <c r="C688" s="568"/>
    </row>
    <row r="689">
      <c r="B689" s="568"/>
      <c r="C689" s="568"/>
    </row>
    <row r="690">
      <c r="B690" s="568"/>
      <c r="C690" s="568"/>
    </row>
    <row r="691">
      <c r="B691" s="568"/>
      <c r="C691" s="568"/>
    </row>
    <row r="692">
      <c r="B692" s="568"/>
      <c r="C692" s="568"/>
    </row>
    <row r="693">
      <c r="B693" s="568"/>
      <c r="C693" s="568"/>
    </row>
    <row r="694">
      <c r="B694" s="568"/>
      <c r="C694" s="568"/>
    </row>
    <row r="695">
      <c r="B695" s="568"/>
      <c r="C695" s="568"/>
    </row>
    <row r="696">
      <c r="B696" s="568"/>
      <c r="C696" s="568"/>
    </row>
    <row r="697">
      <c r="B697" s="568"/>
      <c r="C697" s="568"/>
    </row>
    <row r="698">
      <c r="B698" s="568"/>
      <c r="C698" s="568"/>
    </row>
    <row r="699">
      <c r="B699" s="568"/>
      <c r="C699" s="568"/>
    </row>
    <row r="700">
      <c r="B700" s="568"/>
      <c r="C700" s="568"/>
    </row>
    <row r="701">
      <c r="B701" s="568"/>
      <c r="C701" s="568"/>
    </row>
    <row r="702">
      <c r="B702" s="568"/>
      <c r="C702" s="568"/>
    </row>
    <row r="703">
      <c r="B703" s="568"/>
      <c r="C703" s="568"/>
    </row>
    <row r="704">
      <c r="B704" s="568"/>
      <c r="C704" s="568"/>
    </row>
    <row r="705">
      <c r="B705" s="568"/>
      <c r="C705" s="568"/>
    </row>
    <row r="706">
      <c r="B706" s="568"/>
      <c r="C706" s="568"/>
    </row>
    <row r="707">
      <c r="B707" s="568"/>
      <c r="C707" s="568"/>
    </row>
    <row r="708">
      <c r="B708" s="568"/>
      <c r="C708" s="568"/>
    </row>
    <row r="709">
      <c r="B709" s="568"/>
      <c r="C709" s="568"/>
    </row>
    <row r="710">
      <c r="B710" s="568"/>
      <c r="C710" s="568"/>
    </row>
    <row r="711">
      <c r="B711" s="568"/>
      <c r="C711" s="568"/>
    </row>
    <row r="712">
      <c r="B712" s="568"/>
      <c r="C712" s="568"/>
    </row>
    <row r="713">
      <c r="B713" s="568"/>
      <c r="C713" s="568"/>
    </row>
    <row r="714">
      <c r="B714" s="568"/>
      <c r="C714" s="568"/>
    </row>
    <row r="715">
      <c r="B715" s="568"/>
      <c r="C715" s="568"/>
    </row>
    <row r="716">
      <c r="B716" s="568"/>
      <c r="C716" s="568"/>
    </row>
    <row r="717">
      <c r="B717" s="568"/>
      <c r="C717" s="568"/>
    </row>
    <row r="718">
      <c r="B718" s="568"/>
      <c r="C718" s="568"/>
    </row>
    <row r="719">
      <c r="B719" s="568"/>
      <c r="C719" s="568"/>
    </row>
    <row r="720">
      <c r="B720" s="568"/>
      <c r="C720" s="568"/>
    </row>
    <row r="721">
      <c r="B721" s="568"/>
      <c r="C721" s="568"/>
    </row>
    <row r="722">
      <c r="B722" s="568"/>
      <c r="C722" s="568"/>
    </row>
    <row r="723">
      <c r="B723" s="568"/>
      <c r="C723" s="568"/>
    </row>
    <row r="724">
      <c r="B724" s="568"/>
      <c r="C724" s="568"/>
    </row>
    <row r="725">
      <c r="B725" s="568"/>
      <c r="C725" s="568"/>
    </row>
    <row r="726">
      <c r="B726" s="568"/>
      <c r="C726" s="568"/>
    </row>
    <row r="727">
      <c r="B727" s="568"/>
      <c r="C727" s="568"/>
    </row>
    <row r="728">
      <c r="B728" s="568"/>
      <c r="C728" s="568"/>
    </row>
    <row r="729">
      <c r="B729" s="568"/>
      <c r="C729" s="568"/>
    </row>
    <row r="730">
      <c r="B730" s="568"/>
      <c r="C730" s="568"/>
    </row>
    <row r="731">
      <c r="B731" s="568"/>
      <c r="C731" s="568"/>
    </row>
    <row r="732">
      <c r="B732" s="568"/>
      <c r="C732" s="568"/>
    </row>
    <row r="733">
      <c r="B733" s="568"/>
      <c r="C733" s="568"/>
    </row>
    <row r="734">
      <c r="B734" s="568"/>
      <c r="C734" s="568"/>
    </row>
    <row r="735">
      <c r="B735" s="568"/>
      <c r="C735" s="568"/>
    </row>
    <row r="736">
      <c r="B736" s="568"/>
      <c r="C736" s="568"/>
    </row>
    <row r="737">
      <c r="B737" s="568"/>
      <c r="C737" s="568"/>
    </row>
    <row r="738">
      <c r="B738" s="568"/>
      <c r="C738" s="568"/>
    </row>
    <row r="739">
      <c r="B739" s="568"/>
      <c r="C739" s="568"/>
    </row>
    <row r="740">
      <c r="B740" s="568"/>
      <c r="C740" s="568"/>
    </row>
    <row r="741">
      <c r="B741" s="568"/>
      <c r="C741" s="568"/>
    </row>
    <row r="742">
      <c r="B742" s="568"/>
      <c r="C742" s="568"/>
    </row>
    <row r="743">
      <c r="B743" s="568"/>
      <c r="C743" s="568"/>
    </row>
    <row r="744">
      <c r="B744" s="568"/>
      <c r="C744" s="568"/>
    </row>
    <row r="745">
      <c r="B745" s="568"/>
      <c r="C745" s="568"/>
    </row>
    <row r="746">
      <c r="B746" s="568"/>
      <c r="C746" s="568"/>
    </row>
    <row r="747">
      <c r="B747" s="568"/>
      <c r="C747" s="568"/>
    </row>
    <row r="748">
      <c r="B748" s="568"/>
      <c r="C748" s="568"/>
    </row>
    <row r="749">
      <c r="B749" s="568"/>
      <c r="C749" s="568"/>
    </row>
    <row r="750">
      <c r="B750" s="568"/>
      <c r="C750" s="568"/>
    </row>
    <row r="751">
      <c r="B751" s="568"/>
      <c r="C751" s="568"/>
    </row>
    <row r="752">
      <c r="B752" s="568"/>
      <c r="C752" s="568"/>
    </row>
    <row r="753">
      <c r="B753" s="568"/>
      <c r="C753" s="568"/>
    </row>
    <row r="754">
      <c r="B754" s="568"/>
      <c r="C754" s="568"/>
    </row>
    <row r="755">
      <c r="B755" s="568"/>
      <c r="C755" s="568"/>
    </row>
    <row r="756">
      <c r="B756" s="568"/>
      <c r="C756" s="568"/>
    </row>
    <row r="757">
      <c r="B757" s="568"/>
      <c r="C757" s="568"/>
    </row>
    <row r="758">
      <c r="B758" s="568"/>
      <c r="C758" s="568"/>
    </row>
    <row r="759">
      <c r="B759" s="568"/>
      <c r="C759" s="568"/>
    </row>
    <row r="760">
      <c r="B760" s="568"/>
      <c r="C760" s="568"/>
    </row>
    <row r="761">
      <c r="B761" s="568"/>
      <c r="C761" s="568"/>
    </row>
    <row r="762">
      <c r="B762" s="568"/>
      <c r="C762" s="568"/>
    </row>
    <row r="763">
      <c r="B763" s="568"/>
      <c r="C763" s="568"/>
    </row>
    <row r="764">
      <c r="B764" s="568"/>
      <c r="C764" s="568"/>
    </row>
    <row r="765">
      <c r="B765" s="568"/>
      <c r="C765" s="568"/>
    </row>
    <row r="766">
      <c r="B766" s="568"/>
      <c r="C766" s="568"/>
    </row>
    <row r="767">
      <c r="B767" s="568"/>
      <c r="C767" s="568"/>
    </row>
    <row r="768">
      <c r="B768" s="568"/>
      <c r="C768" s="568"/>
    </row>
    <row r="769">
      <c r="B769" s="568"/>
      <c r="C769" s="568"/>
    </row>
    <row r="770">
      <c r="B770" s="568"/>
      <c r="C770" s="568"/>
    </row>
    <row r="771">
      <c r="B771" s="568"/>
      <c r="C771" s="568"/>
    </row>
    <row r="772">
      <c r="B772" s="568"/>
      <c r="C772" s="568"/>
    </row>
    <row r="773">
      <c r="B773" s="568"/>
      <c r="C773" s="568"/>
    </row>
    <row r="774">
      <c r="B774" s="568"/>
      <c r="C774" s="568"/>
    </row>
    <row r="775">
      <c r="B775" s="568"/>
      <c r="C775" s="568"/>
    </row>
    <row r="776">
      <c r="B776" s="568"/>
      <c r="C776" s="568"/>
    </row>
    <row r="777">
      <c r="B777" s="568"/>
      <c r="C777" s="568"/>
    </row>
    <row r="778">
      <c r="B778" s="568"/>
      <c r="C778" s="568"/>
    </row>
    <row r="779">
      <c r="B779" s="568"/>
      <c r="C779" s="568"/>
    </row>
    <row r="780">
      <c r="B780" s="568"/>
      <c r="C780" s="568"/>
    </row>
    <row r="781">
      <c r="B781" s="568"/>
      <c r="C781" s="568"/>
    </row>
    <row r="782">
      <c r="B782" s="568"/>
      <c r="C782" s="568"/>
    </row>
    <row r="783">
      <c r="B783" s="568"/>
      <c r="C783" s="568"/>
    </row>
    <row r="784">
      <c r="B784" s="568"/>
      <c r="C784" s="568"/>
    </row>
    <row r="785">
      <c r="B785" s="568"/>
      <c r="C785" s="568"/>
    </row>
    <row r="786">
      <c r="B786" s="568"/>
      <c r="C786" s="568"/>
    </row>
    <row r="787">
      <c r="B787" s="568"/>
      <c r="C787" s="568"/>
    </row>
    <row r="788">
      <c r="B788" s="568"/>
      <c r="C788" s="568"/>
    </row>
    <row r="789">
      <c r="B789" s="568"/>
      <c r="C789" s="568"/>
    </row>
    <row r="790">
      <c r="B790" s="568"/>
      <c r="C790" s="568"/>
    </row>
    <row r="791">
      <c r="B791" s="568"/>
      <c r="C791" s="568"/>
    </row>
    <row r="792">
      <c r="B792" s="568"/>
      <c r="C792" s="568"/>
    </row>
    <row r="793">
      <c r="B793" s="568"/>
      <c r="C793" s="568"/>
    </row>
    <row r="794">
      <c r="B794" s="568"/>
      <c r="C794" s="568"/>
    </row>
    <row r="795">
      <c r="B795" s="568"/>
      <c r="C795" s="568"/>
    </row>
    <row r="796">
      <c r="B796" s="568"/>
      <c r="C796" s="568"/>
    </row>
    <row r="797">
      <c r="B797" s="568"/>
      <c r="C797" s="568"/>
    </row>
    <row r="798">
      <c r="B798" s="568"/>
      <c r="C798" s="568"/>
    </row>
    <row r="799">
      <c r="B799" s="568"/>
      <c r="C799" s="568"/>
    </row>
    <row r="800">
      <c r="B800" s="568"/>
      <c r="C800" s="568"/>
    </row>
    <row r="801">
      <c r="B801" s="568"/>
      <c r="C801" s="568"/>
    </row>
    <row r="802">
      <c r="B802" s="568"/>
      <c r="C802" s="568"/>
    </row>
    <row r="803">
      <c r="B803" s="568"/>
      <c r="C803" s="568"/>
    </row>
    <row r="804">
      <c r="B804" s="568"/>
      <c r="C804" s="568"/>
    </row>
    <row r="805">
      <c r="B805" s="568"/>
      <c r="C805" s="568"/>
    </row>
    <row r="806">
      <c r="B806" s="568"/>
      <c r="C806" s="568"/>
    </row>
    <row r="807">
      <c r="B807" s="568"/>
      <c r="C807" s="568"/>
    </row>
    <row r="808">
      <c r="B808" s="568"/>
      <c r="C808" s="568"/>
    </row>
    <row r="809">
      <c r="B809" s="568"/>
      <c r="C809" s="568"/>
    </row>
    <row r="810">
      <c r="B810" s="568"/>
      <c r="C810" s="568"/>
    </row>
    <row r="811">
      <c r="B811" s="568"/>
      <c r="C811" s="568"/>
    </row>
    <row r="812">
      <c r="B812" s="568"/>
      <c r="C812" s="568"/>
    </row>
    <row r="813">
      <c r="B813" s="568"/>
      <c r="C813" s="568"/>
    </row>
    <row r="814">
      <c r="B814" s="568"/>
      <c r="C814" s="568"/>
    </row>
    <row r="815">
      <c r="B815" s="568"/>
      <c r="C815" s="568"/>
    </row>
    <row r="816">
      <c r="B816" s="568"/>
      <c r="C816" s="568"/>
    </row>
    <row r="817">
      <c r="B817" s="568"/>
      <c r="C817" s="568"/>
    </row>
    <row r="818">
      <c r="B818" s="568"/>
      <c r="C818" s="568"/>
    </row>
    <row r="819">
      <c r="B819" s="568"/>
      <c r="C819" s="568"/>
    </row>
    <row r="820">
      <c r="B820" s="568"/>
      <c r="C820" s="568"/>
    </row>
    <row r="821">
      <c r="B821" s="568"/>
      <c r="C821" s="568"/>
    </row>
    <row r="822">
      <c r="B822" s="568"/>
      <c r="C822" s="568"/>
    </row>
    <row r="823">
      <c r="B823" s="568"/>
      <c r="C823" s="568"/>
    </row>
    <row r="824">
      <c r="B824" s="568"/>
      <c r="C824" s="568"/>
    </row>
    <row r="825">
      <c r="B825" s="568"/>
      <c r="C825" s="568"/>
    </row>
    <row r="826">
      <c r="B826" s="568"/>
      <c r="C826" s="568"/>
    </row>
    <row r="827">
      <c r="B827" s="568"/>
      <c r="C827" s="568"/>
    </row>
    <row r="828">
      <c r="B828" s="568"/>
      <c r="C828" s="568"/>
    </row>
    <row r="829">
      <c r="B829" s="568"/>
      <c r="C829" s="568"/>
    </row>
    <row r="830">
      <c r="B830" s="568"/>
      <c r="C830" s="568"/>
    </row>
    <row r="831">
      <c r="B831" s="568"/>
      <c r="C831" s="568"/>
    </row>
    <row r="832">
      <c r="B832" s="568"/>
      <c r="C832" s="568"/>
    </row>
    <row r="833">
      <c r="B833" s="568"/>
      <c r="C833" s="568"/>
    </row>
    <row r="834">
      <c r="B834" s="568"/>
      <c r="C834" s="568"/>
    </row>
    <row r="835">
      <c r="B835" s="568"/>
      <c r="C835" s="568"/>
    </row>
    <row r="836">
      <c r="B836" s="568"/>
      <c r="C836" s="568"/>
    </row>
    <row r="837">
      <c r="B837" s="568"/>
      <c r="C837" s="568"/>
    </row>
    <row r="838">
      <c r="B838" s="568"/>
      <c r="C838" s="568"/>
    </row>
    <row r="839">
      <c r="B839" s="568"/>
      <c r="C839" s="568"/>
    </row>
    <row r="840">
      <c r="B840" s="568"/>
      <c r="C840" s="568"/>
    </row>
    <row r="841">
      <c r="B841" s="568"/>
      <c r="C841" s="568"/>
    </row>
    <row r="842">
      <c r="B842" s="568"/>
      <c r="C842" s="568"/>
    </row>
    <row r="843">
      <c r="B843" s="568"/>
      <c r="C843" s="568"/>
    </row>
    <row r="844">
      <c r="B844" s="568"/>
      <c r="C844" s="568"/>
    </row>
    <row r="845">
      <c r="B845" s="568"/>
      <c r="C845" s="568"/>
    </row>
    <row r="846">
      <c r="B846" s="568"/>
      <c r="C846" s="568"/>
    </row>
    <row r="847">
      <c r="B847" s="568"/>
      <c r="C847" s="568"/>
    </row>
    <row r="848">
      <c r="B848" s="568"/>
      <c r="C848" s="568"/>
    </row>
    <row r="849">
      <c r="B849" s="568"/>
      <c r="C849" s="568"/>
    </row>
    <row r="850">
      <c r="B850" s="568"/>
      <c r="C850" s="568"/>
    </row>
    <row r="851">
      <c r="B851" s="568"/>
      <c r="C851" s="568"/>
    </row>
    <row r="852">
      <c r="B852" s="568"/>
      <c r="C852" s="568"/>
    </row>
    <row r="853">
      <c r="B853" s="568"/>
      <c r="C853" s="568"/>
    </row>
    <row r="854">
      <c r="B854" s="568"/>
      <c r="C854" s="568"/>
    </row>
    <row r="855">
      <c r="B855" s="568"/>
      <c r="C855" s="568"/>
    </row>
    <row r="856">
      <c r="B856" s="568"/>
      <c r="C856" s="568"/>
    </row>
    <row r="857">
      <c r="B857" s="568"/>
      <c r="C857" s="568"/>
    </row>
    <row r="858">
      <c r="B858" s="568"/>
      <c r="C858" s="568"/>
    </row>
    <row r="859">
      <c r="B859" s="568"/>
      <c r="C859" s="568"/>
    </row>
    <row r="860">
      <c r="B860" s="568"/>
      <c r="C860" s="568"/>
    </row>
    <row r="861">
      <c r="B861" s="568"/>
      <c r="C861" s="568"/>
    </row>
    <row r="862">
      <c r="B862" s="568"/>
      <c r="C862" s="568"/>
    </row>
    <row r="863">
      <c r="B863" s="568"/>
      <c r="C863" s="568"/>
    </row>
    <row r="864">
      <c r="B864" s="568"/>
      <c r="C864" s="568"/>
    </row>
    <row r="865">
      <c r="B865" s="568"/>
      <c r="C865" s="568"/>
    </row>
    <row r="866">
      <c r="B866" s="568"/>
      <c r="C866" s="568"/>
    </row>
    <row r="867">
      <c r="B867" s="568"/>
      <c r="C867" s="568"/>
    </row>
    <row r="868">
      <c r="B868" s="568"/>
      <c r="C868" s="568"/>
    </row>
    <row r="869">
      <c r="B869" s="568"/>
      <c r="C869" s="568"/>
    </row>
    <row r="870">
      <c r="B870" s="568"/>
      <c r="C870" s="568"/>
    </row>
    <row r="871">
      <c r="B871" s="568"/>
      <c r="C871" s="568"/>
    </row>
    <row r="872">
      <c r="B872" s="568"/>
      <c r="C872" s="568"/>
    </row>
    <row r="873">
      <c r="B873" s="568"/>
      <c r="C873" s="568"/>
    </row>
    <row r="874">
      <c r="B874" s="568"/>
      <c r="C874" s="568"/>
    </row>
    <row r="875">
      <c r="B875" s="568"/>
      <c r="C875" s="568"/>
    </row>
    <row r="876">
      <c r="B876" s="568"/>
      <c r="C876" s="568"/>
    </row>
    <row r="877">
      <c r="B877" s="568"/>
      <c r="C877" s="568"/>
    </row>
    <row r="878">
      <c r="B878" s="568"/>
      <c r="C878" s="568"/>
    </row>
    <row r="879">
      <c r="B879" s="568"/>
      <c r="C879" s="568"/>
    </row>
    <row r="880">
      <c r="B880" s="568"/>
      <c r="C880" s="568"/>
    </row>
    <row r="881">
      <c r="B881" s="568"/>
      <c r="C881" s="568"/>
    </row>
    <row r="882">
      <c r="B882" s="568"/>
      <c r="C882" s="568"/>
    </row>
    <row r="883">
      <c r="B883" s="568"/>
      <c r="C883" s="568"/>
    </row>
    <row r="884">
      <c r="B884" s="568"/>
      <c r="C884" s="568"/>
    </row>
    <row r="885">
      <c r="B885" s="568"/>
      <c r="C885" s="568"/>
    </row>
    <row r="886">
      <c r="B886" s="568"/>
      <c r="C886" s="568"/>
    </row>
    <row r="887">
      <c r="B887" s="568"/>
      <c r="C887" s="568"/>
    </row>
    <row r="888">
      <c r="B888" s="568"/>
      <c r="C888" s="568"/>
    </row>
    <row r="889">
      <c r="B889" s="568"/>
      <c r="C889" s="568"/>
    </row>
    <row r="890">
      <c r="B890" s="568"/>
      <c r="C890" s="568"/>
    </row>
    <row r="891">
      <c r="B891" s="568"/>
      <c r="C891" s="568"/>
    </row>
    <row r="892">
      <c r="B892" s="568"/>
      <c r="C892" s="568"/>
    </row>
    <row r="893">
      <c r="B893" s="568"/>
      <c r="C893" s="568"/>
    </row>
    <row r="894">
      <c r="B894" s="568"/>
      <c r="C894" s="568"/>
    </row>
    <row r="895">
      <c r="B895" s="568"/>
      <c r="C895" s="568"/>
    </row>
    <row r="896">
      <c r="B896" s="568"/>
      <c r="C896" s="568"/>
    </row>
    <row r="897">
      <c r="B897" s="568"/>
      <c r="C897" s="568"/>
    </row>
    <row r="898">
      <c r="B898" s="568"/>
      <c r="C898" s="568"/>
    </row>
    <row r="899">
      <c r="B899" s="568"/>
      <c r="C899" s="568"/>
    </row>
    <row r="900">
      <c r="B900" s="568"/>
      <c r="C900" s="568"/>
    </row>
    <row r="901">
      <c r="B901" s="568"/>
      <c r="C901" s="568"/>
    </row>
    <row r="902">
      <c r="B902" s="568"/>
      <c r="C902" s="568"/>
    </row>
    <row r="903">
      <c r="B903" s="568"/>
      <c r="C903" s="568"/>
    </row>
    <row r="904">
      <c r="B904" s="568"/>
      <c r="C904" s="568"/>
    </row>
    <row r="905">
      <c r="B905" s="568"/>
      <c r="C905" s="568"/>
    </row>
    <row r="906">
      <c r="B906" s="568"/>
      <c r="C906" s="568"/>
    </row>
    <row r="907">
      <c r="B907" s="568"/>
      <c r="C907" s="568"/>
    </row>
    <row r="908">
      <c r="B908" s="568"/>
      <c r="C908" s="568"/>
    </row>
    <row r="909">
      <c r="B909" s="568"/>
      <c r="C909" s="568"/>
    </row>
    <row r="910">
      <c r="B910" s="568"/>
      <c r="C910" s="568"/>
    </row>
    <row r="911">
      <c r="B911" s="568"/>
      <c r="C911" s="568"/>
    </row>
    <row r="912">
      <c r="B912" s="568"/>
      <c r="C912" s="568"/>
    </row>
    <row r="913">
      <c r="B913" s="568"/>
      <c r="C913" s="568"/>
    </row>
    <row r="914">
      <c r="B914" s="568"/>
      <c r="C914" s="568"/>
    </row>
    <row r="915">
      <c r="B915" s="568"/>
      <c r="C915" s="568"/>
    </row>
    <row r="916">
      <c r="B916" s="568"/>
      <c r="C916" s="568"/>
    </row>
    <row r="917">
      <c r="B917" s="568"/>
      <c r="C917" s="568"/>
    </row>
    <row r="918">
      <c r="B918" s="568"/>
      <c r="C918" s="568"/>
    </row>
    <row r="919">
      <c r="B919" s="568"/>
      <c r="C919" s="568"/>
    </row>
    <row r="920">
      <c r="B920" s="568"/>
      <c r="C920" s="568"/>
    </row>
    <row r="921">
      <c r="B921" s="568"/>
      <c r="C921" s="568"/>
    </row>
    <row r="922">
      <c r="B922" s="568"/>
      <c r="C922" s="568"/>
    </row>
    <row r="923">
      <c r="B923" s="568"/>
      <c r="C923" s="568"/>
    </row>
    <row r="924">
      <c r="B924" s="568"/>
      <c r="C924" s="568"/>
    </row>
    <row r="925">
      <c r="B925" s="568"/>
      <c r="C925" s="568"/>
    </row>
    <row r="926">
      <c r="B926" s="568"/>
      <c r="C926" s="568"/>
    </row>
    <row r="927">
      <c r="B927" s="568"/>
      <c r="C927" s="568"/>
    </row>
    <row r="928">
      <c r="B928" s="568"/>
      <c r="C928" s="568"/>
    </row>
    <row r="929">
      <c r="B929" s="568"/>
      <c r="C929" s="568"/>
    </row>
    <row r="930">
      <c r="B930" s="568"/>
      <c r="C930" s="568"/>
    </row>
    <row r="931">
      <c r="B931" s="568"/>
      <c r="C931" s="568"/>
    </row>
    <row r="932">
      <c r="B932" s="568"/>
      <c r="C932" s="568"/>
    </row>
    <row r="933">
      <c r="B933" s="568"/>
      <c r="C933" s="568"/>
    </row>
    <row r="934">
      <c r="B934" s="568"/>
      <c r="C934" s="568"/>
    </row>
    <row r="935">
      <c r="B935" s="568"/>
      <c r="C935" s="568"/>
    </row>
    <row r="936">
      <c r="B936" s="568"/>
      <c r="C936" s="568"/>
    </row>
    <row r="937">
      <c r="B937" s="568"/>
      <c r="C937" s="568"/>
    </row>
    <row r="938">
      <c r="B938" s="568"/>
      <c r="C938" s="568"/>
    </row>
    <row r="939">
      <c r="B939" s="568"/>
      <c r="C939" s="568"/>
    </row>
    <row r="940">
      <c r="B940" s="568"/>
      <c r="C940" s="568"/>
    </row>
    <row r="941">
      <c r="B941" s="568"/>
      <c r="C941" s="568"/>
    </row>
    <row r="942">
      <c r="B942" s="568"/>
      <c r="C942" s="568"/>
    </row>
    <row r="943">
      <c r="B943" s="568"/>
      <c r="C943" s="568"/>
    </row>
    <row r="944">
      <c r="B944" s="568"/>
      <c r="C944" s="568"/>
    </row>
    <row r="945">
      <c r="B945" s="568"/>
      <c r="C945" s="568"/>
    </row>
    <row r="946">
      <c r="B946" s="568"/>
      <c r="C946" s="568"/>
    </row>
    <row r="947">
      <c r="B947" s="568"/>
      <c r="C947" s="568"/>
    </row>
    <row r="948">
      <c r="B948" s="568"/>
      <c r="C948" s="568"/>
    </row>
    <row r="949">
      <c r="B949" s="568"/>
      <c r="C949" s="568"/>
    </row>
    <row r="950">
      <c r="B950" s="568"/>
      <c r="C950" s="568"/>
    </row>
    <row r="951">
      <c r="B951" s="568"/>
      <c r="C951" s="568"/>
    </row>
    <row r="952">
      <c r="B952" s="568"/>
      <c r="C952" s="568"/>
    </row>
    <row r="953">
      <c r="B953" s="568"/>
      <c r="C953" s="568"/>
    </row>
    <row r="954">
      <c r="B954" s="568"/>
      <c r="C954" s="568"/>
    </row>
    <row r="955">
      <c r="B955" s="568"/>
      <c r="C955" s="568"/>
    </row>
    <row r="956">
      <c r="B956" s="568"/>
      <c r="C956" s="568"/>
    </row>
    <row r="957">
      <c r="B957" s="568"/>
      <c r="C957" s="568"/>
    </row>
    <row r="958">
      <c r="B958" s="568"/>
      <c r="C958" s="568"/>
    </row>
    <row r="959">
      <c r="B959" s="568"/>
      <c r="C959" s="568"/>
    </row>
    <row r="960">
      <c r="B960" s="568"/>
      <c r="C960" s="568"/>
    </row>
    <row r="961">
      <c r="B961" s="568"/>
      <c r="C961" s="568"/>
    </row>
    <row r="962">
      <c r="B962" s="568"/>
      <c r="C962" s="568"/>
    </row>
    <row r="963">
      <c r="B963" s="568"/>
      <c r="C963" s="568"/>
    </row>
    <row r="964">
      <c r="B964" s="568"/>
      <c r="C964" s="568"/>
    </row>
    <row r="965">
      <c r="B965" s="568"/>
      <c r="C965" s="568"/>
    </row>
    <row r="966">
      <c r="B966" s="568"/>
      <c r="C966" s="568"/>
    </row>
    <row r="967">
      <c r="B967" s="568"/>
      <c r="C967" s="568"/>
    </row>
    <row r="968">
      <c r="B968" s="568"/>
      <c r="C968" s="568"/>
    </row>
    <row r="969">
      <c r="B969" s="568"/>
      <c r="C969" s="568"/>
    </row>
    <row r="970">
      <c r="B970" s="568"/>
      <c r="C970" s="568"/>
    </row>
    <row r="971">
      <c r="B971" s="568"/>
      <c r="C971" s="568"/>
    </row>
    <row r="972">
      <c r="B972" s="568"/>
      <c r="C972" s="568"/>
    </row>
    <row r="973">
      <c r="B973" s="568"/>
      <c r="C973" s="568"/>
    </row>
    <row r="974">
      <c r="B974" s="568"/>
      <c r="C974" s="568"/>
    </row>
    <row r="975">
      <c r="B975" s="568"/>
      <c r="C975" s="568"/>
    </row>
    <row r="976">
      <c r="B976" s="568"/>
      <c r="C976" s="568"/>
    </row>
    <row r="977">
      <c r="B977" s="568"/>
      <c r="C977" s="568"/>
    </row>
    <row r="978">
      <c r="B978" s="568"/>
      <c r="C978" s="568"/>
    </row>
    <row r="979">
      <c r="B979" s="568"/>
      <c r="C979" s="568"/>
    </row>
    <row r="980">
      <c r="B980" s="568"/>
      <c r="C980" s="568"/>
    </row>
    <row r="981">
      <c r="B981" s="568"/>
      <c r="C981" s="568"/>
    </row>
    <row r="982">
      <c r="B982" s="568"/>
      <c r="C982" s="568"/>
    </row>
    <row r="983">
      <c r="B983" s="568"/>
      <c r="C983" s="568"/>
    </row>
    <row r="984">
      <c r="B984" s="568"/>
      <c r="C984" s="568"/>
    </row>
    <row r="985">
      <c r="B985" s="568"/>
      <c r="C985" s="568"/>
    </row>
    <row r="986">
      <c r="B986" s="568"/>
      <c r="C986" s="568"/>
    </row>
    <row r="987">
      <c r="B987" s="568"/>
      <c r="C987" s="568"/>
    </row>
    <row r="988">
      <c r="B988" s="568"/>
      <c r="C988" s="568"/>
    </row>
    <row r="989">
      <c r="B989" s="568"/>
      <c r="C989" s="568"/>
    </row>
    <row r="990">
      <c r="B990" s="568"/>
      <c r="C990" s="568"/>
    </row>
    <row r="991">
      <c r="B991" s="568"/>
      <c r="C991" s="568"/>
    </row>
    <row r="992">
      <c r="B992" s="568"/>
      <c r="C992" s="568"/>
    </row>
    <row r="993">
      <c r="B993" s="568"/>
      <c r="C993" s="568"/>
    </row>
    <row r="994">
      <c r="B994" s="568"/>
      <c r="C994" s="568"/>
    </row>
    <row r="995">
      <c r="B995" s="568"/>
      <c r="C995" s="568"/>
    </row>
    <row r="996">
      <c r="B996" s="568"/>
      <c r="C996" s="568"/>
    </row>
    <row r="997">
      <c r="B997" s="568"/>
      <c r="C997" s="568"/>
    </row>
    <row r="998">
      <c r="B998" s="568"/>
      <c r="C998" s="568"/>
    </row>
    <row r="999">
      <c r="B999" s="568"/>
      <c r="C999" s="568"/>
    </row>
    <row r="1000">
      <c r="B1000" s="568"/>
      <c r="C1000" s="568"/>
    </row>
    <row r="1001">
      <c r="B1001" s="568"/>
      <c r="C1001" s="568"/>
    </row>
  </sheetData>
  <hyperlinks>
    <hyperlink r:id="rId1" ref="K5"/>
    <hyperlink r:id="rId2" ref="K6"/>
    <hyperlink r:id="rId3" location="gid=1230167073" ref="K7"/>
    <hyperlink r:id="rId4" ref="K8"/>
    <hyperlink r:id="rId5" location="gid=1230167073" ref="K9"/>
    <hyperlink r:id="rId6" location="gid=1230167073" ref="K10"/>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2" width="2.5"/>
    <col customWidth="1" min="3" max="3" width="24.25"/>
    <col customWidth="1" min="4" max="7" width="3.25"/>
    <col customWidth="1" min="8" max="8" width="24.25"/>
    <col customWidth="1" min="9" max="12" width="3.25"/>
    <col customWidth="1" min="13" max="13" width="24.25"/>
    <col customWidth="1" min="14" max="17" width="3.25"/>
    <col customWidth="1" min="18" max="18" width="24.25"/>
    <col customWidth="1" min="19" max="22" width="3.25"/>
    <col customWidth="1" min="23" max="23" width="24.25"/>
    <col customWidth="1" min="24" max="27" width="3.25"/>
    <col customWidth="1" min="28" max="28" width="24.25"/>
    <col customWidth="1" min="29" max="32" width="3.25"/>
    <col customWidth="1" min="33" max="33" width="24.25"/>
    <col customWidth="1" min="34" max="37" width="3.25"/>
  </cols>
  <sheetData>
    <row r="1" ht="17.25" customHeight="1">
      <c r="A1" s="582" t="str">
        <f>IF(ISODD(INT((C$1 - '特殊配信マスタ'!$A$1)/7)), "隔週B", "隔週A")</f>
        <v>隔週A</v>
      </c>
      <c r="B1" s="583">
        <f>MOD(INT((C$1 - '特殊配信マスタ'!$A$1)/7), 3) + 1</f>
        <v>1</v>
      </c>
      <c r="C1" s="2">
        <v>46126.0</v>
      </c>
      <c r="D1" s="3"/>
      <c r="E1" s="6"/>
      <c r="F1" s="4"/>
      <c r="G1" s="5"/>
      <c r="H1" s="3">
        <f>C1+1</f>
        <v>46127</v>
      </c>
      <c r="I1" s="3"/>
      <c r="J1" s="6"/>
      <c r="K1" s="4"/>
      <c r="L1" s="5"/>
      <c r="M1" s="3">
        <f>H1+1</f>
        <v>46128</v>
      </c>
      <c r="N1" s="3"/>
      <c r="O1" s="6"/>
      <c r="P1" s="4"/>
      <c r="Q1" s="5"/>
      <c r="R1" s="3">
        <f>M1+1</f>
        <v>46129</v>
      </c>
      <c r="S1" s="3"/>
      <c r="T1" s="6"/>
      <c r="U1" s="4"/>
      <c r="V1" s="5"/>
      <c r="W1" s="3">
        <f>R1+1</f>
        <v>46130</v>
      </c>
      <c r="X1" s="3"/>
      <c r="Y1" s="6"/>
      <c r="Z1" s="4"/>
      <c r="AA1" s="5"/>
      <c r="AB1" s="3">
        <f>W1+1</f>
        <v>46131</v>
      </c>
      <c r="AC1" s="3"/>
      <c r="AD1" s="6"/>
      <c r="AE1" s="4"/>
      <c r="AF1" s="5"/>
      <c r="AG1" s="3">
        <f>AB1+1</f>
        <v>46132</v>
      </c>
      <c r="AH1" s="3"/>
      <c r="AI1" s="6"/>
      <c r="AJ1" s="4"/>
      <c r="AK1" s="5"/>
    </row>
    <row r="2">
      <c r="A2" s="8"/>
      <c r="B2" s="8"/>
      <c r="C2" s="8" t="s">
        <v>0</v>
      </c>
      <c r="D2" s="8" t="s">
        <v>1</v>
      </c>
      <c r="E2" s="8" t="s">
        <v>4</v>
      </c>
      <c r="F2" s="8" t="s">
        <v>2</v>
      </c>
      <c r="G2" s="8" t="s">
        <v>3</v>
      </c>
      <c r="H2" s="8" t="s">
        <v>0</v>
      </c>
      <c r="I2" s="8" t="s">
        <v>1</v>
      </c>
      <c r="J2" s="8" t="s">
        <v>4</v>
      </c>
      <c r="K2" s="8" t="s">
        <v>2</v>
      </c>
      <c r="L2" s="8" t="s">
        <v>3</v>
      </c>
      <c r="M2" s="8" t="s">
        <v>0</v>
      </c>
      <c r="N2" s="8" t="s">
        <v>1</v>
      </c>
      <c r="O2" s="8" t="s">
        <v>4</v>
      </c>
      <c r="P2" s="8" t="s">
        <v>2</v>
      </c>
      <c r="Q2" s="8" t="s">
        <v>3</v>
      </c>
      <c r="R2" s="8" t="s">
        <v>0</v>
      </c>
      <c r="S2" s="8" t="s">
        <v>1</v>
      </c>
      <c r="T2" s="8" t="s">
        <v>4</v>
      </c>
      <c r="U2" s="8" t="s">
        <v>2</v>
      </c>
      <c r="V2" s="8" t="s">
        <v>3</v>
      </c>
      <c r="W2" s="8" t="s">
        <v>0</v>
      </c>
      <c r="X2" s="8" t="s">
        <v>1</v>
      </c>
      <c r="Y2" s="8" t="s">
        <v>4</v>
      </c>
      <c r="Z2" s="8" t="s">
        <v>2</v>
      </c>
      <c r="AA2" s="8" t="s">
        <v>3</v>
      </c>
      <c r="AB2" s="8" t="s">
        <v>0</v>
      </c>
      <c r="AC2" s="8" t="s">
        <v>1</v>
      </c>
      <c r="AD2" s="8" t="s">
        <v>4</v>
      </c>
      <c r="AE2" s="8" t="s">
        <v>2</v>
      </c>
      <c r="AF2" s="8" t="s">
        <v>3</v>
      </c>
      <c r="AG2" s="8" t="s">
        <v>0</v>
      </c>
      <c r="AH2" s="8" t="s">
        <v>1</v>
      </c>
      <c r="AI2" s="8" t="s">
        <v>4</v>
      </c>
      <c r="AJ2" s="8" t="s">
        <v>2</v>
      </c>
      <c r="AK2" s="8" t="s">
        <v>3</v>
      </c>
    </row>
    <row r="3" ht="17.25" customHeight="1">
      <c r="A3" s="584">
        <v>8.0</v>
      </c>
      <c r="B3" s="585" t="s">
        <v>1450</v>
      </c>
      <c r="C3" s="586" t="str">
        <f>IFERROR(__xludf.DUMMYFUNCTION("IFERROR(FILTER('リスト'!$E$4:$E$349, (TEXT('リスト'!$A$4:$A$349,""ddd"")=TEXT(C$1, ""ddd""))*('リスト'!$B$4:$B$349=LOOKUP(2,1/($A$3:$A3&lt;&gt;""""),$A$3:$A3))*(('リスト'!$G$4:$G$349=""毎週配信"")+('リスト'!$G$4:$G$349=$A$1))), """")"),"関西_自己PR不要_リモート未経験_事務")</f>
        <v>関西_自己PR不要_リモート未経験_事務</v>
      </c>
      <c r="D3" s="8">
        <f t="array" ref="D3">IFERROR(XLOOKUP(C3, 'リスト'!$E:$E, 'リスト'!$F:$F, ""), "")</f>
        <v>0.2</v>
      </c>
      <c r="E3" s="8">
        <f>SUM(D3:D21)</f>
        <v>10.8</v>
      </c>
      <c r="F3" s="8" t="str">
        <f>IFERROR(__xludf.DUMMYFUNCTION("IF(C3="""","""",IFERROR(INDEX(FILTER('リスト'!$O$4:$O$349, 'リスト'!$E$4:$E$349=C3),1),""""))"),"R")</f>
        <v>R</v>
      </c>
      <c r="G3" s="8" t="str">
        <f>IFERROR(__xludf.DUMMYFUNCTION("IF(C3="""","""",IFERROR(INDEX(FILTER('リスト'!$P$4:$P$349, 'リスト'!$E$4:$E$349=C3),1),""""))"),"")</f>
        <v/>
      </c>
      <c r="H3" s="586" t="str">
        <f>IFERROR(__xludf.DUMMYFUNCTION("IFERROR(FILTER('リスト'!$E$4:$E$349, (TEXT('リスト'!$A$4:$A$349,""ddd"")=TEXT(H$1, ""ddd""))*('リスト'!$B$4:$B$349=LOOKUP(2,1/($A$3:$A3&lt;&gt;""""),$A$3:$A3))*(('リスト'!$G$4:$G$349=""毎週配信"")+('リスト'!$G$4:$G$349=$A$1))), """")"),"★求人特集(35歳未満) A")</f>
        <v>★求人特集(35歳未満) A</v>
      </c>
      <c r="I3" s="8">
        <f t="array" ref="I3">IFERROR(XLOOKUP(H3, 'リスト'!$E:$E, 'リスト'!$F:$F, ""), "")</f>
        <v>7</v>
      </c>
      <c r="J3" s="8">
        <f>SUM(I3:I21)</f>
        <v>7.5</v>
      </c>
      <c r="K3" s="8" t="str">
        <f>IFERROR(__xludf.DUMMYFUNCTION("IF(H3="""","""",IFERROR(INDEX(FILTER('リスト'!$O$4:$O$349, 'リスト'!$E$4:$E$349=H3),1),""""))"),"平")</f>
        <v>平</v>
      </c>
      <c r="L3" s="8" t="str">
        <f>IFERROR(__xludf.DUMMYFUNCTION("IF(H3="""","""",IFERROR(INDEX(FILTER('リスト'!$P$4:$P$349, 'リスト'!$E$4:$E$349=H3),1),""""))"),"荒")</f>
        <v>荒</v>
      </c>
      <c r="M3" s="586" t="str">
        <f>IFERROR(__xludf.DUMMYFUNCTION("IFERROR(FILTER('リスト'!$E$4:$E$349, (TEXT('リスト'!$A$4:$A$349,""ddd"")=TEXT(M$1, ""ddd""))*('リスト'!$B$4:$B$349=LOOKUP(2,1/($A$3:$A3&lt;&gt;""""),$A$3:$A3))*(('リスト'!$G$4:$G$349=""毎週配信"")+('リスト'!$G$4:$G$349=$A$1))), """")"),"年収500万以上_未経験歓迎")</f>
        <v>年収500万以上_未経験歓迎</v>
      </c>
      <c r="N3" s="8">
        <f t="array" ref="N3">IFERROR(XLOOKUP(M3, 'リスト'!$E:$E, 'リスト'!$F:$F, ""), "")</f>
        <v>0.6</v>
      </c>
      <c r="O3" s="8">
        <f>SUM(N3:N21)</f>
        <v>5.6</v>
      </c>
      <c r="P3" s="8" t="str">
        <f>IFERROR(__xludf.DUMMYFUNCTION("IF(M3="""","""",IFERROR(INDEX(FILTER('リスト'!$O$4:$O$349, 'リスト'!$E$4:$E$349=M3),1),""""))"),"R")</f>
        <v>R</v>
      </c>
      <c r="Q3" s="8" t="str">
        <f>IFERROR(__xludf.DUMMYFUNCTION("IF(M3="""","""",IFERROR(INDEX(FILTER('リスト'!$P$4:$P$349, 'リスト'!$E$4:$E$349=M3),1),""""))"),"")</f>
        <v/>
      </c>
      <c r="R3" s="586" t="str">
        <f>IFERROR(__xludf.DUMMYFUNCTION("IFERROR(FILTER('リスト'!$E$4:$E$349, (TEXT('リスト'!$A$4:$A$349,""ddd"")=TEXT(R$1, ""ddd""))*('リスト'!$B$4:$B$349=LOOKUP(2,1/($A$3:$A3&lt;&gt;""""),$A$3:$A3))*(('リスト'!$G$4:$G$349=""毎週配信"")+('リスト'!$G$4:$G$349=$A$1))), """")"),"データ入力×リモートOK")</f>
        <v>データ入力×リモートOK</v>
      </c>
      <c r="S3" s="8">
        <f t="array" ref="S3">IFERROR(XLOOKUP(R3, 'リスト'!$E:$E, 'リスト'!$F:$F, ""), "")</f>
        <v>1.8</v>
      </c>
      <c r="T3" s="8">
        <f>SUM(S3:S21)</f>
        <v>9.2</v>
      </c>
      <c r="U3" s="8" t="str">
        <f>IFERROR(__xludf.DUMMYFUNCTION("IF(R3="""","""",IFERROR(INDEX(FILTER('リスト'!$O$4:$O$349, 'リスト'!$E$4:$E$349=R3),1),""""))"),"R")</f>
        <v>R</v>
      </c>
      <c r="V3" s="8" t="str">
        <f>IFERROR(__xludf.DUMMYFUNCTION("IF(R3="""","""",IFERROR(INDEX(FILTER('リスト'!$P$4:$P$349, 'リスト'!$E$4:$E$349=R3),1),""""))"),"")</f>
        <v/>
      </c>
      <c r="W3" s="586" t="str">
        <f>IFERROR(__xludf.DUMMYFUNCTION("IFERROR(FILTER('リスト'!$E$4:$E$349, (TEXT('リスト'!$A$4:$A$349,""ddd"")=TEXT(W$1, ""ddd""))*('リスト'!$B$4:$B$349=LOOKUP(2,1/($A$3:$A3&lt;&gt;""""),$A$3:$A3))*(('リスト'!$G$4:$G$349=""毎週配信"")+('リスト'!$G$4:$G$349=$A$1))), """")"),"★求人特集(35歳未満） B")</f>
        <v>★求人特集(35歳未満） B</v>
      </c>
      <c r="X3" s="8">
        <f t="array" ref="X3">IFERROR(XLOOKUP(W3, 'リスト'!$E:$E, 'リスト'!$F:$F, ""), "")</f>
        <v>7</v>
      </c>
      <c r="Y3" s="8">
        <f>SUM(X3:X21)</f>
        <v>7.1</v>
      </c>
      <c r="Z3" s="8" t="str">
        <f>IFERROR(__xludf.DUMMYFUNCTION("IF(W3="""","""",IFERROR(INDEX(FILTER('リスト'!$O$4:$O$349, 'リスト'!$E$4:$E$349=W3),1),""""))"),"平")</f>
        <v>平</v>
      </c>
      <c r="AA3" s="8" t="str">
        <f>IFERROR(__xludf.DUMMYFUNCTION("IF(W3="""","""",IFERROR(INDEX(FILTER('リスト'!$P$4:$P$349, 'リスト'!$E$4:$E$349=W3),1),""""))"),"荒")</f>
        <v>荒</v>
      </c>
      <c r="AB3" s="586" t="str">
        <f>IFERROR(__xludf.DUMMYFUNCTION("IFERROR(FILTER('リスト'!$E$4:$E$349, (TEXT('リスト'!$A$4:$A$349,""ddd"")=TEXT(AB$1, ""ddd""))*('リスト'!$B$4:$B$349=LOOKUP(2,1/($A$3:$A3&lt;&gt;""""),$A$3:$A3))*(('リスト'!$G$4:$G$349=""毎週配信"")+('リスト'!$G$4:$G$349=$A$1))), """")"),"40代再就職")</f>
        <v>40代再就職</v>
      </c>
      <c r="AC3" s="8">
        <f t="array" ref="AC3">IFERROR(XLOOKUP(AB3, 'リスト'!$E:$E, 'リスト'!$F:$F, ""), "")</f>
        <v>0.9</v>
      </c>
      <c r="AD3" s="8">
        <f>SUM(AC3:AC21)</f>
        <v>2</v>
      </c>
      <c r="AE3" s="8" t="str">
        <f>IFERROR(__xludf.DUMMYFUNCTION("IF(AB3="""","""",IFERROR(INDEX(FILTER('リスト'!$O$4:$O$349, 'リスト'!$E$4:$E$349=AB3),1),""""))"),"R")</f>
        <v>R</v>
      </c>
      <c r="AF3" s="8" t="str">
        <f>IFERROR(__xludf.DUMMYFUNCTION("IF(AB3="""","""",IFERROR(INDEX(FILTER('リスト'!$P$4:$P$349, 'リスト'!$E$4:$E$349=AB3),1),""""))"),"")</f>
        <v/>
      </c>
      <c r="AG3" s="586" t="str">
        <f>IFERROR(__xludf.DUMMYFUNCTION("IFERROR(FILTER('リスト'!$E$4:$E$349, (TEXT('リスト'!$A$4:$A$349,""ddd"")=TEXT(AG$1, ""ddd""))*('リスト'!$B$4:$B$349=LOOKUP(2,1/($A$3:$A3&lt;&gt;""""),$A$3:$A3))*(('リスト'!$G$4:$G$349=""毎週配信"")+('リスト'!$G$4:$G$349=$A$1))), """")"),"◇掲載終了前+UP_35歳以上 B")</f>
        <v>◇掲載終了前+UP_35歳以上 B</v>
      </c>
      <c r="AH3" s="8">
        <f t="array" ref="AH3">IFERROR(XLOOKUP(AG3, 'リスト'!$E:$E, 'リスト'!$F:$F, ""), "")</f>
        <v>1</v>
      </c>
      <c r="AI3" s="8">
        <f>SUM(AH3:AH21)</f>
        <v>8.9</v>
      </c>
      <c r="AJ3" s="8" t="str">
        <f>IFERROR(__xludf.DUMMYFUNCTION("IF(AG3="""","""",IFERROR(INDEX(FILTER('リスト'!$O$4:$O$349, 'リスト'!$E$4:$E$349=AG3),1),""""))"),"内")</f>
        <v>内</v>
      </c>
      <c r="AK3" s="8" t="str">
        <f>IFERROR(__xludf.DUMMYFUNCTION("IF(AG3="""","""",IFERROR(INDEX(FILTER('リスト'!$P$4:$P$349, 'リスト'!$E$4:$E$349=AG3),1),""""))"),"荒")</f>
        <v>荒</v>
      </c>
    </row>
    <row r="4" ht="17.25" customHeight="1">
      <c r="A4" s="587"/>
      <c r="B4" s="588"/>
      <c r="C4" s="586" t="str">
        <f>IFERROR(__xludf.DUMMYFUNCTION("""COMPUTED_VALUE"""),"応募から1日_好条件営業ランキング")</f>
        <v>応募から1日_好条件営業ランキング</v>
      </c>
      <c r="D4" s="8">
        <f t="array" ref="D4">IFERROR(XLOOKUP(C4, 'リスト'!$E:$E, 'リスト'!$F:$F, ""), "")</f>
        <v>0.1</v>
      </c>
      <c r="E4" s="8"/>
      <c r="F4" s="8" t="str">
        <f t="array" ref="F4">IFERROR(XLOOKUP(C4, 'リスト'!$E:$E, 'リスト'!$O:$O, ""), "")</f>
        <v>R</v>
      </c>
      <c r="G4" s="8" t="str">
        <f t="array" ref="G4">IFERROR(XLOOKUP(C4, 'リスト'!$E:$E, 'リスト'!$P:$P, ""), "")</f>
        <v/>
      </c>
      <c r="H4" s="586" t="str">
        <f>IFERROR(__xludf.DUMMYFUNCTION("""COMPUTED_VALUE"""),"50代事務")</f>
        <v>50代事務</v>
      </c>
      <c r="I4" s="8">
        <f t="array" ref="I4">IFERROR(XLOOKUP(H4, 'リスト'!$E:$E, 'リスト'!$F:$F, ""), "")</f>
        <v>0.4</v>
      </c>
      <c r="J4" s="8"/>
      <c r="K4" s="8" t="str">
        <f t="array" ref="K4">IFERROR(XLOOKUP(H4, 'リスト'!$E:$E, 'リスト'!$O:$O, ""), "")</f>
        <v>部</v>
      </c>
      <c r="L4" s="8" t="str">
        <f t="array" ref="L4">IFERROR(XLOOKUP(H4, 'リスト'!$E:$E, 'リスト'!$P:$P, ""), "")</f>
        <v>石</v>
      </c>
      <c r="M4" s="586" t="str">
        <f>IFERROR(__xludf.DUMMYFUNCTION("""COMPUTED_VALUE"""),"応募から1日_好条件営業ランキング")</f>
        <v>応募から1日_好条件営業ランキング</v>
      </c>
      <c r="N4" s="8">
        <f t="array" ref="N4">IFERROR(XLOOKUP(M4, 'リスト'!$E:$E, 'リスト'!$F:$F, ""), "")</f>
        <v>0.1</v>
      </c>
      <c r="O4" s="8"/>
      <c r="P4" s="8" t="str">
        <f t="array" ref="P4">IFERROR(XLOOKUP(M4, 'リスト'!$E:$E, 'リスト'!$O:$O, ""), "")</f>
        <v>R</v>
      </c>
      <c r="Q4" s="8" t="str">
        <f t="array" ref="Q4">IFERROR(XLOOKUP(M4, 'リスト'!$E:$E, 'リスト'!$P:$P, ""), "")</f>
        <v/>
      </c>
      <c r="R4" s="586" t="str">
        <f>IFERROR(__xludf.DUMMYFUNCTION("""COMPUTED_VALUE"""),"フルリモート×好条件")</f>
        <v>フルリモート×好条件</v>
      </c>
      <c r="S4" s="8">
        <f t="array" ref="S4">IFERROR(XLOOKUP(R4, 'リスト'!$E:$E, 'リスト'!$F:$F, ""), "")</f>
        <v>5.7</v>
      </c>
      <c r="T4" s="8"/>
      <c r="U4" s="8" t="str">
        <f t="array" ref="U4">IFERROR(XLOOKUP(R4, 'リスト'!$E:$E, 'リスト'!$O:$O, ""), "")</f>
        <v>部</v>
      </c>
      <c r="V4" s="8" t="str">
        <f t="array" ref="V4">IFERROR(XLOOKUP(R4, 'リスト'!$E:$E, 'リスト'!$P:$P, ""), "")</f>
        <v>石</v>
      </c>
      <c r="W4" s="586" t="str">
        <f>IFERROR(__xludf.DUMMYFUNCTION("""COMPUTED_VALUE"""),"応募から1日_好条件営業ランキング")</f>
        <v>応募から1日_好条件営業ランキング</v>
      </c>
      <c r="X4" s="8">
        <f t="array" ref="X4">IFERROR(XLOOKUP(W4, 'リスト'!$E:$E, 'リスト'!$F:$F, ""), "")</f>
        <v>0.1</v>
      </c>
      <c r="Y4" s="8"/>
      <c r="Z4" s="8" t="str">
        <f t="array" ref="Z4">IFERROR(XLOOKUP(W4, 'リスト'!$E:$E, 'リスト'!$O:$O, ""), "")</f>
        <v>R</v>
      </c>
      <c r="AA4" s="8" t="str">
        <f t="array" ref="AA4">IFERROR(XLOOKUP(W4, 'リスト'!$E:$E, 'リスト'!$P:$P, ""), "")</f>
        <v/>
      </c>
      <c r="AB4" s="586" t="str">
        <f>IFERROR(__xludf.DUMMYFUNCTION("""COMPUTED_VALUE"""),"40代再就職_関西")</f>
        <v>40代再就職_関西</v>
      </c>
      <c r="AC4" s="8">
        <f t="array" ref="AC4">IFERROR(XLOOKUP(AB4, 'リスト'!$E:$E, 'リスト'!$F:$F, ""), "")</f>
        <v>0.4</v>
      </c>
      <c r="AD4" s="8"/>
      <c r="AE4" s="8" t="str">
        <f t="array" ref="AE4">IFERROR(XLOOKUP(AB4, 'リスト'!$E:$E, 'リスト'!$O:$O, ""), "")</f>
        <v>R</v>
      </c>
      <c r="AF4" s="8" t="str">
        <f t="array" ref="AF4">IFERROR(XLOOKUP(AB4, 'リスト'!$E:$E, 'リスト'!$P:$P, ""), "")</f>
        <v/>
      </c>
      <c r="AG4" s="586" t="str">
        <f>IFERROR(__xludf.DUMMYFUNCTION("""COMPUTED_VALUE"""),"◇掲載終了前+UP_関西 B")</f>
        <v>◇掲載終了前+UP_関西 B</v>
      </c>
      <c r="AH4" s="8">
        <f t="array" ref="AH4">IFERROR(XLOOKUP(AG4, 'リスト'!$E:$E, 'リスト'!$F:$F, ""), "")</f>
        <v>1</v>
      </c>
      <c r="AI4" s="8"/>
      <c r="AJ4" s="8" t="str">
        <f t="array" ref="AJ4">IFERROR(XLOOKUP(AG4, 'リスト'!$E:$E, 'リスト'!$O:$O, ""), "")</f>
        <v>内</v>
      </c>
      <c r="AK4" s="8" t="str">
        <f t="array" ref="AK4">IFERROR(XLOOKUP(AG4, 'リスト'!$E:$E, 'リスト'!$P:$P, ""), "")</f>
        <v>荒</v>
      </c>
    </row>
    <row r="5" ht="17.25" customHeight="1">
      <c r="A5" s="587"/>
      <c r="B5" s="588"/>
      <c r="C5" s="586" t="str">
        <f>IFERROR(__xludf.DUMMYFUNCTION("""COMPUTED_VALUE"""),"快適な在宅ワーク")</f>
        <v>快適な在宅ワーク</v>
      </c>
      <c r="D5" s="8">
        <f t="array" ref="D5">IFERROR(XLOOKUP(C5, 'リスト'!$E:$E, 'リスト'!$F:$F, ""), "")</f>
        <v>4.3</v>
      </c>
      <c r="E5" s="8"/>
      <c r="F5" s="8" t="str">
        <f t="array" ref="F5">IFERROR(XLOOKUP(C5, 'リスト'!$E:$E, 'リスト'!$O:$O, ""), "")</f>
        <v>石</v>
      </c>
      <c r="G5" s="8" t="str">
        <f t="array" ref="G5">IFERROR(XLOOKUP(C5, 'リスト'!$E:$E, 'リスト'!$P:$P, ""), "")</f>
        <v>部</v>
      </c>
      <c r="H5" s="586" t="str">
        <f>IFERROR(__xludf.DUMMYFUNCTION("""COMPUTED_VALUE"""),"応募から1日_好条件営業ランキング")</f>
        <v>応募から1日_好条件営業ランキング</v>
      </c>
      <c r="I5" s="8">
        <f t="array" ref="I5">IFERROR(XLOOKUP(H5, 'リスト'!$E:$E, 'リスト'!$F:$F, ""), "")</f>
        <v>0.1</v>
      </c>
      <c r="J5" s="8"/>
      <c r="K5" s="8" t="str">
        <f t="array" ref="K5">IFERROR(XLOOKUP(H5, 'リスト'!$E:$E, 'リスト'!$O:$O, ""), "")</f>
        <v>R</v>
      </c>
      <c r="L5" s="8" t="str">
        <f t="array" ref="L5">IFERROR(XLOOKUP(H5, 'リスト'!$E:$E, 'リスト'!$P:$P, ""), "")</f>
        <v/>
      </c>
      <c r="M5" s="586" t="str">
        <f>IFERROR(__xludf.DUMMYFUNCTION("""COMPUTED_VALUE"""),"新着_クリエイティブ")</f>
        <v>新着_クリエイティブ</v>
      </c>
      <c r="N5" s="8">
        <f t="array" ref="N5">IFERROR(XLOOKUP(M5, 'リスト'!$E:$E, 'リスト'!$F:$F, ""), "")</f>
        <v>0.4</v>
      </c>
      <c r="O5" s="8"/>
      <c r="P5" s="8" t="str">
        <f t="array" ref="P5">IFERROR(XLOOKUP(M5, 'リスト'!$E:$E, 'リスト'!$O:$O, ""), "")</f>
        <v>R</v>
      </c>
      <c r="Q5" s="8" t="str">
        <f t="array" ref="Q5">IFERROR(XLOOKUP(M5, 'リスト'!$E:$E, 'リスト'!$P:$P, ""), "")</f>
        <v/>
      </c>
      <c r="R5" s="586" t="str">
        <f>IFERROR(__xludf.DUMMYFUNCTION("""COMPUTED_VALUE"""),"応募から1日_好条件営業ランキング")</f>
        <v>応募から1日_好条件営業ランキング</v>
      </c>
      <c r="S5" s="8">
        <f t="array" ref="S5">IFERROR(XLOOKUP(R5, 'リスト'!$E:$E, 'リスト'!$F:$F, ""), "")</f>
        <v>0.1</v>
      </c>
      <c r="T5" s="8"/>
      <c r="U5" s="8" t="str">
        <f t="array" ref="U5">IFERROR(XLOOKUP(R5, 'リスト'!$E:$E, 'リスト'!$O:$O, ""), "")</f>
        <v>R</v>
      </c>
      <c r="V5" s="8" t="str">
        <f t="array" ref="V5">IFERROR(XLOOKUP(R5, 'リスト'!$E:$E, 'リスト'!$P:$P, ""), "")</f>
        <v/>
      </c>
      <c r="W5" s="586"/>
      <c r="X5" s="8" t="str">
        <f t="array" ref="X5">IFERROR(XLOOKUP(W5, 'リスト'!$E:$E, 'リスト'!$F:$F, ""), "")</f>
        <v/>
      </c>
      <c r="Y5" s="8"/>
      <c r="Z5" s="8" t="str">
        <f t="array" ref="Z5">IFERROR(XLOOKUP(W5, 'リスト'!$E:$E, 'リスト'!$O:$O, ""), "")</f>
        <v/>
      </c>
      <c r="AA5" s="8" t="str">
        <f t="array" ref="AA5">IFERROR(XLOOKUP(W5, 'リスト'!$E:$E, 'リスト'!$P:$P, ""), "")</f>
        <v/>
      </c>
      <c r="AB5" s="586" t="str">
        <f>IFERROR(__xludf.DUMMYFUNCTION("""COMPUTED_VALUE"""),"応募から1日_好条件営業ランキング")</f>
        <v>応募から1日_好条件営業ランキング</v>
      </c>
      <c r="AC5" s="8">
        <f t="array" ref="AC5">IFERROR(XLOOKUP(AB5, 'リスト'!$E:$E, 'リスト'!$F:$F, ""), "")</f>
        <v>0.1</v>
      </c>
      <c r="AD5" s="8"/>
      <c r="AE5" s="8" t="str">
        <f t="array" ref="AE5">IFERROR(XLOOKUP(AB5, 'リスト'!$E:$E, 'リスト'!$O:$O, ""), "")</f>
        <v>R</v>
      </c>
      <c r="AF5" s="8" t="str">
        <f t="array" ref="AF5">IFERROR(XLOOKUP(AB5, 'リスト'!$E:$E, 'リスト'!$P:$P, ""), "")</f>
        <v/>
      </c>
      <c r="AG5" s="586" t="str">
        <f>IFERROR(__xludf.DUMMYFUNCTION("""COMPUTED_VALUE"""),"webデザイナー×未経験歓迎_希望")</f>
        <v>webデザイナー×未経験歓迎_希望</v>
      </c>
      <c r="AH5" s="8">
        <f t="array" ref="AH5">IFERROR(XLOOKUP(AG5, 'リスト'!$E:$E, 'リスト'!$F:$F, ""), "")</f>
        <v>0.6</v>
      </c>
      <c r="AI5" s="8"/>
      <c r="AJ5" s="8" t="str">
        <f t="array" ref="AJ5">IFERROR(XLOOKUP(AG5, 'リスト'!$E:$E, 'リスト'!$O:$O, ""), "")</f>
        <v>R</v>
      </c>
      <c r="AK5" s="8" t="str">
        <f t="array" ref="AK5">IFERROR(XLOOKUP(AG5, 'リスト'!$E:$E, 'リスト'!$P:$P, ""), "")</f>
        <v/>
      </c>
    </row>
    <row r="6" ht="17.25" customHeight="1">
      <c r="A6" s="587"/>
      <c r="B6" s="588"/>
      <c r="C6" s="589" t="str">
        <f>IFERROR(__xludf.DUMMYFUNCTION("""COMPUTED_VALUE"""),"推し活_残業なし_休日120日以上_月給30万以上")</f>
        <v>推し活_残業なし_休日120日以上_月給30万以上</v>
      </c>
      <c r="D6" s="8">
        <f t="array" ref="D6">IFERROR(XLOOKUP(C6, 'リスト'!$E:$E, 'リスト'!$F:$F, ""), "")</f>
        <v>1.2</v>
      </c>
      <c r="E6" s="8"/>
      <c r="F6" s="8" t="str">
        <f t="array" ref="F6">IFERROR(XLOOKUP(C6, 'リスト'!$E:$E, 'リスト'!$O:$O, ""), "")</f>
        <v>R</v>
      </c>
      <c r="G6" s="8" t="str">
        <f t="array" ref="G6">IFERROR(XLOOKUP(C6, 'リスト'!$E:$E, 'リスト'!$P:$P, ""), "")</f>
        <v/>
      </c>
      <c r="H6" s="589"/>
      <c r="I6" s="8" t="str">
        <f t="array" ref="I6">IFERROR(XLOOKUP(H6, 'リスト'!$E:$E, 'リスト'!$F:$F, ""), "")</f>
        <v/>
      </c>
      <c r="J6" s="8"/>
      <c r="K6" s="8" t="str">
        <f t="array" ref="K6">IFERROR(XLOOKUP(H6, 'リスト'!$E:$E, 'リスト'!$O:$O, ""), "")</f>
        <v/>
      </c>
      <c r="L6" s="8" t="str">
        <f t="array" ref="L6">IFERROR(XLOOKUP(H6, 'リスト'!$E:$E, 'リスト'!$P:$P, ""), "")</f>
        <v/>
      </c>
      <c r="M6" s="589" t="str">
        <f>IFERROR(__xludf.DUMMYFUNCTION("""COMPUTED_VALUE"""),"新着_企画営業")</f>
        <v>新着_企画営業</v>
      </c>
      <c r="N6" s="8">
        <f t="array" ref="N6">IFERROR(XLOOKUP(M6, 'リスト'!$E:$E, 'リスト'!$F:$F, ""), "")</f>
        <v>0.9</v>
      </c>
      <c r="O6" s="8"/>
      <c r="P6" s="8" t="str">
        <f t="array" ref="P6">IFERROR(XLOOKUP(M6, 'リスト'!$E:$E, 'リスト'!$O:$O, ""), "")</f>
        <v>R</v>
      </c>
      <c r="Q6" s="8" t="str">
        <f t="array" ref="Q6">IFERROR(XLOOKUP(M6, 'リスト'!$E:$E, 'リスト'!$P:$P, ""), "")</f>
        <v/>
      </c>
      <c r="R6" s="589" t="str">
        <f>IFERROR(__xludf.DUMMYFUNCTION("""COMPUTED_VALUE"""),"既婚者")</f>
        <v>既婚者</v>
      </c>
      <c r="S6" s="8">
        <f t="array" ref="S6">IFERROR(XLOOKUP(R6, 'リスト'!$E:$E, 'リスト'!$F:$F, ""), "")</f>
        <v>0.4</v>
      </c>
      <c r="T6" s="8"/>
      <c r="U6" s="8" t="str">
        <f t="array" ref="U6">IFERROR(XLOOKUP(R6, 'リスト'!$E:$E, 'リスト'!$O:$O, ""), "")</f>
        <v>R</v>
      </c>
      <c r="V6" s="8" t="str">
        <f t="array" ref="V6">IFERROR(XLOOKUP(R6, 'リスト'!$E:$E, 'リスト'!$P:$P, ""), "")</f>
        <v/>
      </c>
      <c r="W6" s="589"/>
      <c r="X6" s="8" t="str">
        <f t="array" ref="X6">IFERROR(XLOOKUP(W6, 'リスト'!$E:$E, 'リスト'!$F:$F, ""), "")</f>
        <v/>
      </c>
      <c r="Y6" s="8"/>
      <c r="Z6" s="8" t="str">
        <f t="array" ref="Z6">IFERROR(XLOOKUP(W6, 'リスト'!$E:$E, 'リスト'!$O:$O, ""), "")</f>
        <v/>
      </c>
      <c r="AA6" s="8" t="str">
        <f t="array" ref="AA6">IFERROR(XLOOKUP(W6, 'リスト'!$E:$E, 'リスト'!$P:$P, ""), "")</f>
        <v/>
      </c>
      <c r="AB6" s="589" t="str">
        <f>IFERROR(__xludf.DUMMYFUNCTION("""COMPUTED_VALUE"""),"人気検索KW_事務系希望")</f>
        <v>人気検索KW_事務系希望</v>
      </c>
      <c r="AC6" s="8">
        <f t="array" ref="AC6">IFERROR(XLOOKUP(AB6, 'リスト'!$E:$E, 'リスト'!$F:$F, ""), "")</f>
        <v>0.6</v>
      </c>
      <c r="AD6" s="8"/>
      <c r="AE6" s="8" t="str">
        <f t="array" ref="AE6">IFERROR(XLOOKUP(AB6, 'リスト'!$E:$E, 'リスト'!$O:$O, ""), "")</f>
        <v>R</v>
      </c>
      <c r="AF6" s="8" t="str">
        <f t="array" ref="AF6">IFERROR(XLOOKUP(AB6, 'リスト'!$E:$E, 'リスト'!$P:$P, ""), "")</f>
        <v/>
      </c>
      <c r="AG6" s="589" t="str">
        <f>IFERROR(__xludf.DUMMYFUNCTION("""COMPUTED_VALUE"""),"応募から1日_好条件営業ランキング")</f>
        <v>応募から1日_好条件営業ランキング</v>
      </c>
      <c r="AH6" s="8">
        <f t="array" ref="AH6">IFERROR(XLOOKUP(AG6, 'リスト'!$E:$E, 'リスト'!$F:$F, ""), "")</f>
        <v>0.1</v>
      </c>
      <c r="AI6" s="8"/>
      <c r="AJ6" s="8" t="str">
        <f t="array" ref="AJ6">IFERROR(XLOOKUP(AG6, 'リスト'!$E:$E, 'リスト'!$O:$O, ""), "")</f>
        <v>R</v>
      </c>
      <c r="AK6" s="8" t="str">
        <f t="array" ref="AK6">IFERROR(XLOOKUP(AG6, 'リスト'!$E:$E, 'リスト'!$P:$P, ""), "")</f>
        <v/>
      </c>
    </row>
    <row r="7" ht="17.25" customHeight="1">
      <c r="A7" s="587"/>
      <c r="B7" s="588"/>
      <c r="C7" s="590"/>
      <c r="D7" s="8" t="str">
        <f t="array" ref="D7">IFERROR(XLOOKUP(C7, 'リスト'!$E:$E, 'リスト'!$F:$F, ""), "")</f>
        <v/>
      </c>
      <c r="E7" s="8"/>
      <c r="F7" s="8" t="str">
        <f t="array" ref="F7">IFERROR(XLOOKUP(C7, 'リスト'!$E:$E, 'リスト'!$O:$O, ""), "")</f>
        <v/>
      </c>
      <c r="G7" s="8" t="str">
        <f t="array" ref="G7">IFERROR(XLOOKUP(C7, 'リスト'!$E:$E, 'リスト'!$P:$P, ""), "")</f>
        <v/>
      </c>
      <c r="H7" s="590"/>
      <c r="I7" s="8" t="str">
        <f t="array" ref="I7">IFERROR(XLOOKUP(H7, 'リスト'!$E:$E, 'リスト'!$F:$F, ""), "")</f>
        <v/>
      </c>
      <c r="J7" s="8"/>
      <c r="K7" s="8" t="str">
        <f t="array" ref="K7">IFERROR(XLOOKUP(H7, 'リスト'!$E:$E, 'リスト'!$O:$O, ""), "")</f>
        <v/>
      </c>
      <c r="L7" s="8" t="str">
        <f t="array" ref="L7">IFERROR(XLOOKUP(H7, 'リスト'!$E:$E, 'リスト'!$P:$P, ""), "")</f>
        <v/>
      </c>
      <c r="M7" s="590" t="str">
        <f>IFERROR(__xludf.DUMMYFUNCTION("""COMPUTED_VALUE"""),"新着_経理")</f>
        <v>新着_経理</v>
      </c>
      <c r="N7" s="8">
        <f t="array" ref="N7">IFERROR(XLOOKUP(M7, 'リスト'!$E:$E, 'リスト'!$F:$F, ""), "")</f>
        <v>0.5</v>
      </c>
      <c r="O7" s="8"/>
      <c r="P7" s="8" t="str">
        <f t="array" ref="P7">IFERROR(XLOOKUP(M7, 'リスト'!$E:$E, 'リスト'!$O:$O, ""), "")</f>
        <v>R</v>
      </c>
      <c r="Q7" s="8" t="str">
        <f t="array" ref="Q7">IFERROR(XLOOKUP(M7, 'リスト'!$E:$E, 'リスト'!$P:$P, ""), "")</f>
        <v/>
      </c>
      <c r="R7" s="590" t="str">
        <f>IFERROR(__xludf.DUMMYFUNCTION("""COMPUTED_VALUE"""),"梅田で働く")</f>
        <v>梅田で働く</v>
      </c>
      <c r="S7" s="8">
        <f t="array" ref="S7">IFERROR(XLOOKUP(R7, 'リスト'!$E:$E, 'リスト'!$F:$F, ""), "")</f>
        <v>0.8</v>
      </c>
      <c r="T7" s="8"/>
      <c r="U7" s="8" t="str">
        <f t="array" ref="U7">IFERROR(XLOOKUP(R7, 'リスト'!$E:$E, 'リスト'!$O:$O, ""), "")</f>
        <v>R</v>
      </c>
      <c r="V7" s="8" t="str">
        <f t="array" ref="V7">IFERROR(XLOOKUP(R7, 'リスト'!$E:$E, 'リスト'!$P:$P, ""), "")</f>
        <v/>
      </c>
      <c r="W7" s="590"/>
      <c r="X7" s="8" t="str">
        <f t="array" ref="X7">IFERROR(XLOOKUP(W7, 'リスト'!$E:$E, 'リスト'!$F:$F, ""), "")</f>
        <v/>
      </c>
      <c r="Y7" s="8"/>
      <c r="Z7" s="8" t="str">
        <f t="array" ref="Z7">IFERROR(XLOOKUP(W7, 'リスト'!$E:$E, 'リスト'!$O:$O, ""), "")</f>
        <v/>
      </c>
      <c r="AA7" s="8" t="str">
        <f t="array" ref="AA7">IFERROR(XLOOKUP(W7, 'リスト'!$E:$E, 'リスト'!$P:$P, ""), "")</f>
        <v/>
      </c>
      <c r="AB7" s="590"/>
      <c r="AC7" s="8" t="str">
        <f t="array" ref="AC7">IFERROR(XLOOKUP(AB7, 'リスト'!$E:$E, 'リスト'!$F:$F, ""), "")</f>
        <v/>
      </c>
      <c r="AD7" s="8"/>
      <c r="AE7" s="8" t="str">
        <f t="array" ref="AE7">IFERROR(XLOOKUP(AB7, 'リスト'!$E:$E, 'リスト'!$O:$O, ""), "")</f>
        <v/>
      </c>
      <c r="AF7" s="8" t="str">
        <f t="array" ref="AF7">IFERROR(XLOOKUP(AB7, 'リスト'!$E:$E, 'リスト'!$P:$P, ""), "")</f>
        <v/>
      </c>
      <c r="AG7" s="590" t="str">
        <f>IFERROR(__xludf.DUMMYFUNCTION("""COMPUTED_VALUE"""),"高収入_リモート_営業")</f>
        <v>高収入_リモート_営業</v>
      </c>
      <c r="AH7" s="8">
        <f t="array" ref="AH7">IFERROR(XLOOKUP(AG7, 'リスト'!$E:$E, 'リスト'!$F:$F, ""), "")</f>
        <v>1.2</v>
      </c>
      <c r="AI7" s="8"/>
      <c r="AJ7" s="8" t="str">
        <f t="array" ref="AJ7">IFERROR(XLOOKUP(AG7, 'リスト'!$E:$E, 'リスト'!$O:$O, ""), "")</f>
        <v>R</v>
      </c>
      <c r="AK7" s="8" t="str">
        <f t="array" ref="AK7">IFERROR(XLOOKUP(AG7, 'リスト'!$E:$E, 'リスト'!$P:$P, ""), "")</f>
        <v/>
      </c>
    </row>
    <row r="8" ht="17.25" customHeight="1">
      <c r="A8" s="587"/>
      <c r="B8" s="588"/>
      <c r="C8" s="590"/>
      <c r="D8" s="8" t="str">
        <f t="array" ref="D8">IFERROR(XLOOKUP(C8, 'リスト'!$E:$E, 'リスト'!$F:$F, ""), "")</f>
        <v/>
      </c>
      <c r="E8" s="8"/>
      <c r="F8" s="8" t="str">
        <f t="array" ref="F8">IFERROR(XLOOKUP(C8, 'リスト'!$E:$E, 'リスト'!$O:$O, ""), "")</f>
        <v/>
      </c>
      <c r="G8" s="8" t="str">
        <f t="array" ref="G8">IFERROR(XLOOKUP(C8, 'リスト'!$E:$E, 'リスト'!$P:$P, ""), "")</f>
        <v/>
      </c>
      <c r="H8" s="590"/>
      <c r="I8" s="8" t="str">
        <f t="array" ref="I8">IFERROR(XLOOKUP(H8, 'リスト'!$E:$E, 'リスト'!$F:$F, ""), "")</f>
        <v/>
      </c>
      <c r="J8" s="8"/>
      <c r="K8" s="8" t="str">
        <f t="array" ref="K8">IFERROR(XLOOKUP(H8, 'リスト'!$E:$E, 'リスト'!$O:$O, ""), "")</f>
        <v/>
      </c>
      <c r="L8" s="8" t="str">
        <f t="array" ref="L8">IFERROR(XLOOKUP(H8, 'リスト'!$E:$E, 'リスト'!$P:$P, ""), "")</f>
        <v/>
      </c>
      <c r="M8" s="590" t="str">
        <f>IFERROR(__xludf.DUMMYFUNCTION("""COMPUTED_VALUE"""),"新着_事務")</f>
        <v>新着_事務</v>
      </c>
      <c r="N8" s="8">
        <f t="array" ref="N8">IFERROR(XLOOKUP(M8, 'リスト'!$E:$E, 'リスト'!$F:$F, ""), "")</f>
        <v>2.5</v>
      </c>
      <c r="O8" s="8"/>
      <c r="P8" s="8" t="str">
        <f t="array" ref="P8">IFERROR(XLOOKUP(M8, 'リスト'!$E:$E, 'リスト'!$O:$O, ""), "")</f>
        <v>R</v>
      </c>
      <c r="Q8" s="8" t="str">
        <f t="array" ref="Q8">IFERROR(XLOOKUP(M8, 'リスト'!$E:$E, 'リスト'!$P:$P, ""), "")</f>
        <v/>
      </c>
      <c r="R8" s="590" t="str">
        <f>IFERROR(__xludf.DUMMYFUNCTION("""COMPUTED_VALUE"""),"未婚者")</f>
        <v>未婚者</v>
      </c>
      <c r="S8" s="8">
        <f t="array" ref="S8">IFERROR(XLOOKUP(R8, 'リスト'!$E:$E, 'リスト'!$F:$F, ""), "")</f>
        <v>0.4</v>
      </c>
      <c r="T8" s="8"/>
      <c r="U8" s="8" t="str">
        <f t="array" ref="U8">IFERROR(XLOOKUP(R8, 'リスト'!$E:$E, 'リスト'!$O:$O, ""), "")</f>
        <v>R</v>
      </c>
      <c r="V8" s="8" t="str">
        <f t="array" ref="V8">IFERROR(XLOOKUP(R8, 'リスト'!$E:$E, 'リスト'!$P:$P, ""), "")</f>
        <v/>
      </c>
      <c r="W8" s="590"/>
      <c r="X8" s="8" t="str">
        <f t="array" ref="X8">IFERROR(XLOOKUP(W8, 'リスト'!$E:$E, 'リスト'!$F:$F, ""), "")</f>
        <v/>
      </c>
      <c r="Y8" s="8"/>
      <c r="Z8" s="8" t="str">
        <f t="array" ref="Z8">IFERROR(XLOOKUP(W8, 'リスト'!$E:$E, 'リスト'!$O:$O, ""), "")</f>
        <v/>
      </c>
      <c r="AA8" s="8" t="str">
        <f t="array" ref="AA8">IFERROR(XLOOKUP(W8, 'リスト'!$E:$E, 'リスト'!$P:$P, ""), "")</f>
        <v/>
      </c>
      <c r="AB8" s="590"/>
      <c r="AC8" s="8" t="str">
        <f t="array" ref="AC8">IFERROR(XLOOKUP(AB8, 'リスト'!$E:$E, 'リスト'!$F:$F, ""), "")</f>
        <v/>
      </c>
      <c r="AD8" s="8"/>
      <c r="AE8" s="8" t="str">
        <f t="array" ref="AE8">IFERROR(XLOOKUP(AB8, 'リスト'!$E:$E, 'リスト'!$O:$O, ""), "")</f>
        <v/>
      </c>
      <c r="AF8" s="8" t="str">
        <f t="array" ref="AF8">IFERROR(XLOOKUP(AB8, 'リスト'!$E:$E, 'リスト'!$P:$P, ""), "")</f>
        <v/>
      </c>
      <c r="AG8" s="590" t="str">
        <f>IFERROR(__xludf.DUMMYFUNCTION("""COMPUTED_VALUE"""),"高収入_リモート_事務")</f>
        <v>高収入_リモート_事務</v>
      </c>
      <c r="AH8" s="8">
        <f t="array" ref="AH8">IFERROR(XLOOKUP(AG8, 'リスト'!$E:$E, 'リスト'!$F:$F, ""), "")</f>
        <v>3</v>
      </c>
      <c r="AI8" s="8"/>
      <c r="AJ8" s="8" t="str">
        <f t="array" ref="AJ8">IFERROR(XLOOKUP(AG8, 'リスト'!$E:$E, 'リスト'!$O:$O, ""), "")</f>
        <v>R</v>
      </c>
      <c r="AK8" s="8" t="str">
        <f t="array" ref="AK8">IFERROR(XLOOKUP(AG8, 'リスト'!$E:$E, 'リスト'!$P:$P, ""), "")</f>
        <v/>
      </c>
    </row>
    <row r="9" ht="17.25" customHeight="1">
      <c r="A9" s="587"/>
      <c r="B9" s="588"/>
      <c r="C9" s="590"/>
      <c r="D9" s="8" t="str">
        <f t="array" ref="D9">IFERROR(XLOOKUP(C9, 'リスト'!$E:$E, 'リスト'!$F:$F, ""), "")</f>
        <v/>
      </c>
      <c r="E9" s="8"/>
      <c r="F9" s="8" t="str">
        <f t="array" ref="F9">IFERROR(XLOOKUP(C9, 'リスト'!$E:$E, 'リスト'!$O:$O, ""), "")</f>
        <v/>
      </c>
      <c r="G9" s="8" t="str">
        <f t="array" ref="G9">IFERROR(XLOOKUP(C9, 'リスト'!$E:$E, 'リスト'!$P:$P, ""), "")</f>
        <v/>
      </c>
      <c r="H9" s="590"/>
      <c r="I9" s="8" t="str">
        <f t="array" ref="I9">IFERROR(XLOOKUP(H9, 'リスト'!$E:$E, 'リスト'!$F:$F, ""), "")</f>
        <v/>
      </c>
      <c r="J9" s="8"/>
      <c r="K9" s="8" t="str">
        <f t="array" ref="K9">IFERROR(XLOOKUP(H9, 'リスト'!$E:$E, 'リスト'!$O:$O, ""), "")</f>
        <v/>
      </c>
      <c r="L9" s="8" t="str">
        <f t="array" ref="L9">IFERROR(XLOOKUP(H9, 'リスト'!$E:$E, 'リスト'!$P:$P, ""), "")</f>
        <v/>
      </c>
      <c r="M9" s="590" t="str">
        <f>IFERROR(__xludf.DUMMYFUNCTION("""COMPUTED_VALUE"""),"新着_人事")</f>
        <v>新着_人事</v>
      </c>
      <c r="N9" s="8">
        <f t="array" ref="N9">IFERROR(XLOOKUP(M9, 'リスト'!$E:$E, 'リスト'!$F:$F, ""), "")</f>
        <v>0.6</v>
      </c>
      <c r="O9" s="8"/>
      <c r="P9" s="8" t="str">
        <f t="array" ref="P9">IFERROR(XLOOKUP(M9, 'リスト'!$E:$E, 'リスト'!$O:$O, ""), "")</f>
        <v>R</v>
      </c>
      <c r="Q9" s="8" t="str">
        <f t="array" ref="Q9">IFERROR(XLOOKUP(M9, 'リスト'!$E:$E, 'リスト'!$P:$P, ""), "")</f>
        <v/>
      </c>
      <c r="R9" s="590"/>
      <c r="S9" s="8" t="str">
        <f t="array" ref="S9">IFERROR(XLOOKUP(R9, 'リスト'!$E:$E, 'リスト'!$F:$F, ""), "")</f>
        <v/>
      </c>
      <c r="T9" s="8"/>
      <c r="U9" s="8" t="str">
        <f t="array" ref="U9">IFERROR(XLOOKUP(R9, 'リスト'!$E:$E, 'リスト'!$O:$O, ""), "")</f>
        <v/>
      </c>
      <c r="V9" s="8" t="str">
        <f t="array" ref="V9">IFERROR(XLOOKUP(R9, 'リスト'!$E:$E, 'リスト'!$P:$P, ""), "")</f>
        <v/>
      </c>
      <c r="W9" s="590"/>
      <c r="X9" s="8" t="str">
        <f t="array" ref="X9">IFERROR(XLOOKUP(W9, 'リスト'!$E:$E, 'リスト'!$F:$F, ""), "")</f>
        <v/>
      </c>
      <c r="Y9" s="8"/>
      <c r="Z9" s="8" t="str">
        <f t="array" ref="Z9">IFERROR(XLOOKUP(W9, 'リスト'!$E:$E, 'リスト'!$O:$O, ""), "")</f>
        <v/>
      </c>
      <c r="AA9" s="8" t="str">
        <f t="array" ref="AA9">IFERROR(XLOOKUP(W9, 'リスト'!$E:$E, 'リスト'!$P:$P, ""), "")</f>
        <v/>
      </c>
      <c r="AB9" s="590"/>
      <c r="AC9" s="8" t="str">
        <f t="array" ref="AC9">IFERROR(XLOOKUP(AB9, 'リスト'!$E:$E, 'リスト'!$F:$F, ""), "")</f>
        <v/>
      </c>
      <c r="AD9" s="8"/>
      <c r="AE9" s="8" t="str">
        <f t="array" ref="AE9">IFERROR(XLOOKUP(AB9, 'リスト'!$E:$E, 'リスト'!$O:$O, ""), "")</f>
        <v/>
      </c>
      <c r="AF9" s="8" t="str">
        <f t="array" ref="AF9">IFERROR(XLOOKUP(AB9, 'リスト'!$E:$E, 'リスト'!$P:$P, ""), "")</f>
        <v/>
      </c>
      <c r="AG9" s="591" t="str">
        <f>IFERROR(__xludf.DUMMYFUNCTION("""COMPUTED_VALUE"""),"◇掲載終了前+UP B")</f>
        <v>◇掲載終了前+UP B</v>
      </c>
      <c r="AH9" s="8">
        <f t="array" ref="AH9">IFERROR(XLOOKUP(AG9, 'リスト'!$E:$E, 'リスト'!$F:$F, ""), "")</f>
        <v>2</v>
      </c>
      <c r="AI9" s="8"/>
      <c r="AJ9" s="8" t="str">
        <f t="array" ref="AJ9">IFERROR(XLOOKUP(AG9, 'リスト'!$E:$E, 'リスト'!$O:$O, ""), "")</f>
        <v>内</v>
      </c>
      <c r="AK9" s="8" t="str">
        <f t="array" ref="AK9">IFERROR(XLOOKUP(AG9, 'リスト'!$E:$E, 'リスト'!$P:$P, ""), "")</f>
        <v>荒</v>
      </c>
    </row>
    <row r="10" ht="17.25" customHeight="1">
      <c r="A10" s="587"/>
      <c r="B10" s="588"/>
      <c r="C10" s="590"/>
      <c r="D10" s="8" t="str">
        <f t="array" ref="D10">IFERROR(XLOOKUP(C10, 'リスト'!$E:$E, 'リスト'!$F:$F, ""), "")</f>
        <v/>
      </c>
      <c r="E10" s="8"/>
      <c r="F10" s="8" t="str">
        <f t="array" ref="F10">IFERROR(XLOOKUP(C10, 'リスト'!$E:$E, 'リスト'!$O:$O, ""), "")</f>
        <v/>
      </c>
      <c r="G10" s="8" t="str">
        <f t="array" ref="G10">IFERROR(XLOOKUP(C10, 'リスト'!$E:$E, 'リスト'!$P:$P, ""), "")</f>
        <v/>
      </c>
      <c r="H10" s="590"/>
      <c r="I10" s="8" t="str">
        <f t="array" ref="I10">IFERROR(XLOOKUP(H10, 'リスト'!$E:$E, 'リスト'!$F:$F, ""), "")</f>
        <v/>
      </c>
      <c r="J10" s="8"/>
      <c r="K10" s="8" t="str">
        <f t="array" ref="K10">IFERROR(XLOOKUP(H10, 'リスト'!$E:$E, 'リスト'!$O:$O, ""), "")</f>
        <v/>
      </c>
      <c r="L10" s="8" t="str">
        <f t="array" ref="L10">IFERROR(XLOOKUP(H10, 'リスト'!$E:$E, 'リスト'!$P:$P, ""), "")</f>
        <v/>
      </c>
      <c r="M10" s="590"/>
      <c r="N10" s="8" t="str">
        <f t="array" ref="N10">IFERROR(XLOOKUP(M10, 'リスト'!$E:$E, 'リスト'!$F:$F, ""), "")</f>
        <v/>
      </c>
      <c r="O10" s="8"/>
      <c r="P10" s="8" t="str">
        <f t="array" ref="P10">IFERROR(XLOOKUP(M10, 'リスト'!$E:$E, 'リスト'!$O:$O, ""), "")</f>
        <v/>
      </c>
      <c r="Q10" s="8" t="str">
        <f t="array" ref="Q10">IFERROR(XLOOKUP(M10, 'リスト'!$E:$E, 'リスト'!$P:$P, ""), "")</f>
        <v/>
      </c>
      <c r="R10" s="590"/>
      <c r="S10" s="8" t="str">
        <f t="array" ref="S10">IFERROR(XLOOKUP(R10, 'リスト'!$E:$E, 'リスト'!$F:$F, ""), "")</f>
        <v/>
      </c>
      <c r="T10" s="8"/>
      <c r="U10" s="8" t="str">
        <f t="array" ref="U10">IFERROR(XLOOKUP(R10, 'リスト'!$E:$E, 'リスト'!$O:$O, ""), "")</f>
        <v/>
      </c>
      <c r="V10" s="8" t="str">
        <f t="array" ref="V10">IFERROR(XLOOKUP(R10, 'リスト'!$E:$E, 'リスト'!$P:$P, ""), "")</f>
        <v/>
      </c>
      <c r="W10" s="590"/>
      <c r="X10" s="8" t="str">
        <f t="array" ref="X10">IFERROR(XLOOKUP(W10, 'リスト'!$E:$E, 'リスト'!$F:$F, ""), "")</f>
        <v/>
      </c>
      <c r="Y10" s="8"/>
      <c r="Z10" s="8" t="str">
        <f t="array" ref="Z10">IFERROR(XLOOKUP(W10, 'リスト'!$E:$E, 'リスト'!$O:$O, ""), "")</f>
        <v/>
      </c>
      <c r="AA10" s="8" t="str">
        <f t="array" ref="AA10">IFERROR(XLOOKUP(W10, 'リスト'!$E:$E, 'リスト'!$P:$P, ""), "")</f>
        <v/>
      </c>
      <c r="AB10" s="590"/>
      <c r="AC10" s="8" t="str">
        <f t="array" ref="AC10">IFERROR(XLOOKUP(AB10, 'リスト'!$E:$E, 'リスト'!$F:$F, ""), "")</f>
        <v/>
      </c>
      <c r="AD10" s="8"/>
      <c r="AE10" s="8" t="str">
        <f t="array" ref="AE10">IFERROR(XLOOKUP(AB10, 'リスト'!$E:$E, 'リスト'!$O:$O, ""), "")</f>
        <v/>
      </c>
      <c r="AF10" s="8" t="str">
        <f t="array" ref="AF10">IFERROR(XLOOKUP(AB10, 'リスト'!$E:$E, 'リスト'!$P:$P, ""), "")</f>
        <v/>
      </c>
      <c r="AG10" s="590"/>
      <c r="AH10" s="8" t="str">
        <f t="array" ref="AH10">IFERROR(XLOOKUP(AG10, 'リスト'!$E:$E, 'リスト'!$F:$F, ""), "")</f>
        <v/>
      </c>
      <c r="AI10" s="8"/>
      <c r="AJ10" s="8" t="str">
        <f t="array" ref="AJ10">IFERROR(XLOOKUP(AG10, 'リスト'!$E:$E, 'リスト'!$O:$O, ""), "")</f>
        <v/>
      </c>
      <c r="AK10" s="8" t="str">
        <f t="array" ref="AK10">IFERROR(XLOOKUP(AG10, 'リスト'!$E:$E, 'リスト'!$P:$P, ""), "")</f>
        <v/>
      </c>
    </row>
    <row r="11" ht="17.25" customHeight="1">
      <c r="A11" s="587"/>
      <c r="B11" s="592"/>
      <c r="C11" s="590"/>
      <c r="D11" s="8" t="str">
        <f t="array" ref="D11">IFERROR(XLOOKUP(C11, '新規'!$E:$E, '新規'!$F:$F, ""), "")</f>
        <v/>
      </c>
      <c r="E11" s="8"/>
      <c r="F11" s="8" t="str">
        <f t="array" ref="F11">IFERROR(XLOOKUP(C11, '新規'!$E:$E, '新規'!$O:$O, ""), "")</f>
        <v/>
      </c>
      <c r="G11" s="8" t="str">
        <f t="array" ref="G11">IFERROR(XLOOKUP(C11, '新規'!$E:$E, '新規'!$P:$P, ""), "")</f>
        <v/>
      </c>
      <c r="H11" s="590"/>
      <c r="I11" s="8" t="str">
        <f t="array" ref="I11">IFERROR(XLOOKUP(H11, '新規'!$E:$E, '新規'!$F:$F, ""), "")</f>
        <v/>
      </c>
      <c r="J11" s="8"/>
      <c r="K11" s="8" t="str">
        <f t="array" ref="K11">IFERROR(XLOOKUP(H11, '新規'!$E:$E, '新規'!$O:$O, ""), "")</f>
        <v/>
      </c>
      <c r="L11" s="8" t="str">
        <f t="array" ref="L11">IFERROR(XLOOKUP(H11, '新規'!$E:$E, '新規'!$P:$P, ""), "")</f>
        <v/>
      </c>
      <c r="M11" s="590"/>
      <c r="N11" s="8" t="str">
        <f t="array" ref="N11">IFERROR(XLOOKUP(M11, '新規'!$E:$E, '新規'!$F:$F, ""), "")</f>
        <v/>
      </c>
      <c r="O11" s="8"/>
      <c r="P11" s="8" t="str">
        <f t="array" ref="P11">IFERROR(XLOOKUP(M11, '新規'!$E:$E, '新規'!$O:$O, ""), "")</f>
        <v/>
      </c>
      <c r="Q11" s="8" t="str">
        <f t="array" ref="Q11">IFERROR(XLOOKUP(M11, '新規'!$E:$E, '新規'!$P:$P, ""), "")</f>
        <v/>
      </c>
      <c r="R11" s="590"/>
      <c r="S11" s="8" t="str">
        <f t="array" ref="S11">IFERROR(XLOOKUP(R11, '新規'!$E:$E, '新規'!$F:$F, ""), "")</f>
        <v/>
      </c>
      <c r="T11" s="8"/>
      <c r="U11" s="8" t="str">
        <f t="array" ref="U11">IFERROR(XLOOKUP(R11, '新規'!$E:$E, '新規'!$O:$O, ""), "")</f>
        <v/>
      </c>
      <c r="V11" s="8" t="str">
        <f t="array" ref="V11">IFERROR(XLOOKUP(R11, '新規'!$E:$E, '新規'!$P:$P, ""), "")</f>
        <v/>
      </c>
      <c r="W11" s="590"/>
      <c r="X11" s="8" t="str">
        <f t="array" ref="X11">IFERROR(XLOOKUP(W11, '新規'!$E:$E, '新規'!$F:$F, ""), "")</f>
        <v/>
      </c>
      <c r="Y11" s="8"/>
      <c r="Z11" s="8" t="str">
        <f t="array" ref="Z11">IFERROR(XLOOKUP(W11, '新規'!$E:$E, '新規'!$O:$O, ""), "")</f>
        <v/>
      </c>
      <c r="AA11" s="8" t="str">
        <f t="array" ref="AA11">IFERROR(XLOOKUP(W11, '新規'!$E:$E, '新規'!$P:$P, ""), "")</f>
        <v/>
      </c>
      <c r="AB11" s="590"/>
      <c r="AC11" s="8" t="str">
        <f t="array" ref="AC11">IFERROR(XLOOKUP(AB11, '新規'!$E:$E, '新規'!$F:$F, ""), "")</f>
        <v/>
      </c>
      <c r="AD11" s="8"/>
      <c r="AE11" s="8" t="str">
        <f t="array" ref="AE11">IFERROR(XLOOKUP(AB11, '新規'!$E:$E, '新規'!$O:$O, ""), "")</f>
        <v/>
      </c>
      <c r="AF11" s="8" t="str">
        <f t="array" ref="AF11">IFERROR(XLOOKUP(AB11, '新規'!$E:$E, '新規'!$P:$P, ""), "")</f>
        <v/>
      </c>
      <c r="AG11" s="590"/>
      <c r="AH11" s="8" t="str">
        <f t="array" ref="AH11">IFERROR(XLOOKUP(AG11, '新規'!$E:$E, '新規'!$F:$F, ""), "")</f>
        <v/>
      </c>
      <c r="AI11" s="8"/>
      <c r="AJ11" s="8" t="str">
        <f t="array" ref="AJ11">IFERROR(XLOOKUP(AG11, '新規'!$E:$E, '新規'!$O:$O, ""), "")</f>
        <v/>
      </c>
      <c r="AK11" s="8" t="str">
        <f t="array" ref="AK11">IFERROR(XLOOKUP(AG11, '新規'!$E:$E, '新規'!$P:$P, ""), "")</f>
        <v/>
      </c>
    </row>
    <row r="12" ht="17.25" customHeight="1">
      <c r="A12" s="587"/>
      <c r="B12" s="585" t="s">
        <v>78</v>
      </c>
      <c r="C12" s="590" t="str">
        <f>IFERROR(__xludf.DUMMYFUNCTION("IFERROR(FILTER('新規'!$E$3:$E$170, ('新規'!$B$3:$B$170=LOOKUP(2,1/($A$3:$A12&lt;&gt;""""),$A$3:$A12))*(('新規'!$A$3:$A$170=C$1)+(('新規'!$G$3:$G$170=""毎月配信"")*(TEXT('新規'!$A$3:$A$170,""ddd"")=TEXT(C$1, ""ddd""))))), """")"),"")</f>
        <v/>
      </c>
      <c r="D12" s="8" t="str">
        <f t="array" ref="D12">IFERROR(XLOOKUP(C12, '新規'!$E:$E, '新規'!$F:$F, ""), "")</f>
        <v/>
      </c>
      <c r="E12" s="8"/>
      <c r="F12" s="8" t="str">
        <f>IFERROR(__xludf.DUMMYFUNCTION("IF(C12="""","""",IFERROR(INDEX(FILTER('新規'!$O$3:$O$670, '新規'!$E$3:$E$670=C12),1),""""))"),"")</f>
        <v/>
      </c>
      <c r="G12" s="8" t="str">
        <f>IFERROR(__xludf.DUMMYFUNCTION("IF(C12="""","""",IFERROR(INDEX(FILTER('新規'!$P$3:$P$670, '新規'!$E$3:$E$670=C12),1),""""))"),"")</f>
        <v/>
      </c>
      <c r="H12" s="590" t="str">
        <f>IFERROR(__xludf.DUMMYFUNCTION("IFERROR(FILTER('新規'!$E$3:$E$170, ('新規'!$B$3:$B$170=LOOKUP(2,1/($A$3:$A12&lt;&gt;""""),$A$3:$A12))*(('新規'!$A$3:$A$170=H$1)+(('新規'!$G$3:$G$170=""毎月配信"")*(TEXT('新規'!$A$3:$A$170,""ddd"")=TEXT(H$1, ""ddd""))))), """")"),"")</f>
        <v/>
      </c>
      <c r="I12" s="8" t="str">
        <f t="array" ref="I12">IFERROR(XLOOKUP(H12, '新規'!$E:$E, '新規'!$F:$F, ""), "")</f>
        <v/>
      </c>
      <c r="J12" s="8"/>
      <c r="K12" s="8" t="str">
        <f>IFERROR(__xludf.DUMMYFUNCTION("IF(H12="""","""",IFERROR(INDEX(FILTER('新規'!$O$3:$O$670, '新規'!$E$3:$E$670=H12),1),""""))"),"")</f>
        <v/>
      </c>
      <c r="L12" s="8" t="str">
        <f>IFERROR(__xludf.DUMMYFUNCTION("IF(H12="""","""",IFERROR(INDEX(FILTER('新規'!$P$3:$P$670, '新規'!$E$3:$E$670=H12),1),""""))"),"")</f>
        <v/>
      </c>
      <c r="M12" s="590" t="str">
        <f>IFERROR(__xludf.DUMMYFUNCTION("IFERROR(FILTER('新規'!$E$3:$E$170, ('新規'!$B$3:$B$170=LOOKUP(2,1/($A$3:$A12&lt;&gt;""""),$A$3:$A12))*(('新規'!$A$3:$A$170=M$1)+(('新規'!$G$3:$G$170=""毎月配信"")*(TEXT('新規'!$A$3:$A$170,""ddd"")=TEXT(M$1, ""ddd""))))), """")"),"")</f>
        <v/>
      </c>
      <c r="N12" s="8" t="str">
        <f t="array" ref="N12">IFERROR(XLOOKUP(M12, '新規'!$E:$E, '新規'!$F:$F, ""), "")</f>
        <v/>
      </c>
      <c r="O12" s="8"/>
      <c r="P12" s="8" t="str">
        <f>IFERROR(__xludf.DUMMYFUNCTION("IF(M12="""","""",IFERROR(INDEX(FILTER('新規'!$O$3:$O$670, '新規'!$E$3:$E$670=M12),1),""""))"),"")</f>
        <v/>
      </c>
      <c r="Q12" s="8" t="str">
        <f>IFERROR(__xludf.DUMMYFUNCTION("IF(M12="""","""",IFERROR(INDEX(FILTER('新規'!$P$3:$P$670, '新規'!$E$3:$E$670=M12),1),""""))"),"")</f>
        <v/>
      </c>
      <c r="R12" s="590" t="str">
        <f>IFERROR(__xludf.DUMMYFUNCTION("IFERROR(FILTER('新規'!$E$3:$E$170, ('新規'!$B$3:$B$170=LOOKUP(2,1/($A$3:$A12&lt;&gt;""""),$A$3:$A12))*(('新規'!$A$3:$A$170=R$1)+(('新規'!$G$3:$G$170=""毎月配信"")*(TEXT('新規'!$A$3:$A$170,""ddd"")=TEXT(R$1, ""ddd""))))), """")"),"")</f>
        <v/>
      </c>
      <c r="S12" s="8" t="str">
        <f t="array" ref="S12">IFERROR(XLOOKUP(R12, '新規'!$E:$E, '新規'!$F:$F, ""), "")</f>
        <v/>
      </c>
      <c r="T12" s="8"/>
      <c r="U12" s="8" t="str">
        <f>IFERROR(__xludf.DUMMYFUNCTION("IF(R12="""","""",IFERROR(INDEX(FILTER('新規'!$O$3:$O$670, '新規'!$E$3:$E$670=R12),1),""""))"),"")</f>
        <v/>
      </c>
      <c r="V12" s="8" t="str">
        <f>IFERROR(__xludf.DUMMYFUNCTION("IF(R12="""","""",IFERROR(INDEX(FILTER('新規'!$P$3:$P$670, '新規'!$E$3:$E$670=R12),1),""""))"),"")</f>
        <v/>
      </c>
      <c r="W12" s="590" t="str">
        <f>IFERROR(__xludf.DUMMYFUNCTION("IFERROR(FILTER('新規'!$E$3:$E$170, ('新規'!$B$3:$B$170=LOOKUP(2,1/($A$3:$A12&lt;&gt;""""),$A$3:$A12))*(('新規'!$A$3:$A$170=W$1)+(('新規'!$G$3:$G$170=""毎月配信"")*(TEXT('新規'!$A$3:$A$170,""ddd"")=TEXT(W$1, ""ddd""))))), """")"),"")</f>
        <v/>
      </c>
      <c r="X12" s="8" t="str">
        <f t="array" ref="X12">IFERROR(XLOOKUP(W12, '新規'!$E:$E, '新規'!$F:$F, ""), "")</f>
        <v/>
      </c>
      <c r="Y12" s="8"/>
      <c r="Z12" s="8" t="str">
        <f>IFERROR(__xludf.DUMMYFUNCTION("IF(W12="""","""",IFERROR(INDEX(FILTER('新規'!$O$3:$O$670, '新規'!$E$3:$E$670=W12),1),""""))"),"")</f>
        <v/>
      </c>
      <c r="AA12" s="8" t="str">
        <f>IFERROR(__xludf.DUMMYFUNCTION("IF(W12="""","""",IFERROR(INDEX(FILTER('新規'!$P$3:$P$670, '新規'!$E$3:$E$670=W12),1),""""))"),"")</f>
        <v/>
      </c>
      <c r="AB12" s="590" t="str">
        <f>IFERROR(__xludf.DUMMYFUNCTION("IFERROR(FILTER('新規'!$E$3:$E$170, ('新規'!$B$3:$B$170=LOOKUP(2,1/($A$3:$A12&lt;&gt;""""),$A$3:$A12))*(('新規'!$A$3:$A$170=AB$1)+(('新規'!$G$3:$G$170=""毎月配信"")*(TEXT('新規'!$A$3:$A$170,""ddd"")=TEXT(AB$1, ""ddd""))))), """")"),"")</f>
        <v/>
      </c>
      <c r="AC12" s="8" t="str">
        <f t="array" ref="AC12">IFERROR(XLOOKUP(AB12, '新規'!$E:$E, '新規'!$F:$F, ""), "")</f>
        <v/>
      </c>
      <c r="AD12" s="8"/>
      <c r="AE12" s="8" t="str">
        <f>IFERROR(__xludf.DUMMYFUNCTION("IF(AB12="""","""",IFERROR(INDEX(FILTER('新規'!$O$3:$O$670, '新規'!$E$3:$E$670=AB12),1),""""))"),"")</f>
        <v/>
      </c>
      <c r="AF12" s="8" t="str">
        <f>IFERROR(__xludf.DUMMYFUNCTION("IF(AB12="""","""",IFERROR(INDEX(FILTER('新規'!$P$3:$P$670, '新規'!$E$3:$E$670=AB12),1),""""))"),"")</f>
        <v/>
      </c>
      <c r="AG12" s="590" t="str">
        <f>IFERROR(__xludf.DUMMYFUNCTION("IFERROR(FILTER('新規'!$E$3:$E$170, ('新規'!$B$3:$B$170=LOOKUP(2,1/($A$3:$A12&lt;&gt;""""),$A$3:$A12))*(('新規'!$A$3:$A$170=AG$1)+(('新規'!$G$3:$G$170=""毎月配信"")*(TEXT('新規'!$A$3:$A$170,""ddd"")=TEXT(AG$1, ""ddd""))))), """")"),"")</f>
        <v/>
      </c>
      <c r="AH12" s="8" t="str">
        <f t="array" ref="AH12">IFERROR(XLOOKUP(AG12, '新規'!$E:$E, '新規'!$F:$F, ""), "")</f>
        <v/>
      </c>
      <c r="AI12" s="8"/>
      <c r="AJ12" s="8" t="str">
        <f>IFERROR(__xludf.DUMMYFUNCTION("IF(AG12="""","""",IFERROR(INDEX(FILTER('新規'!$O$3:$O$670, '新規'!$E$3:$E$670=AG12),1),""""))"),"")</f>
        <v/>
      </c>
      <c r="AK12" s="8" t="str">
        <f>IFERROR(__xludf.DUMMYFUNCTION("IF(AG12="""","""",IFERROR(INDEX(FILTER('新規'!$P$3:$P$670, '新規'!$E$3:$E$670=AG12),1),""""))"),"")</f>
        <v/>
      </c>
    </row>
    <row r="13" ht="17.25" customHeight="1">
      <c r="A13" s="587"/>
      <c r="B13" s="588"/>
      <c r="C13" s="590"/>
      <c r="D13" s="8" t="str">
        <f t="array" ref="D13">IFERROR(XLOOKUP(C13, '新規'!$E:$E, '新規'!$F:$F, ""), "")</f>
        <v/>
      </c>
      <c r="E13" s="8"/>
      <c r="F13" s="8" t="str">
        <f t="array" ref="F13">IFERROR(XLOOKUP(C13, '新規'!$E:$E, '新規'!$O:$O, ""), "")</f>
        <v/>
      </c>
      <c r="G13" s="8" t="str">
        <f t="array" ref="G13">IFERROR(XLOOKUP(C13, '新規'!$E:$E, '新規'!$P:$P, ""), "")</f>
        <v/>
      </c>
      <c r="H13" s="590"/>
      <c r="I13" s="8" t="str">
        <f t="array" ref="I13">IFERROR(XLOOKUP(H13, '新規'!$E:$E, '新規'!$F:$F, ""), "")</f>
        <v/>
      </c>
      <c r="J13" s="8"/>
      <c r="K13" s="8" t="str">
        <f t="array" ref="K13">IFERROR(XLOOKUP(H13, '新規'!$E:$E, '新規'!$O:$O, ""), "")</f>
        <v/>
      </c>
      <c r="L13" s="8" t="str">
        <f t="array" ref="L13">IFERROR(XLOOKUP(H13, '新規'!$E:$E, '新規'!$P:$P, ""), "")</f>
        <v/>
      </c>
      <c r="M13" s="590"/>
      <c r="N13" s="8" t="str">
        <f t="array" ref="N13">IFERROR(XLOOKUP(M13, '新規'!$E:$E, '新規'!$F:$F, ""), "")</f>
        <v/>
      </c>
      <c r="O13" s="8"/>
      <c r="P13" s="8" t="str">
        <f t="array" ref="P13">IFERROR(XLOOKUP(M13, '新規'!$E:$E, '新規'!$O:$O, ""), "")</f>
        <v/>
      </c>
      <c r="Q13" s="8" t="str">
        <f t="array" ref="Q13">IFERROR(XLOOKUP(M13, '新規'!$E:$E, '新規'!$P:$P, ""), "")</f>
        <v/>
      </c>
      <c r="R13" s="590"/>
      <c r="S13" s="8" t="str">
        <f t="array" ref="S13">IFERROR(XLOOKUP(R13, '新規'!$E:$E, '新規'!$F:$F, ""), "")</f>
        <v/>
      </c>
      <c r="T13" s="8"/>
      <c r="U13" s="8" t="str">
        <f t="array" ref="U13">IFERROR(XLOOKUP(R13, '新規'!$E:$E, '新規'!$O:$O, ""), "")</f>
        <v/>
      </c>
      <c r="V13" s="8" t="str">
        <f t="array" ref="V13">IFERROR(XLOOKUP(R13, '新規'!$E:$E, '新規'!$P:$P, ""), "")</f>
        <v/>
      </c>
      <c r="W13" s="590"/>
      <c r="X13" s="8" t="str">
        <f t="array" ref="X13">IFERROR(XLOOKUP(W13, '新規'!$E:$E, '新規'!$F:$F, ""), "")</f>
        <v/>
      </c>
      <c r="Y13" s="8"/>
      <c r="Z13" s="8" t="str">
        <f t="array" ref="Z13">IFERROR(XLOOKUP(W13, '新規'!$E:$E, '新規'!$O:$O, ""), "")</f>
        <v/>
      </c>
      <c r="AA13" s="8" t="str">
        <f t="array" ref="AA13">IFERROR(XLOOKUP(W13, '新規'!$E:$E, '新規'!$P:$P, ""), "")</f>
        <v/>
      </c>
      <c r="AB13" s="590"/>
      <c r="AC13" s="8" t="str">
        <f t="array" ref="AC13">IFERROR(XLOOKUP(AB13, '新規'!$E:$E, '新規'!$F:$F, ""), "")</f>
        <v/>
      </c>
      <c r="AD13" s="8"/>
      <c r="AE13" s="8" t="str">
        <f t="array" ref="AE13">IFERROR(XLOOKUP(AB13, '新規'!$E:$E, '新規'!$O:$O, ""), "")</f>
        <v/>
      </c>
      <c r="AF13" s="8" t="str">
        <f t="array" ref="AF13">IFERROR(XLOOKUP(AB13, '新規'!$E:$E, '新規'!$P:$P, ""), "")</f>
        <v/>
      </c>
      <c r="AG13" s="590"/>
      <c r="AH13" s="8" t="str">
        <f t="array" ref="AH13">IFERROR(XLOOKUP(AG13, '新規'!$E:$E, '新規'!$F:$F, ""), "")</f>
        <v/>
      </c>
      <c r="AI13" s="8"/>
      <c r="AJ13" s="8" t="str">
        <f t="array" ref="AJ13">IFERROR(XLOOKUP(AG13, '新規'!$E:$E, '新規'!$O:$O, ""), "")</f>
        <v/>
      </c>
      <c r="AK13" s="8" t="str">
        <f t="array" ref="AK13">IFERROR(XLOOKUP(AG13, '新規'!$E:$E, '新規'!$P:$P, ""), "")</f>
        <v/>
      </c>
    </row>
    <row r="14" ht="17.25" customHeight="1">
      <c r="A14" s="587"/>
      <c r="B14" s="588"/>
      <c r="C14" s="590"/>
      <c r="D14" s="8" t="str">
        <f t="array" ref="D14">IFERROR(XLOOKUP(C14, '新規'!$E:$E, '新規'!$F:$F, ""), "")</f>
        <v/>
      </c>
      <c r="E14" s="8"/>
      <c r="F14" s="8" t="str">
        <f t="array" ref="F14">IFERROR(XLOOKUP(C14, '新規'!$E:$E, '新規'!$O:$O, ""), "")</f>
        <v/>
      </c>
      <c r="G14" s="8" t="str">
        <f t="array" ref="G14">IFERROR(XLOOKUP(C14, '新規'!$E:$E, '新規'!$P:$P, ""), "")</f>
        <v/>
      </c>
      <c r="H14" s="590"/>
      <c r="I14" s="8" t="str">
        <f t="array" ref="I14">IFERROR(XLOOKUP(H14, '新規'!$E:$E, '新規'!$F:$F, ""), "")</f>
        <v/>
      </c>
      <c r="J14" s="8"/>
      <c r="K14" s="8" t="str">
        <f t="array" ref="K14">IFERROR(XLOOKUP(H14, '新規'!$E:$E, '新規'!$O:$O, ""), "")</f>
        <v/>
      </c>
      <c r="L14" s="8" t="str">
        <f t="array" ref="L14">IFERROR(XLOOKUP(H14, '新規'!$E:$E, '新規'!$P:$P, ""), "")</f>
        <v/>
      </c>
      <c r="M14" s="590"/>
      <c r="N14" s="8" t="str">
        <f t="array" ref="N14">IFERROR(XLOOKUP(M14, '新規'!$E:$E, '新規'!$F:$F, ""), "")</f>
        <v/>
      </c>
      <c r="O14" s="8"/>
      <c r="P14" s="8" t="str">
        <f t="array" ref="P14">IFERROR(XLOOKUP(M14, '新規'!$E:$E, '新規'!$O:$O, ""), "")</f>
        <v/>
      </c>
      <c r="Q14" s="8" t="str">
        <f t="array" ref="Q14">IFERROR(XLOOKUP(M14, '新規'!$E:$E, '新規'!$P:$P, ""), "")</f>
        <v/>
      </c>
      <c r="R14" s="590"/>
      <c r="S14" s="8" t="str">
        <f t="array" ref="S14">IFERROR(XLOOKUP(R14, '新規'!$E:$E, '新規'!$F:$F, ""), "")</f>
        <v/>
      </c>
      <c r="T14" s="8"/>
      <c r="U14" s="8" t="str">
        <f t="array" ref="U14">IFERROR(XLOOKUP(R14, '新規'!$E:$E, '新規'!$O:$O, ""), "")</f>
        <v/>
      </c>
      <c r="V14" s="8" t="str">
        <f t="array" ref="V14">IFERROR(XLOOKUP(R14, '新規'!$E:$E, '新規'!$P:$P, ""), "")</f>
        <v/>
      </c>
      <c r="W14" s="590"/>
      <c r="X14" s="8" t="str">
        <f t="array" ref="X14">IFERROR(XLOOKUP(W14, '新規'!$E:$E, '新規'!$F:$F, ""), "")</f>
        <v/>
      </c>
      <c r="Y14" s="8"/>
      <c r="Z14" s="8" t="str">
        <f t="array" ref="Z14">IFERROR(XLOOKUP(W14, '新規'!$E:$E, '新規'!$O:$O, ""), "")</f>
        <v/>
      </c>
      <c r="AA14" s="8" t="str">
        <f t="array" ref="AA14">IFERROR(XLOOKUP(W14, '新規'!$E:$E, '新規'!$P:$P, ""), "")</f>
        <v/>
      </c>
      <c r="AB14" s="590"/>
      <c r="AC14" s="8" t="str">
        <f t="array" ref="AC14">IFERROR(XLOOKUP(AB14, '新規'!$E:$E, '新規'!$F:$F, ""), "")</f>
        <v/>
      </c>
      <c r="AD14" s="8"/>
      <c r="AE14" s="8" t="str">
        <f t="array" ref="AE14">IFERROR(XLOOKUP(AB14, '新規'!$E:$E, '新規'!$O:$O, ""), "")</f>
        <v/>
      </c>
      <c r="AF14" s="8" t="str">
        <f t="array" ref="AF14">IFERROR(XLOOKUP(AB14, '新規'!$E:$E, '新規'!$P:$P, ""), "")</f>
        <v/>
      </c>
      <c r="AG14" s="590"/>
      <c r="AH14" s="8" t="str">
        <f t="array" ref="AH14">IFERROR(XLOOKUP(AG14, '新規'!$E:$E, '新規'!$F:$F, ""), "")</f>
        <v/>
      </c>
      <c r="AI14" s="8"/>
      <c r="AJ14" s="8" t="str">
        <f t="array" ref="AJ14">IFERROR(XLOOKUP(AG14, '新規'!$E:$E, '新規'!$O:$O, ""), "")</f>
        <v/>
      </c>
      <c r="AK14" s="8" t="str">
        <f t="array" ref="AK14">IFERROR(XLOOKUP(AG14, '新規'!$E:$E, '新規'!$P:$P, ""), "")</f>
        <v/>
      </c>
    </row>
    <row r="15" ht="17.25" customHeight="1">
      <c r="A15" s="587"/>
      <c r="B15" s="588"/>
      <c r="C15" s="590"/>
      <c r="D15" s="8" t="str">
        <f t="array" ref="D15">IFERROR(XLOOKUP(C15, '新規'!$E:$E, '新規'!$F:$F, ""), "")</f>
        <v/>
      </c>
      <c r="E15" s="8"/>
      <c r="F15" s="8" t="str">
        <f t="array" ref="F15">IFERROR(XLOOKUP(C15, '新規'!$E:$E, '新規'!$O:$O, ""), "")</f>
        <v/>
      </c>
      <c r="G15" s="8" t="str">
        <f t="array" ref="G15">IFERROR(XLOOKUP(C15, '新規'!$E:$E, '新規'!$P:$P, ""), "")</f>
        <v/>
      </c>
      <c r="H15" s="590"/>
      <c r="I15" s="8" t="str">
        <f t="array" ref="I15">IFERROR(XLOOKUP(H15, '新規'!$E:$E, '新規'!$F:$F, ""), "")</f>
        <v/>
      </c>
      <c r="J15" s="8"/>
      <c r="K15" s="8" t="str">
        <f t="array" ref="K15">IFERROR(XLOOKUP(H15, '新規'!$E:$E, '新規'!$O:$O, ""), "")</f>
        <v/>
      </c>
      <c r="L15" s="8" t="str">
        <f t="array" ref="L15">IFERROR(XLOOKUP(H15, '新規'!$E:$E, '新規'!$P:$P, ""), "")</f>
        <v/>
      </c>
      <c r="M15" s="590"/>
      <c r="N15" s="8" t="str">
        <f t="array" ref="N15">IFERROR(XLOOKUP(M15, '新規'!$E:$E, '新規'!$F:$F, ""), "")</f>
        <v/>
      </c>
      <c r="O15" s="8"/>
      <c r="P15" s="8" t="str">
        <f t="array" ref="P15">IFERROR(XLOOKUP(M15, '新規'!$E:$E, '新規'!$O:$O, ""), "")</f>
        <v/>
      </c>
      <c r="Q15" s="8" t="str">
        <f t="array" ref="Q15">IFERROR(XLOOKUP(M15, '新規'!$E:$E, '新規'!$P:$P, ""), "")</f>
        <v/>
      </c>
      <c r="R15" s="590"/>
      <c r="S15" s="8" t="str">
        <f t="array" ref="S15">IFERROR(XLOOKUP(R15, '新規'!$E:$E, '新規'!$F:$F, ""), "")</f>
        <v/>
      </c>
      <c r="T15" s="8"/>
      <c r="U15" s="8" t="str">
        <f t="array" ref="U15">IFERROR(XLOOKUP(R15, '新規'!$E:$E, '新規'!$O:$O, ""), "")</f>
        <v/>
      </c>
      <c r="V15" s="8" t="str">
        <f t="array" ref="V15">IFERROR(XLOOKUP(R15, '新規'!$E:$E, '新規'!$P:$P, ""), "")</f>
        <v/>
      </c>
      <c r="W15" s="590"/>
      <c r="X15" s="8" t="str">
        <f t="array" ref="X15">IFERROR(XLOOKUP(W15, '新規'!$E:$E, '新規'!$F:$F, ""), "")</f>
        <v/>
      </c>
      <c r="Y15" s="8"/>
      <c r="Z15" s="8" t="str">
        <f t="array" ref="Z15">IFERROR(XLOOKUP(W15, '新規'!$E:$E, '新規'!$O:$O, ""), "")</f>
        <v/>
      </c>
      <c r="AA15" s="8" t="str">
        <f t="array" ref="AA15">IFERROR(XLOOKUP(W15, '新規'!$E:$E, '新規'!$P:$P, ""), "")</f>
        <v/>
      </c>
      <c r="AB15" s="590"/>
      <c r="AC15" s="8" t="str">
        <f t="array" ref="AC15">IFERROR(XLOOKUP(AB15, '新規'!$E:$E, '新規'!$F:$F, ""), "")</f>
        <v/>
      </c>
      <c r="AD15" s="8"/>
      <c r="AE15" s="8" t="str">
        <f t="array" ref="AE15">IFERROR(XLOOKUP(AB15, '新規'!$E:$E, '新規'!$O:$O, ""), "")</f>
        <v/>
      </c>
      <c r="AF15" s="8" t="str">
        <f t="array" ref="AF15">IFERROR(XLOOKUP(AB15, '新規'!$E:$E, '新規'!$P:$P, ""), "")</f>
        <v/>
      </c>
      <c r="AG15" s="590"/>
      <c r="AH15" s="8" t="str">
        <f t="array" ref="AH15">IFERROR(XLOOKUP(AG15, '新規'!$E:$E, '新規'!$F:$F, ""), "")</f>
        <v/>
      </c>
      <c r="AI15" s="8"/>
      <c r="AJ15" s="8" t="str">
        <f t="array" ref="AJ15">IFERROR(XLOOKUP(AG15, '新規'!$E:$E, '新規'!$O:$O, ""), "")</f>
        <v/>
      </c>
      <c r="AK15" s="8" t="str">
        <f t="array" ref="AK15">IFERROR(XLOOKUP(AG15, '新規'!$E:$E, '新規'!$P:$P, ""), "")</f>
        <v/>
      </c>
    </row>
    <row r="16" ht="17.25" customHeight="1">
      <c r="A16" s="587"/>
      <c r="B16" s="592"/>
      <c r="C16" s="590"/>
      <c r="D16" s="593" t="str">
        <f>IFERROR(__xludf.DUMMYFUNCTION("IF(C16="""","""",IFERROR(INDEX(FILTER('特殊配信マスタ'!$F$3:$F$16,('特殊配信マスタ'!$A$3:$A$16=CHOOSE(WEEKDAY(C$1),""日"",""月"",""火"",""水"",""木"",""金"",""土""))*('特殊配信マスタ'!$B$3:$B$16=A$3)*('特殊配信マスタ'!$R$3:$R$16=MOD(INT((C$1-'特殊配信マスタ'!$A$1)/7),3)+1)),1),""""))"),"")</f>
        <v/>
      </c>
      <c r="E16" s="590"/>
      <c r="F16" s="593" t="str">
        <f>IFERROR(__xludf.DUMMYFUNCTION("IF(C16="""","""",IFERROR(INDEX(FILTER('特殊配信マスタ'!$O$3:$O$16,('特殊配信マスタ'!$A$3:$A$16=CHOOSE(WEEKDAY(C$1),""日"",""月"",""火"",""水"",""木"",""金"",""土""))*('特殊配信マスタ'!$B$3:$B$16=A$3)*('特殊配信マスタ'!$R$3:$R$16=MOD(INT((C$1-'特殊配信マスタ'!$A$1)/7),3)+1)),1),""""))"),"")</f>
        <v/>
      </c>
      <c r="G16" s="593" t="str">
        <f>IFERROR(__xludf.DUMMYFUNCTION("IF(C16="""","""",IFERROR(INDEX(FILTER('特殊配信マスタ'!$P$3:$P$16,('特殊配信マスタ'!$A$3:$A$16=CHOOSE(WEEKDAY(C$1),""日"",""月"",""火"",""水"",""木"",""金"",""土""))*('特殊配信マスタ'!$B$3:$B$16=A$3)*('特殊配信マスタ'!$R$3:$R$16=MOD(INT((C$1-'特殊配信マスタ'!$A$1)/7),3)+1)),1),""""))"),"")</f>
        <v/>
      </c>
      <c r="H16" s="590"/>
      <c r="I16" s="593" t="str">
        <f>IFERROR(__xludf.DUMMYFUNCTION("IF(H16="""","""",IFERROR(INDEX(FILTER('特殊配信マスタ'!$F$3:$F$16,('特殊配信マスタ'!$A$3:$A$16=CHOOSE(WEEKDAY(H$1),""日"",""月"",""火"",""水"",""木"",""金"",""土""))*('特殊配信マスタ'!$B$3:$B$16=F$3)*('特殊配信マスタ'!$R$3:$R$16=MOD(INT((H$1-'特殊配信マスタ'!$A$1)/7),3)+1)),1),""""))"),"")</f>
        <v/>
      </c>
      <c r="J16" s="590"/>
      <c r="K16" s="593" t="str">
        <f>IFERROR(__xludf.DUMMYFUNCTION("IF(H16="""","""",IFERROR(INDEX(FILTER('特殊配信マスタ'!$O$3:$O$16,('特殊配信マスタ'!$A$3:$A$16=CHOOSE(WEEKDAY(H$1),""日"",""月"",""火"",""水"",""木"",""金"",""土""))*('特殊配信マスタ'!$B$3:$B$16=F$3)*('特殊配信マスタ'!$R$3:$R$16=MOD(INT((H$1-'特殊配信マスタ'!$A$1)/7),3)+1)),1),""""))"),"")</f>
        <v/>
      </c>
      <c r="L16" s="593" t="str">
        <f>IFERROR(__xludf.DUMMYFUNCTION("IF(H16="""","""",IFERROR(INDEX(FILTER('特殊配信マスタ'!$P$3:$P$16,('特殊配信マスタ'!$A$3:$A$16=CHOOSE(WEEKDAY(H$1),""日"",""月"",""火"",""水"",""木"",""金"",""土""))*('特殊配信マスタ'!$B$3:$B$16=F$3)*('特殊配信マスタ'!$R$3:$R$16=MOD(INT((H$1-'特殊配信マスタ'!$A$1)/7),3)+1)),1),""""))"),"")</f>
        <v/>
      </c>
      <c r="M16" s="590"/>
      <c r="N16" s="593" t="str">
        <f>IFERROR(__xludf.DUMMYFUNCTION("IF(M16="""","""",IFERROR(INDEX(FILTER('特殊配信マスタ'!$F$3:$F$16,('特殊配信マスタ'!$A$3:$A$16=CHOOSE(WEEKDAY(M$1),""日"",""月"",""火"",""水"",""木"",""金"",""土""))*('特殊配信マスタ'!$B$3:$B$16=K$3)*('特殊配信マスタ'!$R$3:$R$16=MOD(INT((M$1-'特殊配信マスタ'!$A$1)/7),3)+1)),1),""""))"),"")</f>
        <v/>
      </c>
      <c r="O16" s="590"/>
      <c r="P16" s="593" t="str">
        <f>IFERROR(__xludf.DUMMYFUNCTION("IF(M16="""","""",IFERROR(INDEX(FILTER('特殊配信マスタ'!$O$3:$O$16,('特殊配信マスタ'!$A$3:$A$16=CHOOSE(WEEKDAY(M$1),""日"",""月"",""火"",""水"",""木"",""金"",""土""))*('特殊配信マスタ'!$B$3:$B$16=K$3)*('特殊配信マスタ'!$R$3:$R$16=MOD(INT((M$1-'特殊配信マスタ'!$A$1)/7),3)+1)),1),""""))"),"")</f>
        <v/>
      </c>
      <c r="Q16" s="593" t="str">
        <f>IFERROR(__xludf.DUMMYFUNCTION("IF(M16="""","""",IFERROR(INDEX(FILTER('特殊配信マスタ'!$P$3:$P$16,('特殊配信マスタ'!$A$3:$A$16=CHOOSE(WEEKDAY(M$1),""日"",""月"",""火"",""水"",""木"",""金"",""土""))*('特殊配信マスタ'!$B$3:$B$16=K$3)*('特殊配信マスタ'!$R$3:$R$16=MOD(INT((M$1-'特殊配信マスタ'!$A$1)/7),3)+1)),1),""""))"),"")</f>
        <v/>
      </c>
      <c r="R16" s="590"/>
      <c r="S16" s="593" t="str">
        <f>IFERROR(__xludf.DUMMYFUNCTION("IF(R16="""","""",IFERROR(INDEX(FILTER('特殊配信マスタ'!$F$3:$F$16,('特殊配信マスタ'!$A$3:$A$16=CHOOSE(WEEKDAY(R$1),""日"",""月"",""火"",""水"",""木"",""金"",""土""))*('特殊配信マスタ'!$B$3:$B$16=P$3)*('特殊配信マスタ'!$R$3:$R$16=MOD(INT((R$1-'特殊配信マスタ'!$A$1)/7),3)+1)),1),""""))"),"")</f>
        <v/>
      </c>
      <c r="T16" s="590"/>
      <c r="U16" s="593" t="str">
        <f>IFERROR(__xludf.DUMMYFUNCTION("IF(R16="""","""",IFERROR(INDEX(FILTER('特殊配信マスタ'!$O$3:$O$16,('特殊配信マスタ'!$A$3:$A$16=CHOOSE(WEEKDAY(R$1),""日"",""月"",""火"",""水"",""木"",""金"",""土""))*('特殊配信マスタ'!$B$3:$B$16=P$3)*('特殊配信マスタ'!$R$3:$R$16=MOD(INT((R$1-'特殊配信マスタ'!$A$1)/7),3)+1)),1),""""))"),"")</f>
        <v/>
      </c>
      <c r="V16" s="593" t="str">
        <f>IFERROR(__xludf.DUMMYFUNCTION("IF(R16="""","""",IFERROR(INDEX(FILTER('特殊配信マスタ'!$P$3:$P$16,('特殊配信マスタ'!$A$3:$A$16=CHOOSE(WEEKDAY(R$1),""日"",""月"",""火"",""水"",""木"",""金"",""土""))*('特殊配信マスタ'!$B$3:$B$16=P$3)*('特殊配信マスタ'!$R$3:$R$16=MOD(INT((R$1-'特殊配信マスタ'!$A$1)/7),3)+1)),1),""""))"),"")</f>
        <v/>
      </c>
      <c r="W16" s="590"/>
      <c r="X16" s="593" t="str">
        <f>IFERROR(__xludf.DUMMYFUNCTION("IF(W16="""","""",IFERROR(INDEX(FILTER('特殊配信マスタ'!$F$3:$F$16,('特殊配信マスタ'!$A$3:$A$16=CHOOSE(WEEKDAY(W$1),""日"",""月"",""火"",""水"",""木"",""金"",""土""))*('特殊配信マスタ'!$B$3:$B$16=U$3)*('特殊配信マスタ'!$R$3:$R$16=MOD(INT((W$1-'特殊配信マスタ'!$A$1)/7),3)+1)),1),""""))"),"")</f>
        <v/>
      </c>
      <c r="Y16" s="590"/>
      <c r="Z16" s="593" t="str">
        <f>IFERROR(__xludf.DUMMYFUNCTION("IF(W16="""","""",IFERROR(INDEX(FILTER('特殊配信マスタ'!$O$3:$O$16,('特殊配信マスタ'!$A$3:$A$16=CHOOSE(WEEKDAY(W$1),""日"",""月"",""火"",""水"",""木"",""金"",""土""))*('特殊配信マスタ'!$B$3:$B$16=U$3)*('特殊配信マスタ'!$R$3:$R$16=MOD(INT((W$1-'特殊配信マスタ'!$A$1)/7),3)+1)),1),""""))"),"")</f>
        <v/>
      </c>
      <c r="AA16" s="593" t="str">
        <f>IFERROR(__xludf.DUMMYFUNCTION("IF(W16="""","""",IFERROR(INDEX(FILTER('特殊配信マスタ'!$P$3:$P$16,('特殊配信マスタ'!$A$3:$A$16=CHOOSE(WEEKDAY(W$1),""日"",""月"",""火"",""水"",""木"",""金"",""土""))*('特殊配信マスタ'!$B$3:$B$16=U$3)*('特殊配信マスタ'!$R$3:$R$16=MOD(INT((W$1-'特殊配信マスタ'!$A$1)/7),3)+1)),1),""""))"),"")</f>
        <v/>
      </c>
      <c r="AB16" s="590"/>
      <c r="AC16" s="593" t="str">
        <f>IFERROR(__xludf.DUMMYFUNCTION("IF(AB16="""","""",IFERROR(INDEX(FILTER('特殊配信マスタ'!$F$3:$F$16,('特殊配信マスタ'!$A$3:$A$16=CHOOSE(WEEKDAY(AB$1),""日"",""月"",""火"",""水"",""木"",""金"",""土""))*('特殊配信マスタ'!$B$3:$B$16=Z$3)*('特殊配信マスタ'!$R$3:$R$16=MOD(INT((AB$1-'特殊配信マスタ'!$A$1)/7),3)+1)),1),""""))"),"")</f>
        <v/>
      </c>
      <c r="AD16" s="590"/>
      <c r="AE16" s="593" t="str">
        <f>IFERROR(__xludf.DUMMYFUNCTION("IF(AB16="""","""",IFERROR(INDEX(FILTER('特殊配信マスタ'!$O$3:$O$16,('特殊配信マスタ'!$A$3:$A$16=CHOOSE(WEEKDAY(AB$1),""日"",""月"",""火"",""水"",""木"",""金"",""土""))*('特殊配信マスタ'!$B$3:$B$16=Z$3)*('特殊配信マスタ'!$R$3:$R$16=MOD(INT((AB$1-'特殊配信マスタ'!$A$1)/7),3)+1)),1),""""))"),"")</f>
        <v/>
      </c>
      <c r="AF16" s="593" t="str">
        <f>IFERROR(__xludf.DUMMYFUNCTION("IF(AB16="""","""",IFERROR(INDEX(FILTER('特殊配信マスタ'!$P$3:$P$16,('特殊配信マスタ'!$A$3:$A$16=CHOOSE(WEEKDAY(AB$1),""日"",""月"",""火"",""水"",""木"",""金"",""土""))*('特殊配信マスタ'!$B$3:$B$16=Z$3)*('特殊配信マスタ'!$R$3:$R$16=MOD(INT((AB$1-'特殊配信マスタ'!$A$1)/7),3)+1)),1),""""))"),"")</f>
        <v/>
      </c>
      <c r="AG16" s="590"/>
      <c r="AH16" s="593" t="str">
        <f>IFERROR(__xludf.DUMMYFUNCTION("IF(AG16="""","""",IFERROR(INDEX(FILTER('特殊配信マスタ'!$F$3:$F$16,('特殊配信マスタ'!$A$3:$A$16=CHOOSE(WEEKDAY(AG$1),""日"",""月"",""火"",""水"",""木"",""金"",""土""))*('特殊配信マスタ'!$B$3:$B$16=AE$3)*('特殊配信マスタ'!$R$3:$R$16=MOD(INT((AG$1-'特殊配信マスタ'!$A$1)/7),3)+1)),1),""""))"),"")</f>
        <v/>
      </c>
      <c r="AI16" s="590"/>
      <c r="AJ16" s="593" t="str">
        <f>IFERROR(__xludf.DUMMYFUNCTION("IF(AG16="""","""",IFERROR(INDEX(FILTER('特殊配信マスタ'!$O$3:$O$16,('特殊配信マスタ'!$A$3:$A$16=CHOOSE(WEEKDAY(AG$1),""日"",""月"",""火"",""水"",""木"",""金"",""土""))*('特殊配信マスタ'!$B$3:$B$16=AE$3)*('特殊配信マスタ'!$R$3:$R$16=MOD(INT((AG$1-'特殊配信マスタ'!$A$1)/7),3)+1)),1),""""))"),"")</f>
        <v/>
      </c>
      <c r="AK16" s="593" t="str">
        <f>IFERROR(__xludf.DUMMYFUNCTION("IF(AG16="""","""",IFERROR(INDEX(FILTER('特殊配信マスタ'!$P$3:$P$16,('特殊配信マスタ'!$A$3:$A$16=CHOOSE(WEEKDAY(AG$1),""日"",""月"",""火"",""水"",""木"",""金"",""土""))*('特殊配信マスタ'!$B$3:$B$16=AE$3)*('特殊配信マスタ'!$R$3:$R$16=MOD(INT((AG$1-'特殊配信マスタ'!$A$1)/7),3)+1)),1),""""))"),"")</f>
        <v/>
      </c>
    </row>
    <row r="17" ht="17.25" customHeight="1">
      <c r="A17" s="587"/>
      <c r="B17" s="585" t="s">
        <v>1451</v>
      </c>
      <c r="C17" s="594" t="str">
        <f>IFERROR(__xludf.DUMMYFUNCTION("IFERROR(INDEX(FILTER('特殊配信マスタ'!$E$3:$E$16, (TEXT('特殊配信マスタ'!$A$3:$A$16,""ddd"")=TEXT(C$1,""ddd""))*(IFERROR(VALUE('特殊配信マスタ'!$B$3:$B$16),0)=VALUE(LOOKUP(2,1/($A$3:$A17&lt;&gt;""""),$A$3:$A17)))*('特殊配信マスタ'!$Q$3:$Q$16&lt;&gt;TRUE)), 1), """")"),"◇ポジションマッチ A1")</f>
        <v>◇ポジションマッチ A1</v>
      </c>
      <c r="D17" s="595">
        <f>IFERROR(__xludf.DUMMYFUNCTION("IF(C17="""","""",IFERROR(INDEX(FILTER('特殊配信マスタ'!$F$3:$F$16,('特殊配信マスタ'!$A$3:$A$16=CHOOSE(WEEKDAY(C$1),""日"",""月"",""火"",""水"",""木"",""金"",""土""))*('特殊配信マスタ'!$B$3:$B$16=A$3)*('特殊配信マスタ'!$R$3:$R$16=MOD(INT((C$1-'特殊配信マスタ'!$A$1)/7),3)+1)),1),""""))"),2.5)</f>
        <v>2.5</v>
      </c>
      <c r="E17" s="119"/>
      <c r="F17" s="595" t="str">
        <f>IFERROR(__xludf.DUMMYFUNCTION("IF(C17="""","""",IFERROR(INDEX(FILTER('特殊配信マスタ'!$O$3:$O$16, '特殊配信マスタ'!$E$3:$E$16=C17),1),""""))"),"内")</f>
        <v>内</v>
      </c>
      <c r="G17" s="595" t="str">
        <f>IFERROR(__xludf.DUMMYFUNCTION("IF(C17="""","""",IFERROR(INDEX(FILTER('特殊配信マスタ'!$P$3:$P$16, '特殊配信マスタ'!$E$3:$E$16=C17),1),""""))"),"平")</f>
        <v>平</v>
      </c>
      <c r="H17" s="596" t="str">
        <f>IFERROR(__xludf.DUMMYFUNCTION("IFERROR(INDEX(FILTER('特殊配信マスタ'!$E$3:$E$16, (TEXT('特殊配信マスタ'!$A$3:$A$16,""ddd"")=TEXT(H$1,""ddd""))*(IFERROR(VALUE('特殊配信マスタ'!$B$3:$B$16),0)=VALUE(LOOKUP(2,1/($A$3:$A17&lt;&gt;""""),$A$3:$A17)))*('特殊配信マスタ'!$Q$3:$Q$16&lt;&gt;TRUE)), 1), """")"),"")</f>
        <v/>
      </c>
      <c r="I17" s="593" t="str">
        <f>IFERROR(__xludf.DUMMYFUNCTION("IF(H17="""","""",IFERROR(INDEX(FILTER('特殊配信マスタ'!$F$3:$F$16,('特殊配信マスタ'!$A$3:$A$16=CHOOSE(WEEKDAY(H$1),""日"",""月"",""火"",""水"",""木"",""金"",""土""))*('特殊配信マスタ'!$B$3:$B$16=F$3)*('特殊配信マスタ'!$R$3:$R$16=MOD(INT((H$1-'特殊配信マスタ'!$A$1)/7),3)+1)),1),""""))"),"")</f>
        <v/>
      </c>
      <c r="J17" s="590"/>
      <c r="K17" s="593" t="str">
        <f>IFERROR(__xludf.DUMMYFUNCTION("IF(H17="""","""",IFERROR(INDEX(FILTER('特殊配信マスタ'!$O$3:$O$16, '特殊配信マスタ'!$E$3:$E$16=H17),1),""""))"),"")</f>
        <v/>
      </c>
      <c r="L17" s="593" t="str">
        <f>IFERROR(__xludf.DUMMYFUNCTION("IF(H17="""","""",IFERROR(INDEX(FILTER('特殊配信マスタ'!$P$3:$P$16, '特殊配信マスタ'!$E$3:$E$16=H17),1),""""))"),"")</f>
        <v/>
      </c>
      <c r="M17" s="596" t="str">
        <f>IFERROR(__xludf.DUMMYFUNCTION("IFERROR(INDEX(FILTER('特殊配信マスタ'!$E$3:$E$16, (TEXT('特殊配信マスタ'!$A$3:$A$16,""ddd"")=TEXT(M$1,""ddd""))*(IFERROR(VALUE('特殊配信マスタ'!$B$3:$B$16),0)=VALUE(LOOKUP(2,1/($A$3:$A17&lt;&gt;""""),$A$3:$A17)))*('特殊配信マスタ'!$Q$3:$Q$16&lt;&gt;TRUE)), 1), """")"),"")</f>
        <v/>
      </c>
      <c r="N17" s="593" t="str">
        <f>IFERROR(__xludf.DUMMYFUNCTION("IF(M17="""","""",IFERROR(INDEX(FILTER('特殊配信マスタ'!$F$3:$F$16,('特殊配信マスタ'!$A$3:$A$16=CHOOSE(WEEKDAY(M$1),""日"",""月"",""火"",""水"",""木"",""金"",""土""))*('特殊配信マスタ'!$B$3:$B$16=K$3)*('特殊配信マスタ'!$R$3:$R$16=MOD(INT((M$1-'特殊配信マスタ'!$A$1)/7),3)+1)),1),""""))"),"")</f>
        <v/>
      </c>
      <c r="O17" s="590"/>
      <c r="P17" s="593" t="str">
        <f>IFERROR(__xludf.DUMMYFUNCTION("IF(M17="""","""",IFERROR(INDEX(FILTER('特殊配信マスタ'!$O$3:$O$16, '特殊配信マスタ'!$E$3:$E$16=M17),1),""""))"),"")</f>
        <v/>
      </c>
      <c r="Q17" s="593" t="str">
        <f>IFERROR(__xludf.DUMMYFUNCTION("IF(M17="""","""",IFERROR(INDEX(FILTER('特殊配信マスタ'!$P$3:$P$16, '特殊配信マスタ'!$E$3:$E$16=M17),1),""""))"),"")</f>
        <v/>
      </c>
      <c r="R17" s="596" t="str">
        <f>IFERROR(__xludf.DUMMYFUNCTION("IFERROR(INDEX(FILTER('特殊配信マスタ'!$E$3:$E$16, (TEXT('特殊配信マスタ'!$A$3:$A$16,""ddd"")=TEXT(R$1,""ddd""))*(IFERROR(VALUE('特殊配信マスタ'!$B$3:$B$16),0)=VALUE(LOOKUP(2,1/($A$3:$A17&lt;&gt;""""),$A$3:$A17)))*('特殊配信マスタ'!$Q$3:$Q$16&lt;&gt;TRUE)), 1), """")"),"")</f>
        <v/>
      </c>
      <c r="S17" s="593" t="str">
        <f>IFERROR(__xludf.DUMMYFUNCTION("IF(R17="""","""",IFERROR(INDEX(FILTER('特殊配信マスタ'!$F$3:$F$16,('特殊配信マスタ'!$A$3:$A$16=CHOOSE(WEEKDAY(R$1),""日"",""月"",""火"",""水"",""木"",""金"",""土""))*('特殊配信マスタ'!$B$3:$B$16=P$3)*('特殊配信マスタ'!$R$3:$R$16=MOD(INT((R$1-'特殊配信マスタ'!$A$1)/7),3)+1)),1),""""))"),"")</f>
        <v/>
      </c>
      <c r="T17" s="590"/>
      <c r="U17" s="593" t="str">
        <f>IFERROR(__xludf.DUMMYFUNCTION("IF(R17="""","""",IFERROR(INDEX(FILTER('特殊配信マスタ'!$O$3:$O$16, '特殊配信マスタ'!$E$3:$E$16=R17),1),""""))"),"")</f>
        <v/>
      </c>
      <c r="V17" s="593" t="str">
        <f>IFERROR(__xludf.DUMMYFUNCTION("IF(R17="""","""",IFERROR(INDEX(FILTER('特殊配信マスタ'!$P$3:$P$16, '特殊配信マスタ'!$E$3:$E$16=R17),1),""""))"),"")</f>
        <v/>
      </c>
      <c r="W17" s="596" t="str">
        <f>IFERROR(__xludf.DUMMYFUNCTION("IFERROR(INDEX(FILTER('特殊配信マスタ'!$E$3:$E$16, (TEXT('特殊配信マスタ'!$A$3:$A$16,""ddd"")=TEXT(W$1,""ddd""))*(IFERROR(VALUE('特殊配信マスタ'!$B$3:$B$16),0)=VALUE(LOOKUP(2,1/($A$3:$A17&lt;&gt;""""),$A$3:$A17)))*('特殊配信マスタ'!$Q$3:$Q$16&lt;&gt;TRUE)), 1), """")"),"")</f>
        <v/>
      </c>
      <c r="X17" s="593" t="str">
        <f>IFERROR(__xludf.DUMMYFUNCTION("IF(W17="""","""",IFERROR(INDEX(FILTER('特殊配信マスタ'!$F$3:$F$16,('特殊配信マスタ'!$A$3:$A$16=CHOOSE(WEEKDAY(W$1),""日"",""月"",""火"",""水"",""木"",""金"",""土""))*('特殊配信マスタ'!$B$3:$B$16=U$3)*('特殊配信マスタ'!$R$3:$R$16=MOD(INT((W$1-'特殊配信マスタ'!$A$1)/7),3)+1)),1),""""))"),"")</f>
        <v/>
      </c>
      <c r="Y17" s="590"/>
      <c r="Z17" s="593" t="str">
        <f>IFERROR(__xludf.DUMMYFUNCTION("IF(W17="""","""",IFERROR(INDEX(FILTER('特殊配信マスタ'!$O$3:$O$16, '特殊配信マスタ'!$E$3:$E$16=W17),1),""""))"),"")</f>
        <v/>
      </c>
      <c r="AA17" s="593" t="str">
        <f>IFERROR(__xludf.DUMMYFUNCTION("IF(W17="""","""",IFERROR(INDEX(FILTER('特殊配信マスタ'!$P$3:$P$16, '特殊配信マスタ'!$E$3:$E$16=W17),1),""""))"),"")</f>
        <v/>
      </c>
      <c r="AB17" s="596" t="str">
        <f>IFERROR(__xludf.DUMMYFUNCTION("IFERROR(INDEX(FILTER('特殊配信マスタ'!$E$3:$E$16, (TEXT('特殊配信マスタ'!$A$3:$A$16,""ddd"")=TEXT(AB$1,""ddd""))*(IFERROR(VALUE('特殊配信マスタ'!$B$3:$B$16),0)=VALUE(LOOKUP(2,1/($A$3:$A17&lt;&gt;""""),$A$3:$A17)))*('特殊配信マスタ'!$Q$3:$Q$16&lt;&gt;TRUE)), 1), """")"),"")</f>
        <v/>
      </c>
      <c r="AC17" s="593" t="str">
        <f>IFERROR(__xludf.DUMMYFUNCTION("IF(AB17="""","""",IFERROR(INDEX(FILTER('特殊配信マスタ'!$F$3:$F$16,('特殊配信マスタ'!$A$3:$A$16=CHOOSE(WEEKDAY(AB$1),""日"",""月"",""火"",""水"",""木"",""金"",""土""))*('特殊配信マスタ'!$B$3:$B$16=Z$3)*('特殊配信マスタ'!$R$3:$R$16=MOD(INT((AB$1-'特殊配信マスタ'!$A$1)/7),3)+1)),1),""""))"),"")</f>
        <v/>
      </c>
      <c r="AD17" s="590"/>
      <c r="AE17" s="593" t="str">
        <f>IFERROR(__xludf.DUMMYFUNCTION("IF(AB17="""","""",IFERROR(INDEX(FILTER('特殊配信マスタ'!$O$3:$O$16, '特殊配信マスタ'!$E$3:$E$16=AB17),1),""""))"),"")</f>
        <v/>
      </c>
      <c r="AF17" s="593" t="str">
        <f>IFERROR(__xludf.DUMMYFUNCTION("IF(AB17="""","""",IFERROR(INDEX(FILTER('特殊配信マスタ'!$P$3:$P$16, '特殊配信マスタ'!$E$3:$E$16=AB17),1),""""))"),"")</f>
        <v/>
      </c>
      <c r="AG17" s="596" t="str">
        <f>IFERROR(__xludf.DUMMYFUNCTION("IFERROR(INDEX(FILTER('特殊配信マスタ'!$E$3:$E$16, (TEXT('特殊配信マスタ'!$A$3:$A$16,""ddd"")=TEXT(AG$1,""ddd""))*(IFERROR(VALUE('特殊配信マスタ'!$B$3:$B$16),0)=VALUE(LOOKUP(2,1/($A$3:$A17&lt;&gt;""""),$A$3:$A17)))*('特殊配信マスタ'!$Q$3:$Q$16&lt;&gt;TRUE)), 1), """")"),"")</f>
        <v/>
      </c>
      <c r="AH17" s="593" t="str">
        <f>IFERROR(__xludf.DUMMYFUNCTION("IF(AG17="""","""",IFERROR(INDEX(FILTER('特殊配信マスタ'!$F$3:$F$16,('特殊配信マスタ'!$A$3:$A$16=CHOOSE(WEEKDAY(AG$1),""日"",""月"",""火"",""水"",""木"",""金"",""土""))*('特殊配信マスタ'!$B$3:$B$16=AE$3)*('特殊配信マスタ'!$R$3:$R$16=MOD(INT((AG$1-'特殊配信マスタ'!$A$1)/7),3)+1)),1),""""))"),"")</f>
        <v/>
      </c>
      <c r="AI17" s="590"/>
      <c r="AJ17" s="593" t="str">
        <f>IFERROR(__xludf.DUMMYFUNCTION("IF(AG17="""","""",IFERROR(INDEX(FILTER('特殊配信マスタ'!$O$3:$O$16, '特殊配信マスタ'!$E$3:$E$16=AG17),1),""""))"),"")</f>
        <v/>
      </c>
      <c r="AK17" s="593" t="str">
        <f>IFERROR(__xludf.DUMMYFUNCTION("IF(AG17="""","""",IFERROR(INDEX(FILTER('特殊配信マスタ'!$P$3:$P$16, '特殊配信マスタ'!$E$3:$E$16=AG17),1),""""))"),"")</f>
        <v/>
      </c>
    </row>
    <row r="18" ht="17.25" customHeight="1">
      <c r="A18" s="587"/>
      <c r="B18" s="588"/>
      <c r="C18" s="594" t="str">
        <f>IFERROR(__xludf.DUMMYFUNCTION("IFERROR(INDEX(FILTER('特殊配信マスタ'!$E$3:$E$16, (TEXT('特殊配信マスタ'!$A$3:$A$16,""ddd"")=TEXT(C$1,""ddd""))*(IFERROR(VALUE('特殊配信マスタ'!$B$3:$B$16),0)=VALUE(LOOKUP(2,1/($A$3:$A18&lt;&gt;""""),$A$3:$A18)))*('特殊配信マスタ'!$Q$3:$Q$16&lt;&gt;TRUE)), 2), """")"),"◇ポジションマッチ_36歳以上 A1")</f>
        <v>◇ポジションマッチ_36歳以上 A1</v>
      </c>
      <c r="D18" s="597">
        <f>IFERROR(__xludf.DUMMYFUNCTION("IF(C18="""","""",IFERROR(INDEX(FILTER('特殊配信マスタ'!$F$3:$F$16,('特殊配信マスタ'!$A$3:$A$16=CHOOSE(WEEKDAY(C$1),""日"",""月"",""火"",""水"",""木"",""金"",""土""))*('特殊配信マスタ'!$B$3:$B$16=A$3)*('特殊配信マスタ'!$R$3:$R$16=MOD(INT((C$1-'特殊配信マスタ'!$A$1)/7),3)+1)),1),""""))"),2.5)</f>
        <v>2.5</v>
      </c>
      <c r="E18" s="598"/>
      <c r="F18" s="597" t="str">
        <f>IFERROR(__xludf.DUMMYFUNCTION("IF(C18="""","""",IFERROR(INDEX(FILTER('特殊配信マスタ'!$O$3:$O$16, '特殊配信マスタ'!$E$3:$E$16=C18),1),""""))"),"内")</f>
        <v>内</v>
      </c>
      <c r="G18" s="597" t="str">
        <f>IFERROR(__xludf.DUMMYFUNCTION("IF(C18="""","""",IFERROR(INDEX(FILTER('特殊配信マスタ'!$P$3:$P$16, '特殊配信マスタ'!$E$3:$E$16=C18),1),""""))"),"平")</f>
        <v>平</v>
      </c>
      <c r="H18" s="589" t="str">
        <f>IFERROR(__xludf.DUMMYFUNCTION("IFERROR(INDEX(FILTER('特殊配信マスタ'!$E$3:$E$16, (TEXT('特殊配信マスタ'!$A$3:$A$16,""ddd"")=TEXT(H$1,""ddd""))*(IFERROR(VALUE('特殊配信マスタ'!$B$3:$B$16),0)=VALUE(LOOKUP(2,1/($A$3:$A18&lt;&gt;""""),$A$3:$A18)))*('特殊配信マスタ'!$Q$3:$Q$16&lt;&gt;TRUE)), 2), """")"),"")</f>
        <v/>
      </c>
      <c r="I18" s="593" t="str">
        <f>IFERROR(__xludf.DUMMYFUNCTION("IF(H18="""","""",IFERROR(INDEX(FILTER('特殊配信マスタ'!$F$3:$F$16,('特殊配信マスタ'!$A$3:$A$16=CHOOSE(WEEKDAY(H$1),""日"",""月"",""火"",""水"",""木"",""金"",""土""))*('特殊配信マスタ'!$B$3:$B$16=F$3)*('特殊配信マスタ'!$R$3:$R$16=MOD(INT((H$1-'特殊配信マスタ'!$A$1)/7),3)+1)),1),""""))"),"")</f>
        <v/>
      </c>
      <c r="J18" s="590"/>
      <c r="K18" s="593" t="str">
        <f>IFERROR(__xludf.DUMMYFUNCTION("IF(H18="""","""",IFERROR(INDEX(FILTER('特殊配信マスタ'!$O$3:$O$16, '特殊配信マスタ'!$E$3:$E$16=H18),1),""""))"),"")</f>
        <v/>
      </c>
      <c r="L18" s="593" t="str">
        <f>IFERROR(__xludf.DUMMYFUNCTION("IF(H18="""","""",IFERROR(INDEX(FILTER('特殊配信マスタ'!$P$3:$P$16, '特殊配信マスタ'!$E$3:$E$16=H18),1),""""))"),"")</f>
        <v/>
      </c>
      <c r="M18" s="589" t="str">
        <f>IFERROR(__xludf.DUMMYFUNCTION("IFERROR(INDEX(FILTER('特殊配信マスタ'!$E$3:$E$16, (TEXT('特殊配信マスタ'!$A$3:$A$16,""ddd"")=TEXT(M$1,""ddd""))*(IFERROR(VALUE('特殊配信マスタ'!$B$3:$B$16),0)=VALUE(LOOKUP(2,1/($A$3:$A18&lt;&gt;""""),$A$3:$A18)))*('特殊配信マスタ'!$Q$3:$Q$16&lt;&gt;TRUE)), 2), """")"),"")</f>
        <v/>
      </c>
      <c r="N18" s="593" t="str">
        <f>IFERROR(__xludf.DUMMYFUNCTION("IF(M18="""","""",IFERROR(INDEX(FILTER('特殊配信マスタ'!$F$3:$F$16,('特殊配信マスタ'!$A$3:$A$16=CHOOSE(WEEKDAY(M$1),""日"",""月"",""火"",""水"",""木"",""金"",""土""))*('特殊配信マスタ'!$B$3:$B$16=K$3)*('特殊配信マスタ'!$R$3:$R$16=MOD(INT((M$1-'特殊配信マスタ'!$A$1)/7),3)+1)),1),""""))"),"")</f>
        <v/>
      </c>
      <c r="O18" s="590"/>
      <c r="P18" s="593" t="str">
        <f>IFERROR(__xludf.DUMMYFUNCTION("IF(M18="""","""",IFERROR(INDEX(FILTER('特殊配信マスタ'!$O$3:$O$16, '特殊配信マスタ'!$E$3:$E$16=M18),1),""""))"),"")</f>
        <v/>
      </c>
      <c r="Q18" s="593" t="str">
        <f>IFERROR(__xludf.DUMMYFUNCTION("IF(M18="""","""",IFERROR(INDEX(FILTER('特殊配信マスタ'!$P$3:$P$16, '特殊配信マスタ'!$E$3:$E$16=M18),1),""""))"),"")</f>
        <v/>
      </c>
      <c r="R18" s="589" t="str">
        <f>IFERROR(__xludf.DUMMYFUNCTION("IFERROR(INDEX(FILTER('特殊配信マスタ'!$E$3:$E$16, (TEXT('特殊配信マスタ'!$A$3:$A$16,""ddd"")=TEXT(R$1,""ddd""))*(IFERROR(VALUE('特殊配信マスタ'!$B$3:$B$16),0)=VALUE(LOOKUP(2,1/($A$3:$A18&lt;&gt;""""),$A$3:$A18)))*('特殊配信マスタ'!$Q$3:$Q$16&lt;&gt;TRUE)), 2), """")"),"")</f>
        <v/>
      </c>
      <c r="S18" s="593" t="str">
        <f>IFERROR(__xludf.DUMMYFUNCTION("IF(R18="""","""",IFERROR(INDEX(FILTER('特殊配信マスタ'!$F$3:$F$16,('特殊配信マスタ'!$A$3:$A$16=CHOOSE(WEEKDAY(R$1),""日"",""月"",""火"",""水"",""木"",""金"",""土""))*('特殊配信マスタ'!$B$3:$B$16=P$3)*('特殊配信マスタ'!$R$3:$R$16=MOD(INT((R$1-'特殊配信マスタ'!$A$1)/7),3)+1)),1),""""))"),"")</f>
        <v/>
      </c>
      <c r="T18" s="590"/>
      <c r="U18" s="593" t="str">
        <f>IFERROR(__xludf.DUMMYFUNCTION("IF(R18="""","""",IFERROR(INDEX(FILTER('特殊配信マスタ'!$O$3:$O$16, '特殊配信マスタ'!$E$3:$E$16=R18),1),""""))"),"")</f>
        <v/>
      </c>
      <c r="V18" s="593" t="str">
        <f>IFERROR(__xludf.DUMMYFUNCTION("IF(R18="""","""",IFERROR(INDEX(FILTER('特殊配信マスタ'!$P$3:$P$16, '特殊配信マスタ'!$E$3:$E$16=R18),1),""""))"),"")</f>
        <v/>
      </c>
      <c r="W18" s="589" t="str">
        <f>IFERROR(__xludf.DUMMYFUNCTION("IFERROR(INDEX(FILTER('特殊配信マスタ'!$E$3:$E$16, (TEXT('特殊配信マスタ'!$A$3:$A$16,""ddd"")=TEXT(W$1,""ddd""))*(IFERROR(VALUE('特殊配信マスタ'!$B$3:$B$16),0)=VALUE(LOOKUP(2,1/($A$3:$A18&lt;&gt;""""),$A$3:$A18)))*('特殊配信マスタ'!$Q$3:$Q$16&lt;&gt;TRUE)), 2), """")"),"")</f>
        <v/>
      </c>
      <c r="X18" s="593" t="str">
        <f>IFERROR(__xludf.DUMMYFUNCTION("IF(W18="""","""",IFERROR(INDEX(FILTER('特殊配信マスタ'!$F$3:$F$16,('特殊配信マスタ'!$A$3:$A$16=CHOOSE(WEEKDAY(W$1),""日"",""月"",""火"",""水"",""木"",""金"",""土""))*('特殊配信マスタ'!$B$3:$B$16=U$3)*('特殊配信マスタ'!$R$3:$R$16=MOD(INT((W$1-'特殊配信マスタ'!$A$1)/7),3)+1)),1),""""))"),"")</f>
        <v/>
      </c>
      <c r="Y18" s="590"/>
      <c r="Z18" s="593" t="str">
        <f>IFERROR(__xludf.DUMMYFUNCTION("IF(W18="""","""",IFERROR(INDEX(FILTER('特殊配信マスタ'!$O$3:$O$16, '特殊配信マスタ'!$E$3:$E$16=W18),1),""""))"),"")</f>
        <v/>
      </c>
      <c r="AA18" s="593" t="str">
        <f>IFERROR(__xludf.DUMMYFUNCTION("IF(W18="""","""",IFERROR(INDEX(FILTER('特殊配信マスタ'!$P$3:$P$16, '特殊配信マスタ'!$E$3:$E$16=W18),1),""""))"),"")</f>
        <v/>
      </c>
      <c r="AB18" s="589" t="str">
        <f>IFERROR(__xludf.DUMMYFUNCTION("IFERROR(INDEX(FILTER('特殊配信マスタ'!$E$3:$E$16, (TEXT('特殊配信マスタ'!$A$3:$A$16,""ddd"")=TEXT(AB$1,""ddd""))*(IFERROR(VALUE('特殊配信マスタ'!$B$3:$B$16),0)=VALUE(LOOKUP(2,1/($A$3:$A18&lt;&gt;""""),$A$3:$A18)))*('特殊配信マスタ'!$Q$3:$Q$16&lt;&gt;TRUE)), 2), """")"),"")</f>
        <v/>
      </c>
      <c r="AC18" s="593" t="str">
        <f>IFERROR(__xludf.DUMMYFUNCTION("IF(AB18="""","""",IFERROR(INDEX(FILTER('特殊配信マスタ'!$F$3:$F$16,('特殊配信マスタ'!$A$3:$A$16=CHOOSE(WEEKDAY(AB$1),""日"",""月"",""火"",""水"",""木"",""金"",""土""))*('特殊配信マスタ'!$B$3:$B$16=Z$3)*('特殊配信マスタ'!$R$3:$R$16=MOD(INT((AB$1-'特殊配信マスタ'!$A$1)/7),3)+1)),1),""""))"),"")</f>
        <v/>
      </c>
      <c r="AD18" s="590"/>
      <c r="AE18" s="593" t="str">
        <f>IFERROR(__xludf.DUMMYFUNCTION("IF(AB18="""","""",IFERROR(INDEX(FILTER('特殊配信マスタ'!$O$3:$O$16, '特殊配信マスタ'!$E$3:$E$16=AB18),1),""""))"),"")</f>
        <v/>
      </c>
      <c r="AF18" s="593" t="str">
        <f>IFERROR(__xludf.DUMMYFUNCTION("IF(AB18="""","""",IFERROR(INDEX(FILTER('特殊配信マスタ'!$P$3:$P$16, '特殊配信マスタ'!$E$3:$E$16=AB18),1),""""))"),"")</f>
        <v/>
      </c>
      <c r="AG18" s="589" t="str">
        <f>IFERROR(__xludf.DUMMYFUNCTION("IFERROR(INDEX(FILTER('特殊配信マスタ'!$E$3:$E$16, (TEXT('特殊配信マスタ'!$A$3:$A$16,""ddd"")=TEXT(AG$1,""ddd""))*(IFERROR(VALUE('特殊配信マスタ'!$B$3:$B$16),0)=VALUE(LOOKUP(2,1/($A$3:$A18&lt;&gt;""""),$A$3:$A18)))*('特殊配信マスタ'!$Q$3:$Q$16&lt;&gt;TRUE)), 2), """")"),"")</f>
        <v/>
      </c>
      <c r="AH18" s="593" t="str">
        <f>IFERROR(__xludf.DUMMYFUNCTION("IF(AG18="""","""",IFERROR(INDEX(FILTER('特殊配信マスタ'!$F$3:$F$16,('特殊配信マスタ'!$A$3:$A$16=CHOOSE(WEEKDAY(AG$1),""日"",""月"",""火"",""水"",""木"",""金"",""土""))*('特殊配信マスタ'!$B$3:$B$16=AE$3)*('特殊配信マスタ'!$R$3:$R$16=MOD(INT((AG$1-'特殊配信マスタ'!$A$1)/7),3)+1)),1),""""))"),"")</f>
        <v/>
      </c>
      <c r="AI18" s="590"/>
      <c r="AJ18" s="593" t="str">
        <f>IFERROR(__xludf.DUMMYFUNCTION("IF(AG18="""","""",IFERROR(INDEX(FILTER('特殊配信マスタ'!$O$3:$O$16, '特殊配信マスタ'!$E$3:$E$16=AG18),1),""""))"),"")</f>
        <v/>
      </c>
      <c r="AK18" s="593" t="str">
        <f>IFERROR(__xludf.DUMMYFUNCTION("IF(AG18="""","""",IFERROR(INDEX(FILTER('特殊配信マスタ'!$P$3:$P$16, '特殊配信マスタ'!$E$3:$E$16=AG18),1),""""))"),"")</f>
        <v/>
      </c>
    </row>
    <row r="19" ht="17.25" customHeight="1">
      <c r="A19" s="587"/>
      <c r="B19" s="588"/>
      <c r="C19" s="594" t="str">
        <f>IFERROR(__xludf.DUMMYFUNCTION("IFERROR(INDEX(FILTER('特殊配信マスタ'!$E$3:$E$16, (TEXT('特殊配信マスタ'!$A$3:$A$16,""ddd"")=TEXT(C$1,""ddd""))*(IFERROR(VALUE('特殊配信マスタ'!$B$3:$B$16),0)=VALUE(LOOKUP(2,1/($A$3:$A19&lt;&gt;""""),$A$3:$A19)))*('特殊配信マスタ'!$Q$3:$Q$16&lt;&gt;TRUE)), 3), """")"),"")</f>
        <v/>
      </c>
      <c r="D19" s="595" t="str">
        <f>IFERROR(__xludf.DUMMYFUNCTION("IF(C19="""","""",IFERROR(INDEX(FILTER('特殊配信マスタ'!$F$3:$F$16,('特殊配信マスタ'!$A$3:$A$16=CHOOSE(WEEKDAY(C$1),""日"",""月"",""火"",""水"",""木"",""金"",""土""))*('特殊配信マスタ'!$B$3:$B$16=A$3)*('特殊配信マスタ'!$R$3:$R$16=MOD(INT((C$1-'特殊配信マスタ'!$A$1)/7),3)+1)),1),""""))"),"")</f>
        <v/>
      </c>
      <c r="E19" s="119"/>
      <c r="F19" s="595" t="str">
        <f>IFERROR(__xludf.DUMMYFUNCTION("IF(C19="""","""",IFERROR(INDEX(FILTER('特殊配信マスタ'!$O$3:$O$16, '特殊配信マスタ'!$E$3:$E$16=C19),1),""""))"),"")</f>
        <v/>
      </c>
      <c r="G19" s="595" t="str">
        <f>IFERROR(__xludf.DUMMYFUNCTION("IF(C19="""","""",IFERROR(INDEX(FILTER('特殊配信マスタ'!$P$3:$P$16, '特殊配信マスタ'!$E$3:$E$16=C19),1),""""))"),"")</f>
        <v/>
      </c>
      <c r="H19" s="590" t="str">
        <f>IFERROR(__xludf.DUMMYFUNCTION("IFERROR(INDEX(FILTER('特殊配信マスタ'!$E$3:$E$16, (TEXT('特殊配信マスタ'!$A$3:$A$16,""ddd"")=TEXT(H$1,""ddd""))*(IFERROR(VALUE('特殊配信マスタ'!$B$3:$B$16),0)=VALUE(LOOKUP(2,1/($A$3:$A19&lt;&gt;""""),$A$3:$A19)))*('特殊配信マスタ'!$Q$3:$Q$16&lt;&gt;TRUE)), 3), """")"),"")</f>
        <v/>
      </c>
      <c r="I19" s="593" t="str">
        <f>IFERROR(__xludf.DUMMYFUNCTION("IF(H19="""","""",IFERROR(INDEX(FILTER('特殊配信マスタ'!$F$3:$F$16,('特殊配信マスタ'!$A$3:$A$16=CHOOSE(WEEKDAY(H$1),""日"",""月"",""火"",""水"",""木"",""金"",""土""))*('特殊配信マスタ'!$B$3:$B$16=F$3)*('特殊配信マスタ'!$R$3:$R$16=MOD(INT((H$1-'特殊配信マスタ'!$A$1)/7),3)+1)),1),""""))"),"")</f>
        <v/>
      </c>
      <c r="J19" s="590"/>
      <c r="K19" s="593" t="str">
        <f>IFERROR(__xludf.DUMMYFUNCTION("IF(H19="""","""",IFERROR(INDEX(FILTER('特殊配信マスタ'!$O$3:$O$16, '特殊配信マスタ'!$E$3:$E$16=H19),1),""""))"),"")</f>
        <v/>
      </c>
      <c r="L19" s="593" t="str">
        <f>IFERROR(__xludf.DUMMYFUNCTION("IF(H19="""","""",IFERROR(INDEX(FILTER('特殊配信マスタ'!$P$3:$P$16, '特殊配信マスタ'!$E$3:$E$16=H19),1),""""))"),"")</f>
        <v/>
      </c>
      <c r="M19" s="590" t="str">
        <f>IFERROR(__xludf.DUMMYFUNCTION("IFERROR(INDEX(FILTER('特殊配信マスタ'!$E$3:$E$16, (TEXT('特殊配信マスタ'!$A$3:$A$16,""ddd"")=TEXT(M$1,""ddd""))*(IFERROR(VALUE('特殊配信マスタ'!$B$3:$B$16),0)=VALUE(LOOKUP(2,1/($A$3:$A19&lt;&gt;""""),$A$3:$A19)))*('特殊配信マスタ'!$Q$3:$Q$16&lt;&gt;TRUE)), 3), """")"),"")</f>
        <v/>
      </c>
      <c r="N19" s="593" t="str">
        <f>IFERROR(__xludf.DUMMYFUNCTION("IF(M19="""","""",IFERROR(INDEX(FILTER('特殊配信マスタ'!$F$3:$F$16,('特殊配信マスタ'!$A$3:$A$16=CHOOSE(WEEKDAY(M$1),""日"",""月"",""火"",""水"",""木"",""金"",""土""))*('特殊配信マスタ'!$B$3:$B$16=K$3)*('特殊配信マスタ'!$R$3:$R$16=MOD(INT((M$1-'特殊配信マスタ'!$A$1)/7),3)+1)),1),""""))"),"")</f>
        <v/>
      </c>
      <c r="O19" s="590"/>
      <c r="P19" s="593" t="str">
        <f>IFERROR(__xludf.DUMMYFUNCTION("IF(M19="""","""",IFERROR(INDEX(FILTER('特殊配信マスタ'!$O$3:$O$16, '特殊配信マスタ'!$E$3:$E$16=M19),1),""""))"),"")</f>
        <v/>
      </c>
      <c r="Q19" s="593" t="str">
        <f>IFERROR(__xludf.DUMMYFUNCTION("IF(M19="""","""",IFERROR(INDEX(FILTER('特殊配信マスタ'!$P$3:$P$16, '特殊配信マスタ'!$E$3:$E$16=M19),1),""""))"),"")</f>
        <v/>
      </c>
      <c r="R19" s="590" t="str">
        <f>IFERROR(__xludf.DUMMYFUNCTION("IFERROR(INDEX(FILTER('特殊配信マスタ'!$E$3:$E$16, (TEXT('特殊配信マスタ'!$A$3:$A$16,""ddd"")=TEXT(R$1,""ddd""))*(IFERROR(VALUE('特殊配信マスタ'!$B$3:$B$16),0)=VALUE(LOOKUP(2,1/($A$3:$A19&lt;&gt;""""),$A$3:$A19)))*('特殊配信マスタ'!$Q$3:$Q$16&lt;&gt;TRUE)), 3), """")"),"")</f>
        <v/>
      </c>
      <c r="S19" s="593" t="str">
        <f>IFERROR(__xludf.DUMMYFUNCTION("IF(R19="""","""",IFERROR(INDEX(FILTER('特殊配信マスタ'!$F$3:$F$16,('特殊配信マスタ'!$A$3:$A$16=CHOOSE(WEEKDAY(R$1),""日"",""月"",""火"",""水"",""木"",""金"",""土""))*('特殊配信マスタ'!$B$3:$B$16=P$3)*('特殊配信マスタ'!$R$3:$R$16=MOD(INT((R$1-'特殊配信マスタ'!$A$1)/7),3)+1)),1),""""))"),"")</f>
        <v/>
      </c>
      <c r="T19" s="590"/>
      <c r="U19" s="593" t="str">
        <f>IFERROR(__xludf.DUMMYFUNCTION("IF(R19="""","""",IFERROR(INDEX(FILTER('特殊配信マスタ'!$O$3:$O$16, '特殊配信マスタ'!$E$3:$E$16=R19),1),""""))"),"")</f>
        <v/>
      </c>
      <c r="V19" s="593" t="str">
        <f>IFERROR(__xludf.DUMMYFUNCTION("IF(R19="""","""",IFERROR(INDEX(FILTER('特殊配信マスタ'!$P$3:$P$16, '特殊配信マスタ'!$E$3:$E$16=R19),1),""""))"),"")</f>
        <v/>
      </c>
      <c r="W19" s="590" t="str">
        <f>IFERROR(__xludf.DUMMYFUNCTION("IFERROR(INDEX(FILTER('特殊配信マスタ'!$E$3:$E$16, (TEXT('特殊配信マスタ'!$A$3:$A$16,""ddd"")=TEXT(W$1,""ddd""))*(IFERROR(VALUE('特殊配信マスタ'!$B$3:$B$16),0)=VALUE(LOOKUP(2,1/($A$3:$A19&lt;&gt;""""),$A$3:$A19)))*('特殊配信マスタ'!$Q$3:$Q$16&lt;&gt;TRUE)), 3), """")"),"")</f>
        <v/>
      </c>
      <c r="X19" s="593" t="str">
        <f>IFERROR(__xludf.DUMMYFUNCTION("IF(W19="""","""",IFERROR(INDEX(FILTER('特殊配信マスタ'!$F$3:$F$16,('特殊配信マスタ'!$A$3:$A$16=CHOOSE(WEEKDAY(W$1),""日"",""月"",""火"",""水"",""木"",""金"",""土""))*('特殊配信マスタ'!$B$3:$B$16=U$3)*('特殊配信マスタ'!$R$3:$R$16=MOD(INT((W$1-'特殊配信マスタ'!$A$1)/7),3)+1)),1),""""))"),"")</f>
        <v/>
      </c>
      <c r="Y19" s="590"/>
      <c r="Z19" s="593" t="str">
        <f>IFERROR(__xludf.DUMMYFUNCTION("IF(W19="""","""",IFERROR(INDEX(FILTER('特殊配信マスタ'!$O$3:$O$16, '特殊配信マスタ'!$E$3:$E$16=W19),1),""""))"),"")</f>
        <v/>
      </c>
      <c r="AA19" s="593" t="str">
        <f>IFERROR(__xludf.DUMMYFUNCTION("IF(W19="""","""",IFERROR(INDEX(FILTER('特殊配信マスタ'!$P$3:$P$16, '特殊配信マスタ'!$E$3:$E$16=W19),1),""""))"),"")</f>
        <v/>
      </c>
      <c r="AB19" s="590" t="str">
        <f>IFERROR(__xludf.DUMMYFUNCTION("IFERROR(INDEX(FILTER('特殊配信マスタ'!$E$3:$E$16, (TEXT('特殊配信マスタ'!$A$3:$A$16,""ddd"")=TEXT(AB$1,""ddd""))*(IFERROR(VALUE('特殊配信マスタ'!$B$3:$B$16),0)=VALUE(LOOKUP(2,1/($A$3:$A19&lt;&gt;""""),$A$3:$A19)))*('特殊配信マスタ'!$Q$3:$Q$16&lt;&gt;TRUE)), 3), """")"),"")</f>
        <v/>
      </c>
      <c r="AC19" s="593" t="str">
        <f>IFERROR(__xludf.DUMMYFUNCTION("IF(AB19="""","""",IFERROR(INDEX(FILTER('特殊配信マスタ'!$F$3:$F$16,('特殊配信マスタ'!$A$3:$A$16=CHOOSE(WEEKDAY(AB$1),""日"",""月"",""火"",""水"",""木"",""金"",""土""))*('特殊配信マスタ'!$B$3:$B$16=Z$3)*('特殊配信マスタ'!$R$3:$R$16=MOD(INT((AB$1-'特殊配信マスタ'!$A$1)/7),3)+1)),1),""""))"),"")</f>
        <v/>
      </c>
      <c r="AD19" s="590"/>
      <c r="AE19" s="593" t="str">
        <f>IFERROR(__xludf.DUMMYFUNCTION("IF(AB19="""","""",IFERROR(INDEX(FILTER('特殊配信マスタ'!$O$3:$O$16, '特殊配信マスタ'!$E$3:$E$16=AB19),1),""""))"),"")</f>
        <v/>
      </c>
      <c r="AF19" s="593" t="str">
        <f>IFERROR(__xludf.DUMMYFUNCTION("IF(AB19="""","""",IFERROR(INDEX(FILTER('特殊配信マスタ'!$P$3:$P$16, '特殊配信マスタ'!$E$3:$E$16=AB19),1),""""))"),"")</f>
        <v/>
      </c>
      <c r="AG19" s="590" t="str">
        <f>IFERROR(__xludf.DUMMYFUNCTION("IFERROR(INDEX(FILTER('特殊配信マスタ'!$E$3:$E$16, (TEXT('特殊配信マスタ'!$A$3:$A$16,""ddd"")=TEXT(AG$1,""ddd""))*(IFERROR(VALUE('特殊配信マスタ'!$B$3:$B$16),0)=VALUE(LOOKUP(2,1/($A$3:$A19&lt;&gt;""""),$A$3:$A19)))*('特殊配信マスタ'!$Q$3:$Q$16&lt;&gt;TRUE)), 3), """")"),"")</f>
        <v/>
      </c>
      <c r="AH19" s="593" t="str">
        <f>IFERROR(__xludf.DUMMYFUNCTION("IF(AG19="""","""",IFERROR(INDEX(FILTER('特殊配信マスタ'!$F$3:$F$16,('特殊配信マスタ'!$A$3:$A$16=CHOOSE(WEEKDAY(AG$1),""日"",""月"",""火"",""水"",""木"",""金"",""土""))*('特殊配信マスタ'!$B$3:$B$16=AE$3)*('特殊配信マスタ'!$R$3:$R$16=MOD(INT((AG$1-'特殊配信マスタ'!$A$1)/7),3)+1)),1),""""))"),"")</f>
        <v/>
      </c>
      <c r="AI19" s="590"/>
      <c r="AJ19" s="593" t="str">
        <f>IFERROR(__xludf.DUMMYFUNCTION("IF(AG19="""","""",IFERROR(INDEX(FILTER('特殊配信マスタ'!$O$3:$O$16, '特殊配信マスタ'!$E$3:$E$16=AG19),1),""""))"),"")</f>
        <v/>
      </c>
      <c r="AK19" s="593" t="str">
        <f>IFERROR(__xludf.DUMMYFUNCTION("IF(AG19="""","""",IFERROR(INDEX(FILTER('特殊配信マスタ'!$P$3:$P$16, '特殊配信マスタ'!$E$3:$E$16=AG19),1),""""))"),"")</f>
        <v/>
      </c>
    </row>
    <row r="20" ht="17.25" customHeight="1">
      <c r="A20" s="587"/>
      <c r="B20" s="588"/>
      <c r="C20" s="594" t="str">
        <f>IFERROR(__xludf.DUMMYFUNCTION("IFERROR(INDEX(FILTER('特殊配信マスタ'!$E$3:$E$16, (TEXT('特殊配信マスタ'!$A$3:$A$16,""ddd"")=TEXT(C$1,""ddd""))*(IFERROR(VALUE('特殊配信マスタ'!$B$3:$B$16),0)=VALUE(LOOKUP(2,1/($A$3:$A20&lt;&gt;""""),$A$3:$A20)))*('特殊配信マスタ'!$Q$3:$Q$16&lt;&gt;TRUE)), 4), """")"),"")</f>
        <v/>
      </c>
      <c r="D20" s="597" t="str">
        <f>IFERROR(__xludf.DUMMYFUNCTION("IF(C20="""","""",IFERROR(INDEX(FILTER('特殊配信マスタ'!$F$3:$F$16,('特殊配信マスタ'!$A$3:$A$16=CHOOSE(WEEKDAY(C$1),""日"",""月"",""火"",""水"",""木"",""金"",""土""))*('特殊配信マスタ'!$B$3:$B$16=A$3)*('特殊配信マスタ'!$R$3:$R$16=MOD(INT((C$1-'特殊配信マスタ'!$A$1)/7),3)+1)),1),""""))"),"")</f>
        <v/>
      </c>
      <c r="E20" s="598"/>
      <c r="F20" s="597" t="str">
        <f>IFERROR(__xludf.DUMMYFUNCTION("IF(C20="""","""",IFERROR(INDEX(FILTER('特殊配信マスタ'!$O$3:$O$16, '特殊配信マスタ'!$E$3:$E$16=C20),1),""""))"),"")</f>
        <v/>
      </c>
      <c r="G20" s="597" t="str">
        <f>IFERROR(__xludf.DUMMYFUNCTION("IF(C20="""","""",IFERROR(INDEX(FILTER('特殊配信マスタ'!$P$3:$P$16, '特殊配信マスタ'!$E$3:$E$16=C20),1),""""))"),"")</f>
        <v/>
      </c>
      <c r="H20" s="590" t="str">
        <f>IFERROR(__xludf.DUMMYFUNCTION("IFERROR(INDEX(FILTER('特殊配信マスタ'!$E$3:$E$16, (TEXT('特殊配信マスタ'!$A$3:$A$16,""ddd"")=TEXT(H$1,""ddd""))*(IFERROR(VALUE('特殊配信マスタ'!$B$3:$B$16),0)=VALUE(LOOKUP(2,1/($A$3:$A20&lt;&gt;""""),$A$3:$A20)))*('特殊配信マスタ'!$Q$3:$Q$16&lt;&gt;TRUE)), 4), """")"),"")</f>
        <v/>
      </c>
      <c r="I20" s="593"/>
      <c r="J20" s="590"/>
      <c r="K20" s="593" t="str">
        <f>IFERROR(__xludf.DUMMYFUNCTION("IF(H20="""","""",IFERROR(INDEX(FILTER('特殊配信マスタ'!$O$3:$O$16, '特殊配信マスタ'!$E$3:$E$16=H20),1),""""))"),"")</f>
        <v/>
      </c>
      <c r="L20" s="593" t="str">
        <f>IFERROR(__xludf.DUMMYFUNCTION("IF(H20="""","""",IFERROR(INDEX(FILTER('特殊配信マスタ'!$P$3:$P$16, '特殊配信マスタ'!$E$3:$E$16=H20),1),""""))"),"")</f>
        <v/>
      </c>
      <c r="M20" s="590" t="str">
        <f>IFERROR(__xludf.DUMMYFUNCTION("IFERROR(INDEX(FILTER('特殊配信マスタ'!$E$3:$E$16, (TEXT('特殊配信マスタ'!$A$3:$A$16,""ddd"")=TEXT(M$1,""ddd""))*(IFERROR(VALUE('特殊配信マスタ'!$B$3:$B$16),0)=VALUE(LOOKUP(2,1/($A$3:$A20&lt;&gt;""""),$A$3:$A20)))*('特殊配信マスタ'!$Q$3:$Q$16&lt;&gt;TRUE)), 4), """")"),"")</f>
        <v/>
      </c>
      <c r="N20" s="593"/>
      <c r="O20" s="590"/>
      <c r="P20" s="593" t="str">
        <f>IFERROR(__xludf.DUMMYFUNCTION("IF(M20="""","""",IFERROR(INDEX(FILTER('特殊配信マスタ'!$O$3:$O$16, '特殊配信マスタ'!$E$3:$E$16=M20),1),""""))"),"")</f>
        <v/>
      </c>
      <c r="Q20" s="593" t="str">
        <f>IFERROR(__xludf.DUMMYFUNCTION("IF(M20="""","""",IFERROR(INDEX(FILTER('特殊配信マスタ'!$P$3:$P$16, '特殊配信マスタ'!$E$3:$E$16=M20),1),""""))"),"")</f>
        <v/>
      </c>
      <c r="R20" s="590" t="str">
        <f>IFERROR(__xludf.DUMMYFUNCTION("IFERROR(INDEX(FILTER('特殊配信マスタ'!$E$3:$E$16, (TEXT('特殊配信マスタ'!$A$3:$A$16,""ddd"")=TEXT(R$1,""ddd""))*(IFERROR(VALUE('特殊配信マスタ'!$B$3:$B$16),0)=VALUE(LOOKUP(2,1/($A$3:$A20&lt;&gt;""""),$A$3:$A20)))*('特殊配信マスタ'!$Q$3:$Q$16&lt;&gt;TRUE)), 4), """")"),"")</f>
        <v/>
      </c>
      <c r="S20" s="593"/>
      <c r="T20" s="590"/>
      <c r="U20" s="593" t="str">
        <f>IFERROR(__xludf.DUMMYFUNCTION("IF(R20="""","""",IFERROR(INDEX(FILTER('特殊配信マスタ'!$O$3:$O$16, '特殊配信マスタ'!$E$3:$E$16=R20),1),""""))"),"")</f>
        <v/>
      </c>
      <c r="V20" s="593" t="str">
        <f>IFERROR(__xludf.DUMMYFUNCTION("IF(R20="""","""",IFERROR(INDEX(FILTER('特殊配信マスタ'!$P$3:$P$16, '特殊配信マスタ'!$E$3:$E$16=R20),1),""""))"),"")</f>
        <v/>
      </c>
      <c r="W20" s="590" t="str">
        <f>IFERROR(__xludf.DUMMYFUNCTION("IFERROR(INDEX(FILTER('特殊配信マスタ'!$E$3:$E$16, (TEXT('特殊配信マスタ'!$A$3:$A$16,""ddd"")=TEXT(W$1,""ddd""))*(IFERROR(VALUE('特殊配信マスタ'!$B$3:$B$16),0)=VALUE(LOOKUP(2,1/($A$3:$A20&lt;&gt;""""),$A$3:$A20)))*('特殊配信マスタ'!$Q$3:$Q$16&lt;&gt;TRUE)), 4), """")"),"")</f>
        <v/>
      </c>
      <c r="X20" s="593"/>
      <c r="Y20" s="590"/>
      <c r="Z20" s="593" t="str">
        <f>IFERROR(__xludf.DUMMYFUNCTION("IF(W20="""","""",IFERROR(INDEX(FILTER('特殊配信マスタ'!$O$3:$O$16, '特殊配信マスタ'!$E$3:$E$16=W20),1),""""))"),"")</f>
        <v/>
      </c>
      <c r="AA20" s="593" t="str">
        <f>IFERROR(__xludf.DUMMYFUNCTION("IF(W20="""","""",IFERROR(INDEX(FILTER('特殊配信マスタ'!$P$3:$P$16, '特殊配信マスタ'!$E$3:$E$16=W20),1),""""))"),"")</f>
        <v/>
      </c>
      <c r="AB20" s="590" t="str">
        <f>IFERROR(__xludf.DUMMYFUNCTION("IFERROR(INDEX(FILTER('特殊配信マスタ'!$E$3:$E$16, (TEXT('特殊配信マスタ'!$A$3:$A$16,""ddd"")=TEXT(AB$1,""ddd""))*(IFERROR(VALUE('特殊配信マスタ'!$B$3:$B$16),0)=VALUE(LOOKUP(2,1/($A$3:$A20&lt;&gt;""""),$A$3:$A20)))*('特殊配信マスタ'!$Q$3:$Q$16&lt;&gt;TRUE)), 4), """")"),"")</f>
        <v/>
      </c>
      <c r="AC20" s="593"/>
      <c r="AD20" s="590"/>
      <c r="AE20" s="593" t="str">
        <f>IFERROR(__xludf.DUMMYFUNCTION("IF(AB20="""","""",IFERROR(INDEX(FILTER('特殊配信マスタ'!$O$3:$O$16, '特殊配信マスタ'!$E$3:$E$16=AB20),1),""""))"),"")</f>
        <v/>
      </c>
      <c r="AF20" s="593" t="str">
        <f>IFERROR(__xludf.DUMMYFUNCTION("IF(AB20="""","""",IFERROR(INDEX(FILTER('特殊配信マスタ'!$P$3:$P$16, '特殊配信マスタ'!$E$3:$E$16=AB20),1),""""))"),"")</f>
        <v/>
      </c>
      <c r="AG20" s="590" t="str">
        <f>IFERROR(__xludf.DUMMYFUNCTION("IFERROR(INDEX(FILTER('特殊配信マスタ'!$E$3:$E$16, (TEXT('特殊配信マスタ'!$A$3:$A$16,""ddd"")=TEXT(AG$1,""ddd""))*(IFERROR(VALUE('特殊配信マスタ'!$B$3:$B$16),0)=VALUE(LOOKUP(2,1/($A$3:$A20&lt;&gt;""""),$A$3:$A20)))*('特殊配信マスタ'!$Q$3:$Q$16&lt;&gt;TRUE)), 4), """")"),"")</f>
        <v/>
      </c>
      <c r="AH20" s="593"/>
      <c r="AI20" s="590"/>
      <c r="AJ20" s="593" t="str">
        <f>IFERROR(__xludf.DUMMYFUNCTION("IF(AG20="""","""",IFERROR(INDEX(FILTER('特殊配信マスタ'!$O$3:$O$16, '特殊配信マスタ'!$E$3:$E$16=AG20),1),""""))"),"")</f>
        <v/>
      </c>
      <c r="AK20" s="593" t="str">
        <f>IFERROR(__xludf.DUMMYFUNCTION("IF(AG20="""","""",IFERROR(INDEX(FILTER('特殊配信マスタ'!$P$3:$P$16, '特殊配信マスタ'!$E$3:$E$16=AG20),1),""""))"),"")</f>
        <v/>
      </c>
    </row>
    <row r="21" ht="17.25" customHeight="1">
      <c r="A21" s="599"/>
      <c r="B21" s="592"/>
      <c r="C21" s="594" t="str">
        <f>IFERROR(__xludf.DUMMYFUNCTION("IFERROR(INDEX(FILTER('特殊配信マスタ'!$E$3:$E$16, (TEXT('特殊配信マスタ'!$A$3:$A$16,""ddd"")=TEXT(C$1,""ddd""))*(IFERROR(VALUE('特殊配信マスタ'!$B$3:$B$16),0)=VALUE(LOOKUP(2,1/($A$3:$A21&lt;&gt;""""),$A$3:$A21)))*('特殊配信マスタ'!$Q$3:$Q$16&lt;&gt;TRUE)), 5), """")"),"")</f>
        <v/>
      </c>
      <c r="D21" s="595" t="str">
        <f>IFERROR(__xludf.DUMMYFUNCTION("IF(C21="""","""",IFERROR(INDEX(FILTER('特殊配信マスタ'!$F$3:$F$16,('特殊配信マスタ'!$A$3:$A$16=CHOOSE(WEEKDAY(C$1),""日"",""月"",""火"",""水"",""木"",""金"",""土""))*('特殊配信マスタ'!$B$3:$B$16=A$3)*('特殊配信マスタ'!$R$3:$R$16=MOD(INT((C$1-'特殊配信マスタ'!$A$1)/7),3)+1)),1),""""))"),"")</f>
        <v/>
      </c>
      <c r="E21" s="119"/>
      <c r="F21" s="595" t="str">
        <f>IFERROR(__xludf.DUMMYFUNCTION("IF(C21="""","""",IFERROR(INDEX(FILTER('特殊配信マスタ'!$O$3:$O$16, '特殊配信マスタ'!$E$3:$E$16=C21),1),""""))"),"")</f>
        <v/>
      </c>
      <c r="G21" s="595" t="str">
        <f>IFERROR(__xludf.DUMMYFUNCTION("IF(C21="""","""",IFERROR(INDEX(FILTER('特殊配信マスタ'!$P$3:$P$16, '特殊配信マスタ'!$E$3:$E$16=C21),1),""""))"),"")</f>
        <v/>
      </c>
      <c r="H21" s="590" t="str">
        <f>IFERROR(__xludf.DUMMYFUNCTION("IFERROR(INDEX(FILTER('特殊配信マスタ'!$E$3:$E$16, (TEXT('特殊配信マスタ'!$A$3:$A$16,""ddd"")=TEXT(H$1,""ddd""))*(IFERROR(VALUE('特殊配信マスタ'!$B$3:$B$16),0)=VALUE(LOOKUP(2,1/($A$3:$A21&lt;&gt;""""),$A$3:$A21)))*('特殊配信マスタ'!$Q$3:$Q$16&lt;&gt;TRUE)), 5), """")"),"")</f>
        <v/>
      </c>
      <c r="I21" s="593" t="str">
        <f>IFERROR(__xludf.DUMMYFUNCTION("IF(H21="""","""",IFERROR(INDEX(FILTER('特殊配信マスタ'!$F$3:$F$16,('特殊配信マスタ'!$A$3:$A$16=CHOOSE(WEEKDAY(H$1),""日"",""月"",""火"",""水"",""木"",""金"",""土""))*('特殊配信マスタ'!$B$3:$B$16=F$3)*('特殊配信マスタ'!$R$3:$R$16=MOD(INT((H$1-'特殊配信マスタ'!$A$1)/7),3)+1)),1),""""))"),"")</f>
        <v/>
      </c>
      <c r="J21" s="590"/>
      <c r="K21" s="593" t="str">
        <f>IFERROR(__xludf.DUMMYFUNCTION("IF(H21="""","""",IFERROR(INDEX(FILTER('特殊配信マスタ'!$O$3:$O$16, '特殊配信マスタ'!$E$3:$E$16=H21),1),""""))"),"")</f>
        <v/>
      </c>
      <c r="L21" s="593" t="str">
        <f>IFERROR(__xludf.DUMMYFUNCTION("IF(H21="""","""",IFERROR(INDEX(FILTER('特殊配信マスタ'!$P$3:$P$16, '特殊配信マスタ'!$E$3:$E$16=H21),1),""""))"),"")</f>
        <v/>
      </c>
      <c r="M21" s="590" t="str">
        <f>IFERROR(__xludf.DUMMYFUNCTION("IFERROR(INDEX(FILTER('特殊配信マスタ'!$E$3:$E$16, (TEXT('特殊配信マスタ'!$A$3:$A$16,""ddd"")=TEXT(M$1,""ddd""))*(IFERROR(VALUE('特殊配信マスタ'!$B$3:$B$16),0)=VALUE(LOOKUP(2,1/($A$3:$A21&lt;&gt;""""),$A$3:$A21)))*('特殊配信マスタ'!$Q$3:$Q$16&lt;&gt;TRUE)), 5), """")"),"")</f>
        <v/>
      </c>
      <c r="N21" s="593" t="str">
        <f>IFERROR(__xludf.DUMMYFUNCTION("IF(M21="""","""",IFERROR(INDEX(FILTER('特殊配信マスタ'!$F$3:$F$16,('特殊配信マスタ'!$A$3:$A$16=CHOOSE(WEEKDAY(M$1),""日"",""月"",""火"",""水"",""木"",""金"",""土""))*('特殊配信マスタ'!$B$3:$B$16=K$3)*('特殊配信マスタ'!$R$3:$R$16=MOD(INT((M$1-'特殊配信マスタ'!$A$1)/7),3)+1)),1),""""))"),"")</f>
        <v/>
      </c>
      <c r="O21" s="590"/>
      <c r="P21" s="593" t="str">
        <f>IFERROR(__xludf.DUMMYFUNCTION("IF(M21="""","""",IFERROR(INDEX(FILTER('特殊配信マスタ'!$O$3:$O$16, '特殊配信マスタ'!$E$3:$E$16=M21),1),""""))"),"")</f>
        <v/>
      </c>
      <c r="Q21" s="593" t="str">
        <f>IFERROR(__xludf.DUMMYFUNCTION("IF(M21="""","""",IFERROR(INDEX(FILTER('特殊配信マスタ'!$P$3:$P$16, '特殊配信マスタ'!$E$3:$E$16=M21),1),""""))"),"")</f>
        <v/>
      </c>
      <c r="R21" s="590" t="str">
        <f>IFERROR(__xludf.DUMMYFUNCTION("IFERROR(INDEX(FILTER('特殊配信マスタ'!$E$3:$E$16, (TEXT('特殊配信マスタ'!$A$3:$A$16,""ddd"")=TEXT(R$1,""ddd""))*(IFERROR(VALUE('特殊配信マスタ'!$B$3:$B$16),0)=VALUE(LOOKUP(2,1/($A$3:$A21&lt;&gt;""""),$A$3:$A21)))*('特殊配信マスタ'!$Q$3:$Q$16&lt;&gt;TRUE)), 5), """")"),"")</f>
        <v/>
      </c>
      <c r="S21" s="593" t="str">
        <f>IFERROR(__xludf.DUMMYFUNCTION("IF(R21="""","""",IFERROR(INDEX(FILTER('特殊配信マスタ'!$F$3:$F$16,('特殊配信マスタ'!$A$3:$A$16=CHOOSE(WEEKDAY(R$1),""日"",""月"",""火"",""水"",""木"",""金"",""土""))*('特殊配信マスタ'!$B$3:$B$16=P$3)*('特殊配信マスタ'!$R$3:$R$16=MOD(INT((R$1-'特殊配信マスタ'!$A$1)/7),3)+1)),1),""""))"),"")</f>
        <v/>
      </c>
      <c r="T21" s="590"/>
      <c r="U21" s="593" t="str">
        <f>IFERROR(__xludf.DUMMYFUNCTION("IF(R21="""","""",IFERROR(INDEX(FILTER('特殊配信マスタ'!$O$3:$O$16, '特殊配信マスタ'!$E$3:$E$16=R21),1),""""))"),"")</f>
        <v/>
      </c>
      <c r="V21" s="593" t="str">
        <f>IFERROR(__xludf.DUMMYFUNCTION("IF(R21="""","""",IFERROR(INDEX(FILTER('特殊配信マスタ'!$P$3:$P$16, '特殊配信マスタ'!$E$3:$E$16=R21),1),""""))"),"")</f>
        <v/>
      </c>
      <c r="W21" s="590" t="str">
        <f>IFERROR(__xludf.DUMMYFUNCTION("IFERROR(INDEX(FILTER('特殊配信マスタ'!$E$3:$E$16, (TEXT('特殊配信マスタ'!$A$3:$A$16,""ddd"")=TEXT(W$1,""ddd""))*(IFERROR(VALUE('特殊配信マスタ'!$B$3:$B$16),0)=VALUE(LOOKUP(2,1/($A$3:$A21&lt;&gt;""""),$A$3:$A21)))*('特殊配信マスタ'!$Q$3:$Q$16&lt;&gt;TRUE)), 5), """")"),"")</f>
        <v/>
      </c>
      <c r="X21" s="593" t="str">
        <f>IFERROR(__xludf.DUMMYFUNCTION("IF(W21="""","""",IFERROR(INDEX(FILTER('特殊配信マスタ'!$F$3:$F$16,('特殊配信マスタ'!$A$3:$A$16=CHOOSE(WEEKDAY(W$1),""日"",""月"",""火"",""水"",""木"",""金"",""土""))*('特殊配信マスタ'!$B$3:$B$16=U$3)*('特殊配信マスタ'!$R$3:$R$16=MOD(INT((W$1-'特殊配信マスタ'!$A$1)/7),3)+1)),1),""""))"),"")</f>
        <v/>
      </c>
      <c r="Y21" s="590"/>
      <c r="Z21" s="593" t="str">
        <f>IFERROR(__xludf.DUMMYFUNCTION("IF(W21="""","""",IFERROR(INDEX(FILTER('特殊配信マスタ'!$O$3:$O$16, '特殊配信マスタ'!$E$3:$E$16=W21),1),""""))"),"")</f>
        <v/>
      </c>
      <c r="AA21" s="593" t="str">
        <f>IFERROR(__xludf.DUMMYFUNCTION("IF(W21="""","""",IFERROR(INDEX(FILTER('特殊配信マスタ'!$P$3:$P$16, '特殊配信マスタ'!$E$3:$E$16=W21),1),""""))"),"")</f>
        <v/>
      </c>
      <c r="AB21" s="590" t="str">
        <f>IFERROR(__xludf.DUMMYFUNCTION("IFERROR(INDEX(FILTER('特殊配信マスタ'!$E$3:$E$16, (TEXT('特殊配信マスタ'!$A$3:$A$16,""ddd"")=TEXT(AB$1,""ddd""))*(IFERROR(VALUE('特殊配信マスタ'!$B$3:$B$16),0)=VALUE(LOOKUP(2,1/($A$3:$A21&lt;&gt;""""),$A$3:$A21)))*('特殊配信マスタ'!$Q$3:$Q$16&lt;&gt;TRUE)), 5), """")"),"")</f>
        <v/>
      </c>
      <c r="AC21" s="593" t="str">
        <f>IFERROR(__xludf.DUMMYFUNCTION("IF(AB21="""","""",IFERROR(INDEX(FILTER('特殊配信マスタ'!$F$3:$F$16,('特殊配信マスタ'!$A$3:$A$16=CHOOSE(WEEKDAY(AB$1),""日"",""月"",""火"",""水"",""木"",""金"",""土""))*('特殊配信マスタ'!$B$3:$B$16=Z$3)*('特殊配信マスタ'!$R$3:$R$16=MOD(INT((AB$1-'特殊配信マスタ'!$A$1)/7),3)+1)),1),""""))"),"")</f>
        <v/>
      </c>
      <c r="AD21" s="590"/>
      <c r="AE21" s="593" t="str">
        <f>IFERROR(__xludf.DUMMYFUNCTION("IF(AB21="""","""",IFERROR(INDEX(FILTER('特殊配信マスタ'!$O$3:$O$16, '特殊配信マスタ'!$E$3:$E$16=AB21),1),""""))"),"")</f>
        <v/>
      </c>
      <c r="AF21" s="593" t="str">
        <f>IFERROR(__xludf.DUMMYFUNCTION("IF(AB21="""","""",IFERROR(INDEX(FILTER('特殊配信マスタ'!$P$3:$P$16, '特殊配信マスタ'!$E$3:$E$16=AB21),1),""""))"),"")</f>
        <v/>
      </c>
      <c r="AG21" s="590" t="str">
        <f>IFERROR(__xludf.DUMMYFUNCTION("IFERROR(INDEX(FILTER('特殊配信マスタ'!$E$3:$E$16, (TEXT('特殊配信マスタ'!$A$3:$A$16,""ddd"")=TEXT(AG$1,""ddd""))*(IFERROR(VALUE('特殊配信マスタ'!$B$3:$B$16),0)=VALUE(LOOKUP(2,1/($A$3:$A21&lt;&gt;""""),$A$3:$A21)))*('特殊配信マスタ'!$Q$3:$Q$16&lt;&gt;TRUE)), 5), """")"),"")</f>
        <v/>
      </c>
      <c r="AH21" s="593" t="str">
        <f>IFERROR(__xludf.DUMMYFUNCTION("IF(AG21="""","""",IFERROR(INDEX(FILTER('特殊配信マスタ'!$F$3:$F$16,('特殊配信マスタ'!$A$3:$A$16=CHOOSE(WEEKDAY(AG$1),""日"",""月"",""火"",""水"",""木"",""金"",""土""))*('特殊配信マスタ'!$B$3:$B$16=AE$3)*('特殊配信マスタ'!$R$3:$R$16=MOD(INT((AG$1-'特殊配信マスタ'!$A$1)/7),3)+1)),1),""""))"),"")</f>
        <v/>
      </c>
      <c r="AI21" s="590"/>
      <c r="AJ21" s="593" t="str">
        <f>IFERROR(__xludf.DUMMYFUNCTION("IF(AG21="""","""",IFERROR(INDEX(FILTER('特殊配信マスタ'!$O$3:$O$16, '特殊配信マスタ'!$E$3:$E$16=AG21),1),""""))"),"")</f>
        <v/>
      </c>
      <c r="AK21" s="593" t="str">
        <f>IFERROR(__xludf.DUMMYFUNCTION("IF(AG21="""","""",IFERROR(INDEX(FILTER('特殊配信マスタ'!$P$3:$P$16, '特殊配信マスタ'!$E$3:$E$16=AG21),1),""""))"),"")</f>
        <v/>
      </c>
    </row>
    <row r="22" ht="17.25" customHeight="1">
      <c r="A22" s="584">
        <f>A3+1</f>
        <v>9</v>
      </c>
      <c r="B22" s="585" t="s">
        <v>1450</v>
      </c>
      <c r="C22" s="586" t="str">
        <f>IFERROR(__xludf.DUMMYFUNCTION("IFERROR(FILTER('リスト'!$E$4:$E$349, (TEXT('リスト'!$A$4:$A$349,""ddd"")=TEXT(C$1, ""ddd""))*('リスト'!$B$4:$B$349=LOOKUP(2,1/($A$3:$A22&lt;&gt;""""),$A$3:$A22))*(('リスト'!$G$4:$G$349=""毎週配信"")+('リスト'!$G$4:$G$349=$A$1))), """")"),"ランキング_クリエイティブ（Web）_希望")</f>
        <v>ランキング_クリエイティブ（Web）_希望</v>
      </c>
      <c r="D22" s="8">
        <f t="array" ref="D22">IFERROR(XLOOKUP(C22, 'リスト'!$E:$E, 'リスト'!$F:$F, ""), "")</f>
        <v>0.5</v>
      </c>
      <c r="E22" s="8">
        <f>SUM(D22:D40)</f>
        <v>2.5</v>
      </c>
      <c r="F22" s="8" t="str">
        <f>IFERROR(__xludf.DUMMYFUNCTION("IF(C22="""","""",IFERROR(INDEX(FILTER('リスト'!$O$4:$O$349, 'リスト'!$E$4:$E$349=C22),1),""""))"),"R")</f>
        <v>R</v>
      </c>
      <c r="G22" s="8" t="str">
        <f>IFERROR(__xludf.DUMMYFUNCTION("IF(C22="""","""",IFERROR(INDEX(FILTER('リスト'!$P$4:$P$349, 'リスト'!$E$4:$E$349=C22),1),""""))"),"")</f>
        <v/>
      </c>
      <c r="H22" s="586" t="str">
        <f>IFERROR(__xludf.DUMMYFUNCTION("IFERROR(FILTER('リスト'!$E$4:$E$349, (TEXT('リスト'!$A$4:$A$349,""ddd"")=TEXT(H$1, ""ddd""))*('リスト'!$B$4:$B$349=LOOKUP(2,1/($A$3:$A22&lt;&gt;""""),$A$3:$A22))*(('リスト'!$G$4:$G$349=""毎週配信"")+('リスト'!$G$4:$G$349=$A$1))), """")"),"ランキング_エンジニア（IT系）_希望")</f>
        <v>ランキング_エンジニア（IT系）_希望</v>
      </c>
      <c r="I22" s="8">
        <f t="array" ref="I22">IFERROR(XLOOKUP(H22, 'リスト'!$E:$E, 'リスト'!$F:$F, ""), "")</f>
        <v>0.3</v>
      </c>
      <c r="J22" s="8">
        <f>SUM(I22:I40)</f>
        <v>3.8</v>
      </c>
      <c r="K22" s="8" t="str">
        <f>IFERROR(__xludf.DUMMYFUNCTION("IF(H22="""","""",IFERROR(INDEX(FILTER('リスト'!$O$4:$O$349, 'リスト'!$E$4:$E$349=H22),1),""""))"),"R")</f>
        <v>R</v>
      </c>
      <c r="L22" s="8" t="str">
        <f>IFERROR(__xludf.DUMMYFUNCTION("IF(H22="""","""",IFERROR(INDEX(FILTER('リスト'!$P$4:$P$349, 'リスト'!$E$4:$E$349=H22),1),""""))"),"")</f>
        <v/>
      </c>
      <c r="M22" s="586" t="str">
        <f>IFERROR(__xludf.DUMMYFUNCTION("IFERROR(FILTER('リスト'!$E$4:$E$349, (TEXT('リスト'!$A$4:$A$349,""ddd"")=TEXT(M$1, ""ddd""))*('リスト'!$B$4:$B$349=LOOKUP(2,1/($A$3:$A22&lt;&gt;""""),$A$3:$A22))*(('リスト'!$G$4:$G$349=""毎週配信"")+('リスト'!$G$4:$G$349=$A$1))), """")"),"ランキング_営業（BtoB）_希望")</f>
        <v>ランキング_営業（BtoB）_希望</v>
      </c>
      <c r="N22" s="8">
        <f t="array" ref="N22">IFERROR(XLOOKUP(M22, 'リスト'!$E:$E, 'リスト'!$F:$F, ""), "")</f>
        <v>0.3</v>
      </c>
      <c r="O22" s="8">
        <f>SUM(N22:N40)</f>
        <v>2.3</v>
      </c>
      <c r="P22" s="8" t="str">
        <f>IFERROR(__xludf.DUMMYFUNCTION("IF(M22="""","""",IFERROR(INDEX(FILTER('リスト'!$O$4:$O$349, 'リスト'!$E$4:$E$349=M22),1),""""))"),"R")</f>
        <v>R</v>
      </c>
      <c r="Q22" s="8" t="str">
        <f>IFERROR(__xludf.DUMMYFUNCTION("IF(M22="""","""",IFERROR(INDEX(FILTER('リスト'!$P$4:$P$349, 'リスト'!$E$4:$E$349=M22),1),""""))"),"")</f>
        <v/>
      </c>
      <c r="R22" s="586" t="str">
        <f>IFERROR(__xludf.DUMMYFUNCTION("IFERROR(FILTER('リスト'!$E$4:$E$349, (TEXT('リスト'!$A$4:$A$349,""ddd"")=TEXT(R$1, ""ddd""))*('リスト'!$B$4:$B$349=LOOKUP(2,1/($A$3:$A22&lt;&gt;""""),$A$3:$A22))*(('リスト'!$G$4:$G$349=""毎週配信"")+('リスト'!$G$4:$G$349=$A$1))), """")"),"40~60代活躍中")</f>
        <v>40~60代活躍中</v>
      </c>
      <c r="S22" s="8">
        <f t="array" ref="S22">IFERROR(XLOOKUP(R22, 'リスト'!$E:$E, 'リスト'!$F:$F, ""), "")</f>
        <v>1.5</v>
      </c>
      <c r="T22" s="8">
        <f>SUM(S22:S40)</f>
        <v>1.9</v>
      </c>
      <c r="U22" s="8" t="str">
        <f>IFERROR(__xludf.DUMMYFUNCTION("IF(R22="""","""",IFERROR(INDEX(FILTER('リスト'!$O$4:$O$349, 'リスト'!$E$4:$E$349=R22),1),""""))"),"石")</f>
        <v>石</v>
      </c>
      <c r="V22" s="8" t="str">
        <f>IFERROR(__xludf.DUMMYFUNCTION("IF(R22="""","""",IFERROR(INDEX(FILTER('リスト'!$P$4:$P$349, 'リスト'!$E$4:$E$349=R22),1),""""))"),"武")</f>
        <v>武</v>
      </c>
      <c r="W22" s="586" t="str">
        <f>IFERROR(__xludf.DUMMYFUNCTION("IFERROR(FILTER('リスト'!$E$4:$E$349, (TEXT('リスト'!$A$4:$A$349,""ddd"")=TEXT(W$1, ""ddd""))*('リスト'!$B$4:$B$349=LOOKUP(2,1/($A$3:$A22&lt;&gt;""""),$A$3:$A22))*(('リスト'!$G$4:$G$349=""毎週配信"")+('リスト'!$G$4:$G$349=$A$1))), """")"),"NPS取得アンケート")</f>
        <v>NPS取得アンケート</v>
      </c>
      <c r="X22" s="8">
        <f t="array" ref="X22">IFERROR(XLOOKUP(W22, 'リスト'!$E:$E, 'リスト'!$F:$F, ""), "")</f>
        <v>0.3</v>
      </c>
      <c r="Y22" s="8">
        <f>SUM(X22:X40)</f>
        <v>2.4</v>
      </c>
      <c r="Z22" s="8" t="str">
        <f>IFERROR(__xludf.DUMMYFUNCTION("IF(W22="""","""",IFERROR(INDEX(FILTER('リスト'!$O$4:$O$349, 'リスト'!$E$4:$E$349=W22),1),""""))"),"R")</f>
        <v>R</v>
      </c>
      <c r="AA22" s="8" t="str">
        <f>IFERROR(__xludf.DUMMYFUNCTION("IF(W22="""","""",IFERROR(INDEX(FILTER('リスト'!$P$4:$P$349, 'リスト'!$E$4:$E$349=W22),1),""""))"),"")</f>
        <v/>
      </c>
      <c r="AB22" s="586" t="str">
        <f>IFERROR(__xludf.DUMMYFUNCTION("IFERROR(FILTER('リスト'!$E$4:$E$349, (TEXT('リスト'!$A$4:$A$349,""ddd"")=TEXT(AB$1, ""ddd""))*('リスト'!$B$4:$B$349=LOOKUP(2,1/($A$3:$A22&lt;&gt;""""),$A$3:$A22))*(('リスト'!$G$4:$G$349=""毎週配信"")+('リスト'!$G$4:$G$349=$A$1))), """")"),"これから人気×エンジニア")</f>
        <v>これから人気×エンジニア</v>
      </c>
      <c r="AC22" s="8">
        <f t="array" ref="AC22">IFERROR(XLOOKUP(AB22, 'リスト'!$E:$E, 'リスト'!$F:$F, ""), "")</f>
        <v>0.2</v>
      </c>
      <c r="AD22" s="8">
        <f>SUM(AC22:AC40)</f>
        <v>5.8</v>
      </c>
      <c r="AE22" s="8" t="str">
        <f>IFERROR(__xludf.DUMMYFUNCTION("IF(AB22="""","""",IFERROR(INDEX(FILTER('リスト'!$O$4:$O$349, 'リスト'!$E$4:$E$349=AB22),1),""""))"),"R")</f>
        <v>R</v>
      </c>
      <c r="AF22" s="8" t="str">
        <f>IFERROR(__xludf.DUMMYFUNCTION("IF(AB22="""","""",IFERROR(INDEX(FILTER('リスト'!$P$4:$P$349, 'リスト'!$E$4:$E$349=AB22),1),""""))"),"")</f>
        <v/>
      </c>
      <c r="AG22" s="586" t="str">
        <f>IFERROR(__xludf.DUMMYFUNCTION("IFERROR(FILTER('リスト'!$E$4:$E$349, (TEXT('リスト'!$A$4:$A$349,""ddd"")=TEXT(AG$1, ""ddd""))*('リスト'!$B$4:$B$349=LOOKUP(2,1/($A$3:$A22&lt;&gt;""""),$A$3:$A22))*(('リスト'!$G$4:$G$349=""毎週配信"")+('リスト'!$G$4:$G$349=$A$1))), """")"),"年収600万円以上")</f>
        <v>年収600万円以上</v>
      </c>
      <c r="AH22" s="8">
        <f t="array" ref="AH22">IFERROR(XLOOKUP(AG22, 'リスト'!$E:$E, 'リスト'!$F:$F, ""), "")</f>
        <v>0.3</v>
      </c>
      <c r="AI22" s="8">
        <f>SUM(AH22:AH40)</f>
        <v>1.9</v>
      </c>
      <c r="AJ22" s="8" t="str">
        <f>IFERROR(__xludf.DUMMYFUNCTION("IF(AG22="""","""",IFERROR(INDEX(FILTER('リスト'!$O$4:$O$349, 'リスト'!$E$4:$E$349=AG22),1),""""))"),"R")</f>
        <v>R</v>
      </c>
      <c r="AK22" s="8" t="str">
        <f>IFERROR(__xludf.DUMMYFUNCTION("IF(AG22="""","""",IFERROR(INDEX(FILTER('リスト'!$P$4:$P$349, 'リスト'!$E$4:$E$349=AG22),1),""""))"),"")</f>
        <v/>
      </c>
    </row>
    <row r="23" ht="17.25" customHeight="1">
      <c r="A23" s="587"/>
      <c r="B23" s="588"/>
      <c r="C23" s="586" t="str">
        <f>IFERROR(__xludf.DUMMYFUNCTION("""COMPUTED_VALUE"""),"ランキング_営業（マーケ）_希望")</f>
        <v>ランキング_営業（マーケ）_希望</v>
      </c>
      <c r="D23" s="8">
        <f t="array" ref="D23">IFERROR(XLOOKUP(C23, 'リスト'!$E:$E, 'リスト'!$F:$F, ""), "")</f>
        <v>0.5</v>
      </c>
      <c r="E23" s="8"/>
      <c r="F23" s="8" t="str">
        <f t="array" ref="F23">IFERROR(XLOOKUP(C23, 'リスト'!$E:$E, 'リスト'!$O:$O, ""), "")</f>
        <v>R</v>
      </c>
      <c r="G23" s="8" t="str">
        <f t="array" ref="G23">IFERROR(XLOOKUP(C23, 'リスト'!$E:$E, 'リスト'!$P:$P, ""), "")</f>
        <v/>
      </c>
      <c r="H23" s="586" t="str">
        <f>IFERROR(__xludf.DUMMYFUNCTION("""COMPUTED_VALUE"""),"ランキング_クリエイティブ（その他）_希望")</f>
        <v>ランキング_クリエイティブ（その他）_希望</v>
      </c>
      <c r="I23" s="8">
        <f t="array" ref="I23">IFERROR(XLOOKUP(H23, 'リスト'!$E:$E, 'リスト'!$F:$F, ""), "")</f>
        <v>0.4</v>
      </c>
      <c r="J23" s="8"/>
      <c r="K23" s="8" t="str">
        <f t="array" ref="K23">IFERROR(XLOOKUP(H23, 'リスト'!$E:$E, 'リスト'!$O:$O, ""), "")</f>
        <v>R</v>
      </c>
      <c r="L23" s="8" t="str">
        <f t="array" ref="L23">IFERROR(XLOOKUP(H23, 'リスト'!$E:$E, 'リスト'!$P:$P, ""), "")</f>
        <v/>
      </c>
      <c r="M23" s="586" t="str">
        <f>IFERROR(__xludf.DUMMYFUNCTION("""COMPUTED_VALUE"""),"ランキング_事務（秘書）_希望")</f>
        <v>ランキング_事務（秘書）_希望</v>
      </c>
      <c r="N23" s="8">
        <f t="array" ref="N23">IFERROR(XLOOKUP(M23, 'リスト'!$E:$E, 'リスト'!$F:$F, ""), "")</f>
        <v>0.9</v>
      </c>
      <c r="O23" s="8"/>
      <c r="P23" s="8" t="str">
        <f t="array" ref="P23">IFERROR(XLOOKUP(M23, 'リスト'!$E:$E, 'リスト'!$O:$O, ""), "")</f>
        <v>R</v>
      </c>
      <c r="Q23" s="8" t="str">
        <f t="array" ref="Q23">IFERROR(XLOOKUP(M23, 'リスト'!$E:$E, 'リスト'!$P:$P, ""), "")</f>
        <v/>
      </c>
      <c r="R23" s="586" t="str">
        <f>IFERROR(__xludf.DUMMYFUNCTION("""COMPUTED_VALUE"""),"ランキング_事務（経理）_希望")</f>
        <v>ランキング_事務（経理）_希望</v>
      </c>
      <c r="S23" s="8">
        <f t="array" ref="S23">IFERROR(XLOOKUP(R23, 'リスト'!$E:$E, 'リスト'!$F:$F, ""), "")</f>
        <v>0.4</v>
      </c>
      <c r="T23" s="8"/>
      <c r="U23" s="8" t="str">
        <f t="array" ref="U23">IFERROR(XLOOKUP(R23, 'リスト'!$E:$E, 'リスト'!$O:$O, ""), "")</f>
        <v>R</v>
      </c>
      <c r="V23" s="8" t="str">
        <f t="array" ref="V23">IFERROR(XLOOKUP(R23, 'リスト'!$E:$E, 'リスト'!$P:$P, ""), "")</f>
        <v/>
      </c>
      <c r="W23" s="586" t="str">
        <f>IFERROR(__xludf.DUMMYFUNCTION("""COMPUTED_VALUE"""),"単独求人訴求メルマガ_A")</f>
        <v>単独求人訴求メルマガ_A</v>
      </c>
      <c r="X23" s="8">
        <f t="array" ref="X23">IFERROR(XLOOKUP(W23, 'リスト'!$E:$E, 'リスト'!$F:$F, ""), "")</f>
        <v>2.1</v>
      </c>
      <c r="Y23" s="8"/>
      <c r="Z23" s="8" t="str">
        <f t="array" ref="Z23">IFERROR(XLOOKUP(W23, 'リスト'!$E:$E, 'リスト'!$O:$O, ""), "")</f>
        <v>武</v>
      </c>
      <c r="AA23" s="8" t="str">
        <f t="array" ref="AA23">IFERROR(XLOOKUP(W23, 'リスト'!$E:$E, 'リスト'!$P:$P, ""), "")</f>
        <v>部</v>
      </c>
      <c r="AB23" s="586" t="str">
        <f>IFERROR(__xludf.DUMMYFUNCTION("""COMPUTED_VALUE"""),"これから人気×リモート")</f>
        <v>これから人気×リモート</v>
      </c>
      <c r="AC23" s="8">
        <f t="array" ref="AC23">IFERROR(XLOOKUP(AB23, 'リスト'!$E:$E, 'リスト'!$F:$F, ""), "")</f>
        <v>0.6</v>
      </c>
      <c r="AD23" s="8"/>
      <c r="AE23" s="8" t="str">
        <f t="array" ref="AE23">IFERROR(XLOOKUP(AB23, 'リスト'!$E:$E, 'リスト'!$O:$O, ""), "")</f>
        <v>R</v>
      </c>
      <c r="AF23" s="8" t="str">
        <f t="array" ref="AF23">IFERROR(XLOOKUP(AB23, 'リスト'!$E:$E, 'リスト'!$P:$P, ""), "")</f>
        <v/>
      </c>
      <c r="AG23" s="586" t="str">
        <f>IFERROR(__xludf.DUMMYFUNCTION("""COMPUTED_VALUE"""),"ランキング_事務（広報）_希望")</f>
        <v>ランキング_事務（広報）_希望</v>
      </c>
      <c r="AH23" s="8">
        <f t="array" ref="AH23">IFERROR(XLOOKUP(AG23, 'リスト'!$E:$E, 'リスト'!$F:$F, ""), "")</f>
        <v>0.3</v>
      </c>
      <c r="AI23" s="8"/>
      <c r="AJ23" s="8" t="str">
        <f t="array" ref="AJ23">IFERROR(XLOOKUP(AG23, 'リスト'!$E:$E, 'リスト'!$O:$O, ""), "")</f>
        <v>R</v>
      </c>
      <c r="AK23" s="8" t="str">
        <f t="array" ref="AK23">IFERROR(XLOOKUP(AG23, 'リスト'!$E:$E, 'リスト'!$P:$P, ""), "")</f>
        <v/>
      </c>
    </row>
    <row r="24" ht="17.25" customHeight="1">
      <c r="A24" s="587"/>
      <c r="B24" s="588"/>
      <c r="C24" s="586" t="str">
        <f>IFERROR(__xludf.DUMMYFUNCTION("""COMPUTED_VALUE"""),"ランキング_事務（一般事務）_希望")</f>
        <v>ランキング_事務（一般事務）_希望</v>
      </c>
      <c r="D24" s="8">
        <f t="array" ref="D24">IFERROR(XLOOKUP(C24, 'リスト'!$E:$E, 'リスト'!$F:$F, ""), "")</f>
        <v>1.5</v>
      </c>
      <c r="E24" s="8"/>
      <c r="F24" s="8" t="str">
        <f t="array" ref="F24">IFERROR(XLOOKUP(C24, 'リスト'!$E:$E, 'リスト'!$O:$O, ""), "")</f>
        <v>R</v>
      </c>
      <c r="G24" s="8" t="str">
        <f t="array" ref="G24">IFERROR(XLOOKUP(C24, 'リスト'!$E:$E, 'リスト'!$P:$P, ""), "")</f>
        <v/>
      </c>
      <c r="H24" s="586" t="str">
        <f>IFERROR(__xludf.DUMMYFUNCTION("""COMPUTED_VALUE"""),"ランキング_営業（その他）_希望")</f>
        <v>ランキング_営業（その他）_希望</v>
      </c>
      <c r="I24" s="8">
        <f t="array" ref="I24">IFERROR(XLOOKUP(H24, 'リスト'!$E:$E, 'リスト'!$F:$F, ""), "")</f>
        <v>0.4</v>
      </c>
      <c r="J24" s="8"/>
      <c r="K24" s="8" t="str">
        <f t="array" ref="K24">IFERROR(XLOOKUP(H24, 'リスト'!$E:$E, 'リスト'!$O:$O, ""), "")</f>
        <v>R</v>
      </c>
      <c r="L24" s="8" t="str">
        <f t="array" ref="L24">IFERROR(XLOOKUP(H24, 'リスト'!$E:$E, 'リスト'!$P:$P, ""), "")</f>
        <v/>
      </c>
      <c r="M24" s="586" t="str">
        <f>IFERROR(__xludf.DUMMYFUNCTION("""COMPUTED_VALUE"""),"関西限定求人特集")</f>
        <v>関西限定求人特集</v>
      </c>
      <c r="N24" s="8">
        <f t="array" ref="N24">IFERROR(XLOOKUP(M24, 'リスト'!$E:$E, 'リスト'!$F:$F, ""), "")</f>
        <v>1.1</v>
      </c>
      <c r="O24" s="8"/>
      <c r="P24" s="8" t="str">
        <f t="array" ref="P24">IFERROR(XLOOKUP(M24, 'リスト'!$E:$E, 'リスト'!$O:$O, ""), "")</f>
        <v>R</v>
      </c>
      <c r="Q24" s="8" t="str">
        <f t="array" ref="Q24">IFERROR(XLOOKUP(M24, 'リスト'!$E:$E, 'リスト'!$P:$P, ""), "")</f>
        <v/>
      </c>
      <c r="R24" s="586"/>
      <c r="S24" s="8" t="str">
        <f t="array" ref="S24">IFERROR(XLOOKUP(R24, 'リスト'!$E:$E, 'リスト'!$F:$F, ""), "")</f>
        <v/>
      </c>
      <c r="T24" s="8"/>
      <c r="U24" s="8" t="str">
        <f t="array" ref="U24">IFERROR(XLOOKUP(R24, 'リスト'!$E:$E, 'リスト'!$O:$O, ""), "")</f>
        <v/>
      </c>
      <c r="V24" s="8" t="str">
        <f t="array" ref="V24">IFERROR(XLOOKUP(R24, 'リスト'!$E:$E, 'リスト'!$P:$P, ""), "")</f>
        <v/>
      </c>
      <c r="W24" s="586"/>
      <c r="X24" s="8" t="str">
        <f t="array" ref="X24">IFERROR(XLOOKUP(W24, 'リスト'!$E:$E, 'リスト'!$F:$F, ""), "")</f>
        <v/>
      </c>
      <c r="Y24" s="8"/>
      <c r="Z24" s="8" t="str">
        <f t="array" ref="Z24">IFERROR(XLOOKUP(W24, 'リスト'!$E:$E, 'リスト'!$O:$O, ""), "")</f>
        <v/>
      </c>
      <c r="AA24" s="8" t="str">
        <f t="array" ref="AA24">IFERROR(XLOOKUP(W24, 'リスト'!$E:$E, 'リスト'!$P:$P, ""), "")</f>
        <v/>
      </c>
      <c r="AB24" s="586" t="str">
        <f>IFERROR(__xludf.DUMMYFUNCTION("""COMPUTED_VALUE"""),"これから人気×リモート×営業")</f>
        <v>これから人気×リモート×営業</v>
      </c>
      <c r="AC24" s="8">
        <f t="array" ref="AC24">IFERROR(XLOOKUP(AB24, 'リスト'!$E:$E, 'リスト'!$F:$F, ""), "")</f>
        <v>0.3</v>
      </c>
      <c r="AD24" s="8"/>
      <c r="AE24" s="8" t="str">
        <f t="array" ref="AE24">IFERROR(XLOOKUP(AB24, 'リスト'!$E:$E, 'リスト'!$O:$O, ""), "")</f>
        <v>R</v>
      </c>
      <c r="AF24" s="8" t="str">
        <f t="array" ref="AF24">IFERROR(XLOOKUP(AB24, 'リスト'!$E:$E, 'リスト'!$P:$P, ""), "")</f>
        <v/>
      </c>
      <c r="AG24" s="586" t="str">
        <f>IFERROR(__xludf.DUMMYFUNCTION("""COMPUTED_VALUE"""),"直近新規登録会員向け")</f>
        <v>直近新規登録会員向け</v>
      </c>
      <c r="AH24" s="8">
        <f t="array" ref="AH24">IFERROR(XLOOKUP(AG24, 'リスト'!$E:$E, 'リスト'!$F:$F, ""), "")</f>
        <v>1.3</v>
      </c>
      <c r="AI24" s="8"/>
      <c r="AJ24" s="8" t="str">
        <f t="array" ref="AJ24">IFERROR(XLOOKUP(AG24, 'リスト'!$E:$E, 'リスト'!$O:$O, ""), "")</f>
        <v>R</v>
      </c>
      <c r="AK24" s="8" t="str">
        <f t="array" ref="AK24">IFERROR(XLOOKUP(AG24, 'リスト'!$E:$E, 'リスト'!$P:$P, ""), "")</f>
        <v/>
      </c>
    </row>
    <row r="25" ht="17.25" customHeight="1">
      <c r="A25" s="587"/>
      <c r="B25" s="588"/>
      <c r="C25" s="589"/>
      <c r="D25" s="8" t="str">
        <f t="array" ref="D25">IFERROR(XLOOKUP(C25, 'リスト'!$E:$E, 'リスト'!$F:$F, ""), "")</f>
        <v/>
      </c>
      <c r="E25" s="8"/>
      <c r="F25" s="8" t="str">
        <f t="array" ref="F25">IFERROR(XLOOKUP(C25, 'リスト'!$E:$E, 'リスト'!$O:$O, ""), "")</f>
        <v/>
      </c>
      <c r="G25" s="8" t="str">
        <f t="array" ref="G25">IFERROR(XLOOKUP(C25, 'リスト'!$E:$E, 'リスト'!$P:$P, ""), "")</f>
        <v/>
      </c>
      <c r="H25" s="589" t="str">
        <f>IFERROR(__xludf.DUMMYFUNCTION("""COMPUTED_VALUE"""),"ランキング_事務（営業事務）_希望")</f>
        <v>ランキング_事務（営業事務）_希望</v>
      </c>
      <c r="I25" s="8">
        <f t="array" ref="I25">IFERROR(XLOOKUP(H25, 'リスト'!$E:$E, 'リスト'!$F:$F, ""), "")</f>
        <v>1</v>
      </c>
      <c r="J25" s="8"/>
      <c r="K25" s="8" t="str">
        <f t="array" ref="K25">IFERROR(XLOOKUP(H25, 'リスト'!$E:$E, 'リスト'!$O:$O, ""), "")</f>
        <v>R</v>
      </c>
      <c r="L25" s="8" t="str">
        <f t="array" ref="L25">IFERROR(XLOOKUP(H25, 'リスト'!$E:$E, 'リスト'!$P:$P, ""), "")</f>
        <v/>
      </c>
      <c r="M25" s="589"/>
      <c r="N25" s="8" t="str">
        <f t="array" ref="N25">IFERROR(XLOOKUP(M25, 'リスト'!$E:$E, 'リスト'!$F:$F, ""), "")</f>
        <v/>
      </c>
      <c r="O25" s="8"/>
      <c r="P25" s="8" t="str">
        <f t="array" ref="P25">IFERROR(XLOOKUP(M25, 'リスト'!$E:$E, 'リスト'!$O:$O, ""), "")</f>
        <v/>
      </c>
      <c r="Q25" s="8" t="str">
        <f t="array" ref="Q25">IFERROR(XLOOKUP(M25, 'リスト'!$E:$E, 'リスト'!$P:$P, ""), "")</f>
        <v/>
      </c>
      <c r="R25" s="589"/>
      <c r="S25" s="8" t="str">
        <f t="array" ref="S25">IFERROR(XLOOKUP(R25, 'リスト'!$E:$E, 'リスト'!$F:$F, ""), "")</f>
        <v/>
      </c>
      <c r="T25" s="8"/>
      <c r="U25" s="8" t="str">
        <f t="array" ref="U25">IFERROR(XLOOKUP(R25, 'リスト'!$E:$E, 'リスト'!$O:$O, ""), "")</f>
        <v/>
      </c>
      <c r="V25" s="8" t="str">
        <f t="array" ref="V25">IFERROR(XLOOKUP(R25, 'リスト'!$E:$E, 'リスト'!$P:$P, ""), "")</f>
        <v/>
      </c>
      <c r="W25" s="589"/>
      <c r="X25" s="8" t="str">
        <f t="array" ref="X25">IFERROR(XLOOKUP(W25, 'リスト'!$E:$E, 'リスト'!$F:$F, ""), "")</f>
        <v/>
      </c>
      <c r="Y25" s="8"/>
      <c r="Z25" s="8" t="str">
        <f t="array" ref="Z25">IFERROR(XLOOKUP(W25, 'リスト'!$E:$E, 'リスト'!$O:$O, ""), "")</f>
        <v/>
      </c>
      <c r="AA25" s="8" t="str">
        <f t="array" ref="AA25">IFERROR(XLOOKUP(W25, 'リスト'!$E:$E, 'リスト'!$P:$P, ""), "")</f>
        <v/>
      </c>
      <c r="AB25" s="589" t="str">
        <f>IFERROR(__xludf.DUMMYFUNCTION("""COMPUTED_VALUE"""),"これから人気×販サ")</f>
        <v>これから人気×販サ</v>
      </c>
      <c r="AC25" s="8">
        <f t="array" ref="AC25">IFERROR(XLOOKUP(AB25, 'リスト'!$E:$E, 'リスト'!$F:$F, ""), "")</f>
        <v>0.2</v>
      </c>
      <c r="AD25" s="8"/>
      <c r="AE25" s="8" t="str">
        <f t="array" ref="AE25">IFERROR(XLOOKUP(AB25, 'リスト'!$E:$E, 'リスト'!$O:$O, ""), "")</f>
        <v>R</v>
      </c>
      <c r="AF25" s="8" t="str">
        <f t="array" ref="AF25">IFERROR(XLOOKUP(AB25, 'リスト'!$E:$E, 'リスト'!$P:$P, ""), "")</f>
        <v/>
      </c>
      <c r="AG25" s="589"/>
      <c r="AH25" s="8" t="str">
        <f t="array" ref="AH25">IFERROR(XLOOKUP(AG25, 'リスト'!$E:$E, 'リスト'!$F:$F, ""), "")</f>
        <v/>
      </c>
      <c r="AI25" s="8"/>
      <c r="AJ25" s="8" t="str">
        <f t="array" ref="AJ25">IFERROR(XLOOKUP(AG25, 'リスト'!$E:$E, 'リスト'!$O:$O, ""), "")</f>
        <v/>
      </c>
      <c r="AK25" s="8" t="str">
        <f t="array" ref="AK25">IFERROR(XLOOKUP(AG25, 'リスト'!$E:$E, 'リスト'!$P:$P, ""), "")</f>
        <v/>
      </c>
    </row>
    <row r="26" ht="17.25" customHeight="1">
      <c r="A26" s="587"/>
      <c r="B26" s="588"/>
      <c r="C26" s="590"/>
      <c r="D26" s="8" t="str">
        <f t="array" ref="D26">IFERROR(XLOOKUP(C26, 'リスト'!$E:$E, 'リスト'!$F:$F, ""), "")</f>
        <v/>
      </c>
      <c r="E26" s="8"/>
      <c r="F26" s="8" t="str">
        <f t="array" ref="F26">IFERROR(XLOOKUP(C26, 'リスト'!$E:$E, 'リスト'!$O:$O, ""), "")</f>
        <v/>
      </c>
      <c r="G26" s="8" t="str">
        <f t="array" ref="G26">IFERROR(XLOOKUP(C26, 'リスト'!$E:$E, 'リスト'!$P:$P, ""), "")</f>
        <v/>
      </c>
      <c r="H26" s="590" t="str">
        <f>IFERROR(__xludf.DUMMYFUNCTION("""COMPUTED_VALUE"""),"裁量労働制")</f>
        <v>裁量労働制</v>
      </c>
      <c r="I26" s="8">
        <f t="array" ref="I26">IFERROR(XLOOKUP(H26, 'リスト'!$E:$E, 'リスト'!$F:$F, ""), "")</f>
        <v>1.1</v>
      </c>
      <c r="J26" s="8"/>
      <c r="K26" s="8" t="str">
        <f t="array" ref="K26">IFERROR(XLOOKUP(H26, 'リスト'!$E:$E, 'リスト'!$O:$O, ""), "")</f>
        <v>R</v>
      </c>
      <c r="L26" s="8" t="str">
        <f t="array" ref="L26">IFERROR(XLOOKUP(H26, 'リスト'!$E:$E, 'リスト'!$P:$P, ""), "")</f>
        <v/>
      </c>
      <c r="M26" s="590"/>
      <c r="N26" s="8" t="str">
        <f t="array" ref="N26">IFERROR(XLOOKUP(M26, 'リスト'!$E:$E, 'リスト'!$F:$F, ""), "")</f>
        <v/>
      </c>
      <c r="O26" s="8"/>
      <c r="P26" s="8" t="str">
        <f t="array" ref="P26">IFERROR(XLOOKUP(M26, 'リスト'!$E:$E, 'リスト'!$O:$O, ""), "")</f>
        <v/>
      </c>
      <c r="Q26" s="8" t="str">
        <f t="array" ref="Q26">IFERROR(XLOOKUP(M26, 'リスト'!$E:$E, 'リスト'!$P:$P, ""), "")</f>
        <v/>
      </c>
      <c r="R26" s="590"/>
      <c r="S26" s="8" t="str">
        <f t="array" ref="S26">IFERROR(XLOOKUP(R26, 'リスト'!$E:$E, 'リスト'!$F:$F, ""), "")</f>
        <v/>
      </c>
      <c r="T26" s="8"/>
      <c r="U26" s="8" t="str">
        <f t="array" ref="U26">IFERROR(XLOOKUP(R26, 'リスト'!$E:$E, 'リスト'!$O:$O, ""), "")</f>
        <v/>
      </c>
      <c r="V26" s="8" t="str">
        <f t="array" ref="V26">IFERROR(XLOOKUP(R26, 'リスト'!$E:$E, 'リスト'!$P:$P, ""), "")</f>
        <v/>
      </c>
      <c r="W26" s="590"/>
      <c r="X26" s="8" t="str">
        <f t="array" ref="X26">IFERROR(XLOOKUP(W26, 'リスト'!$E:$E, 'リスト'!$F:$F, ""), "")</f>
        <v/>
      </c>
      <c r="Y26" s="8"/>
      <c r="Z26" s="8" t="str">
        <f t="array" ref="Z26">IFERROR(XLOOKUP(W26, 'リスト'!$E:$E, 'リスト'!$O:$O, ""), "")</f>
        <v/>
      </c>
      <c r="AA26" s="8" t="str">
        <f t="array" ref="AA26">IFERROR(XLOOKUP(W26, 'リスト'!$E:$E, 'リスト'!$P:$P, ""), "")</f>
        <v/>
      </c>
      <c r="AB26" s="590" t="str">
        <f>IFERROR(__xludf.DUMMYFUNCTION("""COMPUTED_VALUE"""),"応募ランキング C")</f>
        <v>応募ランキング C</v>
      </c>
      <c r="AC26" s="8">
        <f t="array" ref="AC26">IFERROR(XLOOKUP(AB26, 'リスト'!$E:$E, 'リスト'!$F:$F, ""), "")</f>
        <v>4.5</v>
      </c>
      <c r="AD26" s="8"/>
      <c r="AE26" s="8" t="str">
        <f t="array" ref="AE26">IFERROR(XLOOKUP(AB26, 'リスト'!$E:$E, 'リスト'!$O:$O, ""), "")</f>
        <v>R</v>
      </c>
      <c r="AF26" s="8" t="str">
        <f t="array" ref="AF26">IFERROR(XLOOKUP(AB26, 'リスト'!$E:$E, 'リスト'!$P:$P, ""), "")</f>
        <v/>
      </c>
      <c r="AG26" s="590"/>
      <c r="AH26" s="8" t="str">
        <f t="array" ref="AH26">IFERROR(XLOOKUP(AG26, 'リスト'!$E:$E, 'リスト'!$F:$F, ""), "")</f>
        <v/>
      </c>
      <c r="AI26" s="8"/>
      <c r="AJ26" s="8" t="str">
        <f t="array" ref="AJ26">IFERROR(XLOOKUP(AG26, 'リスト'!$E:$E, 'リスト'!$O:$O, ""), "")</f>
        <v/>
      </c>
      <c r="AK26" s="8" t="str">
        <f t="array" ref="AK26">IFERROR(XLOOKUP(AG26, 'リスト'!$E:$E, 'リスト'!$P:$P, ""), "")</f>
        <v/>
      </c>
    </row>
    <row r="27" ht="17.25" customHeight="1">
      <c r="A27" s="587"/>
      <c r="B27" s="588"/>
      <c r="C27" s="590"/>
      <c r="D27" s="8" t="str">
        <f t="array" ref="D27">IFERROR(XLOOKUP(C27, 'リスト'!$E:$E, 'リスト'!$F:$F, ""), "")</f>
        <v/>
      </c>
      <c r="E27" s="8"/>
      <c r="F27" s="8" t="str">
        <f t="array" ref="F27">IFERROR(XLOOKUP(C27, 'リスト'!$E:$E, 'リスト'!$O:$O, ""), "")</f>
        <v/>
      </c>
      <c r="G27" s="8" t="str">
        <f t="array" ref="G27">IFERROR(XLOOKUP(C27, 'リスト'!$E:$E, 'リスト'!$P:$P, ""), "")</f>
        <v/>
      </c>
      <c r="H27" s="590" t="str">
        <f>IFERROR(__xludf.DUMMYFUNCTION("""COMPUTED_VALUE"""),"時短×リモート")</f>
        <v>時短×リモート</v>
      </c>
      <c r="I27" s="8">
        <f t="array" ref="I27">IFERROR(XLOOKUP(H27, 'リスト'!$E:$E, 'リスト'!$F:$F, ""), "")</f>
        <v>0.6</v>
      </c>
      <c r="J27" s="8"/>
      <c r="K27" s="8" t="str">
        <f t="array" ref="K27">IFERROR(XLOOKUP(H27, 'リスト'!$E:$E, 'リスト'!$O:$O, ""), "")</f>
        <v>R</v>
      </c>
      <c r="L27" s="8" t="str">
        <f t="array" ref="L27">IFERROR(XLOOKUP(H27, 'リスト'!$E:$E, 'リスト'!$P:$P, ""), "")</f>
        <v/>
      </c>
      <c r="M27" s="590"/>
      <c r="N27" s="8" t="str">
        <f t="array" ref="N27">IFERROR(XLOOKUP(M27, 'リスト'!$E:$E, 'リスト'!$F:$F, ""), "")</f>
        <v/>
      </c>
      <c r="O27" s="8"/>
      <c r="P27" s="8" t="str">
        <f t="array" ref="P27">IFERROR(XLOOKUP(M27, 'リスト'!$E:$E, 'リスト'!$O:$O, ""), "")</f>
        <v/>
      </c>
      <c r="Q27" s="8" t="str">
        <f t="array" ref="Q27">IFERROR(XLOOKUP(M27, 'リスト'!$E:$E, 'リスト'!$P:$P, ""), "")</f>
        <v/>
      </c>
      <c r="R27" s="590"/>
      <c r="S27" s="8" t="str">
        <f t="array" ref="S27">IFERROR(XLOOKUP(R27, 'リスト'!$E:$E, 'リスト'!$F:$F, ""), "")</f>
        <v/>
      </c>
      <c r="T27" s="8"/>
      <c r="U27" s="8" t="str">
        <f t="array" ref="U27">IFERROR(XLOOKUP(R27, 'リスト'!$E:$E, 'リスト'!$O:$O, ""), "")</f>
        <v/>
      </c>
      <c r="V27" s="8" t="str">
        <f t="array" ref="V27">IFERROR(XLOOKUP(R27, 'リスト'!$E:$E, 'リスト'!$P:$P, ""), "")</f>
        <v/>
      </c>
      <c r="W27" s="590"/>
      <c r="X27" s="8" t="str">
        <f t="array" ref="X27">IFERROR(XLOOKUP(W27, 'リスト'!$E:$E, 'リスト'!$F:$F, ""), "")</f>
        <v/>
      </c>
      <c r="Y27" s="8"/>
      <c r="Z27" s="8" t="str">
        <f t="array" ref="Z27">IFERROR(XLOOKUP(W27, 'リスト'!$E:$E, 'リスト'!$O:$O, ""), "")</f>
        <v/>
      </c>
      <c r="AA27" s="8" t="str">
        <f t="array" ref="AA27">IFERROR(XLOOKUP(W27, 'リスト'!$E:$E, 'リスト'!$P:$P, ""), "")</f>
        <v/>
      </c>
      <c r="AB27" s="590"/>
      <c r="AC27" s="8" t="str">
        <f t="array" ref="AC27">IFERROR(XLOOKUP(AB27, 'リスト'!$E:$E, 'リスト'!$F:$F, ""), "")</f>
        <v/>
      </c>
      <c r="AD27" s="8"/>
      <c r="AE27" s="8" t="str">
        <f t="array" ref="AE27">IFERROR(XLOOKUP(AB27, 'リスト'!$E:$E, 'リスト'!$O:$O, ""), "")</f>
        <v/>
      </c>
      <c r="AF27" s="8" t="str">
        <f t="array" ref="AF27">IFERROR(XLOOKUP(AB27, 'リスト'!$E:$E, 'リスト'!$P:$P, ""), "")</f>
        <v/>
      </c>
      <c r="AG27" s="590"/>
      <c r="AH27" s="8" t="str">
        <f t="array" ref="AH27">IFERROR(XLOOKUP(AG27, 'リスト'!$E:$E, 'リスト'!$F:$F, ""), "")</f>
        <v/>
      </c>
      <c r="AI27" s="8"/>
      <c r="AJ27" s="8" t="str">
        <f t="array" ref="AJ27">IFERROR(XLOOKUP(AG27, 'リスト'!$E:$E, 'リスト'!$O:$O, ""), "")</f>
        <v/>
      </c>
      <c r="AK27" s="8" t="str">
        <f t="array" ref="AK27">IFERROR(XLOOKUP(AG27, 'リスト'!$E:$E, 'リスト'!$P:$P, ""), "")</f>
        <v/>
      </c>
    </row>
    <row r="28" ht="17.25" customHeight="1">
      <c r="A28" s="587"/>
      <c r="B28" s="588"/>
      <c r="C28" s="590"/>
      <c r="D28" s="8" t="str">
        <f t="array" ref="D28">IFERROR(XLOOKUP(C28, 'リスト'!$E:$E, 'リスト'!$F:$F, ""), "")</f>
        <v/>
      </c>
      <c r="E28" s="8"/>
      <c r="F28" s="8" t="str">
        <f t="array" ref="F28">IFERROR(XLOOKUP(C28, 'リスト'!$E:$E, 'リスト'!$O:$O, ""), "")</f>
        <v/>
      </c>
      <c r="G28" s="8" t="str">
        <f t="array" ref="G28">IFERROR(XLOOKUP(C28, 'リスト'!$E:$E, 'リスト'!$P:$P, ""), "")</f>
        <v/>
      </c>
      <c r="H28" s="590"/>
      <c r="I28" s="8" t="str">
        <f t="array" ref="I28">IFERROR(XLOOKUP(H28, 'リスト'!$E:$E, 'リスト'!$F:$F, ""), "")</f>
        <v/>
      </c>
      <c r="J28" s="8"/>
      <c r="K28" s="8" t="str">
        <f t="array" ref="K28">IFERROR(XLOOKUP(H28, 'リスト'!$E:$E, 'リスト'!$O:$O, ""), "")</f>
        <v/>
      </c>
      <c r="L28" s="8" t="str">
        <f t="array" ref="L28">IFERROR(XLOOKUP(H28, 'リスト'!$E:$E, 'リスト'!$P:$P, ""), "")</f>
        <v/>
      </c>
      <c r="M28" s="590"/>
      <c r="N28" s="8" t="str">
        <f t="array" ref="N28">IFERROR(XLOOKUP(M28, 'リスト'!$E:$E, 'リスト'!$F:$F, ""), "")</f>
        <v/>
      </c>
      <c r="O28" s="8"/>
      <c r="P28" s="8" t="str">
        <f t="array" ref="P28">IFERROR(XLOOKUP(M28, 'リスト'!$E:$E, 'リスト'!$O:$O, ""), "")</f>
        <v/>
      </c>
      <c r="Q28" s="8" t="str">
        <f t="array" ref="Q28">IFERROR(XLOOKUP(M28, 'リスト'!$E:$E, 'リスト'!$P:$P, ""), "")</f>
        <v/>
      </c>
      <c r="R28" s="590"/>
      <c r="S28" s="8" t="str">
        <f t="array" ref="S28">IFERROR(XLOOKUP(R28, 'リスト'!$E:$E, 'リスト'!$F:$F, ""), "")</f>
        <v/>
      </c>
      <c r="T28" s="8"/>
      <c r="U28" s="8" t="str">
        <f t="array" ref="U28">IFERROR(XLOOKUP(R28, 'リスト'!$E:$E, 'リスト'!$O:$O, ""), "")</f>
        <v/>
      </c>
      <c r="V28" s="8" t="str">
        <f t="array" ref="V28">IFERROR(XLOOKUP(R28, 'リスト'!$E:$E, 'リスト'!$P:$P, ""), "")</f>
        <v/>
      </c>
      <c r="W28" s="590"/>
      <c r="X28" s="8" t="str">
        <f t="array" ref="X28">IFERROR(XLOOKUP(W28, 'リスト'!$E:$E, 'リスト'!$F:$F, ""), "")</f>
        <v/>
      </c>
      <c r="Y28" s="8"/>
      <c r="Z28" s="8" t="str">
        <f t="array" ref="Z28">IFERROR(XLOOKUP(W28, 'リスト'!$E:$E, 'リスト'!$O:$O, ""), "")</f>
        <v/>
      </c>
      <c r="AA28" s="8" t="str">
        <f t="array" ref="AA28">IFERROR(XLOOKUP(W28, 'リスト'!$E:$E, 'リスト'!$P:$P, ""), "")</f>
        <v/>
      </c>
      <c r="AB28" s="590"/>
      <c r="AC28" s="8" t="str">
        <f t="array" ref="AC28">IFERROR(XLOOKUP(AB28, 'リスト'!$E:$E, 'リスト'!$F:$F, ""), "")</f>
        <v/>
      </c>
      <c r="AD28" s="8"/>
      <c r="AE28" s="8" t="str">
        <f t="array" ref="AE28">IFERROR(XLOOKUP(AB28, 'リスト'!$E:$E, 'リスト'!$O:$O, ""), "")</f>
        <v/>
      </c>
      <c r="AF28" s="8" t="str">
        <f t="array" ref="AF28">IFERROR(XLOOKUP(AB28, 'リスト'!$E:$E, 'リスト'!$P:$P, ""), "")</f>
        <v/>
      </c>
      <c r="AG28" s="590"/>
      <c r="AH28" s="8" t="str">
        <f t="array" ref="AH28">IFERROR(XLOOKUP(AG28, 'リスト'!$E:$E, 'リスト'!$F:$F, ""), "")</f>
        <v/>
      </c>
      <c r="AI28" s="8"/>
      <c r="AJ28" s="8" t="str">
        <f t="array" ref="AJ28">IFERROR(XLOOKUP(AG28, 'リスト'!$E:$E, 'リスト'!$O:$O, ""), "")</f>
        <v/>
      </c>
      <c r="AK28" s="8" t="str">
        <f t="array" ref="AK28">IFERROR(XLOOKUP(AG28, 'リスト'!$E:$E, 'リスト'!$P:$P, ""), "")</f>
        <v/>
      </c>
    </row>
    <row r="29" ht="17.25" customHeight="1">
      <c r="A29" s="587"/>
      <c r="B29" s="588"/>
      <c r="C29" s="590"/>
      <c r="D29" s="8" t="str">
        <f t="array" ref="D29">IFERROR(XLOOKUP(C29, 'リスト'!$E:$E, 'リスト'!$F:$F, ""), "")</f>
        <v/>
      </c>
      <c r="E29" s="8"/>
      <c r="F29" s="8" t="str">
        <f t="array" ref="F29">IFERROR(XLOOKUP(C29, 'リスト'!$E:$E, 'リスト'!$O:$O, ""), "")</f>
        <v/>
      </c>
      <c r="G29" s="8" t="str">
        <f t="array" ref="G29">IFERROR(XLOOKUP(C29, 'リスト'!$E:$E, 'リスト'!$P:$P, ""), "")</f>
        <v/>
      </c>
      <c r="H29" s="590"/>
      <c r="I29" s="8" t="str">
        <f t="array" ref="I29">IFERROR(XLOOKUP(H29, 'リスト'!$E:$E, 'リスト'!$F:$F, ""), "")</f>
        <v/>
      </c>
      <c r="J29" s="8"/>
      <c r="K29" s="8" t="str">
        <f t="array" ref="K29">IFERROR(XLOOKUP(H29, 'リスト'!$E:$E, 'リスト'!$O:$O, ""), "")</f>
        <v/>
      </c>
      <c r="L29" s="8" t="str">
        <f t="array" ref="L29">IFERROR(XLOOKUP(H29, 'リスト'!$E:$E, 'リスト'!$P:$P, ""), "")</f>
        <v/>
      </c>
      <c r="M29" s="590"/>
      <c r="N29" s="8" t="str">
        <f t="array" ref="N29">IFERROR(XLOOKUP(M29, 'リスト'!$E:$E, 'リスト'!$F:$F, ""), "")</f>
        <v/>
      </c>
      <c r="O29" s="8"/>
      <c r="P29" s="8" t="str">
        <f t="array" ref="P29">IFERROR(XLOOKUP(M29, 'リスト'!$E:$E, 'リスト'!$O:$O, ""), "")</f>
        <v/>
      </c>
      <c r="Q29" s="8" t="str">
        <f t="array" ref="Q29">IFERROR(XLOOKUP(M29, 'リスト'!$E:$E, 'リスト'!$P:$P, ""), "")</f>
        <v/>
      </c>
      <c r="R29" s="590"/>
      <c r="S29" s="8" t="str">
        <f t="array" ref="S29">IFERROR(XLOOKUP(R29, 'リスト'!$E:$E, 'リスト'!$F:$F, ""), "")</f>
        <v/>
      </c>
      <c r="T29" s="8"/>
      <c r="U29" s="8" t="str">
        <f t="array" ref="U29">IFERROR(XLOOKUP(R29, 'リスト'!$E:$E, 'リスト'!$O:$O, ""), "")</f>
        <v/>
      </c>
      <c r="V29" s="8" t="str">
        <f t="array" ref="V29">IFERROR(XLOOKUP(R29, 'リスト'!$E:$E, 'リスト'!$P:$P, ""), "")</f>
        <v/>
      </c>
      <c r="W29" s="590"/>
      <c r="X29" s="8" t="str">
        <f t="array" ref="X29">IFERROR(XLOOKUP(W29, 'リスト'!$E:$E, 'リスト'!$F:$F, ""), "")</f>
        <v/>
      </c>
      <c r="Y29" s="8"/>
      <c r="Z29" s="8" t="str">
        <f t="array" ref="Z29">IFERROR(XLOOKUP(W29, 'リスト'!$E:$E, 'リスト'!$O:$O, ""), "")</f>
        <v/>
      </c>
      <c r="AA29" s="8" t="str">
        <f t="array" ref="AA29">IFERROR(XLOOKUP(W29, 'リスト'!$E:$E, 'リスト'!$P:$P, ""), "")</f>
        <v/>
      </c>
      <c r="AB29" s="590"/>
      <c r="AC29" s="8" t="str">
        <f t="array" ref="AC29">IFERROR(XLOOKUP(AB29, 'リスト'!$E:$E, 'リスト'!$F:$F, ""), "")</f>
        <v/>
      </c>
      <c r="AD29" s="8"/>
      <c r="AE29" s="8" t="str">
        <f t="array" ref="AE29">IFERROR(XLOOKUP(AB29, 'リスト'!$E:$E, 'リスト'!$O:$O, ""), "")</f>
        <v/>
      </c>
      <c r="AF29" s="8" t="str">
        <f t="array" ref="AF29">IFERROR(XLOOKUP(AB29, 'リスト'!$E:$E, 'リスト'!$P:$P, ""), "")</f>
        <v/>
      </c>
      <c r="AG29" s="590"/>
      <c r="AH29" s="8" t="str">
        <f t="array" ref="AH29">IFERROR(XLOOKUP(AG29, 'リスト'!$E:$E, 'リスト'!$F:$F, ""), "")</f>
        <v/>
      </c>
      <c r="AI29" s="8"/>
      <c r="AJ29" s="8" t="str">
        <f t="array" ref="AJ29">IFERROR(XLOOKUP(AG29, 'リスト'!$E:$E, 'リスト'!$O:$O, ""), "")</f>
        <v/>
      </c>
      <c r="AK29" s="8" t="str">
        <f t="array" ref="AK29">IFERROR(XLOOKUP(AG29, 'リスト'!$E:$E, 'リスト'!$P:$P, ""), "")</f>
        <v/>
      </c>
    </row>
    <row r="30" ht="17.25" customHeight="1">
      <c r="A30" s="587"/>
      <c r="B30" s="592"/>
      <c r="C30" s="590"/>
      <c r="D30" s="8" t="str">
        <f t="array" ref="D30">IFERROR(XLOOKUP(C30, '新規'!$E:$E, '新規'!$F:$F, ""), "")</f>
        <v/>
      </c>
      <c r="E30" s="8"/>
      <c r="F30" s="8" t="str">
        <f t="array" ref="F30">IFERROR(XLOOKUP(C30, '新規'!$E:$E, '新規'!$O:$O, ""), "")</f>
        <v/>
      </c>
      <c r="G30" s="8" t="str">
        <f t="array" ref="G30">IFERROR(XLOOKUP(C30, '新規'!$E:$E, '新規'!$P:$P, ""), "")</f>
        <v/>
      </c>
      <c r="H30" s="590"/>
      <c r="I30" s="8" t="str">
        <f t="array" ref="I30">IFERROR(XLOOKUP(H30, '新規'!$E:$E, '新規'!$F:$F, ""), "")</f>
        <v/>
      </c>
      <c r="J30" s="8"/>
      <c r="K30" s="8" t="str">
        <f t="array" ref="K30">IFERROR(XLOOKUP(H30, '新規'!$E:$E, '新規'!$O:$O, ""), "")</f>
        <v/>
      </c>
      <c r="L30" s="8" t="str">
        <f t="array" ref="L30">IFERROR(XLOOKUP(H30, '新規'!$E:$E, '新規'!$P:$P, ""), "")</f>
        <v/>
      </c>
      <c r="M30" s="590"/>
      <c r="N30" s="8" t="str">
        <f t="array" ref="N30">IFERROR(XLOOKUP(M30, '新規'!$E:$E, '新規'!$F:$F, ""), "")</f>
        <v/>
      </c>
      <c r="O30" s="8"/>
      <c r="P30" s="8" t="str">
        <f t="array" ref="P30">IFERROR(XLOOKUP(M30, '新規'!$E:$E, '新規'!$O:$O, ""), "")</f>
        <v/>
      </c>
      <c r="Q30" s="8" t="str">
        <f t="array" ref="Q30">IFERROR(XLOOKUP(M30, '新規'!$E:$E, '新規'!$P:$P, ""), "")</f>
        <v/>
      </c>
      <c r="R30" s="590"/>
      <c r="S30" s="8" t="str">
        <f t="array" ref="S30">IFERROR(XLOOKUP(R30, '新規'!$E:$E, '新規'!$F:$F, ""), "")</f>
        <v/>
      </c>
      <c r="T30" s="8"/>
      <c r="U30" s="8" t="str">
        <f t="array" ref="U30">IFERROR(XLOOKUP(R30, '新規'!$E:$E, '新規'!$O:$O, ""), "")</f>
        <v/>
      </c>
      <c r="V30" s="8" t="str">
        <f t="array" ref="V30">IFERROR(XLOOKUP(R30, '新規'!$E:$E, '新規'!$P:$P, ""), "")</f>
        <v/>
      </c>
      <c r="W30" s="590"/>
      <c r="X30" s="8" t="str">
        <f t="array" ref="X30">IFERROR(XLOOKUP(W30, '新規'!$E:$E, '新規'!$F:$F, ""), "")</f>
        <v/>
      </c>
      <c r="Y30" s="8"/>
      <c r="Z30" s="8" t="str">
        <f t="array" ref="Z30">IFERROR(XLOOKUP(W30, '新規'!$E:$E, '新規'!$O:$O, ""), "")</f>
        <v/>
      </c>
      <c r="AA30" s="8" t="str">
        <f t="array" ref="AA30">IFERROR(XLOOKUP(W30, '新規'!$E:$E, '新規'!$P:$P, ""), "")</f>
        <v/>
      </c>
      <c r="AB30" s="590"/>
      <c r="AC30" s="8" t="str">
        <f t="array" ref="AC30">IFERROR(XLOOKUP(AB30, '新規'!$E:$E, '新規'!$F:$F, ""), "")</f>
        <v/>
      </c>
      <c r="AD30" s="8"/>
      <c r="AE30" s="8" t="str">
        <f t="array" ref="AE30">IFERROR(XLOOKUP(AB30, '新規'!$E:$E, '新規'!$O:$O, ""), "")</f>
        <v/>
      </c>
      <c r="AF30" s="8" t="str">
        <f t="array" ref="AF30">IFERROR(XLOOKUP(AB30, '新規'!$E:$E, '新規'!$P:$P, ""), "")</f>
        <v/>
      </c>
      <c r="AG30" s="590"/>
      <c r="AH30" s="8" t="str">
        <f t="array" ref="AH30">IFERROR(XLOOKUP(AG30, '新規'!$E:$E, '新規'!$F:$F, ""), "")</f>
        <v/>
      </c>
      <c r="AI30" s="8"/>
      <c r="AJ30" s="8" t="str">
        <f t="array" ref="AJ30">IFERROR(XLOOKUP(AG30, '新規'!$E:$E, '新規'!$O:$O, ""), "")</f>
        <v/>
      </c>
      <c r="AK30" s="8" t="str">
        <f t="array" ref="AK30">IFERROR(XLOOKUP(AG30, '新規'!$E:$E, '新規'!$P:$P, ""), "")</f>
        <v/>
      </c>
    </row>
    <row r="31" ht="17.25" customHeight="1">
      <c r="A31" s="587"/>
      <c r="B31" s="585" t="s">
        <v>78</v>
      </c>
      <c r="C31" s="590" t="str">
        <f>IFERROR(__xludf.DUMMYFUNCTION("IFERROR(FILTER('新規'!$E$3:$E$170, ('新規'!$B$3:$B$170=LOOKUP(2,1/($A$3:$A31&lt;&gt;""""),$A$3:$A31))*(('新規'!$A$3:$A$170=C$1)+(('新規'!$G$3:$G$170=""毎月配信"")*(TEXT('新規'!$A$3:$A$170,""ddd"")=TEXT(C$1, ""ddd""))))), """")"),"")</f>
        <v/>
      </c>
      <c r="D31" s="8" t="str">
        <f t="array" ref="D31">IFERROR(XLOOKUP(C31, '新規'!$E:$E, '新規'!$F:$F, ""), "")</f>
        <v/>
      </c>
      <c r="E31" s="8"/>
      <c r="F31" s="8" t="str">
        <f>IFERROR(__xludf.DUMMYFUNCTION("IF(C31="""","""",IFERROR(INDEX(FILTER('新規'!$O$3:$O$670, '新規'!$E$3:$E$670=C31),1),""""))"),"")</f>
        <v/>
      </c>
      <c r="G31" s="8" t="str">
        <f>IFERROR(__xludf.DUMMYFUNCTION("IF(C31="""","""",IFERROR(INDEX(FILTER('新規'!$P$3:$P$670, '新規'!$E$3:$E$670=C31),1),""""))"),"")</f>
        <v/>
      </c>
      <c r="H31" s="590" t="str">
        <f>IFERROR(__xludf.DUMMYFUNCTION("IFERROR(FILTER('新規'!$E$3:$E$170, ('新規'!$B$3:$B$170=LOOKUP(2,1/($A$3:$A31&lt;&gt;""""),$A$3:$A31))*(('新規'!$A$3:$A$170=H$1)+(('新規'!$G$3:$G$170=""毎月配信"")*(TEXT('新規'!$A$3:$A$170,""ddd"")=TEXT(H$1, ""ddd""))))), """")"),"")</f>
        <v/>
      </c>
      <c r="I31" s="8" t="str">
        <f t="array" ref="I31">IFERROR(XLOOKUP(H31, '新規'!$E:$E, '新規'!$F:$F, ""), "")</f>
        <v/>
      </c>
      <c r="J31" s="8"/>
      <c r="K31" s="8" t="str">
        <f>IFERROR(__xludf.DUMMYFUNCTION("IF(H31="""","""",IFERROR(INDEX(FILTER('新規'!$O$3:$O$670, '新規'!$E$3:$E$670=H31),1),""""))"),"")</f>
        <v/>
      </c>
      <c r="L31" s="8" t="str">
        <f>IFERROR(__xludf.DUMMYFUNCTION("IF(H31="""","""",IFERROR(INDEX(FILTER('新規'!$P$3:$P$670, '新規'!$E$3:$E$670=H31),1),""""))"),"")</f>
        <v/>
      </c>
      <c r="M31" s="590" t="str">
        <f>IFERROR(__xludf.DUMMYFUNCTION("IFERROR(FILTER('新規'!$E$3:$E$170, ('新規'!$B$3:$B$170=LOOKUP(2,1/($A$3:$A31&lt;&gt;""""),$A$3:$A31))*(('新規'!$A$3:$A$170=M$1)+(('新規'!$G$3:$G$170=""毎月配信"")*(TEXT('新規'!$A$3:$A$170,""ddd"")=TEXT(M$1, ""ddd""))))), """")"),"")</f>
        <v/>
      </c>
      <c r="N31" s="8" t="str">
        <f t="array" ref="N31">IFERROR(XLOOKUP(M31, '新規'!$E:$E, '新規'!$F:$F, ""), "")</f>
        <v/>
      </c>
      <c r="O31" s="8"/>
      <c r="P31" s="8" t="str">
        <f>IFERROR(__xludf.DUMMYFUNCTION("IF(M31="""","""",IFERROR(INDEX(FILTER('新規'!$O$3:$O$670, '新規'!$E$3:$E$670=M31),1),""""))"),"")</f>
        <v/>
      </c>
      <c r="Q31" s="8" t="str">
        <f>IFERROR(__xludf.DUMMYFUNCTION("IF(M31="""","""",IFERROR(INDEX(FILTER('新規'!$P$3:$P$670, '新規'!$E$3:$E$670=M31),1),""""))"),"")</f>
        <v/>
      </c>
      <c r="R31" s="590" t="str">
        <f>IFERROR(__xludf.DUMMYFUNCTION("IFERROR(FILTER('新規'!$E$3:$E$170, ('新規'!$B$3:$B$170=LOOKUP(2,1/($A$3:$A31&lt;&gt;""""),$A$3:$A31))*(('新規'!$A$3:$A$170=R$1)+(('新規'!$G$3:$G$170=""毎月配信"")*(TEXT('新規'!$A$3:$A$170,""ddd"")=TEXT(R$1, ""ddd""))))), """")"),"")</f>
        <v/>
      </c>
      <c r="S31" s="8" t="str">
        <f t="array" ref="S31">IFERROR(XLOOKUP(R31, '新規'!$E:$E, '新規'!$F:$F, ""), "")</f>
        <v/>
      </c>
      <c r="T31" s="8"/>
      <c r="U31" s="8" t="str">
        <f>IFERROR(__xludf.DUMMYFUNCTION("IF(R31="""","""",IFERROR(INDEX(FILTER('新規'!$O$3:$O$670, '新規'!$E$3:$E$670=R31),1),""""))"),"")</f>
        <v/>
      </c>
      <c r="V31" s="8" t="str">
        <f>IFERROR(__xludf.DUMMYFUNCTION("IF(R31="""","""",IFERROR(INDEX(FILTER('新規'!$P$3:$P$670, '新規'!$E$3:$E$670=R31),1),""""))"),"")</f>
        <v/>
      </c>
      <c r="W31" s="590" t="str">
        <f>IFERROR(__xludf.DUMMYFUNCTION("IFERROR(FILTER('新規'!$E$3:$E$170, ('新規'!$B$3:$B$170=LOOKUP(2,1/($A$3:$A31&lt;&gt;""""),$A$3:$A31))*(('新規'!$A$3:$A$170=W$1)+(('新規'!$G$3:$G$170=""毎月配信"")*(TEXT('新規'!$A$3:$A$170,""ddd"")=TEXT(W$1, ""ddd""))))), """")"),"")</f>
        <v/>
      </c>
      <c r="X31" s="8" t="str">
        <f t="array" ref="X31">IFERROR(XLOOKUP(W31, '新規'!$E:$E, '新規'!$F:$F, ""), "")</f>
        <v/>
      </c>
      <c r="Y31" s="8"/>
      <c r="Z31" s="8" t="str">
        <f>IFERROR(__xludf.DUMMYFUNCTION("IF(W31="""","""",IFERROR(INDEX(FILTER('新規'!$O$3:$O$670, '新規'!$E$3:$E$670=W31),1),""""))"),"")</f>
        <v/>
      </c>
      <c r="AA31" s="8" t="str">
        <f>IFERROR(__xludf.DUMMYFUNCTION("IF(W31="""","""",IFERROR(INDEX(FILTER('新規'!$P$3:$P$670, '新規'!$E$3:$E$670=W31),1),""""))"),"")</f>
        <v/>
      </c>
      <c r="AB31" s="590" t="str">
        <f>IFERROR(__xludf.DUMMYFUNCTION("IFERROR(FILTER('新規'!$E$3:$E$170, ('新規'!$B$3:$B$170=LOOKUP(2,1/($A$3:$A31&lt;&gt;""""),$A$3:$A31))*(('新規'!$A$3:$A$170=AB$1)+(('新規'!$G$3:$G$170=""毎月配信"")*(TEXT('新規'!$A$3:$A$170,""ddd"")=TEXT(AB$1, ""ddd""))))), """")"),"")</f>
        <v/>
      </c>
      <c r="AC31" s="8" t="str">
        <f t="array" ref="AC31">IFERROR(XLOOKUP(AB31, '新規'!$E:$E, '新規'!$F:$F, ""), "")</f>
        <v/>
      </c>
      <c r="AD31" s="8"/>
      <c r="AE31" s="8" t="str">
        <f>IFERROR(__xludf.DUMMYFUNCTION("IF(AB31="""","""",IFERROR(INDEX(FILTER('新規'!$O$3:$O$670, '新規'!$E$3:$E$670=AB31),1),""""))"),"")</f>
        <v/>
      </c>
      <c r="AF31" s="8" t="str">
        <f>IFERROR(__xludf.DUMMYFUNCTION("IF(AB31="""","""",IFERROR(INDEX(FILTER('新規'!$P$3:$P$670, '新規'!$E$3:$E$670=AB31),1),""""))"),"")</f>
        <v/>
      </c>
      <c r="AG31" s="590" t="str">
        <f>IFERROR(__xludf.DUMMYFUNCTION("IFERROR(FILTER('新規'!$E$3:$E$170, ('新規'!$B$3:$B$170=LOOKUP(2,1/($A$3:$A31&lt;&gt;""""),$A$3:$A31))*(('新規'!$A$3:$A$170=AG$1)+(('新規'!$G$3:$G$170=""毎月配信"")*(TEXT('新規'!$A$3:$A$170,""ddd"")=TEXT(AG$1, ""ddd""))))), """")"),"")</f>
        <v/>
      </c>
      <c r="AH31" s="8" t="str">
        <f t="array" ref="AH31">IFERROR(XLOOKUP(AG31, '新規'!$E:$E, '新規'!$F:$F, ""), "")</f>
        <v/>
      </c>
      <c r="AI31" s="8"/>
      <c r="AJ31" s="8" t="str">
        <f>IFERROR(__xludf.DUMMYFUNCTION("IF(AG31="""","""",IFERROR(INDEX(FILTER('新規'!$O$3:$O$670, '新規'!$E$3:$E$670=AG31),1),""""))"),"")</f>
        <v/>
      </c>
      <c r="AK31" s="8" t="str">
        <f>IFERROR(__xludf.DUMMYFUNCTION("IF(AG31="""","""",IFERROR(INDEX(FILTER('新規'!$P$3:$P$670, '新規'!$E$3:$E$670=AG31),1),""""))"),"")</f>
        <v/>
      </c>
    </row>
    <row r="32" ht="17.25" customHeight="1">
      <c r="A32" s="587"/>
      <c r="B32" s="588"/>
      <c r="C32" s="590"/>
      <c r="D32" s="8" t="str">
        <f t="array" ref="D32">IFERROR(XLOOKUP(C32, '新規'!$E:$E, '新規'!$F:$F, ""), "")</f>
        <v/>
      </c>
      <c r="E32" s="8"/>
      <c r="F32" s="8" t="str">
        <f t="array" ref="F32">IFERROR(XLOOKUP(C32, '新規'!$E:$E, '新規'!$O:$O, ""), "")</f>
        <v/>
      </c>
      <c r="G32" s="8" t="str">
        <f t="array" ref="G32">IFERROR(XLOOKUP(C32, '新規'!$E:$E, '新規'!$P:$P, ""), "")</f>
        <v/>
      </c>
      <c r="H32" s="590"/>
      <c r="I32" s="8" t="str">
        <f t="array" ref="I32">IFERROR(XLOOKUP(H32, '新規'!$E:$E, '新規'!$F:$F, ""), "")</f>
        <v/>
      </c>
      <c r="J32" s="8"/>
      <c r="K32" s="8" t="str">
        <f t="array" ref="K32">IFERROR(XLOOKUP(H32, '新規'!$E:$E, '新規'!$O:$O, ""), "")</f>
        <v/>
      </c>
      <c r="L32" s="8" t="str">
        <f t="array" ref="L32">IFERROR(XLOOKUP(H32, '新規'!$E:$E, '新規'!$P:$P, ""), "")</f>
        <v/>
      </c>
      <c r="M32" s="590"/>
      <c r="N32" s="8" t="str">
        <f t="array" ref="N32">IFERROR(XLOOKUP(M32, '新規'!$E:$E, '新規'!$F:$F, ""), "")</f>
        <v/>
      </c>
      <c r="O32" s="8"/>
      <c r="P32" s="8" t="str">
        <f t="array" ref="P32">IFERROR(XLOOKUP(M32, '新規'!$E:$E, '新規'!$O:$O, ""), "")</f>
        <v/>
      </c>
      <c r="Q32" s="8" t="str">
        <f t="array" ref="Q32">IFERROR(XLOOKUP(M32, '新規'!$E:$E, '新規'!$P:$P, ""), "")</f>
        <v/>
      </c>
      <c r="R32" s="590"/>
      <c r="S32" s="8" t="str">
        <f t="array" ref="S32">IFERROR(XLOOKUP(R32, '新規'!$E:$E, '新規'!$F:$F, ""), "")</f>
        <v/>
      </c>
      <c r="T32" s="8"/>
      <c r="U32" s="8" t="str">
        <f t="array" ref="U32">IFERROR(XLOOKUP(R32, '新規'!$E:$E, '新規'!$O:$O, ""), "")</f>
        <v/>
      </c>
      <c r="V32" s="8" t="str">
        <f t="array" ref="V32">IFERROR(XLOOKUP(R32, '新規'!$E:$E, '新規'!$P:$P, ""), "")</f>
        <v/>
      </c>
      <c r="W32" s="590"/>
      <c r="X32" s="8" t="str">
        <f t="array" ref="X32">IFERROR(XLOOKUP(W32, '新規'!$E:$E, '新規'!$F:$F, ""), "")</f>
        <v/>
      </c>
      <c r="Y32" s="8"/>
      <c r="Z32" s="8" t="str">
        <f t="array" ref="Z32">IFERROR(XLOOKUP(W32, '新規'!$E:$E, '新規'!$O:$O, ""), "")</f>
        <v/>
      </c>
      <c r="AA32" s="8" t="str">
        <f t="array" ref="AA32">IFERROR(XLOOKUP(W32, '新規'!$E:$E, '新規'!$P:$P, ""), "")</f>
        <v/>
      </c>
      <c r="AB32" s="590"/>
      <c r="AC32" s="8" t="str">
        <f t="array" ref="AC32">IFERROR(XLOOKUP(AB32, '新規'!$E:$E, '新規'!$F:$F, ""), "")</f>
        <v/>
      </c>
      <c r="AD32" s="8"/>
      <c r="AE32" s="8" t="str">
        <f t="array" ref="AE32">IFERROR(XLOOKUP(AB32, '新規'!$E:$E, '新規'!$O:$O, ""), "")</f>
        <v/>
      </c>
      <c r="AF32" s="8" t="str">
        <f t="array" ref="AF32">IFERROR(XLOOKUP(AB32, '新規'!$E:$E, '新規'!$P:$P, ""), "")</f>
        <v/>
      </c>
      <c r="AG32" s="590"/>
      <c r="AH32" s="8" t="str">
        <f t="array" ref="AH32">IFERROR(XLOOKUP(AG32, '新規'!$E:$E, '新規'!$F:$F, ""), "")</f>
        <v/>
      </c>
      <c r="AI32" s="8"/>
      <c r="AJ32" s="8" t="str">
        <f t="array" ref="AJ32">IFERROR(XLOOKUP(AG32, '新規'!$E:$E, '新規'!$O:$O, ""), "")</f>
        <v/>
      </c>
      <c r="AK32" s="8" t="str">
        <f t="array" ref="AK32">IFERROR(XLOOKUP(AG32, '新規'!$E:$E, '新規'!$P:$P, ""), "")</f>
        <v/>
      </c>
    </row>
    <row r="33" ht="17.25" customHeight="1">
      <c r="A33" s="587"/>
      <c r="B33" s="588"/>
      <c r="C33" s="590"/>
      <c r="D33" s="8" t="str">
        <f t="array" ref="D33">IFERROR(XLOOKUP(C33, '新規'!$E:$E, '新規'!$F:$F, ""), "")</f>
        <v/>
      </c>
      <c r="E33" s="8"/>
      <c r="F33" s="8" t="str">
        <f t="array" ref="F33">IFERROR(XLOOKUP(C33, '新規'!$E:$E, '新規'!$O:$O, ""), "")</f>
        <v/>
      </c>
      <c r="G33" s="8" t="str">
        <f t="array" ref="G33">IFERROR(XLOOKUP(C33, '新規'!$E:$E, '新規'!$P:$P, ""), "")</f>
        <v/>
      </c>
      <c r="H33" s="590"/>
      <c r="I33" s="8" t="str">
        <f t="array" ref="I33">IFERROR(XLOOKUP(H33, '新規'!$E:$E, '新規'!$F:$F, ""), "")</f>
        <v/>
      </c>
      <c r="J33" s="8"/>
      <c r="K33" s="8" t="str">
        <f t="array" ref="K33">IFERROR(XLOOKUP(H33, '新規'!$E:$E, '新規'!$O:$O, ""), "")</f>
        <v/>
      </c>
      <c r="L33" s="8" t="str">
        <f t="array" ref="L33">IFERROR(XLOOKUP(H33, '新規'!$E:$E, '新規'!$P:$P, ""), "")</f>
        <v/>
      </c>
      <c r="M33" s="590"/>
      <c r="N33" s="8" t="str">
        <f t="array" ref="N33">IFERROR(XLOOKUP(M33, '新規'!$E:$E, '新規'!$F:$F, ""), "")</f>
        <v/>
      </c>
      <c r="O33" s="8"/>
      <c r="P33" s="8" t="str">
        <f t="array" ref="P33">IFERROR(XLOOKUP(M33, '新規'!$E:$E, '新規'!$O:$O, ""), "")</f>
        <v/>
      </c>
      <c r="Q33" s="8" t="str">
        <f t="array" ref="Q33">IFERROR(XLOOKUP(M33, '新規'!$E:$E, '新規'!$P:$P, ""), "")</f>
        <v/>
      </c>
      <c r="R33" s="590"/>
      <c r="S33" s="8" t="str">
        <f t="array" ref="S33">IFERROR(XLOOKUP(R33, '新規'!$E:$E, '新規'!$F:$F, ""), "")</f>
        <v/>
      </c>
      <c r="T33" s="8"/>
      <c r="U33" s="8" t="str">
        <f t="array" ref="U33">IFERROR(XLOOKUP(R33, '新規'!$E:$E, '新規'!$O:$O, ""), "")</f>
        <v/>
      </c>
      <c r="V33" s="8" t="str">
        <f t="array" ref="V33">IFERROR(XLOOKUP(R33, '新規'!$E:$E, '新規'!$P:$P, ""), "")</f>
        <v/>
      </c>
      <c r="W33" s="590"/>
      <c r="X33" s="8" t="str">
        <f t="array" ref="X33">IFERROR(XLOOKUP(W33, '新規'!$E:$E, '新規'!$F:$F, ""), "")</f>
        <v/>
      </c>
      <c r="Y33" s="8"/>
      <c r="Z33" s="8" t="str">
        <f t="array" ref="Z33">IFERROR(XLOOKUP(W33, '新規'!$E:$E, '新規'!$O:$O, ""), "")</f>
        <v/>
      </c>
      <c r="AA33" s="8" t="str">
        <f t="array" ref="AA33">IFERROR(XLOOKUP(W33, '新規'!$E:$E, '新規'!$P:$P, ""), "")</f>
        <v/>
      </c>
      <c r="AB33" s="590"/>
      <c r="AC33" s="8" t="str">
        <f t="array" ref="AC33">IFERROR(XLOOKUP(AB33, '新規'!$E:$E, '新規'!$F:$F, ""), "")</f>
        <v/>
      </c>
      <c r="AD33" s="8"/>
      <c r="AE33" s="8" t="str">
        <f t="array" ref="AE33">IFERROR(XLOOKUP(AB33, '新規'!$E:$E, '新規'!$O:$O, ""), "")</f>
        <v/>
      </c>
      <c r="AF33" s="8" t="str">
        <f t="array" ref="AF33">IFERROR(XLOOKUP(AB33, '新規'!$E:$E, '新規'!$P:$P, ""), "")</f>
        <v/>
      </c>
      <c r="AG33" s="590"/>
      <c r="AH33" s="8" t="str">
        <f t="array" ref="AH33">IFERROR(XLOOKUP(AG33, '新規'!$E:$E, '新規'!$F:$F, ""), "")</f>
        <v/>
      </c>
      <c r="AI33" s="8"/>
      <c r="AJ33" s="8" t="str">
        <f t="array" ref="AJ33">IFERROR(XLOOKUP(AG33, '新規'!$E:$E, '新規'!$O:$O, ""), "")</f>
        <v/>
      </c>
      <c r="AK33" s="8" t="str">
        <f t="array" ref="AK33">IFERROR(XLOOKUP(AG33, '新規'!$E:$E, '新規'!$P:$P, ""), "")</f>
        <v/>
      </c>
    </row>
    <row r="34" ht="17.25" customHeight="1">
      <c r="A34" s="587"/>
      <c r="B34" s="588"/>
      <c r="C34" s="590"/>
      <c r="D34" s="8" t="str">
        <f t="array" ref="D34">IFERROR(XLOOKUP(C34, '新規'!$E:$E, '新規'!$F:$F, ""), "")</f>
        <v/>
      </c>
      <c r="E34" s="8"/>
      <c r="F34" s="8" t="str">
        <f t="array" ref="F34">IFERROR(XLOOKUP(C34, '新規'!$E:$E, '新規'!$O:$O, ""), "")</f>
        <v/>
      </c>
      <c r="G34" s="8" t="str">
        <f t="array" ref="G34">IFERROR(XLOOKUP(C34, '新規'!$E:$E, '新規'!$P:$P, ""), "")</f>
        <v/>
      </c>
      <c r="H34" s="590"/>
      <c r="I34" s="8" t="str">
        <f t="array" ref="I34">IFERROR(XLOOKUP(H34, '新規'!$E:$E, '新規'!$F:$F, ""), "")</f>
        <v/>
      </c>
      <c r="J34" s="8"/>
      <c r="K34" s="8" t="str">
        <f t="array" ref="K34">IFERROR(XLOOKUP(H34, '新規'!$E:$E, '新規'!$O:$O, ""), "")</f>
        <v/>
      </c>
      <c r="L34" s="8" t="str">
        <f t="array" ref="L34">IFERROR(XLOOKUP(H34, '新規'!$E:$E, '新規'!$P:$P, ""), "")</f>
        <v/>
      </c>
      <c r="M34" s="590"/>
      <c r="N34" s="8" t="str">
        <f t="array" ref="N34">IFERROR(XLOOKUP(M34, '新規'!$E:$E, '新規'!$F:$F, ""), "")</f>
        <v/>
      </c>
      <c r="O34" s="8"/>
      <c r="P34" s="8" t="str">
        <f t="array" ref="P34">IFERROR(XLOOKUP(M34, '新規'!$E:$E, '新規'!$O:$O, ""), "")</f>
        <v/>
      </c>
      <c r="Q34" s="8" t="str">
        <f t="array" ref="Q34">IFERROR(XLOOKUP(M34, '新規'!$E:$E, '新規'!$P:$P, ""), "")</f>
        <v/>
      </c>
      <c r="R34" s="590"/>
      <c r="S34" s="8" t="str">
        <f t="array" ref="S34">IFERROR(XLOOKUP(R34, '新規'!$E:$E, '新規'!$F:$F, ""), "")</f>
        <v/>
      </c>
      <c r="T34" s="8"/>
      <c r="U34" s="8" t="str">
        <f t="array" ref="U34">IFERROR(XLOOKUP(R34, '新規'!$E:$E, '新規'!$O:$O, ""), "")</f>
        <v/>
      </c>
      <c r="V34" s="8" t="str">
        <f t="array" ref="V34">IFERROR(XLOOKUP(R34, '新規'!$E:$E, '新規'!$P:$P, ""), "")</f>
        <v/>
      </c>
      <c r="W34" s="590"/>
      <c r="X34" s="8" t="str">
        <f t="array" ref="X34">IFERROR(XLOOKUP(W34, '新規'!$E:$E, '新規'!$F:$F, ""), "")</f>
        <v/>
      </c>
      <c r="Y34" s="8"/>
      <c r="Z34" s="8" t="str">
        <f t="array" ref="Z34">IFERROR(XLOOKUP(W34, '新規'!$E:$E, '新規'!$O:$O, ""), "")</f>
        <v/>
      </c>
      <c r="AA34" s="8" t="str">
        <f t="array" ref="AA34">IFERROR(XLOOKUP(W34, '新規'!$E:$E, '新規'!$P:$P, ""), "")</f>
        <v/>
      </c>
      <c r="AB34" s="590"/>
      <c r="AC34" s="8" t="str">
        <f t="array" ref="AC34">IFERROR(XLOOKUP(AB34, '新規'!$E:$E, '新規'!$F:$F, ""), "")</f>
        <v/>
      </c>
      <c r="AD34" s="8"/>
      <c r="AE34" s="8" t="str">
        <f t="array" ref="AE34">IFERROR(XLOOKUP(AB34, '新規'!$E:$E, '新規'!$O:$O, ""), "")</f>
        <v/>
      </c>
      <c r="AF34" s="8" t="str">
        <f t="array" ref="AF34">IFERROR(XLOOKUP(AB34, '新規'!$E:$E, '新規'!$P:$P, ""), "")</f>
        <v/>
      </c>
      <c r="AG34" s="590"/>
      <c r="AH34" s="8" t="str">
        <f t="array" ref="AH34">IFERROR(XLOOKUP(AG34, '新規'!$E:$E, '新規'!$F:$F, ""), "")</f>
        <v/>
      </c>
      <c r="AI34" s="8"/>
      <c r="AJ34" s="8" t="str">
        <f t="array" ref="AJ34">IFERROR(XLOOKUP(AG34, '新規'!$E:$E, '新規'!$O:$O, ""), "")</f>
        <v/>
      </c>
      <c r="AK34" s="8" t="str">
        <f t="array" ref="AK34">IFERROR(XLOOKUP(AG34, '新規'!$E:$E, '新規'!$P:$P, ""), "")</f>
        <v/>
      </c>
    </row>
    <row r="35" ht="17.25" customHeight="1">
      <c r="A35" s="587"/>
      <c r="B35" s="592"/>
      <c r="C35" s="590"/>
      <c r="D35" s="593" t="str">
        <f>IFERROR(__xludf.DUMMYFUNCTION("IF(C35="""","""",IFERROR(INDEX(FILTER('特殊配信マスタ'!$F$3:$F$16,('特殊配信マスタ'!$A$3:$A$16=CHOOSE(WEEKDAY(C$1),""日"",""月"",""火"",""水"",""木"",""金"",""土""))*('特殊配信マスタ'!$B$3:$B$16=A$3)*('特殊配信マスタ'!$R$3:$R$16=MOD(INT((C$1-'特殊配信マスタ'!$A$1)/7),3)+1)),1),""""))"),"")</f>
        <v/>
      </c>
      <c r="E35" s="590"/>
      <c r="F35" s="593" t="str">
        <f>IFERROR(__xludf.DUMMYFUNCTION("IF(C35="""","""",IFERROR(INDEX(FILTER('特殊配信マスタ'!$O$3:$O$16,('特殊配信マスタ'!$A$3:$A$16=CHOOSE(WEEKDAY(C$1),""日"",""月"",""火"",""水"",""木"",""金"",""土""))*('特殊配信マスタ'!$B$3:$B$16=A$3)*('特殊配信マスタ'!$R$3:$R$16=MOD(INT((C$1-'特殊配信マスタ'!$A$1)/7),3)+1)),1),""""))"),"")</f>
        <v/>
      </c>
      <c r="G35" s="593" t="str">
        <f>IFERROR(__xludf.DUMMYFUNCTION("IF(C35="""","""",IFERROR(INDEX(FILTER('特殊配信マスタ'!$P$3:$P$16,('特殊配信マスタ'!$A$3:$A$16=CHOOSE(WEEKDAY(C$1),""日"",""月"",""火"",""水"",""木"",""金"",""土""))*('特殊配信マスタ'!$B$3:$B$16=A$3)*('特殊配信マスタ'!$R$3:$R$16=MOD(INT((C$1-'特殊配信マスタ'!$A$1)/7),3)+1)),1),""""))"),"")</f>
        <v/>
      </c>
      <c r="H35" s="590"/>
      <c r="I35" s="593" t="str">
        <f>IFERROR(__xludf.DUMMYFUNCTION("IF(H35="""","""",IFERROR(INDEX(FILTER('特殊配信マスタ'!$F$3:$F$16,('特殊配信マスタ'!$A$3:$A$16=CHOOSE(WEEKDAY(H$1),""日"",""月"",""火"",""水"",""木"",""金"",""土""))*('特殊配信マスタ'!$B$3:$B$16=F$3)*('特殊配信マスタ'!$R$3:$R$16=MOD(INT((H$1-'特殊配信マスタ'!$A$1)/7),3)+1)),1),""""))"),"")</f>
        <v/>
      </c>
      <c r="J35" s="590"/>
      <c r="K35" s="593" t="str">
        <f>IFERROR(__xludf.DUMMYFUNCTION("IF(H35="""","""",IFERROR(INDEX(FILTER('特殊配信マスタ'!$O$3:$O$16,('特殊配信マスタ'!$A$3:$A$16=CHOOSE(WEEKDAY(H$1),""日"",""月"",""火"",""水"",""木"",""金"",""土""))*('特殊配信マスタ'!$B$3:$B$16=F$3)*('特殊配信マスタ'!$R$3:$R$16=MOD(INT((H$1-'特殊配信マスタ'!$A$1)/7),3)+1)),1),""""))"),"")</f>
        <v/>
      </c>
      <c r="L35" s="593" t="str">
        <f>IFERROR(__xludf.DUMMYFUNCTION("IF(H35="""","""",IFERROR(INDEX(FILTER('特殊配信マスタ'!$P$3:$P$16,('特殊配信マスタ'!$A$3:$A$16=CHOOSE(WEEKDAY(H$1),""日"",""月"",""火"",""水"",""木"",""金"",""土""))*('特殊配信マスタ'!$B$3:$B$16=F$3)*('特殊配信マスタ'!$R$3:$R$16=MOD(INT((H$1-'特殊配信マスタ'!$A$1)/7),3)+1)),1),""""))"),"")</f>
        <v/>
      </c>
      <c r="M35" s="590"/>
      <c r="N35" s="593" t="str">
        <f>IFERROR(__xludf.DUMMYFUNCTION("IF(M35="""","""",IFERROR(INDEX(FILTER('特殊配信マスタ'!$F$3:$F$16,('特殊配信マスタ'!$A$3:$A$16=CHOOSE(WEEKDAY(M$1),""日"",""月"",""火"",""水"",""木"",""金"",""土""))*('特殊配信マスタ'!$B$3:$B$16=K$3)*('特殊配信マスタ'!$R$3:$R$16=MOD(INT((M$1-'特殊配信マスタ'!$A$1)/7),3)+1)),1),""""))"),"")</f>
        <v/>
      </c>
      <c r="O35" s="590"/>
      <c r="P35" s="593" t="str">
        <f>IFERROR(__xludf.DUMMYFUNCTION("IF(M35="""","""",IFERROR(INDEX(FILTER('特殊配信マスタ'!$O$3:$O$16,('特殊配信マスタ'!$A$3:$A$16=CHOOSE(WEEKDAY(M$1),""日"",""月"",""火"",""水"",""木"",""金"",""土""))*('特殊配信マスタ'!$B$3:$B$16=K$3)*('特殊配信マスタ'!$R$3:$R$16=MOD(INT((M$1-'特殊配信マスタ'!$A$1)/7),3)+1)),1),""""))"),"")</f>
        <v/>
      </c>
      <c r="Q35" s="593" t="str">
        <f>IFERROR(__xludf.DUMMYFUNCTION("IF(M35="""","""",IFERROR(INDEX(FILTER('特殊配信マスタ'!$P$3:$P$16,('特殊配信マスタ'!$A$3:$A$16=CHOOSE(WEEKDAY(M$1),""日"",""月"",""火"",""水"",""木"",""金"",""土""))*('特殊配信マスタ'!$B$3:$B$16=K$3)*('特殊配信マスタ'!$R$3:$R$16=MOD(INT((M$1-'特殊配信マスタ'!$A$1)/7),3)+1)),1),""""))"),"")</f>
        <v/>
      </c>
      <c r="R35" s="590"/>
      <c r="S35" s="593" t="str">
        <f>IFERROR(__xludf.DUMMYFUNCTION("IF(R35="""","""",IFERROR(INDEX(FILTER('特殊配信マスタ'!$F$3:$F$16,('特殊配信マスタ'!$A$3:$A$16=CHOOSE(WEEKDAY(R$1),""日"",""月"",""火"",""水"",""木"",""金"",""土""))*('特殊配信マスタ'!$B$3:$B$16=P$3)*('特殊配信マスタ'!$R$3:$R$16=MOD(INT((R$1-'特殊配信マスタ'!$A$1)/7),3)+1)),1),""""))"),"")</f>
        <v/>
      </c>
      <c r="T35" s="590"/>
      <c r="U35" s="593" t="str">
        <f>IFERROR(__xludf.DUMMYFUNCTION("IF(R35="""","""",IFERROR(INDEX(FILTER('特殊配信マスタ'!$O$3:$O$16,('特殊配信マスタ'!$A$3:$A$16=CHOOSE(WEEKDAY(R$1),""日"",""月"",""火"",""水"",""木"",""金"",""土""))*('特殊配信マスタ'!$B$3:$B$16=P$3)*('特殊配信マスタ'!$R$3:$R$16=MOD(INT((R$1-'特殊配信マスタ'!$A$1)/7),3)+1)),1),""""))"),"")</f>
        <v/>
      </c>
      <c r="V35" s="593" t="str">
        <f>IFERROR(__xludf.DUMMYFUNCTION("IF(R35="""","""",IFERROR(INDEX(FILTER('特殊配信マスタ'!$P$3:$P$16,('特殊配信マスタ'!$A$3:$A$16=CHOOSE(WEEKDAY(R$1),""日"",""月"",""火"",""水"",""木"",""金"",""土""))*('特殊配信マスタ'!$B$3:$B$16=P$3)*('特殊配信マスタ'!$R$3:$R$16=MOD(INT((R$1-'特殊配信マスタ'!$A$1)/7),3)+1)),1),""""))"),"")</f>
        <v/>
      </c>
      <c r="W35" s="590"/>
      <c r="X35" s="593" t="str">
        <f>IFERROR(__xludf.DUMMYFUNCTION("IF(W35="""","""",IFERROR(INDEX(FILTER('特殊配信マスタ'!$F$3:$F$16,('特殊配信マスタ'!$A$3:$A$16=CHOOSE(WEEKDAY(W$1),""日"",""月"",""火"",""水"",""木"",""金"",""土""))*('特殊配信マスタ'!$B$3:$B$16=U$3)*('特殊配信マスタ'!$R$3:$R$16=MOD(INT((W$1-'特殊配信マスタ'!$A$1)/7),3)+1)),1),""""))"),"")</f>
        <v/>
      </c>
      <c r="Y35" s="590"/>
      <c r="Z35" s="593" t="str">
        <f>IFERROR(__xludf.DUMMYFUNCTION("IF(W35="""","""",IFERROR(INDEX(FILTER('特殊配信マスタ'!$O$3:$O$16,('特殊配信マスタ'!$A$3:$A$16=CHOOSE(WEEKDAY(W$1),""日"",""月"",""火"",""水"",""木"",""金"",""土""))*('特殊配信マスタ'!$B$3:$B$16=U$3)*('特殊配信マスタ'!$R$3:$R$16=MOD(INT((W$1-'特殊配信マスタ'!$A$1)/7),3)+1)),1),""""))"),"")</f>
        <v/>
      </c>
      <c r="AA35" s="593" t="str">
        <f>IFERROR(__xludf.DUMMYFUNCTION("IF(W35="""","""",IFERROR(INDEX(FILTER('特殊配信マスタ'!$P$3:$P$16,('特殊配信マスタ'!$A$3:$A$16=CHOOSE(WEEKDAY(W$1),""日"",""月"",""火"",""水"",""木"",""金"",""土""))*('特殊配信マスタ'!$B$3:$B$16=U$3)*('特殊配信マスタ'!$R$3:$R$16=MOD(INT((W$1-'特殊配信マスタ'!$A$1)/7),3)+1)),1),""""))"),"")</f>
        <v/>
      </c>
      <c r="AB35" s="590"/>
      <c r="AC35" s="593" t="str">
        <f>IFERROR(__xludf.DUMMYFUNCTION("IF(AB35="""","""",IFERROR(INDEX(FILTER('特殊配信マスタ'!$F$3:$F$16,('特殊配信マスタ'!$A$3:$A$16=CHOOSE(WEEKDAY(AB$1),""日"",""月"",""火"",""水"",""木"",""金"",""土""))*('特殊配信マスタ'!$B$3:$B$16=Z$3)*('特殊配信マスタ'!$R$3:$R$16=MOD(INT((AB$1-'特殊配信マスタ'!$A$1)/7),3)+1)),1),""""))"),"")</f>
        <v/>
      </c>
      <c r="AD35" s="590"/>
      <c r="AE35" s="593" t="str">
        <f>IFERROR(__xludf.DUMMYFUNCTION("IF(AB35="""","""",IFERROR(INDEX(FILTER('特殊配信マスタ'!$O$3:$O$16,('特殊配信マスタ'!$A$3:$A$16=CHOOSE(WEEKDAY(AB$1),""日"",""月"",""火"",""水"",""木"",""金"",""土""))*('特殊配信マスタ'!$B$3:$B$16=Z$3)*('特殊配信マスタ'!$R$3:$R$16=MOD(INT((AB$1-'特殊配信マスタ'!$A$1)/7),3)+1)),1),""""))"),"")</f>
        <v/>
      </c>
      <c r="AF35" s="593" t="str">
        <f>IFERROR(__xludf.DUMMYFUNCTION("IF(AB35="""","""",IFERROR(INDEX(FILTER('特殊配信マスタ'!$P$3:$P$16,('特殊配信マスタ'!$A$3:$A$16=CHOOSE(WEEKDAY(AB$1),""日"",""月"",""火"",""水"",""木"",""金"",""土""))*('特殊配信マスタ'!$B$3:$B$16=Z$3)*('特殊配信マスタ'!$R$3:$R$16=MOD(INT((AB$1-'特殊配信マスタ'!$A$1)/7),3)+1)),1),""""))"),"")</f>
        <v/>
      </c>
      <c r="AG35" s="590"/>
      <c r="AH35" s="593" t="str">
        <f>IFERROR(__xludf.DUMMYFUNCTION("IF(AG35="""","""",IFERROR(INDEX(FILTER('特殊配信マスタ'!$F$3:$F$16,('特殊配信マスタ'!$A$3:$A$16=CHOOSE(WEEKDAY(AG$1),""日"",""月"",""火"",""水"",""木"",""金"",""土""))*('特殊配信マスタ'!$B$3:$B$16=AE$3)*('特殊配信マスタ'!$R$3:$R$16=MOD(INT((AG$1-'特殊配信マスタ'!$A$1)/7),3)+1)),1),""""))"),"")</f>
        <v/>
      </c>
      <c r="AI35" s="590"/>
      <c r="AJ35" s="593" t="str">
        <f>IFERROR(__xludf.DUMMYFUNCTION("IF(AG35="""","""",IFERROR(INDEX(FILTER('特殊配信マスタ'!$O$3:$O$16,('特殊配信マスタ'!$A$3:$A$16=CHOOSE(WEEKDAY(AG$1),""日"",""月"",""火"",""水"",""木"",""金"",""土""))*('特殊配信マスタ'!$B$3:$B$16=AE$3)*('特殊配信マスタ'!$R$3:$R$16=MOD(INT((AG$1-'特殊配信マスタ'!$A$1)/7),3)+1)),1),""""))"),"")</f>
        <v/>
      </c>
      <c r="AK35" s="593" t="str">
        <f>IFERROR(__xludf.DUMMYFUNCTION("IF(AG35="""","""",IFERROR(INDEX(FILTER('特殊配信マスタ'!$P$3:$P$16,('特殊配信マスタ'!$A$3:$A$16=CHOOSE(WEEKDAY(AG$1),""日"",""月"",""火"",""水"",""木"",""金"",""土""))*('特殊配信マスタ'!$B$3:$B$16=AE$3)*('特殊配信マスタ'!$R$3:$R$16=MOD(INT((AG$1-'特殊配信マスタ'!$A$1)/7),3)+1)),1),""""))"),"")</f>
        <v/>
      </c>
    </row>
    <row r="36" ht="17.25" customHeight="1">
      <c r="A36" s="587"/>
      <c r="B36" s="585" t="s">
        <v>1451</v>
      </c>
      <c r="C36" s="590" t="str">
        <f>IFERROR(__xludf.DUMMYFUNCTION("IFERROR(INDEX(FILTER('特殊配信マスタ'!$E$3:$E$16, (TEXT('特殊配信マスタ'!$A$3:$A$16,""ddd"")=TEXT(C$1,""ddd""))*(IFERROR(VALUE('特殊配信マスタ'!$B$3:$B$16),0)=VALUE(LOOKUP(2,1/($A$3:$A36&lt;&gt;""""),$A$3:$A36)))*('特殊配信マスタ'!$Q$3:$Q$16&lt;&gt;TRUE)), 1), """")"),"")</f>
        <v/>
      </c>
      <c r="D36" s="593" t="str">
        <f>IFERROR(__xludf.DUMMYFUNCTION("IF(C36="""","""",IFERROR(INDEX(FILTER('特殊配信マスタ'!$F$3:$F$16,('特殊配信マスタ'!$A$3:$A$16=CHOOSE(WEEKDAY(C$1),""日"",""月"",""火"",""水"",""木"",""金"",""土""))*('特殊配信マスタ'!$B$3:$B$16=A$3)*('特殊配信マスタ'!$R$3:$R$16=MOD(INT((C$1-'特殊配信マスタ'!$A$1)/7),3)+1)),1),""""))"),"")</f>
        <v/>
      </c>
      <c r="E36" s="590"/>
      <c r="F36" s="593" t="str">
        <f>IFERROR(__xludf.DUMMYFUNCTION("IF(C36="""","""",IFERROR(INDEX(FILTER('特殊配信マスタ'!$O$3:$O$16, '特殊配信マスタ'!$E$3:$E$16=C36),1),""""))"),"")</f>
        <v/>
      </c>
      <c r="G36" s="593" t="str">
        <f>IFERROR(__xludf.DUMMYFUNCTION("IF(C36="""","""",IFERROR(INDEX(FILTER('特殊配信マスタ'!$P$3:$P$16, '特殊配信マスタ'!$E$3:$E$16=C36),1),""""))"),"")</f>
        <v/>
      </c>
      <c r="H36" s="590" t="str">
        <f>IFERROR(__xludf.DUMMYFUNCTION("IFERROR(INDEX(FILTER('特殊配信マスタ'!$E$3:$E$16, (TEXT('特殊配信マスタ'!$A$3:$A$16,""ddd"")=TEXT(H$1,""ddd""))*(IFERROR(VALUE('特殊配信マスタ'!$B$3:$B$16),0)=VALUE(LOOKUP(2,1/($A$3:$A36&lt;&gt;""""),$A$3:$A36)))*('特殊配信マスタ'!$Q$3:$Q$16&lt;&gt;TRUE)), 1), """")"),"")</f>
        <v/>
      </c>
      <c r="I36" s="593" t="str">
        <f>IFERROR(__xludf.DUMMYFUNCTION("IF(H36="""","""",IFERROR(INDEX(FILTER('特殊配信マスタ'!$F$3:$F$16,('特殊配信マスタ'!$A$3:$A$16=CHOOSE(WEEKDAY(H$1),""日"",""月"",""火"",""水"",""木"",""金"",""土""))*('特殊配信マスタ'!$B$3:$B$16=F$3)*('特殊配信マスタ'!$R$3:$R$16=MOD(INT((H$1-'特殊配信マスタ'!$A$1)/7),3)+1)),1),""""))"),"")</f>
        <v/>
      </c>
      <c r="J36" s="590"/>
      <c r="K36" s="593" t="str">
        <f>IFERROR(__xludf.DUMMYFUNCTION("IF(H36="""","""",IFERROR(INDEX(FILTER('特殊配信マスタ'!$O$3:$O$16, '特殊配信マスタ'!$E$3:$E$16=H36),1),""""))"),"")</f>
        <v/>
      </c>
      <c r="L36" s="593" t="str">
        <f>IFERROR(__xludf.DUMMYFUNCTION("IF(H36="""","""",IFERROR(INDEX(FILTER('特殊配信マスタ'!$P$3:$P$16, '特殊配信マスタ'!$E$3:$E$16=H36),1),""""))"),"")</f>
        <v/>
      </c>
      <c r="M36" s="590" t="str">
        <f>IFERROR(__xludf.DUMMYFUNCTION("IFERROR(INDEX(FILTER('特殊配信マスタ'!$E$3:$E$16, (TEXT('特殊配信マスタ'!$A$3:$A$16,""ddd"")=TEXT(M$1,""ddd""))*(IFERROR(VALUE('特殊配信マスタ'!$B$3:$B$16),0)=VALUE(LOOKUP(2,1/($A$3:$A36&lt;&gt;""""),$A$3:$A36)))*('特殊配信マスタ'!$Q$3:$Q$16&lt;&gt;TRUE)), 1), """")"),"")</f>
        <v/>
      </c>
      <c r="N36" s="593" t="str">
        <f>IFERROR(__xludf.DUMMYFUNCTION("IF(M36="""","""",IFERROR(INDEX(FILTER('特殊配信マスタ'!$F$3:$F$16,('特殊配信マスタ'!$A$3:$A$16=CHOOSE(WEEKDAY(M$1),""日"",""月"",""火"",""水"",""木"",""金"",""土""))*('特殊配信マスタ'!$B$3:$B$16=K$3)*('特殊配信マスタ'!$R$3:$R$16=MOD(INT((M$1-'特殊配信マスタ'!$A$1)/7),3)+1)),1),""""))"),"")</f>
        <v/>
      </c>
      <c r="O36" s="590"/>
      <c r="P36" s="593" t="str">
        <f>IFERROR(__xludf.DUMMYFUNCTION("IF(M36="""","""",IFERROR(INDEX(FILTER('特殊配信マスタ'!$O$3:$O$16, '特殊配信マスタ'!$E$3:$E$16=M36),1),""""))"),"")</f>
        <v/>
      </c>
      <c r="Q36" s="593" t="str">
        <f>IFERROR(__xludf.DUMMYFUNCTION("IF(M36="""","""",IFERROR(INDEX(FILTER('特殊配信マスタ'!$P$3:$P$16, '特殊配信マスタ'!$E$3:$E$16=M36),1),""""))"),"")</f>
        <v/>
      </c>
      <c r="R36" s="590" t="str">
        <f>IFERROR(__xludf.DUMMYFUNCTION("IFERROR(INDEX(FILTER('特殊配信マスタ'!$E$3:$E$16, (TEXT('特殊配信マスタ'!$A$3:$A$16,""ddd"")=TEXT(R$1,""ddd""))*(IFERROR(VALUE('特殊配信マスタ'!$B$3:$B$16),0)=VALUE(LOOKUP(2,1/($A$3:$A36&lt;&gt;""""),$A$3:$A36)))*('特殊配信マスタ'!$Q$3:$Q$16&lt;&gt;TRUE)), 1), """")"),"")</f>
        <v/>
      </c>
      <c r="S36" s="593" t="str">
        <f>IFERROR(__xludf.DUMMYFUNCTION("IF(R36="""","""",IFERROR(INDEX(FILTER('特殊配信マスタ'!$F$3:$F$16,('特殊配信マスタ'!$A$3:$A$16=CHOOSE(WEEKDAY(R$1),""日"",""月"",""火"",""水"",""木"",""金"",""土""))*('特殊配信マスタ'!$B$3:$B$16=P$3)*('特殊配信マスタ'!$R$3:$R$16=MOD(INT((R$1-'特殊配信マスタ'!$A$1)/7),3)+1)),1),""""))"),"")</f>
        <v/>
      </c>
      <c r="T36" s="590"/>
      <c r="U36" s="593" t="str">
        <f>IFERROR(__xludf.DUMMYFUNCTION("IF(R36="""","""",IFERROR(INDEX(FILTER('特殊配信マスタ'!$O$3:$O$16, '特殊配信マスタ'!$E$3:$E$16=R36),1),""""))"),"")</f>
        <v/>
      </c>
      <c r="V36" s="593" t="str">
        <f>IFERROR(__xludf.DUMMYFUNCTION("IF(R36="""","""",IFERROR(INDEX(FILTER('特殊配信マスタ'!$P$3:$P$16, '特殊配信マスタ'!$E$3:$E$16=R36),1),""""))"),"")</f>
        <v/>
      </c>
      <c r="W36" s="590" t="str">
        <f>IFERROR(__xludf.DUMMYFUNCTION("IFERROR(INDEX(FILTER('特殊配信マスタ'!$E$3:$E$16, (TEXT('特殊配信マスタ'!$A$3:$A$16,""ddd"")=TEXT(W$1,""ddd""))*(IFERROR(VALUE('特殊配信マスタ'!$B$3:$B$16),0)=VALUE(LOOKUP(2,1/($A$3:$A36&lt;&gt;""""),$A$3:$A36)))*('特殊配信マスタ'!$Q$3:$Q$16&lt;&gt;TRUE)), 1), """")"),"")</f>
        <v/>
      </c>
      <c r="X36" s="593" t="str">
        <f>IFERROR(__xludf.DUMMYFUNCTION("IF(W36="""","""",IFERROR(INDEX(FILTER('特殊配信マスタ'!$F$3:$F$16,('特殊配信マスタ'!$A$3:$A$16=CHOOSE(WEEKDAY(W$1),""日"",""月"",""火"",""水"",""木"",""金"",""土""))*('特殊配信マスタ'!$B$3:$B$16=U$3)*('特殊配信マスタ'!$R$3:$R$16=MOD(INT((W$1-'特殊配信マスタ'!$A$1)/7),3)+1)),1),""""))"),"")</f>
        <v/>
      </c>
      <c r="Y36" s="590"/>
      <c r="Z36" s="593" t="str">
        <f>IFERROR(__xludf.DUMMYFUNCTION("IF(W36="""","""",IFERROR(INDEX(FILTER('特殊配信マスタ'!$O$3:$O$16, '特殊配信マスタ'!$E$3:$E$16=W36),1),""""))"),"")</f>
        <v/>
      </c>
      <c r="AA36" s="593" t="str">
        <f>IFERROR(__xludf.DUMMYFUNCTION("IF(W36="""","""",IFERROR(INDEX(FILTER('特殊配信マスタ'!$P$3:$P$16, '特殊配信マスタ'!$E$3:$E$16=W36),1),""""))"),"")</f>
        <v/>
      </c>
      <c r="AB36" s="590" t="str">
        <f>IFERROR(__xludf.DUMMYFUNCTION("IFERROR(INDEX(FILTER('特殊配信マスタ'!$E$3:$E$16, (TEXT('特殊配信マスタ'!$A$3:$A$16,""ddd"")=TEXT(AB$1,""ddd""))*(IFERROR(VALUE('特殊配信マスタ'!$B$3:$B$16),0)=VALUE(LOOKUP(2,1/($A$3:$A36&lt;&gt;""""),$A$3:$A36)))*('特殊配信マスタ'!$Q$3:$Q$16&lt;&gt;TRUE)), 1), """")"),"")</f>
        <v/>
      </c>
      <c r="AC36" s="593" t="str">
        <f>IFERROR(__xludf.DUMMYFUNCTION("IF(AB36="""","""",IFERROR(INDEX(FILTER('特殊配信マスタ'!$F$3:$F$16,('特殊配信マスタ'!$A$3:$A$16=CHOOSE(WEEKDAY(AB$1),""日"",""月"",""火"",""水"",""木"",""金"",""土""))*('特殊配信マスタ'!$B$3:$B$16=Z$3)*('特殊配信マスタ'!$R$3:$R$16=MOD(INT((AB$1-'特殊配信マスタ'!$A$1)/7),3)+1)),1),""""))"),"")</f>
        <v/>
      </c>
      <c r="AD36" s="590"/>
      <c r="AE36" s="593" t="str">
        <f>IFERROR(__xludf.DUMMYFUNCTION("IF(AB36="""","""",IFERROR(INDEX(FILTER('特殊配信マスタ'!$O$3:$O$16, '特殊配信マスタ'!$E$3:$E$16=AB36),1),""""))"),"")</f>
        <v/>
      </c>
      <c r="AF36" s="593" t="str">
        <f>IFERROR(__xludf.DUMMYFUNCTION("IF(AB36="""","""",IFERROR(INDEX(FILTER('特殊配信マスタ'!$P$3:$P$16, '特殊配信マスタ'!$E$3:$E$16=AB36),1),""""))"),"")</f>
        <v/>
      </c>
      <c r="AG36" s="590" t="str">
        <f>IFERROR(__xludf.DUMMYFUNCTION("IFERROR(INDEX(FILTER('特殊配信マスタ'!$E$3:$E$16, (TEXT('特殊配信マスタ'!$A$3:$A$16,""ddd"")=TEXT(AG$1,""ddd""))*(IFERROR(VALUE('特殊配信マスタ'!$B$3:$B$16),0)=VALUE(LOOKUP(2,1/($A$3:$A36&lt;&gt;""""),$A$3:$A36)))*('特殊配信マスタ'!$Q$3:$Q$16&lt;&gt;TRUE)), 1), """")"),"")</f>
        <v/>
      </c>
      <c r="AH36" s="593" t="str">
        <f>IFERROR(__xludf.DUMMYFUNCTION("IF(AG36="""","""",IFERROR(INDEX(FILTER('特殊配信マスタ'!$F$3:$F$16,('特殊配信マスタ'!$A$3:$A$16=CHOOSE(WEEKDAY(AG$1),""日"",""月"",""火"",""水"",""木"",""金"",""土""))*('特殊配信マスタ'!$B$3:$B$16=AE$3)*('特殊配信マスタ'!$R$3:$R$16=MOD(INT((AG$1-'特殊配信マスタ'!$A$1)/7),3)+1)),1),""""))"),"")</f>
        <v/>
      </c>
      <c r="AI36" s="590"/>
      <c r="AJ36" s="593" t="str">
        <f>IFERROR(__xludf.DUMMYFUNCTION("IF(AG36="""","""",IFERROR(INDEX(FILTER('特殊配信マスタ'!$O$3:$O$16, '特殊配信マスタ'!$E$3:$E$16=AG36),1),""""))"),"")</f>
        <v/>
      </c>
      <c r="AK36" s="593" t="str">
        <f>IFERROR(__xludf.DUMMYFUNCTION("IF(AG36="""","""",IFERROR(INDEX(FILTER('特殊配信マスタ'!$P$3:$P$16, '特殊配信マスタ'!$E$3:$E$16=AG36),1),""""))"),"")</f>
        <v/>
      </c>
    </row>
    <row r="37" ht="17.25" customHeight="1">
      <c r="A37" s="587"/>
      <c r="B37" s="588"/>
      <c r="C37" s="590" t="str">
        <f>IFERROR(__xludf.DUMMYFUNCTION("IFERROR(INDEX(FILTER('特殊配信マスタ'!$E$3:$E$16, (TEXT('特殊配信マスタ'!$A$3:$A$16,""ddd"")=TEXT(C$1,""ddd""))*(IFERROR(VALUE('特殊配信マスタ'!$B$3:$B$16),0)=VALUE(LOOKUP(2,1/($A$3:$A37&lt;&gt;""""),$A$3:$A37)))*('特殊配信マスタ'!$Q$3:$Q$16&lt;&gt;TRUE)), 2), """")"),"")</f>
        <v/>
      </c>
      <c r="D37" s="593" t="str">
        <f>IFERROR(__xludf.DUMMYFUNCTION("IF(C37="""","""",IFERROR(INDEX(FILTER('特殊配信マスタ'!$F$3:$F$16,('特殊配信マスタ'!$A$3:$A$16=CHOOSE(WEEKDAY(C$1),""日"",""月"",""火"",""水"",""木"",""金"",""土""))*('特殊配信マスタ'!$B$3:$B$16=A$3)*('特殊配信マスタ'!$R$3:$R$16=MOD(INT((C$1-'特殊配信マスタ'!$A$1)/7),3)+1)),1),""""))"),"")</f>
        <v/>
      </c>
      <c r="E37" s="590"/>
      <c r="F37" s="593" t="str">
        <f>IFERROR(__xludf.DUMMYFUNCTION("IF(C37="""","""",IFERROR(INDEX(FILTER('特殊配信マスタ'!$O$3:$O$16, '特殊配信マスタ'!$E$3:$E$16=C37),1),""""))"),"")</f>
        <v/>
      </c>
      <c r="G37" s="593" t="str">
        <f>IFERROR(__xludf.DUMMYFUNCTION("IF(C37="""","""",IFERROR(INDEX(FILTER('特殊配信マスタ'!$P$3:$P$16, '特殊配信マスタ'!$E$3:$E$16=C37),1),""""))"),"")</f>
        <v/>
      </c>
      <c r="H37" s="590" t="str">
        <f>IFERROR(__xludf.DUMMYFUNCTION("IFERROR(INDEX(FILTER('特殊配信マスタ'!$E$3:$E$16, (TEXT('特殊配信マスタ'!$A$3:$A$16,""ddd"")=TEXT(H$1,""ddd""))*(IFERROR(VALUE('特殊配信マスタ'!$B$3:$B$16),0)=VALUE(LOOKUP(2,1/($A$3:$A37&lt;&gt;""""),$A$3:$A37)))*('特殊配信マスタ'!$Q$3:$Q$16&lt;&gt;TRUE)), 2), """")"),"")</f>
        <v/>
      </c>
      <c r="I37" s="593" t="str">
        <f>IFERROR(__xludf.DUMMYFUNCTION("IF(H37="""","""",IFERROR(INDEX(FILTER('特殊配信マスタ'!$F$3:$F$16,('特殊配信マスタ'!$A$3:$A$16=CHOOSE(WEEKDAY(H$1),""日"",""月"",""火"",""水"",""木"",""金"",""土""))*('特殊配信マスタ'!$B$3:$B$16=F$3)*('特殊配信マスタ'!$R$3:$R$16=MOD(INT((H$1-'特殊配信マスタ'!$A$1)/7),3)+1)),1),""""))"),"")</f>
        <v/>
      </c>
      <c r="J37" s="590"/>
      <c r="K37" s="593" t="str">
        <f>IFERROR(__xludf.DUMMYFUNCTION("IF(H37="""","""",IFERROR(INDEX(FILTER('特殊配信マスタ'!$O$3:$O$16, '特殊配信マスタ'!$E$3:$E$16=H37),1),""""))"),"")</f>
        <v/>
      </c>
      <c r="L37" s="593" t="str">
        <f>IFERROR(__xludf.DUMMYFUNCTION("IF(H37="""","""",IFERROR(INDEX(FILTER('特殊配信マスタ'!$P$3:$P$16, '特殊配信マスタ'!$E$3:$E$16=H37),1),""""))"),"")</f>
        <v/>
      </c>
      <c r="M37" s="590" t="str">
        <f>IFERROR(__xludf.DUMMYFUNCTION("IFERROR(INDEX(FILTER('特殊配信マスタ'!$E$3:$E$16, (TEXT('特殊配信マスタ'!$A$3:$A$16,""ddd"")=TEXT(M$1,""ddd""))*(IFERROR(VALUE('特殊配信マスタ'!$B$3:$B$16),0)=VALUE(LOOKUP(2,1/($A$3:$A37&lt;&gt;""""),$A$3:$A37)))*('特殊配信マスタ'!$Q$3:$Q$16&lt;&gt;TRUE)), 2), """")"),"")</f>
        <v/>
      </c>
      <c r="N37" s="593" t="str">
        <f>IFERROR(__xludf.DUMMYFUNCTION("IF(M37="""","""",IFERROR(INDEX(FILTER('特殊配信マスタ'!$F$3:$F$16,('特殊配信マスタ'!$A$3:$A$16=CHOOSE(WEEKDAY(M$1),""日"",""月"",""火"",""水"",""木"",""金"",""土""))*('特殊配信マスタ'!$B$3:$B$16=K$3)*('特殊配信マスタ'!$R$3:$R$16=MOD(INT((M$1-'特殊配信マスタ'!$A$1)/7),3)+1)),1),""""))"),"")</f>
        <v/>
      </c>
      <c r="O37" s="590"/>
      <c r="P37" s="593" t="str">
        <f>IFERROR(__xludf.DUMMYFUNCTION("IF(M37="""","""",IFERROR(INDEX(FILTER('特殊配信マスタ'!$O$3:$O$16, '特殊配信マスタ'!$E$3:$E$16=M37),1),""""))"),"")</f>
        <v/>
      </c>
      <c r="Q37" s="593" t="str">
        <f>IFERROR(__xludf.DUMMYFUNCTION("IF(M37="""","""",IFERROR(INDEX(FILTER('特殊配信マスタ'!$P$3:$P$16, '特殊配信マスタ'!$E$3:$E$16=M37),1),""""))"),"")</f>
        <v/>
      </c>
      <c r="R37" s="590" t="str">
        <f>IFERROR(__xludf.DUMMYFUNCTION("IFERROR(INDEX(FILTER('特殊配信マスタ'!$E$3:$E$16, (TEXT('特殊配信マスタ'!$A$3:$A$16,""ddd"")=TEXT(R$1,""ddd""))*(IFERROR(VALUE('特殊配信マスタ'!$B$3:$B$16),0)=VALUE(LOOKUP(2,1/($A$3:$A37&lt;&gt;""""),$A$3:$A37)))*('特殊配信マスタ'!$Q$3:$Q$16&lt;&gt;TRUE)), 2), """")"),"")</f>
        <v/>
      </c>
      <c r="S37" s="593" t="str">
        <f>IFERROR(__xludf.DUMMYFUNCTION("IF(R37="""","""",IFERROR(INDEX(FILTER('特殊配信マスタ'!$F$3:$F$16,('特殊配信マスタ'!$A$3:$A$16=CHOOSE(WEEKDAY(R$1),""日"",""月"",""火"",""水"",""木"",""金"",""土""))*('特殊配信マスタ'!$B$3:$B$16=P$3)*('特殊配信マスタ'!$R$3:$R$16=MOD(INT((R$1-'特殊配信マスタ'!$A$1)/7),3)+1)),1),""""))"),"")</f>
        <v/>
      </c>
      <c r="T37" s="590"/>
      <c r="U37" s="593" t="str">
        <f>IFERROR(__xludf.DUMMYFUNCTION("IF(R37="""","""",IFERROR(INDEX(FILTER('特殊配信マスタ'!$O$3:$O$16, '特殊配信マスタ'!$E$3:$E$16=R37),1),""""))"),"")</f>
        <v/>
      </c>
      <c r="V37" s="593" t="str">
        <f>IFERROR(__xludf.DUMMYFUNCTION("IF(R37="""","""",IFERROR(INDEX(FILTER('特殊配信マスタ'!$P$3:$P$16, '特殊配信マスタ'!$E$3:$E$16=R37),1),""""))"),"")</f>
        <v/>
      </c>
      <c r="W37" s="590" t="str">
        <f>IFERROR(__xludf.DUMMYFUNCTION("IFERROR(INDEX(FILTER('特殊配信マスタ'!$E$3:$E$16, (TEXT('特殊配信マスタ'!$A$3:$A$16,""ddd"")=TEXT(W$1,""ddd""))*(IFERROR(VALUE('特殊配信マスタ'!$B$3:$B$16),0)=VALUE(LOOKUP(2,1/($A$3:$A37&lt;&gt;""""),$A$3:$A37)))*('特殊配信マスタ'!$Q$3:$Q$16&lt;&gt;TRUE)), 2), """")"),"")</f>
        <v/>
      </c>
      <c r="X37" s="593" t="str">
        <f>IFERROR(__xludf.DUMMYFUNCTION("IF(W37="""","""",IFERROR(INDEX(FILTER('特殊配信マスタ'!$F$3:$F$16,('特殊配信マスタ'!$A$3:$A$16=CHOOSE(WEEKDAY(W$1),""日"",""月"",""火"",""水"",""木"",""金"",""土""))*('特殊配信マスタ'!$B$3:$B$16=U$3)*('特殊配信マスタ'!$R$3:$R$16=MOD(INT((W$1-'特殊配信マスタ'!$A$1)/7),3)+1)),1),""""))"),"")</f>
        <v/>
      </c>
      <c r="Y37" s="590"/>
      <c r="Z37" s="593" t="str">
        <f>IFERROR(__xludf.DUMMYFUNCTION("IF(W37="""","""",IFERROR(INDEX(FILTER('特殊配信マスタ'!$O$3:$O$16, '特殊配信マスタ'!$E$3:$E$16=W37),1),""""))"),"")</f>
        <v/>
      </c>
      <c r="AA37" s="593" t="str">
        <f>IFERROR(__xludf.DUMMYFUNCTION("IF(W37="""","""",IFERROR(INDEX(FILTER('特殊配信マスタ'!$P$3:$P$16, '特殊配信マスタ'!$E$3:$E$16=W37),1),""""))"),"")</f>
        <v/>
      </c>
      <c r="AB37" s="590" t="str">
        <f>IFERROR(__xludf.DUMMYFUNCTION("IFERROR(INDEX(FILTER('特殊配信マスタ'!$E$3:$E$16, (TEXT('特殊配信マスタ'!$A$3:$A$16,""ddd"")=TEXT(AB$1,""ddd""))*(IFERROR(VALUE('特殊配信マスタ'!$B$3:$B$16),0)=VALUE(LOOKUP(2,1/($A$3:$A37&lt;&gt;""""),$A$3:$A37)))*('特殊配信マスタ'!$Q$3:$Q$16&lt;&gt;TRUE)), 2), """")"),"")</f>
        <v/>
      </c>
      <c r="AC37" s="593" t="str">
        <f>IFERROR(__xludf.DUMMYFUNCTION("IF(AB37="""","""",IFERROR(INDEX(FILTER('特殊配信マスタ'!$F$3:$F$16,('特殊配信マスタ'!$A$3:$A$16=CHOOSE(WEEKDAY(AB$1),""日"",""月"",""火"",""水"",""木"",""金"",""土""))*('特殊配信マスタ'!$B$3:$B$16=Z$3)*('特殊配信マスタ'!$R$3:$R$16=MOD(INT((AB$1-'特殊配信マスタ'!$A$1)/7),3)+1)),1),""""))"),"")</f>
        <v/>
      </c>
      <c r="AD37" s="590"/>
      <c r="AE37" s="593" t="str">
        <f>IFERROR(__xludf.DUMMYFUNCTION("IF(AB37="""","""",IFERROR(INDEX(FILTER('特殊配信マスタ'!$O$3:$O$16, '特殊配信マスタ'!$E$3:$E$16=AB37),1),""""))"),"")</f>
        <v/>
      </c>
      <c r="AF37" s="593" t="str">
        <f>IFERROR(__xludf.DUMMYFUNCTION("IF(AB37="""","""",IFERROR(INDEX(FILTER('特殊配信マスタ'!$P$3:$P$16, '特殊配信マスタ'!$E$3:$E$16=AB37),1),""""))"),"")</f>
        <v/>
      </c>
      <c r="AG37" s="590" t="str">
        <f>IFERROR(__xludf.DUMMYFUNCTION("IFERROR(INDEX(FILTER('特殊配信マスタ'!$E$3:$E$16, (TEXT('特殊配信マスタ'!$A$3:$A$16,""ddd"")=TEXT(AG$1,""ddd""))*(IFERROR(VALUE('特殊配信マスタ'!$B$3:$B$16),0)=VALUE(LOOKUP(2,1/($A$3:$A37&lt;&gt;""""),$A$3:$A37)))*('特殊配信マスタ'!$Q$3:$Q$16&lt;&gt;TRUE)), 2), """")"),"")</f>
        <v/>
      </c>
      <c r="AH37" s="593" t="str">
        <f>IFERROR(__xludf.DUMMYFUNCTION("IF(AG37="""","""",IFERROR(INDEX(FILTER('特殊配信マスタ'!$F$3:$F$16,('特殊配信マスタ'!$A$3:$A$16=CHOOSE(WEEKDAY(AG$1),""日"",""月"",""火"",""水"",""木"",""金"",""土""))*('特殊配信マスタ'!$B$3:$B$16=AE$3)*('特殊配信マスタ'!$R$3:$R$16=MOD(INT((AG$1-'特殊配信マスタ'!$A$1)/7),3)+1)),1),""""))"),"")</f>
        <v/>
      </c>
      <c r="AI37" s="590"/>
      <c r="AJ37" s="593" t="str">
        <f>IFERROR(__xludf.DUMMYFUNCTION("IF(AG37="""","""",IFERROR(INDEX(FILTER('特殊配信マスタ'!$O$3:$O$16, '特殊配信マスタ'!$E$3:$E$16=AG37),1),""""))"),"")</f>
        <v/>
      </c>
      <c r="AK37" s="593" t="str">
        <f>IFERROR(__xludf.DUMMYFUNCTION("IF(AG37="""","""",IFERROR(INDEX(FILTER('特殊配信マスタ'!$P$3:$P$16, '特殊配信マスタ'!$E$3:$E$16=AG37),1),""""))"),"")</f>
        <v/>
      </c>
    </row>
    <row r="38" ht="17.25" customHeight="1">
      <c r="A38" s="587"/>
      <c r="B38" s="588"/>
      <c r="C38" s="590" t="str">
        <f>IFERROR(__xludf.DUMMYFUNCTION("IFERROR(INDEX(FILTER('特殊配信マスタ'!$E$3:$E$16, (TEXT('特殊配信マスタ'!$A$3:$A$16,""ddd"")=TEXT(C$1,""ddd""))*(IFERROR(VALUE('特殊配信マスタ'!$B$3:$B$16),0)=VALUE(LOOKUP(2,1/($A$3:$A38&lt;&gt;""""),$A$3:$A38)))*('特殊配信マスタ'!$Q$3:$Q$16&lt;&gt;TRUE)), 3), """")"),"")</f>
        <v/>
      </c>
      <c r="D38" s="593"/>
      <c r="E38" s="590"/>
      <c r="F38" s="593" t="str">
        <f>IFERROR(__xludf.DUMMYFUNCTION("IF(C38="""","""",IFERROR(INDEX(FILTER('特殊配信マスタ'!$O$3:$O$16, '特殊配信マスタ'!$E$3:$E$16=C38),1),""""))"),"")</f>
        <v/>
      </c>
      <c r="G38" s="593" t="str">
        <f>IFERROR(__xludf.DUMMYFUNCTION("IF(C38="""","""",IFERROR(INDEX(FILTER('特殊配信マスタ'!$P$3:$P$16, '特殊配信マスタ'!$E$3:$E$16=C38),1),""""))"),"")</f>
        <v/>
      </c>
      <c r="H38" s="590" t="str">
        <f>IFERROR(__xludf.DUMMYFUNCTION("IFERROR(INDEX(FILTER('特殊配信マスタ'!$E$3:$E$16, (TEXT('特殊配信マスタ'!$A$3:$A$16,""ddd"")=TEXT(H$1,""ddd""))*(IFERROR(VALUE('特殊配信マスタ'!$B$3:$B$16),0)=VALUE(LOOKUP(2,1/($A$3:$A38&lt;&gt;""""),$A$3:$A38)))*('特殊配信マスタ'!$Q$3:$Q$16&lt;&gt;TRUE)), 3), """")"),"")</f>
        <v/>
      </c>
      <c r="I38" s="593"/>
      <c r="J38" s="590"/>
      <c r="K38" s="593" t="str">
        <f>IFERROR(__xludf.DUMMYFUNCTION("IF(H38="""","""",IFERROR(INDEX(FILTER('特殊配信マスタ'!$O$3:$O$16, '特殊配信マスタ'!$E$3:$E$16=H38),1),""""))"),"")</f>
        <v/>
      </c>
      <c r="L38" s="593" t="str">
        <f>IFERROR(__xludf.DUMMYFUNCTION("IF(H38="""","""",IFERROR(INDEX(FILTER('特殊配信マスタ'!$P$3:$P$16, '特殊配信マスタ'!$E$3:$E$16=H38),1),""""))"),"")</f>
        <v/>
      </c>
      <c r="M38" s="590" t="str">
        <f>IFERROR(__xludf.DUMMYFUNCTION("IFERROR(INDEX(FILTER('特殊配信マスタ'!$E$3:$E$16, (TEXT('特殊配信マスタ'!$A$3:$A$16,""ddd"")=TEXT(M$1,""ddd""))*(IFERROR(VALUE('特殊配信マスタ'!$B$3:$B$16),0)=VALUE(LOOKUP(2,1/($A$3:$A38&lt;&gt;""""),$A$3:$A38)))*('特殊配信マスタ'!$Q$3:$Q$16&lt;&gt;TRUE)), 3), """")"),"")</f>
        <v/>
      </c>
      <c r="N38" s="593"/>
      <c r="O38" s="590"/>
      <c r="P38" s="593" t="str">
        <f>IFERROR(__xludf.DUMMYFUNCTION("IF(M38="""","""",IFERROR(INDEX(FILTER('特殊配信マスタ'!$O$3:$O$16, '特殊配信マスタ'!$E$3:$E$16=M38),1),""""))"),"")</f>
        <v/>
      </c>
      <c r="Q38" s="593" t="str">
        <f>IFERROR(__xludf.DUMMYFUNCTION("IF(M38="""","""",IFERROR(INDEX(FILTER('特殊配信マスタ'!$P$3:$P$16, '特殊配信マスタ'!$E$3:$E$16=M38),1),""""))"),"")</f>
        <v/>
      </c>
      <c r="R38" s="590" t="str">
        <f>IFERROR(__xludf.DUMMYFUNCTION("IFERROR(INDEX(FILTER('特殊配信マスタ'!$E$3:$E$16, (TEXT('特殊配信マスタ'!$A$3:$A$16,""ddd"")=TEXT(R$1,""ddd""))*(IFERROR(VALUE('特殊配信マスタ'!$B$3:$B$16),0)=VALUE(LOOKUP(2,1/($A$3:$A38&lt;&gt;""""),$A$3:$A38)))*('特殊配信マスタ'!$Q$3:$Q$16&lt;&gt;TRUE)), 3), """")"),"")</f>
        <v/>
      </c>
      <c r="S38" s="593"/>
      <c r="T38" s="590"/>
      <c r="U38" s="593" t="str">
        <f>IFERROR(__xludf.DUMMYFUNCTION("IF(R38="""","""",IFERROR(INDEX(FILTER('特殊配信マスタ'!$O$3:$O$16, '特殊配信マスタ'!$E$3:$E$16=R38),1),""""))"),"")</f>
        <v/>
      </c>
      <c r="V38" s="593" t="str">
        <f>IFERROR(__xludf.DUMMYFUNCTION("IF(R38="""","""",IFERROR(INDEX(FILTER('特殊配信マスタ'!$P$3:$P$16, '特殊配信マスタ'!$E$3:$E$16=R38),1),""""))"),"")</f>
        <v/>
      </c>
      <c r="W38" s="590" t="str">
        <f>IFERROR(__xludf.DUMMYFUNCTION("IFERROR(INDEX(FILTER('特殊配信マスタ'!$E$3:$E$16, (TEXT('特殊配信マスタ'!$A$3:$A$16,""ddd"")=TEXT(W$1,""ddd""))*(IFERROR(VALUE('特殊配信マスタ'!$B$3:$B$16),0)=VALUE(LOOKUP(2,1/($A$3:$A38&lt;&gt;""""),$A$3:$A38)))*('特殊配信マスタ'!$Q$3:$Q$16&lt;&gt;TRUE)), 3), """")"),"")</f>
        <v/>
      </c>
      <c r="X38" s="593"/>
      <c r="Y38" s="590"/>
      <c r="Z38" s="593" t="str">
        <f>IFERROR(__xludf.DUMMYFUNCTION("IF(W38="""","""",IFERROR(INDEX(FILTER('特殊配信マスタ'!$O$3:$O$16, '特殊配信マスタ'!$E$3:$E$16=W38),1),""""))"),"")</f>
        <v/>
      </c>
      <c r="AA38" s="593" t="str">
        <f>IFERROR(__xludf.DUMMYFUNCTION("IF(W38="""","""",IFERROR(INDEX(FILTER('特殊配信マスタ'!$P$3:$P$16, '特殊配信マスタ'!$E$3:$E$16=W38),1),""""))"),"")</f>
        <v/>
      </c>
      <c r="AB38" s="590" t="str">
        <f>IFERROR(__xludf.DUMMYFUNCTION("IFERROR(INDEX(FILTER('特殊配信マスタ'!$E$3:$E$16, (TEXT('特殊配信マスタ'!$A$3:$A$16,""ddd"")=TEXT(AB$1,""ddd""))*(IFERROR(VALUE('特殊配信マスタ'!$B$3:$B$16),0)=VALUE(LOOKUP(2,1/($A$3:$A38&lt;&gt;""""),$A$3:$A38)))*('特殊配信マスタ'!$Q$3:$Q$16&lt;&gt;TRUE)), 3), """")"),"")</f>
        <v/>
      </c>
      <c r="AC38" s="593"/>
      <c r="AD38" s="590"/>
      <c r="AE38" s="593" t="str">
        <f>IFERROR(__xludf.DUMMYFUNCTION("IF(AB38="""","""",IFERROR(INDEX(FILTER('特殊配信マスタ'!$O$3:$O$16, '特殊配信マスタ'!$E$3:$E$16=AB38),1),""""))"),"")</f>
        <v/>
      </c>
      <c r="AF38" s="593" t="str">
        <f>IFERROR(__xludf.DUMMYFUNCTION("IF(AB38="""","""",IFERROR(INDEX(FILTER('特殊配信マスタ'!$P$3:$P$16, '特殊配信マスタ'!$E$3:$E$16=AB38),1),""""))"),"")</f>
        <v/>
      </c>
      <c r="AG38" s="590" t="str">
        <f>IFERROR(__xludf.DUMMYFUNCTION("IFERROR(INDEX(FILTER('特殊配信マスタ'!$E$3:$E$16, (TEXT('特殊配信マスタ'!$A$3:$A$16,""ddd"")=TEXT(AG$1,""ddd""))*(IFERROR(VALUE('特殊配信マスタ'!$B$3:$B$16),0)=VALUE(LOOKUP(2,1/($A$3:$A38&lt;&gt;""""),$A$3:$A38)))*('特殊配信マスタ'!$Q$3:$Q$16&lt;&gt;TRUE)), 3), """")"),"")</f>
        <v/>
      </c>
      <c r="AH38" s="593"/>
      <c r="AI38" s="590"/>
      <c r="AJ38" s="593" t="str">
        <f>IFERROR(__xludf.DUMMYFUNCTION("IF(AG38="""","""",IFERROR(INDEX(FILTER('特殊配信マスタ'!$O$3:$O$16, '特殊配信マスタ'!$E$3:$E$16=AG38),1),""""))"),"")</f>
        <v/>
      </c>
      <c r="AK38" s="593" t="str">
        <f>IFERROR(__xludf.DUMMYFUNCTION("IF(AG38="""","""",IFERROR(INDEX(FILTER('特殊配信マスタ'!$P$3:$P$16, '特殊配信マスタ'!$E$3:$E$16=AG38),1),""""))"),"")</f>
        <v/>
      </c>
    </row>
    <row r="39" ht="17.25" customHeight="1">
      <c r="A39" s="587"/>
      <c r="B39" s="588"/>
      <c r="C39" s="590" t="str">
        <f>IFERROR(__xludf.DUMMYFUNCTION("IFERROR(INDEX(FILTER('特殊配信マスタ'!$E$3:$E$16, (TEXT('特殊配信マスタ'!$A$3:$A$16,""ddd"")=TEXT(C$1,""ddd""))*(IFERROR(VALUE('特殊配信マスタ'!$B$3:$B$16),0)=VALUE(LOOKUP(2,1/($A$3:$A39&lt;&gt;""""),$A$3:$A39)))*('特殊配信マスタ'!$Q$3:$Q$16&lt;&gt;TRUE)), 4), """")"),"")</f>
        <v/>
      </c>
      <c r="D39" s="593" t="str">
        <f>IFERROR(__xludf.DUMMYFUNCTION("IF(C39="""","""",IFERROR(INDEX(FILTER('特殊配信マスタ'!$F$3:$F$16,('特殊配信マスタ'!$A$3:$A$16=CHOOSE(WEEKDAY(C$1),""日"",""月"",""火"",""水"",""木"",""金"",""土""))*('特殊配信マスタ'!$B$3:$B$16=A$3)*('特殊配信マスタ'!$R$3:$R$16=MOD(INT((C$1-'特殊配信マスタ'!$A$1)/7),3)+1)),1),""""))"),"")</f>
        <v/>
      </c>
      <c r="E39" s="590"/>
      <c r="F39" s="593" t="str">
        <f>IFERROR(__xludf.DUMMYFUNCTION("IF(C39="""","""",IFERROR(INDEX(FILTER('特殊配信マスタ'!$O$3:$O$16, '特殊配信マスタ'!$E$3:$E$16=C39),1),""""))"),"")</f>
        <v/>
      </c>
      <c r="G39" s="593" t="str">
        <f>IFERROR(__xludf.DUMMYFUNCTION("IF(C39="""","""",IFERROR(INDEX(FILTER('特殊配信マスタ'!$P$3:$P$16, '特殊配信マスタ'!$E$3:$E$16=C39),1),""""))"),"")</f>
        <v/>
      </c>
      <c r="H39" s="590" t="str">
        <f>IFERROR(__xludf.DUMMYFUNCTION("IFERROR(INDEX(FILTER('特殊配信マスタ'!$E$3:$E$16, (TEXT('特殊配信マスタ'!$A$3:$A$16,""ddd"")=TEXT(H$1,""ddd""))*(IFERROR(VALUE('特殊配信マスタ'!$B$3:$B$16),0)=VALUE(LOOKUP(2,1/($A$3:$A39&lt;&gt;""""),$A$3:$A39)))*('特殊配信マスタ'!$Q$3:$Q$16&lt;&gt;TRUE)), 4), """")"),"")</f>
        <v/>
      </c>
      <c r="I39" s="593" t="str">
        <f>IFERROR(__xludf.DUMMYFUNCTION("IF(H39="""","""",IFERROR(INDEX(FILTER('特殊配信マスタ'!$F$3:$F$16,('特殊配信マスタ'!$A$3:$A$16=CHOOSE(WEEKDAY(H$1),""日"",""月"",""火"",""水"",""木"",""金"",""土""))*('特殊配信マスタ'!$B$3:$B$16=F$3)*('特殊配信マスタ'!$R$3:$R$16=MOD(INT((H$1-'特殊配信マスタ'!$A$1)/7),3)+1)),1),""""))"),"")</f>
        <v/>
      </c>
      <c r="J39" s="590"/>
      <c r="K39" s="593" t="str">
        <f>IFERROR(__xludf.DUMMYFUNCTION("IF(H39="""","""",IFERROR(INDEX(FILTER('特殊配信マスタ'!$O$3:$O$16, '特殊配信マスタ'!$E$3:$E$16=H39),1),""""))"),"")</f>
        <v/>
      </c>
      <c r="L39" s="593" t="str">
        <f>IFERROR(__xludf.DUMMYFUNCTION("IF(H39="""","""",IFERROR(INDEX(FILTER('特殊配信マスタ'!$P$3:$P$16, '特殊配信マスタ'!$E$3:$E$16=H39),1),""""))"),"")</f>
        <v/>
      </c>
      <c r="M39" s="590" t="str">
        <f>IFERROR(__xludf.DUMMYFUNCTION("IFERROR(INDEX(FILTER('特殊配信マスタ'!$E$3:$E$16, (TEXT('特殊配信マスタ'!$A$3:$A$16,""ddd"")=TEXT(M$1,""ddd""))*(IFERROR(VALUE('特殊配信マスタ'!$B$3:$B$16),0)=VALUE(LOOKUP(2,1/($A$3:$A39&lt;&gt;""""),$A$3:$A39)))*('特殊配信マスタ'!$Q$3:$Q$16&lt;&gt;TRUE)), 4), """")"),"")</f>
        <v/>
      </c>
      <c r="N39" s="593" t="str">
        <f>IFERROR(__xludf.DUMMYFUNCTION("IF(M39="""","""",IFERROR(INDEX(FILTER('特殊配信マスタ'!$F$3:$F$16,('特殊配信マスタ'!$A$3:$A$16=CHOOSE(WEEKDAY(M$1),""日"",""月"",""火"",""水"",""木"",""金"",""土""))*('特殊配信マスタ'!$B$3:$B$16=K$3)*('特殊配信マスタ'!$R$3:$R$16=MOD(INT((M$1-'特殊配信マスタ'!$A$1)/7),3)+1)),1),""""))"),"")</f>
        <v/>
      </c>
      <c r="O39" s="590"/>
      <c r="P39" s="593" t="str">
        <f>IFERROR(__xludf.DUMMYFUNCTION("IF(M39="""","""",IFERROR(INDEX(FILTER('特殊配信マスタ'!$O$3:$O$16, '特殊配信マスタ'!$E$3:$E$16=M39),1),""""))"),"")</f>
        <v/>
      </c>
      <c r="Q39" s="593" t="str">
        <f>IFERROR(__xludf.DUMMYFUNCTION("IF(M39="""","""",IFERROR(INDEX(FILTER('特殊配信マスタ'!$P$3:$P$16, '特殊配信マスタ'!$E$3:$E$16=M39),1),""""))"),"")</f>
        <v/>
      </c>
      <c r="R39" s="590" t="str">
        <f>IFERROR(__xludf.DUMMYFUNCTION("IFERROR(INDEX(FILTER('特殊配信マスタ'!$E$3:$E$16, (TEXT('特殊配信マスタ'!$A$3:$A$16,""ddd"")=TEXT(R$1,""ddd""))*(IFERROR(VALUE('特殊配信マスタ'!$B$3:$B$16),0)=VALUE(LOOKUP(2,1/($A$3:$A39&lt;&gt;""""),$A$3:$A39)))*('特殊配信マスタ'!$Q$3:$Q$16&lt;&gt;TRUE)), 4), """")"),"")</f>
        <v/>
      </c>
      <c r="S39" s="593" t="str">
        <f>IFERROR(__xludf.DUMMYFUNCTION("IF(R39="""","""",IFERROR(INDEX(FILTER('特殊配信マスタ'!$F$3:$F$16,('特殊配信マスタ'!$A$3:$A$16=CHOOSE(WEEKDAY(R$1),""日"",""月"",""火"",""水"",""木"",""金"",""土""))*('特殊配信マスタ'!$B$3:$B$16=P$3)*('特殊配信マスタ'!$R$3:$R$16=MOD(INT((R$1-'特殊配信マスタ'!$A$1)/7),3)+1)),1),""""))"),"")</f>
        <v/>
      </c>
      <c r="T39" s="590"/>
      <c r="U39" s="593" t="str">
        <f>IFERROR(__xludf.DUMMYFUNCTION("IF(R39="""","""",IFERROR(INDEX(FILTER('特殊配信マスタ'!$O$3:$O$16, '特殊配信マスタ'!$E$3:$E$16=R39),1),""""))"),"")</f>
        <v/>
      </c>
      <c r="V39" s="593" t="str">
        <f>IFERROR(__xludf.DUMMYFUNCTION("IF(R39="""","""",IFERROR(INDEX(FILTER('特殊配信マスタ'!$P$3:$P$16, '特殊配信マスタ'!$E$3:$E$16=R39),1),""""))"),"")</f>
        <v/>
      </c>
      <c r="W39" s="590" t="str">
        <f>IFERROR(__xludf.DUMMYFUNCTION("IFERROR(INDEX(FILTER('特殊配信マスタ'!$E$3:$E$16, (TEXT('特殊配信マスタ'!$A$3:$A$16,""ddd"")=TEXT(W$1,""ddd""))*(IFERROR(VALUE('特殊配信マスタ'!$B$3:$B$16),0)=VALUE(LOOKUP(2,1/($A$3:$A39&lt;&gt;""""),$A$3:$A39)))*('特殊配信マスタ'!$Q$3:$Q$16&lt;&gt;TRUE)), 4), """")"),"")</f>
        <v/>
      </c>
      <c r="X39" s="593" t="str">
        <f>IFERROR(__xludf.DUMMYFUNCTION("IF(W39="""","""",IFERROR(INDEX(FILTER('特殊配信マスタ'!$F$3:$F$16,('特殊配信マスタ'!$A$3:$A$16=CHOOSE(WEEKDAY(W$1),""日"",""月"",""火"",""水"",""木"",""金"",""土""))*('特殊配信マスタ'!$B$3:$B$16=U$3)*('特殊配信マスタ'!$R$3:$R$16=MOD(INT((W$1-'特殊配信マスタ'!$A$1)/7),3)+1)),1),""""))"),"")</f>
        <v/>
      </c>
      <c r="Y39" s="590"/>
      <c r="Z39" s="593" t="str">
        <f>IFERROR(__xludf.DUMMYFUNCTION("IF(W39="""","""",IFERROR(INDEX(FILTER('特殊配信マスタ'!$O$3:$O$16, '特殊配信マスタ'!$E$3:$E$16=W39),1),""""))"),"")</f>
        <v/>
      </c>
      <c r="AA39" s="593" t="str">
        <f>IFERROR(__xludf.DUMMYFUNCTION("IF(W39="""","""",IFERROR(INDEX(FILTER('特殊配信マスタ'!$P$3:$P$16, '特殊配信マスタ'!$E$3:$E$16=W39),1),""""))"),"")</f>
        <v/>
      </c>
      <c r="AB39" s="590" t="str">
        <f>IFERROR(__xludf.DUMMYFUNCTION("IFERROR(INDEX(FILTER('特殊配信マスタ'!$E$3:$E$16, (TEXT('特殊配信マスタ'!$A$3:$A$16,""ddd"")=TEXT(AB$1,""ddd""))*(IFERROR(VALUE('特殊配信マスタ'!$B$3:$B$16),0)=VALUE(LOOKUP(2,1/($A$3:$A39&lt;&gt;""""),$A$3:$A39)))*('特殊配信マスタ'!$Q$3:$Q$16&lt;&gt;TRUE)), 4), """")"),"")</f>
        <v/>
      </c>
      <c r="AC39" s="593" t="str">
        <f>IFERROR(__xludf.DUMMYFUNCTION("IF(AB39="""","""",IFERROR(INDEX(FILTER('特殊配信マスタ'!$F$3:$F$16,('特殊配信マスタ'!$A$3:$A$16=CHOOSE(WEEKDAY(AB$1),""日"",""月"",""火"",""水"",""木"",""金"",""土""))*('特殊配信マスタ'!$B$3:$B$16=Z$3)*('特殊配信マスタ'!$R$3:$R$16=MOD(INT((AB$1-'特殊配信マスタ'!$A$1)/7),3)+1)),1),""""))"),"")</f>
        <v/>
      </c>
      <c r="AD39" s="590"/>
      <c r="AE39" s="593" t="str">
        <f>IFERROR(__xludf.DUMMYFUNCTION("IF(AB39="""","""",IFERROR(INDEX(FILTER('特殊配信マスタ'!$O$3:$O$16, '特殊配信マスタ'!$E$3:$E$16=AB39),1),""""))"),"")</f>
        <v/>
      </c>
      <c r="AF39" s="593" t="str">
        <f>IFERROR(__xludf.DUMMYFUNCTION("IF(AB39="""","""",IFERROR(INDEX(FILTER('特殊配信マスタ'!$P$3:$P$16, '特殊配信マスタ'!$E$3:$E$16=AB39),1),""""))"),"")</f>
        <v/>
      </c>
      <c r="AG39" s="590" t="str">
        <f>IFERROR(__xludf.DUMMYFUNCTION("IFERROR(INDEX(FILTER('特殊配信マスタ'!$E$3:$E$16, (TEXT('特殊配信マスタ'!$A$3:$A$16,""ddd"")=TEXT(AG$1,""ddd""))*(IFERROR(VALUE('特殊配信マスタ'!$B$3:$B$16),0)=VALUE(LOOKUP(2,1/($A$3:$A39&lt;&gt;""""),$A$3:$A39)))*('特殊配信マスタ'!$Q$3:$Q$16&lt;&gt;TRUE)), 4), """")"),"")</f>
        <v/>
      </c>
      <c r="AH39" s="593" t="str">
        <f>IFERROR(__xludf.DUMMYFUNCTION("IF(AG39="""","""",IFERROR(INDEX(FILTER('特殊配信マスタ'!$F$3:$F$16,('特殊配信マスタ'!$A$3:$A$16=CHOOSE(WEEKDAY(AG$1),""日"",""月"",""火"",""水"",""木"",""金"",""土""))*('特殊配信マスタ'!$B$3:$B$16=AE$3)*('特殊配信マスタ'!$R$3:$R$16=MOD(INT((AG$1-'特殊配信マスタ'!$A$1)/7),3)+1)),1),""""))"),"")</f>
        <v/>
      </c>
      <c r="AI39" s="590"/>
      <c r="AJ39" s="593" t="str">
        <f>IFERROR(__xludf.DUMMYFUNCTION("IF(AG39="""","""",IFERROR(INDEX(FILTER('特殊配信マスタ'!$O$3:$O$16, '特殊配信マスタ'!$E$3:$E$16=AG39),1),""""))"),"")</f>
        <v/>
      </c>
      <c r="AK39" s="593" t="str">
        <f>IFERROR(__xludf.DUMMYFUNCTION("IF(AG39="""","""",IFERROR(INDEX(FILTER('特殊配信マスタ'!$P$3:$P$16, '特殊配信マスタ'!$E$3:$E$16=AG39),1),""""))"),"")</f>
        <v/>
      </c>
    </row>
    <row r="40" ht="17.25" customHeight="1">
      <c r="A40" s="599"/>
      <c r="B40" s="592"/>
      <c r="C40" s="590" t="str">
        <f>IFERROR(__xludf.DUMMYFUNCTION("IFERROR(INDEX(FILTER('特殊配信マスタ'!$E$3:$E$16, (TEXT('特殊配信マスタ'!$A$3:$A$16,""ddd"")=TEXT(C$1,""ddd""))*(IFERROR(VALUE('特殊配信マスタ'!$B$3:$B$16),0)=VALUE(LOOKUP(2,1/($A$3:$A40&lt;&gt;""""),$A$3:$A40)))*('特殊配信マスタ'!$Q$3:$Q$16&lt;&gt;TRUE)), 5), """")"),"")</f>
        <v/>
      </c>
      <c r="D40" s="593" t="str">
        <f>IFERROR(__xludf.DUMMYFUNCTION("IF(C40="""","""",IFERROR(INDEX(FILTER('特殊配信マスタ'!$F$3:$F$16,('特殊配信マスタ'!$A$3:$A$16=CHOOSE(WEEKDAY(C$1),""日"",""月"",""火"",""水"",""木"",""金"",""土""))*('特殊配信マスタ'!$B$3:$B$16=A$3)*('特殊配信マスタ'!$R$3:$R$16=MOD(INT((C$1-'特殊配信マスタ'!$A$1)/7),3)+1)),1),""""))"),"")</f>
        <v/>
      </c>
      <c r="E40" s="590"/>
      <c r="F40" s="593" t="str">
        <f>IFERROR(__xludf.DUMMYFUNCTION("IF(C40="""","""",IFERROR(INDEX(FILTER('特殊配信マスタ'!$O$3:$O$16, '特殊配信マスタ'!$E$3:$E$16=C40),1),""""))"),"")</f>
        <v/>
      </c>
      <c r="G40" s="593" t="str">
        <f>IFERROR(__xludf.DUMMYFUNCTION("IF(C40="""","""",IFERROR(INDEX(FILTER('特殊配信マスタ'!$P$3:$P$16, '特殊配信マスタ'!$E$3:$E$16=C40),1),""""))"),"")</f>
        <v/>
      </c>
      <c r="H40" s="590" t="str">
        <f>IFERROR(__xludf.DUMMYFUNCTION("IFERROR(INDEX(FILTER('特殊配信マスタ'!$E$3:$E$16, (TEXT('特殊配信マスタ'!$A$3:$A$16,""ddd"")=TEXT(H$1,""ddd""))*(IFERROR(VALUE('特殊配信マスタ'!$B$3:$B$16),0)=VALUE(LOOKUP(2,1/($A$3:$A40&lt;&gt;""""),$A$3:$A40)))*('特殊配信マスタ'!$Q$3:$Q$16&lt;&gt;TRUE)), 5), """")"),"")</f>
        <v/>
      </c>
      <c r="I40" s="593" t="str">
        <f>IFERROR(__xludf.DUMMYFUNCTION("IF(H40="""","""",IFERROR(INDEX(FILTER('特殊配信マスタ'!$F$3:$F$16,('特殊配信マスタ'!$A$3:$A$16=CHOOSE(WEEKDAY(H$1),""日"",""月"",""火"",""水"",""木"",""金"",""土""))*('特殊配信マスタ'!$B$3:$B$16=F$3)*('特殊配信マスタ'!$R$3:$R$16=MOD(INT((H$1-'特殊配信マスタ'!$A$1)/7),3)+1)),1),""""))"),"")</f>
        <v/>
      </c>
      <c r="J40" s="590"/>
      <c r="K40" s="593" t="str">
        <f>IFERROR(__xludf.DUMMYFUNCTION("IF(H40="""","""",IFERROR(INDEX(FILTER('特殊配信マスタ'!$O$3:$O$16, '特殊配信マスタ'!$E$3:$E$16=H40),1),""""))"),"")</f>
        <v/>
      </c>
      <c r="L40" s="593" t="str">
        <f>IFERROR(__xludf.DUMMYFUNCTION("IF(H40="""","""",IFERROR(INDEX(FILTER('特殊配信マスタ'!$P$3:$P$16, '特殊配信マスタ'!$E$3:$E$16=H40),1),""""))"),"")</f>
        <v/>
      </c>
      <c r="M40" s="590" t="str">
        <f>IFERROR(__xludf.DUMMYFUNCTION("IFERROR(INDEX(FILTER('特殊配信マスタ'!$E$3:$E$16, (TEXT('特殊配信マスタ'!$A$3:$A$16,""ddd"")=TEXT(M$1,""ddd""))*(IFERROR(VALUE('特殊配信マスタ'!$B$3:$B$16),0)=VALUE(LOOKUP(2,1/($A$3:$A40&lt;&gt;""""),$A$3:$A40)))*('特殊配信マスタ'!$Q$3:$Q$16&lt;&gt;TRUE)), 5), """")"),"")</f>
        <v/>
      </c>
      <c r="N40" s="593" t="str">
        <f>IFERROR(__xludf.DUMMYFUNCTION("IF(M40="""","""",IFERROR(INDEX(FILTER('特殊配信マスタ'!$F$3:$F$16,('特殊配信マスタ'!$A$3:$A$16=CHOOSE(WEEKDAY(M$1),""日"",""月"",""火"",""水"",""木"",""金"",""土""))*('特殊配信マスタ'!$B$3:$B$16=K$3)*('特殊配信マスタ'!$R$3:$R$16=MOD(INT((M$1-'特殊配信マスタ'!$A$1)/7),3)+1)),1),""""))"),"")</f>
        <v/>
      </c>
      <c r="O40" s="590"/>
      <c r="P40" s="593" t="str">
        <f>IFERROR(__xludf.DUMMYFUNCTION("IF(M40="""","""",IFERROR(INDEX(FILTER('特殊配信マスタ'!$O$3:$O$16, '特殊配信マスタ'!$E$3:$E$16=M40),1),""""))"),"")</f>
        <v/>
      </c>
      <c r="Q40" s="593" t="str">
        <f>IFERROR(__xludf.DUMMYFUNCTION("IF(M40="""","""",IFERROR(INDEX(FILTER('特殊配信マスタ'!$P$3:$P$16, '特殊配信マスタ'!$E$3:$E$16=M40),1),""""))"),"")</f>
        <v/>
      </c>
      <c r="R40" s="590" t="str">
        <f>IFERROR(__xludf.DUMMYFUNCTION("IFERROR(INDEX(FILTER('特殊配信マスタ'!$E$3:$E$16, (TEXT('特殊配信マスタ'!$A$3:$A$16,""ddd"")=TEXT(R$1,""ddd""))*(IFERROR(VALUE('特殊配信マスタ'!$B$3:$B$16),0)=VALUE(LOOKUP(2,1/($A$3:$A40&lt;&gt;""""),$A$3:$A40)))*('特殊配信マスタ'!$Q$3:$Q$16&lt;&gt;TRUE)), 5), """")"),"")</f>
        <v/>
      </c>
      <c r="S40" s="593" t="str">
        <f>IFERROR(__xludf.DUMMYFUNCTION("IF(R40="""","""",IFERROR(INDEX(FILTER('特殊配信マスタ'!$F$3:$F$16,('特殊配信マスタ'!$A$3:$A$16=CHOOSE(WEEKDAY(R$1),""日"",""月"",""火"",""水"",""木"",""金"",""土""))*('特殊配信マスタ'!$B$3:$B$16=P$3)*('特殊配信マスタ'!$R$3:$R$16=MOD(INT((R$1-'特殊配信マスタ'!$A$1)/7),3)+1)),1),""""))"),"")</f>
        <v/>
      </c>
      <c r="T40" s="590"/>
      <c r="U40" s="593" t="str">
        <f>IFERROR(__xludf.DUMMYFUNCTION("IF(R40="""","""",IFERROR(INDEX(FILTER('特殊配信マスタ'!$O$3:$O$16, '特殊配信マスタ'!$E$3:$E$16=R40),1),""""))"),"")</f>
        <v/>
      </c>
      <c r="V40" s="593" t="str">
        <f>IFERROR(__xludf.DUMMYFUNCTION("IF(R40="""","""",IFERROR(INDEX(FILTER('特殊配信マスタ'!$P$3:$P$16, '特殊配信マスタ'!$E$3:$E$16=R40),1),""""))"),"")</f>
        <v/>
      </c>
      <c r="W40" s="590" t="str">
        <f>IFERROR(__xludf.DUMMYFUNCTION("IFERROR(INDEX(FILTER('特殊配信マスタ'!$E$3:$E$16, (TEXT('特殊配信マスタ'!$A$3:$A$16,""ddd"")=TEXT(W$1,""ddd""))*(IFERROR(VALUE('特殊配信マスタ'!$B$3:$B$16),0)=VALUE(LOOKUP(2,1/($A$3:$A40&lt;&gt;""""),$A$3:$A40)))*('特殊配信マスタ'!$Q$3:$Q$16&lt;&gt;TRUE)), 5), """")"),"")</f>
        <v/>
      </c>
      <c r="X40" s="593" t="str">
        <f>IFERROR(__xludf.DUMMYFUNCTION("IF(W40="""","""",IFERROR(INDEX(FILTER('特殊配信マスタ'!$F$3:$F$16,('特殊配信マスタ'!$A$3:$A$16=CHOOSE(WEEKDAY(W$1),""日"",""月"",""火"",""水"",""木"",""金"",""土""))*('特殊配信マスタ'!$B$3:$B$16=U$3)*('特殊配信マスタ'!$R$3:$R$16=MOD(INT((W$1-'特殊配信マスタ'!$A$1)/7),3)+1)),1),""""))"),"")</f>
        <v/>
      </c>
      <c r="Y40" s="590"/>
      <c r="Z40" s="593" t="str">
        <f>IFERROR(__xludf.DUMMYFUNCTION("IF(W40="""","""",IFERROR(INDEX(FILTER('特殊配信マスタ'!$O$3:$O$16, '特殊配信マスタ'!$E$3:$E$16=W40),1),""""))"),"")</f>
        <v/>
      </c>
      <c r="AA40" s="593" t="str">
        <f>IFERROR(__xludf.DUMMYFUNCTION("IF(W40="""","""",IFERROR(INDEX(FILTER('特殊配信マスタ'!$P$3:$P$16, '特殊配信マスタ'!$E$3:$E$16=W40),1),""""))"),"")</f>
        <v/>
      </c>
      <c r="AB40" s="590" t="str">
        <f>IFERROR(__xludf.DUMMYFUNCTION("IFERROR(INDEX(FILTER('特殊配信マスタ'!$E$3:$E$16, (TEXT('特殊配信マスタ'!$A$3:$A$16,""ddd"")=TEXT(AB$1,""ddd""))*(IFERROR(VALUE('特殊配信マスタ'!$B$3:$B$16),0)=VALUE(LOOKUP(2,1/($A$3:$A40&lt;&gt;""""),$A$3:$A40)))*('特殊配信マスタ'!$Q$3:$Q$16&lt;&gt;TRUE)), 5), """")"),"")</f>
        <v/>
      </c>
      <c r="AC40" s="593" t="str">
        <f>IFERROR(__xludf.DUMMYFUNCTION("IF(AB40="""","""",IFERROR(INDEX(FILTER('特殊配信マスタ'!$F$3:$F$16,('特殊配信マスタ'!$A$3:$A$16=CHOOSE(WEEKDAY(AB$1),""日"",""月"",""火"",""水"",""木"",""金"",""土""))*('特殊配信マスタ'!$B$3:$B$16=Z$3)*('特殊配信マスタ'!$R$3:$R$16=MOD(INT((AB$1-'特殊配信マスタ'!$A$1)/7),3)+1)),1),""""))"),"")</f>
        <v/>
      </c>
      <c r="AD40" s="590"/>
      <c r="AE40" s="593" t="str">
        <f>IFERROR(__xludf.DUMMYFUNCTION("IF(AB40="""","""",IFERROR(INDEX(FILTER('特殊配信マスタ'!$O$3:$O$16, '特殊配信マスタ'!$E$3:$E$16=AB40),1),""""))"),"")</f>
        <v/>
      </c>
      <c r="AF40" s="593" t="str">
        <f>IFERROR(__xludf.DUMMYFUNCTION("IF(AB40="""","""",IFERROR(INDEX(FILTER('特殊配信マスタ'!$P$3:$P$16, '特殊配信マスタ'!$E$3:$E$16=AB40),1),""""))"),"")</f>
        <v/>
      </c>
      <c r="AG40" s="590" t="str">
        <f>IFERROR(__xludf.DUMMYFUNCTION("IFERROR(INDEX(FILTER('特殊配信マスタ'!$E$3:$E$16, (TEXT('特殊配信マスタ'!$A$3:$A$16,""ddd"")=TEXT(AG$1,""ddd""))*(IFERROR(VALUE('特殊配信マスタ'!$B$3:$B$16),0)=VALUE(LOOKUP(2,1/($A$3:$A40&lt;&gt;""""),$A$3:$A40)))*('特殊配信マスタ'!$Q$3:$Q$16&lt;&gt;TRUE)), 5), """")"),"")</f>
        <v/>
      </c>
      <c r="AH40" s="593" t="str">
        <f>IFERROR(__xludf.DUMMYFUNCTION("IF(AG40="""","""",IFERROR(INDEX(FILTER('特殊配信マスタ'!$F$3:$F$16,('特殊配信マスタ'!$A$3:$A$16=CHOOSE(WEEKDAY(AG$1),""日"",""月"",""火"",""水"",""木"",""金"",""土""))*('特殊配信マスタ'!$B$3:$B$16=AE$3)*('特殊配信マスタ'!$R$3:$R$16=MOD(INT((AG$1-'特殊配信マスタ'!$A$1)/7),3)+1)),1),""""))"),"")</f>
        <v/>
      </c>
      <c r="AI40" s="590"/>
      <c r="AJ40" s="593" t="str">
        <f>IFERROR(__xludf.DUMMYFUNCTION("IF(AG40="""","""",IFERROR(INDEX(FILTER('特殊配信マスタ'!$O$3:$O$16, '特殊配信マスタ'!$E$3:$E$16=AG40),1),""""))"),"")</f>
        <v/>
      </c>
      <c r="AK40" s="593" t="str">
        <f>IFERROR(__xludf.DUMMYFUNCTION("IF(AG40="""","""",IFERROR(INDEX(FILTER('特殊配信マスタ'!$P$3:$P$16, '特殊配信マスタ'!$E$3:$E$16=AG40),1),""""))"),"")</f>
        <v/>
      </c>
    </row>
    <row r="41" ht="17.25" customHeight="1">
      <c r="A41" s="584">
        <f>A22+1</f>
        <v>10</v>
      </c>
      <c r="B41" s="585" t="s">
        <v>1450</v>
      </c>
      <c r="C41" s="586" t="str">
        <f>IFERROR(__xludf.DUMMYFUNCTION("IFERROR(FILTER('リスト'!$E$4:$E$349, (TEXT('リスト'!$A$4:$A$349,""ddd"")=TEXT(C$1, ""ddd""))*('リスト'!$B$4:$B$349=LOOKUP(2,1/($A$3:$A41&lt;&gt;""""),$A$3:$A41))*(('リスト'!$G$4:$G$349=""毎週配信"")+('リスト'!$G$4:$G$349=$A$1))), """")"),"事務_販サ経験者向け_東京")</f>
        <v>事務_販サ経験者向け_東京</v>
      </c>
      <c r="D41" s="8">
        <f t="array" ref="D41">IFERROR(XLOOKUP(C41, 'リスト'!$E:$E, 'リスト'!$F:$F, ""), "")</f>
        <v>0.4</v>
      </c>
      <c r="E41" s="8">
        <f>SUM(D41:D59)</f>
        <v>2.9</v>
      </c>
      <c r="F41" s="8" t="str">
        <f>IFERROR(__xludf.DUMMYFUNCTION("IF(C41="""","""",IFERROR(INDEX(FILTER('リスト'!$O$4:$O$349, 'リスト'!$E$4:$E$349=C41),1),""""))"),"R")</f>
        <v>R</v>
      </c>
      <c r="G41" s="8" t="str">
        <f>IFERROR(__xludf.DUMMYFUNCTION("IF(C41="""","""",IFERROR(INDEX(FILTER('リスト'!$P$4:$P$349, 'リスト'!$E$4:$E$349=C41),1),""""))"),"")</f>
        <v/>
      </c>
      <c r="H41" s="586" t="str">
        <f>IFERROR(__xludf.DUMMYFUNCTION("IFERROR(FILTER('リスト'!$E$4:$E$349, (TEXT('リスト'!$A$4:$A$349,""ddd"")=TEXT(H$1, ""ddd""))*('リスト'!$B$4:$B$349=LOOKUP(2,1/($A$3:$A41&lt;&gt;""""),$A$3:$A41))*(('リスト'!$G$4:$G$349=""毎週配信"")+('リスト'!$G$4:$G$349=$A$1))), """")"),"40代未経験_正社員")</f>
        <v>40代未経験_正社員</v>
      </c>
      <c r="I41" s="8">
        <f t="array" ref="I41">IFERROR(XLOOKUP(H41, 'リスト'!$E:$E, 'リスト'!$F:$F, ""), "")</f>
        <v>2.3</v>
      </c>
      <c r="J41" s="8">
        <f>SUM(I41:I59)</f>
        <v>3.9</v>
      </c>
      <c r="K41" s="8" t="str">
        <f>IFERROR(__xludf.DUMMYFUNCTION("IF(H41="""","""",IFERROR(INDEX(FILTER('リスト'!$O$4:$O$349, 'リスト'!$E$4:$E$349=H41),1),""""))"),"R")</f>
        <v>R</v>
      </c>
      <c r="L41" s="8" t="str">
        <f>IFERROR(__xludf.DUMMYFUNCTION("IF(H41="""","""",IFERROR(INDEX(FILTER('リスト'!$P$4:$P$349, 'リスト'!$E$4:$E$349=H41),1),""""))"),"")</f>
        <v/>
      </c>
      <c r="M41" s="586" t="str">
        <f>IFERROR(__xludf.DUMMYFUNCTION("IFERROR(FILTER('リスト'!$E$4:$E$349, (TEXT('リスト'!$A$4:$A$349,""ddd"")=TEXT(M$1, ""ddd""))*('リスト'!$B$4:$B$349=LOOKUP(2,1/($A$3:$A41&lt;&gt;""""),$A$3:$A41))*(('リスト'!$G$4:$G$349=""毎週配信"")+('リスト'!$G$4:$G$349=$A$1))), """")"),"フルリモートランキング")</f>
        <v>フルリモートランキング</v>
      </c>
      <c r="N41" s="8">
        <f t="array" ref="N41">IFERROR(XLOOKUP(M41, 'リスト'!$E:$E, 'リスト'!$F:$F, ""), "")</f>
        <v>0.5</v>
      </c>
      <c r="O41" s="8">
        <f>SUM(N41:N59)</f>
        <v>6.9</v>
      </c>
      <c r="P41" s="8" t="str">
        <f>IFERROR(__xludf.DUMMYFUNCTION("IF(M41="""","""",IFERROR(INDEX(FILTER('リスト'!$O$4:$O$349, 'リスト'!$E$4:$E$349=M41),1),""""))"),"R")</f>
        <v>R</v>
      </c>
      <c r="Q41" s="8" t="str">
        <f>IFERROR(__xludf.DUMMYFUNCTION("IF(M41="""","""",IFERROR(INDEX(FILTER('リスト'!$P$4:$P$349, 'リスト'!$E$4:$E$349=M41),1),""""))"),"")</f>
        <v/>
      </c>
      <c r="R41" s="586" t="str">
        <f>IFERROR(__xludf.DUMMYFUNCTION("IFERROR(FILTER('リスト'!$E$4:$E$349, (TEXT('リスト'!$A$4:$A$349,""ddd"")=TEXT(R$1, ""ddd""))*('リスト'!$B$4:$B$349=LOOKUP(2,1/($A$3:$A41&lt;&gt;""""),$A$3:$A41))*(('リスト'!$G$4:$G$349=""毎週配信"")+('リスト'!$G$4:$G$349=$A$1))), """")"),"子育手当")</f>
        <v>子育手当</v>
      </c>
      <c r="S41" s="8">
        <f t="array" ref="S41">IFERROR(XLOOKUP(R41, 'リスト'!$E:$E, 'リスト'!$F:$F, ""), "")</f>
        <v>0.6</v>
      </c>
      <c r="T41" s="8">
        <f>SUM(S41:S59)</f>
        <v>0.6</v>
      </c>
      <c r="U41" s="8" t="str">
        <f>IFERROR(__xludf.DUMMYFUNCTION("IF(R41="""","""",IFERROR(INDEX(FILTER('リスト'!$O$4:$O$349, 'リスト'!$E$4:$E$349=R41),1),""""))"),"R")</f>
        <v>R</v>
      </c>
      <c r="V41" s="8" t="str">
        <f>IFERROR(__xludf.DUMMYFUNCTION("IF(R41="""","""",IFERROR(INDEX(FILTER('リスト'!$P$4:$P$349, 'リスト'!$E$4:$E$349=R41),1),""""))"),"")</f>
        <v/>
      </c>
      <c r="W41" s="586" t="str">
        <f>IFERROR(__xludf.DUMMYFUNCTION("IFERROR(FILTER('リスト'!$E$4:$E$349, (TEXT('リスト'!$A$4:$A$349,""ddd"")=TEXT(W$1, ""ddd""))*('リスト'!$B$4:$B$349=LOOKUP(2,1/($A$3:$A41&lt;&gt;""""),$A$3:$A41))*(('リスト'!$G$4:$G$349=""毎週配信"")+('リスト'!$G$4:$G$349=$A$1))), """")"),"検討中ランキング_事務")</f>
        <v>検討中ランキング_事務</v>
      </c>
      <c r="X41" s="8">
        <f t="array" ref="X41">IFERROR(XLOOKUP(W41, 'リスト'!$E:$E, 'リスト'!$F:$F, ""), "")</f>
        <v>0.9</v>
      </c>
      <c r="Y41" s="8">
        <f>SUM(X41:X59)</f>
        <v>2.9</v>
      </c>
      <c r="Z41" s="8" t="str">
        <f>IFERROR(__xludf.DUMMYFUNCTION("IF(W41="""","""",IFERROR(INDEX(FILTER('リスト'!$O$4:$O$349, 'リスト'!$E$4:$E$349=W41),1),""""))"),"R")</f>
        <v>R</v>
      </c>
      <c r="AA41" s="8" t="str">
        <f>IFERROR(__xludf.DUMMYFUNCTION("IF(W41="""","""",IFERROR(INDEX(FILTER('リスト'!$P$4:$P$349, 'リスト'!$E$4:$E$349=W41),1),""""))"),"")</f>
        <v/>
      </c>
      <c r="AB41" s="586" t="str">
        <f>IFERROR(__xludf.DUMMYFUNCTION("IFERROR(FILTER('リスト'!$E$4:$E$349, (TEXT('リスト'!$A$4:$A$349,""ddd"")=TEXT(AB$1, ""ddd""))*('リスト'!$B$4:$B$349=LOOKUP(2,1/($A$3:$A41&lt;&gt;""""),$A$3:$A41))*(('リスト'!$G$4:$G$349=""毎週配信"")+('リスト'!$G$4:$G$349=$A$1))), """")"),"語学を活かせる")</f>
        <v>語学を活かせる</v>
      </c>
      <c r="AC41" s="8">
        <f t="array" ref="AC41">IFERROR(XLOOKUP(AB41, 'リスト'!$E:$E, 'リスト'!$F:$F, ""), "")</f>
        <v>0.4</v>
      </c>
      <c r="AD41" s="8">
        <f>SUM(AC41:AC59)</f>
        <v>0.4</v>
      </c>
      <c r="AE41" s="8" t="str">
        <f>IFERROR(__xludf.DUMMYFUNCTION("IF(AB41="""","""",IFERROR(INDEX(FILTER('リスト'!$O$4:$O$349, 'リスト'!$E$4:$E$349=AB41),1),""""))"),"R")</f>
        <v>R</v>
      </c>
      <c r="AF41" s="8" t="str">
        <f>IFERROR(__xludf.DUMMYFUNCTION("IF(AB41="""","""",IFERROR(INDEX(FILTER('リスト'!$P$4:$P$349, 'リスト'!$E$4:$E$349=AB41),1),""""))"),"")</f>
        <v/>
      </c>
      <c r="AG41" s="600" t="str">
        <f>IFERROR(__xludf.DUMMYFUNCTION("IFERROR(FILTER('リスト'!$E$4:$E$349, (TEXT('リスト'!$A$4:$A$349,""ddd"")=TEXT(AG$1, ""ddd""))*('リスト'!$B$4:$B$349=LOOKUP(2,1/($A$3:$A41&lt;&gt;""""),$A$3:$A41))*(('リスト'!$G$4:$G$349=""毎週配信"")+('リスト'!$G$4:$G$349=$A$1))), """")"),"☆TP部_事務_希望地")</f>
        <v>☆TP部_事務_希望地</v>
      </c>
      <c r="AH41" s="8">
        <f t="array" ref="AH41">IFERROR(XLOOKUP(AG41, 'リスト'!$E:$E, 'リスト'!$F:$F, ""), "")</f>
        <v>3.6</v>
      </c>
      <c r="AI41" s="8">
        <f>SUM(AH41:AH59)</f>
        <v>3.6</v>
      </c>
      <c r="AJ41" s="8" t="str">
        <f>IFERROR(__xludf.DUMMYFUNCTION("IF(AG41="""","""",IFERROR(INDEX(FILTER('リスト'!$O$4:$O$349, 'リスト'!$E$4:$E$349=AG41),1),""""))"),"部")</f>
        <v>部</v>
      </c>
      <c r="AK41" s="8" t="str">
        <f>IFERROR(__xludf.DUMMYFUNCTION("IF(AG41="""","""",IFERROR(INDEX(FILTER('リスト'!$P$4:$P$349, 'リスト'!$E$4:$E$349=AG41),1),""""))"),"石")</f>
        <v>石</v>
      </c>
    </row>
    <row r="42" ht="17.25" customHeight="1">
      <c r="A42" s="587"/>
      <c r="B42" s="588"/>
      <c r="C42" s="586" t="str">
        <f>IFERROR(__xludf.DUMMYFUNCTION("""COMPUTED_VALUE"""),"面接1回")</f>
        <v>面接1回</v>
      </c>
      <c r="D42" s="8">
        <f t="array" ref="D42">IFERROR(XLOOKUP(C42, 'リスト'!$E:$E, 'リスト'!$F:$F, ""), "")</f>
        <v>1.5</v>
      </c>
      <c r="E42" s="8"/>
      <c r="F42" s="8" t="str">
        <f t="array" ref="F42">IFERROR(XLOOKUP(C42, 'リスト'!$E:$E, 'リスト'!$O:$O, ""), "")</f>
        <v>R</v>
      </c>
      <c r="G42" s="8" t="str">
        <f t="array" ref="G42">IFERROR(XLOOKUP(C42, 'リスト'!$E:$E, 'リスト'!$P:$P, ""), "")</f>
        <v/>
      </c>
      <c r="H42" s="586" t="str">
        <f>IFERROR(__xludf.DUMMYFUNCTION("""COMPUTED_VALUE"""),"子育て支援")</f>
        <v>子育て支援</v>
      </c>
      <c r="I42" s="8">
        <f t="array" ref="I42">IFERROR(XLOOKUP(H42, 'リスト'!$E:$E, 'リスト'!$F:$F, ""), "")</f>
        <v>0.6</v>
      </c>
      <c r="J42" s="8"/>
      <c r="K42" s="8" t="str">
        <f t="array" ref="K42">IFERROR(XLOOKUP(H42, 'リスト'!$E:$E, 'リスト'!$O:$O, ""), "")</f>
        <v>R</v>
      </c>
      <c r="L42" s="8" t="str">
        <f t="array" ref="L42">IFERROR(XLOOKUP(H42, 'リスト'!$E:$E, 'リスト'!$P:$P, ""), "")</f>
        <v/>
      </c>
      <c r="M42" s="586" t="str">
        <f>IFERROR(__xludf.DUMMYFUNCTION("""COMPUTED_VALUE"""),"経験活かせる_営業")</f>
        <v>経験活かせる_営業</v>
      </c>
      <c r="N42" s="8">
        <f t="array" ref="N42">IFERROR(XLOOKUP(M42, 'リスト'!$E:$E, 'リスト'!$F:$F, ""), "")</f>
        <v>0.6</v>
      </c>
      <c r="O42" s="8"/>
      <c r="P42" s="8" t="str">
        <f t="array" ref="P42">IFERROR(XLOOKUP(M42, 'リスト'!$E:$E, 'リスト'!$O:$O, ""), "")</f>
        <v>R</v>
      </c>
      <c r="Q42" s="8" t="str">
        <f t="array" ref="Q42">IFERROR(XLOOKUP(M42, 'リスト'!$E:$E, 'リスト'!$P:$P, ""), "")</f>
        <v/>
      </c>
      <c r="R42" s="586"/>
      <c r="S42" s="8" t="str">
        <f t="array" ref="S42">IFERROR(XLOOKUP(R42, 'リスト'!$E:$E, 'リスト'!$F:$F, ""), "")</f>
        <v/>
      </c>
      <c r="T42" s="8"/>
      <c r="U42" s="8" t="str">
        <f t="array" ref="U42">IFERROR(XLOOKUP(R42, 'リスト'!$E:$E, 'リスト'!$O:$O, ""), "")</f>
        <v/>
      </c>
      <c r="V42" s="8" t="str">
        <f t="array" ref="V42">IFERROR(XLOOKUP(R42, 'リスト'!$E:$E, 'リスト'!$P:$P, ""), "")</f>
        <v/>
      </c>
      <c r="W42" s="586"/>
      <c r="X42" s="8" t="str">
        <f t="array" ref="X42">IFERROR(XLOOKUP(W42, 'リスト'!$E:$E, 'リスト'!$F:$F, ""), "")</f>
        <v/>
      </c>
      <c r="Y42" s="8"/>
      <c r="Z42" s="8" t="str">
        <f t="array" ref="Z42">IFERROR(XLOOKUP(W42, 'リスト'!$E:$E, 'リスト'!$O:$O, ""), "")</f>
        <v/>
      </c>
      <c r="AA42" s="8" t="str">
        <f t="array" ref="AA42">IFERROR(XLOOKUP(W42, 'リスト'!$E:$E, 'リスト'!$P:$P, ""), "")</f>
        <v/>
      </c>
      <c r="AB42" s="586"/>
      <c r="AC42" s="8" t="str">
        <f t="array" ref="AC42">IFERROR(XLOOKUP(AB42, 'リスト'!$E:$E, 'リスト'!$F:$F, ""), "")</f>
        <v/>
      </c>
      <c r="AD42" s="8"/>
      <c r="AE42" s="8" t="str">
        <f t="array" ref="AE42">IFERROR(XLOOKUP(AB42, 'リスト'!$E:$E, 'リスト'!$O:$O, ""), "")</f>
        <v/>
      </c>
      <c r="AF42" s="8" t="str">
        <f t="array" ref="AF42">IFERROR(XLOOKUP(AB42, 'リスト'!$E:$E, 'リスト'!$P:$P, ""), "")</f>
        <v/>
      </c>
      <c r="AG42" s="586"/>
      <c r="AH42" s="8" t="str">
        <f t="array" ref="AH42">IFERROR(XLOOKUP(AG42, 'リスト'!$E:$E, 'リスト'!$F:$F, ""), "")</f>
        <v/>
      </c>
      <c r="AI42" s="8"/>
      <c r="AJ42" s="8" t="str">
        <f t="array" ref="AJ42">IFERROR(XLOOKUP(AG42, 'リスト'!$E:$E, 'リスト'!$O:$O, ""), "")</f>
        <v/>
      </c>
      <c r="AK42" s="8" t="str">
        <f t="array" ref="AK42">IFERROR(XLOOKUP(AG42, 'リスト'!$E:$E, 'リスト'!$P:$P, ""), "")</f>
        <v/>
      </c>
    </row>
    <row r="43" ht="17.25" customHeight="1">
      <c r="A43" s="587"/>
      <c r="B43" s="588"/>
      <c r="C43" s="586" t="str">
        <f>IFERROR(__xludf.DUMMYFUNCTION("""COMPUTED_VALUE"""),"面接1回_35歳以上")</f>
        <v>面接1回_35歳以上</v>
      </c>
      <c r="D43" s="8">
        <f t="array" ref="D43">IFERROR(XLOOKUP(C43, 'リスト'!$E:$E, 'リスト'!$F:$F, ""), "")</f>
        <v>1</v>
      </c>
      <c r="E43" s="8"/>
      <c r="F43" s="8" t="str">
        <f t="array" ref="F43">IFERROR(XLOOKUP(C43, 'リスト'!$E:$E, 'リスト'!$O:$O, ""), "")</f>
        <v>R</v>
      </c>
      <c r="G43" s="8" t="str">
        <f t="array" ref="G43">IFERROR(XLOOKUP(C43, 'リスト'!$E:$E, 'リスト'!$P:$P, ""), "")</f>
        <v/>
      </c>
      <c r="H43" s="586" t="str">
        <f>IFERROR(__xludf.DUMMYFUNCTION("""COMPUTED_VALUE"""),"趣味・興味メルマガ_A")</f>
        <v>趣味・興味メルマガ_A</v>
      </c>
      <c r="I43" s="8">
        <f t="array" ref="I43">IFERROR(XLOOKUP(H43, 'リスト'!$E:$E, 'リスト'!$F:$F, ""), "")</f>
        <v>1</v>
      </c>
      <c r="J43" s="8"/>
      <c r="K43" s="8" t="str">
        <f t="array" ref="K43">IFERROR(XLOOKUP(H43, 'リスト'!$E:$E, 'リスト'!$O:$O, ""), "")</f>
        <v>R</v>
      </c>
      <c r="L43" s="8" t="str">
        <f t="array" ref="L43">IFERROR(XLOOKUP(H43, 'リスト'!$E:$E, 'リスト'!$P:$P, ""), "")</f>
        <v/>
      </c>
      <c r="M43" s="586" t="str">
        <f>IFERROR(__xludf.DUMMYFUNCTION("""COMPUTED_VALUE"""),"経験活かせる_事務")</f>
        <v>経験活かせる_事務</v>
      </c>
      <c r="N43" s="8">
        <f t="array" ref="N43">IFERROR(XLOOKUP(M43, 'リスト'!$E:$E, 'リスト'!$F:$F, ""), "")</f>
        <v>1.4</v>
      </c>
      <c r="O43" s="8"/>
      <c r="P43" s="8" t="str">
        <f t="array" ref="P43">IFERROR(XLOOKUP(M43, 'リスト'!$E:$E, 'リスト'!$O:$O, ""), "")</f>
        <v>R</v>
      </c>
      <c r="Q43" s="8" t="str">
        <f t="array" ref="Q43">IFERROR(XLOOKUP(M43, 'リスト'!$E:$E, 'リスト'!$P:$P, ""), "")</f>
        <v/>
      </c>
      <c r="R43" s="586"/>
      <c r="S43" s="8" t="str">
        <f t="array" ref="S43">IFERROR(XLOOKUP(R43, 'リスト'!$E:$E, 'リスト'!$F:$F, ""), "")</f>
        <v/>
      </c>
      <c r="T43" s="8"/>
      <c r="U43" s="8" t="str">
        <f t="array" ref="U43">IFERROR(XLOOKUP(R43, 'リスト'!$E:$E, 'リスト'!$O:$O, ""), "")</f>
        <v/>
      </c>
      <c r="V43" s="8" t="str">
        <f t="array" ref="V43">IFERROR(XLOOKUP(R43, 'リスト'!$E:$E, 'リスト'!$P:$P, ""), "")</f>
        <v/>
      </c>
      <c r="W43" s="586"/>
      <c r="X43" s="8" t="str">
        <f t="array" ref="X43">IFERROR(XLOOKUP(W43, 'リスト'!$E:$E, 'リスト'!$F:$F, ""), "")</f>
        <v/>
      </c>
      <c r="Y43" s="8"/>
      <c r="Z43" s="8" t="str">
        <f t="array" ref="Z43">IFERROR(XLOOKUP(W43, 'リスト'!$E:$E, 'リスト'!$O:$O, ""), "")</f>
        <v/>
      </c>
      <c r="AA43" s="8" t="str">
        <f t="array" ref="AA43">IFERROR(XLOOKUP(W43, 'リスト'!$E:$E, 'リスト'!$P:$P, ""), "")</f>
        <v/>
      </c>
      <c r="AB43" s="586"/>
      <c r="AC43" s="8" t="str">
        <f t="array" ref="AC43">IFERROR(XLOOKUP(AB43, 'リスト'!$E:$E, 'リスト'!$F:$F, ""), "")</f>
        <v/>
      </c>
      <c r="AD43" s="8"/>
      <c r="AE43" s="8" t="str">
        <f t="array" ref="AE43">IFERROR(XLOOKUP(AB43, 'リスト'!$E:$E, 'リスト'!$O:$O, ""), "")</f>
        <v/>
      </c>
      <c r="AF43" s="8" t="str">
        <f t="array" ref="AF43">IFERROR(XLOOKUP(AB43, 'リスト'!$E:$E, 'リスト'!$P:$P, ""), "")</f>
        <v/>
      </c>
      <c r="AG43" s="586"/>
      <c r="AH43" s="8" t="str">
        <f t="array" ref="AH43">IFERROR(XLOOKUP(AG43, 'リスト'!$E:$E, 'リスト'!$F:$F, ""), "")</f>
        <v/>
      </c>
      <c r="AI43" s="8"/>
      <c r="AJ43" s="8" t="str">
        <f t="array" ref="AJ43">IFERROR(XLOOKUP(AG43, 'リスト'!$E:$E, 'リスト'!$O:$O, ""), "")</f>
        <v/>
      </c>
      <c r="AK43" s="8" t="str">
        <f t="array" ref="AK43">IFERROR(XLOOKUP(AG43, 'リスト'!$E:$E, 'リスト'!$P:$P, ""), "")</f>
        <v/>
      </c>
    </row>
    <row r="44" ht="17.25" customHeight="1">
      <c r="A44" s="587"/>
      <c r="B44" s="588"/>
      <c r="C44" s="589"/>
      <c r="D44" s="8" t="str">
        <f t="array" ref="D44">IFERROR(XLOOKUP(C44, 'リスト'!$E:$E, 'リスト'!$F:$F, ""), "")</f>
        <v/>
      </c>
      <c r="E44" s="8"/>
      <c r="F44" s="8" t="str">
        <f t="array" ref="F44">IFERROR(XLOOKUP(C44, 'リスト'!$E:$E, 'リスト'!$O:$O, ""), "")</f>
        <v/>
      </c>
      <c r="G44" s="8" t="str">
        <f t="array" ref="G44">IFERROR(XLOOKUP(C44, 'リスト'!$E:$E, 'リスト'!$P:$P, ""), "")</f>
        <v/>
      </c>
      <c r="H44" s="589"/>
      <c r="I44" s="8" t="str">
        <f t="array" ref="I44">IFERROR(XLOOKUP(H44, 'リスト'!$E:$E, 'リスト'!$F:$F, ""), "")</f>
        <v/>
      </c>
      <c r="J44" s="8"/>
      <c r="K44" s="8" t="str">
        <f t="array" ref="K44">IFERROR(XLOOKUP(H44, 'リスト'!$E:$E, 'リスト'!$O:$O, ""), "")</f>
        <v/>
      </c>
      <c r="L44" s="8" t="str">
        <f t="array" ref="L44">IFERROR(XLOOKUP(H44, 'リスト'!$E:$E, 'リスト'!$P:$P, ""), "")</f>
        <v/>
      </c>
      <c r="M44" s="589" t="str">
        <f>IFERROR(__xludf.DUMMYFUNCTION("""COMPUTED_VALUE"""),"副業OK")</f>
        <v>副業OK</v>
      </c>
      <c r="N44" s="8">
        <f t="array" ref="N44">IFERROR(XLOOKUP(M44, 'リスト'!$E:$E, 'リスト'!$F:$F, ""), "")</f>
        <v>4.4</v>
      </c>
      <c r="O44" s="8"/>
      <c r="P44" s="8" t="str">
        <f t="array" ref="P44">IFERROR(XLOOKUP(M44, 'リスト'!$E:$E, 'リスト'!$O:$O, ""), "")</f>
        <v>R</v>
      </c>
      <c r="Q44" s="8" t="str">
        <f t="array" ref="Q44">IFERROR(XLOOKUP(M44, 'リスト'!$E:$E, 'リスト'!$P:$P, ""), "")</f>
        <v/>
      </c>
      <c r="R44" s="589"/>
      <c r="S44" s="8" t="str">
        <f t="array" ref="S44">IFERROR(XLOOKUP(R44, 'リスト'!$E:$E, 'リスト'!$F:$F, ""), "")</f>
        <v/>
      </c>
      <c r="T44" s="8"/>
      <c r="U44" s="8" t="str">
        <f t="array" ref="U44">IFERROR(XLOOKUP(R44, 'リスト'!$E:$E, 'リスト'!$O:$O, ""), "")</f>
        <v/>
      </c>
      <c r="V44" s="8" t="str">
        <f t="array" ref="V44">IFERROR(XLOOKUP(R44, 'リスト'!$E:$E, 'リスト'!$P:$P, ""), "")</f>
        <v/>
      </c>
      <c r="W44" s="589"/>
      <c r="X44" s="8" t="str">
        <f t="array" ref="X44">IFERROR(XLOOKUP(W44, 'リスト'!$E:$E, 'リスト'!$F:$F, ""), "")</f>
        <v/>
      </c>
      <c r="Y44" s="8"/>
      <c r="Z44" s="8" t="str">
        <f t="array" ref="Z44">IFERROR(XLOOKUP(W44, 'リスト'!$E:$E, 'リスト'!$O:$O, ""), "")</f>
        <v/>
      </c>
      <c r="AA44" s="8" t="str">
        <f t="array" ref="AA44">IFERROR(XLOOKUP(W44, 'リスト'!$E:$E, 'リスト'!$P:$P, ""), "")</f>
        <v/>
      </c>
      <c r="AB44" s="589"/>
      <c r="AC44" s="8" t="str">
        <f t="array" ref="AC44">IFERROR(XLOOKUP(AB44, 'リスト'!$E:$E, 'リスト'!$F:$F, ""), "")</f>
        <v/>
      </c>
      <c r="AD44" s="8"/>
      <c r="AE44" s="8" t="str">
        <f t="array" ref="AE44">IFERROR(XLOOKUP(AB44, 'リスト'!$E:$E, 'リスト'!$O:$O, ""), "")</f>
        <v/>
      </c>
      <c r="AF44" s="8" t="str">
        <f t="array" ref="AF44">IFERROR(XLOOKUP(AB44, 'リスト'!$E:$E, 'リスト'!$P:$P, ""), "")</f>
        <v/>
      </c>
      <c r="AG44" s="589"/>
      <c r="AH44" s="8" t="str">
        <f t="array" ref="AH44">IFERROR(XLOOKUP(AG44, 'リスト'!$E:$E, 'リスト'!$F:$F, ""), "")</f>
        <v/>
      </c>
      <c r="AI44" s="8"/>
      <c r="AJ44" s="8" t="str">
        <f t="array" ref="AJ44">IFERROR(XLOOKUP(AG44, 'リスト'!$E:$E, 'リスト'!$O:$O, ""), "")</f>
        <v/>
      </c>
      <c r="AK44" s="8" t="str">
        <f t="array" ref="AK44">IFERROR(XLOOKUP(AG44, 'リスト'!$E:$E, 'リスト'!$P:$P, ""), "")</f>
        <v/>
      </c>
    </row>
    <row r="45" ht="17.25" customHeight="1">
      <c r="A45" s="587"/>
      <c r="B45" s="588"/>
      <c r="C45" s="590"/>
      <c r="D45" s="8" t="str">
        <f t="array" ref="D45">IFERROR(XLOOKUP(C45, 'リスト'!$E:$E, 'リスト'!$F:$F, ""), "")</f>
        <v/>
      </c>
      <c r="E45" s="8"/>
      <c r="F45" s="8" t="str">
        <f t="array" ref="F45">IFERROR(XLOOKUP(C45, 'リスト'!$E:$E, 'リスト'!$O:$O, ""), "")</f>
        <v/>
      </c>
      <c r="G45" s="8" t="str">
        <f t="array" ref="G45">IFERROR(XLOOKUP(C45, 'リスト'!$E:$E, 'リスト'!$P:$P, ""), "")</f>
        <v/>
      </c>
      <c r="H45" s="590"/>
      <c r="I45" s="8" t="str">
        <f t="array" ref="I45">IFERROR(XLOOKUP(H45, 'リスト'!$E:$E, 'リスト'!$F:$F, ""), "")</f>
        <v/>
      </c>
      <c r="J45" s="8"/>
      <c r="K45" s="8" t="str">
        <f t="array" ref="K45">IFERROR(XLOOKUP(H45, 'リスト'!$E:$E, 'リスト'!$O:$O, ""), "")</f>
        <v/>
      </c>
      <c r="L45" s="8" t="str">
        <f t="array" ref="L45">IFERROR(XLOOKUP(H45, 'リスト'!$E:$E, 'リスト'!$P:$P, ""), "")</f>
        <v/>
      </c>
      <c r="M45" s="590"/>
      <c r="N45" s="8" t="str">
        <f t="array" ref="N45">IFERROR(XLOOKUP(M45, 'リスト'!$E:$E, 'リスト'!$F:$F, ""), "")</f>
        <v/>
      </c>
      <c r="O45" s="8"/>
      <c r="P45" s="8" t="str">
        <f t="array" ref="P45">IFERROR(XLOOKUP(M45, 'リスト'!$E:$E, 'リスト'!$O:$O, ""), "")</f>
        <v/>
      </c>
      <c r="Q45" s="8" t="str">
        <f t="array" ref="Q45">IFERROR(XLOOKUP(M45, 'リスト'!$E:$E, 'リスト'!$P:$P, ""), "")</f>
        <v/>
      </c>
      <c r="R45" s="590"/>
      <c r="S45" s="8" t="str">
        <f t="array" ref="S45">IFERROR(XLOOKUP(R45, 'リスト'!$E:$E, 'リスト'!$F:$F, ""), "")</f>
        <v/>
      </c>
      <c r="T45" s="8"/>
      <c r="U45" s="8" t="str">
        <f t="array" ref="U45">IFERROR(XLOOKUP(R45, 'リスト'!$E:$E, 'リスト'!$O:$O, ""), "")</f>
        <v/>
      </c>
      <c r="V45" s="8" t="str">
        <f t="array" ref="V45">IFERROR(XLOOKUP(R45, 'リスト'!$E:$E, 'リスト'!$P:$P, ""), "")</f>
        <v/>
      </c>
      <c r="W45" s="590"/>
      <c r="X45" s="8" t="str">
        <f t="array" ref="X45">IFERROR(XLOOKUP(W45, 'リスト'!$E:$E, 'リスト'!$F:$F, ""), "")</f>
        <v/>
      </c>
      <c r="Y45" s="8"/>
      <c r="Z45" s="8" t="str">
        <f t="array" ref="Z45">IFERROR(XLOOKUP(W45, 'リスト'!$E:$E, 'リスト'!$O:$O, ""), "")</f>
        <v/>
      </c>
      <c r="AA45" s="8" t="str">
        <f t="array" ref="AA45">IFERROR(XLOOKUP(W45, 'リスト'!$E:$E, 'リスト'!$P:$P, ""), "")</f>
        <v/>
      </c>
      <c r="AB45" s="590"/>
      <c r="AC45" s="8" t="str">
        <f t="array" ref="AC45">IFERROR(XLOOKUP(AB45, 'リスト'!$E:$E, 'リスト'!$F:$F, ""), "")</f>
        <v/>
      </c>
      <c r="AD45" s="8"/>
      <c r="AE45" s="8" t="str">
        <f t="array" ref="AE45">IFERROR(XLOOKUP(AB45, 'リスト'!$E:$E, 'リスト'!$O:$O, ""), "")</f>
        <v/>
      </c>
      <c r="AF45" s="8" t="str">
        <f t="array" ref="AF45">IFERROR(XLOOKUP(AB45, 'リスト'!$E:$E, 'リスト'!$P:$P, ""), "")</f>
        <v/>
      </c>
      <c r="AG45" s="590"/>
      <c r="AH45" s="8" t="str">
        <f t="array" ref="AH45">IFERROR(XLOOKUP(AG45, 'リスト'!$E:$E, 'リスト'!$F:$F, ""), "")</f>
        <v/>
      </c>
      <c r="AI45" s="8"/>
      <c r="AJ45" s="8" t="str">
        <f t="array" ref="AJ45">IFERROR(XLOOKUP(AG45, 'リスト'!$E:$E, 'リスト'!$O:$O, ""), "")</f>
        <v/>
      </c>
      <c r="AK45" s="8" t="str">
        <f t="array" ref="AK45">IFERROR(XLOOKUP(AG45, 'リスト'!$E:$E, 'リスト'!$P:$P, ""), "")</f>
        <v/>
      </c>
    </row>
    <row r="46" ht="17.25" customHeight="1">
      <c r="A46" s="587"/>
      <c r="B46" s="588"/>
      <c r="C46" s="590"/>
      <c r="D46" s="8" t="str">
        <f t="array" ref="D46">IFERROR(XLOOKUP(C46, 'リスト'!$E:$E, 'リスト'!$F:$F, ""), "")</f>
        <v/>
      </c>
      <c r="E46" s="8"/>
      <c r="F46" s="8" t="str">
        <f t="array" ref="F46">IFERROR(XLOOKUP(C46, 'リスト'!$E:$E, 'リスト'!$O:$O, ""), "")</f>
        <v/>
      </c>
      <c r="G46" s="8" t="str">
        <f t="array" ref="G46">IFERROR(XLOOKUP(C46, 'リスト'!$E:$E, 'リスト'!$P:$P, ""), "")</f>
        <v/>
      </c>
      <c r="H46" s="590"/>
      <c r="I46" s="8" t="str">
        <f t="array" ref="I46">IFERROR(XLOOKUP(H46, 'リスト'!$E:$E, 'リスト'!$F:$F, ""), "")</f>
        <v/>
      </c>
      <c r="J46" s="8"/>
      <c r="K46" s="8" t="str">
        <f t="array" ref="K46">IFERROR(XLOOKUP(H46, 'リスト'!$E:$E, 'リスト'!$O:$O, ""), "")</f>
        <v/>
      </c>
      <c r="L46" s="8" t="str">
        <f t="array" ref="L46">IFERROR(XLOOKUP(H46, 'リスト'!$E:$E, 'リスト'!$P:$P, ""), "")</f>
        <v/>
      </c>
      <c r="M46" s="590"/>
      <c r="N46" s="8" t="str">
        <f t="array" ref="N46">IFERROR(XLOOKUP(M46, 'リスト'!$E:$E, 'リスト'!$F:$F, ""), "")</f>
        <v/>
      </c>
      <c r="O46" s="8"/>
      <c r="P46" s="8" t="str">
        <f t="array" ref="P46">IFERROR(XLOOKUP(M46, 'リスト'!$E:$E, 'リスト'!$O:$O, ""), "")</f>
        <v/>
      </c>
      <c r="Q46" s="8" t="str">
        <f t="array" ref="Q46">IFERROR(XLOOKUP(M46, 'リスト'!$E:$E, 'リスト'!$P:$P, ""), "")</f>
        <v/>
      </c>
      <c r="R46" s="590"/>
      <c r="S46" s="8" t="str">
        <f t="array" ref="S46">IFERROR(XLOOKUP(R46, 'リスト'!$E:$E, 'リスト'!$F:$F, ""), "")</f>
        <v/>
      </c>
      <c r="T46" s="8"/>
      <c r="U46" s="8" t="str">
        <f t="array" ref="U46">IFERROR(XLOOKUP(R46, 'リスト'!$E:$E, 'リスト'!$O:$O, ""), "")</f>
        <v/>
      </c>
      <c r="V46" s="8" t="str">
        <f t="array" ref="V46">IFERROR(XLOOKUP(R46, 'リスト'!$E:$E, 'リスト'!$P:$P, ""), "")</f>
        <v/>
      </c>
      <c r="W46" s="590"/>
      <c r="X46" s="8" t="str">
        <f t="array" ref="X46">IFERROR(XLOOKUP(W46, 'リスト'!$E:$E, 'リスト'!$F:$F, ""), "")</f>
        <v/>
      </c>
      <c r="Y46" s="8"/>
      <c r="Z46" s="8" t="str">
        <f t="array" ref="Z46">IFERROR(XLOOKUP(W46, 'リスト'!$E:$E, 'リスト'!$O:$O, ""), "")</f>
        <v/>
      </c>
      <c r="AA46" s="8" t="str">
        <f t="array" ref="AA46">IFERROR(XLOOKUP(W46, 'リスト'!$E:$E, 'リスト'!$P:$P, ""), "")</f>
        <v/>
      </c>
      <c r="AB46" s="590"/>
      <c r="AC46" s="8" t="str">
        <f t="array" ref="AC46">IFERROR(XLOOKUP(AB46, 'リスト'!$E:$E, 'リスト'!$F:$F, ""), "")</f>
        <v/>
      </c>
      <c r="AD46" s="8"/>
      <c r="AE46" s="8" t="str">
        <f t="array" ref="AE46">IFERROR(XLOOKUP(AB46, 'リスト'!$E:$E, 'リスト'!$O:$O, ""), "")</f>
        <v/>
      </c>
      <c r="AF46" s="8" t="str">
        <f t="array" ref="AF46">IFERROR(XLOOKUP(AB46, 'リスト'!$E:$E, 'リスト'!$P:$P, ""), "")</f>
        <v/>
      </c>
      <c r="AG46" s="590"/>
      <c r="AH46" s="8" t="str">
        <f t="array" ref="AH46">IFERROR(XLOOKUP(AG46, 'リスト'!$E:$E, 'リスト'!$F:$F, ""), "")</f>
        <v/>
      </c>
      <c r="AI46" s="8"/>
      <c r="AJ46" s="8" t="str">
        <f t="array" ref="AJ46">IFERROR(XLOOKUP(AG46, 'リスト'!$E:$E, 'リスト'!$O:$O, ""), "")</f>
        <v/>
      </c>
      <c r="AK46" s="8" t="str">
        <f t="array" ref="AK46">IFERROR(XLOOKUP(AG46, 'リスト'!$E:$E, 'リスト'!$P:$P, ""), "")</f>
        <v/>
      </c>
    </row>
    <row r="47" ht="17.25" customHeight="1">
      <c r="A47" s="587"/>
      <c r="B47" s="588"/>
      <c r="C47" s="590"/>
      <c r="D47" s="8" t="str">
        <f t="array" ref="D47">IFERROR(XLOOKUP(C47, 'リスト'!$E:$E, 'リスト'!$F:$F, ""), "")</f>
        <v/>
      </c>
      <c r="E47" s="8"/>
      <c r="F47" s="8" t="str">
        <f t="array" ref="F47">IFERROR(XLOOKUP(C47, 'リスト'!$E:$E, 'リスト'!$O:$O, ""), "")</f>
        <v/>
      </c>
      <c r="G47" s="8" t="str">
        <f t="array" ref="G47">IFERROR(XLOOKUP(C47, 'リスト'!$E:$E, 'リスト'!$P:$P, ""), "")</f>
        <v/>
      </c>
      <c r="H47" s="590"/>
      <c r="I47" s="8" t="str">
        <f t="array" ref="I47">IFERROR(XLOOKUP(H47, 'リスト'!$E:$E, 'リスト'!$F:$F, ""), "")</f>
        <v/>
      </c>
      <c r="J47" s="8"/>
      <c r="K47" s="8" t="str">
        <f t="array" ref="K47">IFERROR(XLOOKUP(H47, 'リスト'!$E:$E, 'リスト'!$O:$O, ""), "")</f>
        <v/>
      </c>
      <c r="L47" s="8" t="str">
        <f t="array" ref="L47">IFERROR(XLOOKUP(H47, 'リスト'!$E:$E, 'リスト'!$P:$P, ""), "")</f>
        <v/>
      </c>
      <c r="M47" s="590"/>
      <c r="N47" s="8" t="str">
        <f t="array" ref="N47">IFERROR(XLOOKUP(M47, 'リスト'!$E:$E, 'リスト'!$F:$F, ""), "")</f>
        <v/>
      </c>
      <c r="O47" s="8"/>
      <c r="P47" s="8" t="str">
        <f t="array" ref="P47">IFERROR(XLOOKUP(M47, 'リスト'!$E:$E, 'リスト'!$O:$O, ""), "")</f>
        <v/>
      </c>
      <c r="Q47" s="8" t="str">
        <f t="array" ref="Q47">IFERROR(XLOOKUP(M47, 'リスト'!$E:$E, 'リスト'!$P:$P, ""), "")</f>
        <v/>
      </c>
      <c r="R47" s="590"/>
      <c r="S47" s="8" t="str">
        <f t="array" ref="S47">IFERROR(XLOOKUP(R47, 'リスト'!$E:$E, 'リスト'!$F:$F, ""), "")</f>
        <v/>
      </c>
      <c r="T47" s="8"/>
      <c r="U47" s="8" t="str">
        <f t="array" ref="U47">IFERROR(XLOOKUP(R47, 'リスト'!$E:$E, 'リスト'!$O:$O, ""), "")</f>
        <v/>
      </c>
      <c r="V47" s="8" t="str">
        <f t="array" ref="V47">IFERROR(XLOOKUP(R47, 'リスト'!$E:$E, 'リスト'!$P:$P, ""), "")</f>
        <v/>
      </c>
      <c r="W47" s="590"/>
      <c r="X47" s="8" t="str">
        <f t="array" ref="X47">IFERROR(XLOOKUP(W47, 'リスト'!$E:$E, 'リスト'!$F:$F, ""), "")</f>
        <v/>
      </c>
      <c r="Y47" s="8"/>
      <c r="Z47" s="8" t="str">
        <f t="array" ref="Z47">IFERROR(XLOOKUP(W47, 'リスト'!$E:$E, 'リスト'!$O:$O, ""), "")</f>
        <v/>
      </c>
      <c r="AA47" s="8" t="str">
        <f t="array" ref="AA47">IFERROR(XLOOKUP(W47, 'リスト'!$E:$E, 'リスト'!$P:$P, ""), "")</f>
        <v/>
      </c>
      <c r="AB47" s="590"/>
      <c r="AC47" s="8" t="str">
        <f t="array" ref="AC47">IFERROR(XLOOKUP(AB47, 'リスト'!$E:$E, 'リスト'!$F:$F, ""), "")</f>
        <v/>
      </c>
      <c r="AD47" s="8"/>
      <c r="AE47" s="8" t="str">
        <f t="array" ref="AE47">IFERROR(XLOOKUP(AB47, 'リスト'!$E:$E, 'リスト'!$O:$O, ""), "")</f>
        <v/>
      </c>
      <c r="AF47" s="8" t="str">
        <f t="array" ref="AF47">IFERROR(XLOOKUP(AB47, 'リスト'!$E:$E, 'リスト'!$P:$P, ""), "")</f>
        <v/>
      </c>
      <c r="AG47" s="590"/>
      <c r="AH47" s="8" t="str">
        <f t="array" ref="AH47">IFERROR(XLOOKUP(AG47, 'リスト'!$E:$E, 'リスト'!$F:$F, ""), "")</f>
        <v/>
      </c>
      <c r="AI47" s="8"/>
      <c r="AJ47" s="8" t="str">
        <f t="array" ref="AJ47">IFERROR(XLOOKUP(AG47, 'リスト'!$E:$E, 'リスト'!$O:$O, ""), "")</f>
        <v/>
      </c>
      <c r="AK47" s="8" t="str">
        <f t="array" ref="AK47">IFERROR(XLOOKUP(AG47, 'リスト'!$E:$E, 'リスト'!$P:$P, ""), "")</f>
        <v/>
      </c>
    </row>
    <row r="48" ht="17.25" customHeight="1">
      <c r="A48" s="587"/>
      <c r="B48" s="588"/>
      <c r="C48" s="590"/>
      <c r="D48" s="8" t="str">
        <f t="array" ref="D48">IFERROR(XLOOKUP(C48, 'リスト'!$E:$E, 'リスト'!$F:$F, ""), "")</f>
        <v/>
      </c>
      <c r="E48" s="8"/>
      <c r="F48" s="8" t="str">
        <f t="array" ref="F48">IFERROR(XLOOKUP(C48, 'リスト'!$E:$E, 'リスト'!$O:$O, ""), "")</f>
        <v/>
      </c>
      <c r="G48" s="8" t="str">
        <f t="array" ref="G48">IFERROR(XLOOKUP(C48, 'リスト'!$E:$E, 'リスト'!$P:$P, ""), "")</f>
        <v/>
      </c>
      <c r="H48" s="590"/>
      <c r="I48" s="8" t="str">
        <f t="array" ref="I48">IFERROR(XLOOKUP(H48, 'リスト'!$E:$E, 'リスト'!$F:$F, ""), "")</f>
        <v/>
      </c>
      <c r="J48" s="8"/>
      <c r="K48" s="8" t="str">
        <f t="array" ref="K48">IFERROR(XLOOKUP(H48, 'リスト'!$E:$E, 'リスト'!$O:$O, ""), "")</f>
        <v/>
      </c>
      <c r="L48" s="8" t="str">
        <f t="array" ref="L48">IFERROR(XLOOKUP(H48, 'リスト'!$E:$E, 'リスト'!$P:$P, ""), "")</f>
        <v/>
      </c>
      <c r="M48" s="590"/>
      <c r="N48" s="8" t="str">
        <f t="array" ref="N48">IFERROR(XLOOKUP(M48, 'リスト'!$E:$E, 'リスト'!$F:$F, ""), "")</f>
        <v/>
      </c>
      <c r="O48" s="8"/>
      <c r="P48" s="8" t="str">
        <f t="array" ref="P48">IFERROR(XLOOKUP(M48, 'リスト'!$E:$E, 'リスト'!$O:$O, ""), "")</f>
        <v/>
      </c>
      <c r="Q48" s="8" t="str">
        <f t="array" ref="Q48">IFERROR(XLOOKUP(M48, 'リスト'!$E:$E, 'リスト'!$P:$P, ""), "")</f>
        <v/>
      </c>
      <c r="R48" s="590"/>
      <c r="S48" s="8" t="str">
        <f t="array" ref="S48">IFERROR(XLOOKUP(R48, 'リスト'!$E:$E, 'リスト'!$F:$F, ""), "")</f>
        <v/>
      </c>
      <c r="T48" s="8"/>
      <c r="U48" s="8" t="str">
        <f t="array" ref="U48">IFERROR(XLOOKUP(R48, 'リスト'!$E:$E, 'リスト'!$O:$O, ""), "")</f>
        <v/>
      </c>
      <c r="V48" s="8" t="str">
        <f t="array" ref="V48">IFERROR(XLOOKUP(R48, 'リスト'!$E:$E, 'リスト'!$P:$P, ""), "")</f>
        <v/>
      </c>
      <c r="W48" s="590"/>
      <c r="X48" s="8" t="str">
        <f t="array" ref="X48">IFERROR(XLOOKUP(W48, 'リスト'!$E:$E, 'リスト'!$F:$F, ""), "")</f>
        <v/>
      </c>
      <c r="Y48" s="8"/>
      <c r="Z48" s="8" t="str">
        <f t="array" ref="Z48">IFERROR(XLOOKUP(W48, 'リスト'!$E:$E, 'リスト'!$O:$O, ""), "")</f>
        <v/>
      </c>
      <c r="AA48" s="8" t="str">
        <f t="array" ref="AA48">IFERROR(XLOOKUP(W48, 'リスト'!$E:$E, 'リスト'!$P:$P, ""), "")</f>
        <v/>
      </c>
      <c r="AB48" s="590"/>
      <c r="AC48" s="8" t="str">
        <f t="array" ref="AC48">IFERROR(XLOOKUP(AB48, 'リスト'!$E:$E, 'リスト'!$F:$F, ""), "")</f>
        <v/>
      </c>
      <c r="AD48" s="8"/>
      <c r="AE48" s="8" t="str">
        <f t="array" ref="AE48">IFERROR(XLOOKUP(AB48, 'リスト'!$E:$E, 'リスト'!$O:$O, ""), "")</f>
        <v/>
      </c>
      <c r="AF48" s="8" t="str">
        <f t="array" ref="AF48">IFERROR(XLOOKUP(AB48, 'リスト'!$E:$E, 'リスト'!$P:$P, ""), "")</f>
        <v/>
      </c>
      <c r="AG48" s="590"/>
      <c r="AH48" s="8" t="str">
        <f t="array" ref="AH48">IFERROR(XLOOKUP(AG48, 'リスト'!$E:$E, 'リスト'!$F:$F, ""), "")</f>
        <v/>
      </c>
      <c r="AI48" s="8"/>
      <c r="AJ48" s="8" t="str">
        <f t="array" ref="AJ48">IFERROR(XLOOKUP(AG48, 'リスト'!$E:$E, 'リスト'!$O:$O, ""), "")</f>
        <v/>
      </c>
      <c r="AK48" s="8" t="str">
        <f t="array" ref="AK48">IFERROR(XLOOKUP(AG48, 'リスト'!$E:$E, 'リスト'!$P:$P, ""), "")</f>
        <v/>
      </c>
    </row>
    <row r="49" ht="17.25" customHeight="1">
      <c r="A49" s="587"/>
      <c r="B49" s="592"/>
      <c r="C49" s="590"/>
      <c r="D49" s="8" t="str">
        <f t="array" ref="D49">IFERROR(XLOOKUP(C49, '新規'!$E:$E, '新規'!$F:$F, ""), "")</f>
        <v/>
      </c>
      <c r="E49" s="8"/>
      <c r="F49" s="8" t="str">
        <f t="array" ref="F49">IFERROR(XLOOKUP(C49, '新規'!$E:$E, '新規'!$O:$O, ""), "")</f>
        <v/>
      </c>
      <c r="G49" s="8" t="str">
        <f t="array" ref="G49">IFERROR(XLOOKUP(C49, '新規'!$E:$E, '新規'!$P:$P, ""), "")</f>
        <v/>
      </c>
      <c r="H49" s="590"/>
      <c r="I49" s="8" t="str">
        <f t="array" ref="I49">IFERROR(XLOOKUP(H49, '新規'!$E:$E, '新規'!$F:$F, ""), "")</f>
        <v/>
      </c>
      <c r="J49" s="8"/>
      <c r="K49" s="8" t="str">
        <f t="array" ref="K49">IFERROR(XLOOKUP(H49, '新規'!$E:$E, '新規'!$O:$O, ""), "")</f>
        <v/>
      </c>
      <c r="L49" s="8" t="str">
        <f t="array" ref="L49">IFERROR(XLOOKUP(H49, '新規'!$E:$E, '新規'!$P:$P, ""), "")</f>
        <v/>
      </c>
      <c r="M49" s="590"/>
      <c r="N49" s="8" t="str">
        <f t="array" ref="N49">IFERROR(XLOOKUP(M49, '新規'!$E:$E, '新規'!$F:$F, ""), "")</f>
        <v/>
      </c>
      <c r="O49" s="8"/>
      <c r="P49" s="8" t="str">
        <f t="array" ref="P49">IFERROR(XLOOKUP(M49, '新規'!$E:$E, '新規'!$O:$O, ""), "")</f>
        <v/>
      </c>
      <c r="Q49" s="8" t="str">
        <f t="array" ref="Q49">IFERROR(XLOOKUP(M49, '新規'!$E:$E, '新規'!$P:$P, ""), "")</f>
        <v/>
      </c>
      <c r="R49" s="590"/>
      <c r="S49" s="8" t="str">
        <f t="array" ref="S49">IFERROR(XLOOKUP(R49, '新規'!$E:$E, '新規'!$F:$F, ""), "")</f>
        <v/>
      </c>
      <c r="T49" s="8"/>
      <c r="U49" s="8" t="str">
        <f t="array" ref="U49">IFERROR(XLOOKUP(R49, '新規'!$E:$E, '新規'!$O:$O, ""), "")</f>
        <v/>
      </c>
      <c r="V49" s="8" t="str">
        <f t="array" ref="V49">IFERROR(XLOOKUP(R49, '新規'!$E:$E, '新規'!$P:$P, ""), "")</f>
        <v/>
      </c>
      <c r="W49" s="590"/>
      <c r="X49" s="8" t="str">
        <f t="array" ref="X49">IFERROR(XLOOKUP(W49, '新規'!$E:$E, '新規'!$F:$F, ""), "")</f>
        <v/>
      </c>
      <c r="Y49" s="8"/>
      <c r="Z49" s="8" t="str">
        <f t="array" ref="Z49">IFERROR(XLOOKUP(W49, '新規'!$E:$E, '新規'!$O:$O, ""), "")</f>
        <v/>
      </c>
      <c r="AA49" s="8" t="str">
        <f t="array" ref="AA49">IFERROR(XLOOKUP(W49, '新規'!$E:$E, '新規'!$P:$P, ""), "")</f>
        <v/>
      </c>
      <c r="AB49" s="590"/>
      <c r="AC49" s="8" t="str">
        <f t="array" ref="AC49">IFERROR(XLOOKUP(AB49, '新規'!$E:$E, '新規'!$F:$F, ""), "")</f>
        <v/>
      </c>
      <c r="AD49" s="8"/>
      <c r="AE49" s="8" t="str">
        <f t="array" ref="AE49">IFERROR(XLOOKUP(AB49, '新規'!$E:$E, '新規'!$O:$O, ""), "")</f>
        <v/>
      </c>
      <c r="AF49" s="8" t="str">
        <f t="array" ref="AF49">IFERROR(XLOOKUP(AB49, '新規'!$E:$E, '新規'!$P:$P, ""), "")</f>
        <v/>
      </c>
      <c r="AG49" s="590"/>
      <c r="AH49" s="8" t="str">
        <f t="array" ref="AH49">IFERROR(XLOOKUP(AG49, '新規'!$E:$E, '新規'!$F:$F, ""), "")</f>
        <v/>
      </c>
      <c r="AI49" s="8"/>
      <c r="AJ49" s="8" t="str">
        <f t="array" ref="AJ49">IFERROR(XLOOKUP(AG49, '新規'!$E:$E, '新規'!$O:$O, ""), "")</f>
        <v/>
      </c>
      <c r="AK49" s="8" t="str">
        <f t="array" ref="AK49">IFERROR(XLOOKUP(AG49, '新規'!$E:$E, '新規'!$P:$P, ""), "")</f>
        <v/>
      </c>
    </row>
    <row r="50" ht="17.25" customHeight="1">
      <c r="A50" s="587"/>
      <c r="B50" s="585" t="s">
        <v>78</v>
      </c>
      <c r="C50" s="590" t="str">
        <f>IFERROR(__xludf.DUMMYFUNCTION("IFERROR(FILTER('新規'!$E$3:$E$170, ('新規'!$B$3:$B$170=LOOKUP(2,1/($A$3:$A50&lt;&gt;""""),$A$3:$A50))*(('新規'!$A$3:$A$170=C$1)+(('新規'!$G$3:$G$170=""毎月配信"")*(TEXT('新規'!$A$3:$A$170,""ddd"")=TEXT(C$1, ""ddd""))))), """")"),"")</f>
        <v/>
      </c>
      <c r="D50" s="8" t="str">
        <f t="array" ref="D50">IFERROR(XLOOKUP(C50, '新規'!$E:$E, '新規'!$F:$F, ""), "")</f>
        <v/>
      </c>
      <c r="E50" s="8"/>
      <c r="F50" s="8" t="str">
        <f>IFERROR(__xludf.DUMMYFUNCTION("IF(C50="""","""",IFERROR(INDEX(FILTER('新規'!$O$3:$O$670, '新規'!$E$3:$E$670=C50),1),""""))"),"")</f>
        <v/>
      </c>
      <c r="G50" s="8" t="str">
        <f>IFERROR(__xludf.DUMMYFUNCTION("IF(C50="""","""",IFERROR(INDEX(FILTER('新規'!$P$3:$P$670, '新規'!$E$3:$E$670=C50),1),""""))"),"")</f>
        <v/>
      </c>
      <c r="H50" s="590" t="str">
        <f>IFERROR(__xludf.DUMMYFUNCTION("IFERROR(FILTER('新規'!$E$3:$E$170, ('新規'!$B$3:$B$170=LOOKUP(2,1/($A$3:$A50&lt;&gt;""""),$A$3:$A50))*(('新規'!$A$3:$A$170=H$1)+(('新規'!$G$3:$G$170=""毎月配信"")*(TEXT('新規'!$A$3:$A$170,""ddd"")=TEXT(H$1, ""ddd""))))), """")"),"")</f>
        <v/>
      </c>
      <c r="I50" s="8" t="str">
        <f t="array" ref="I50">IFERROR(XLOOKUP(H50, '新規'!$E:$E, '新規'!$F:$F, ""), "")</f>
        <v/>
      </c>
      <c r="J50" s="8"/>
      <c r="K50" s="8" t="str">
        <f>IFERROR(__xludf.DUMMYFUNCTION("IF(H50="""","""",IFERROR(INDEX(FILTER('新規'!$O$3:$O$670, '新規'!$E$3:$E$670=H50),1),""""))"),"")</f>
        <v/>
      </c>
      <c r="L50" s="8" t="str">
        <f>IFERROR(__xludf.DUMMYFUNCTION("IF(H50="""","""",IFERROR(INDEX(FILTER('新規'!$P$3:$P$670, '新規'!$E$3:$E$670=H50),1),""""))"),"")</f>
        <v/>
      </c>
      <c r="M50" s="590" t="str">
        <f>IFERROR(__xludf.DUMMYFUNCTION("IFERROR(FILTER('新規'!$E$3:$E$170, ('新規'!$B$3:$B$170=LOOKUP(2,1/($A$3:$A50&lt;&gt;""""),$A$3:$A50))*(('新規'!$A$3:$A$170=M$1)+(('新規'!$G$3:$G$170=""毎月配信"")*(TEXT('新規'!$A$3:$A$170,""ddd"")=TEXT(M$1, ""ddd""))))), """")"),"")</f>
        <v/>
      </c>
      <c r="N50" s="8" t="str">
        <f t="array" ref="N50">IFERROR(XLOOKUP(M50, '新規'!$E:$E, '新規'!$F:$F, ""), "")</f>
        <v/>
      </c>
      <c r="O50" s="8"/>
      <c r="P50" s="8" t="str">
        <f>IFERROR(__xludf.DUMMYFUNCTION("IF(M50="""","""",IFERROR(INDEX(FILTER('新規'!$O$3:$O$670, '新規'!$E$3:$E$670=M50),1),""""))"),"")</f>
        <v/>
      </c>
      <c r="Q50" s="8" t="str">
        <f>IFERROR(__xludf.DUMMYFUNCTION("IF(M50="""","""",IFERROR(INDEX(FILTER('新規'!$P$3:$P$670, '新規'!$E$3:$E$670=M50),1),""""))"),"")</f>
        <v/>
      </c>
      <c r="R50" s="590" t="str">
        <f>IFERROR(__xludf.DUMMYFUNCTION("IFERROR(FILTER('新規'!$E$3:$E$170, ('新規'!$B$3:$B$170=LOOKUP(2,1/($A$3:$A50&lt;&gt;""""),$A$3:$A50))*(('新規'!$A$3:$A$170=R$1)+(('新規'!$G$3:$G$170=""毎月配信"")*(TEXT('新規'!$A$3:$A$170,""ddd"")=TEXT(R$1, ""ddd""))))), """")"),"")</f>
        <v/>
      </c>
      <c r="S50" s="8" t="str">
        <f t="array" ref="S50">IFERROR(XLOOKUP(R50, '新規'!$E:$E, '新規'!$F:$F, ""), "")</f>
        <v/>
      </c>
      <c r="T50" s="8"/>
      <c r="U50" s="8" t="str">
        <f>IFERROR(__xludf.DUMMYFUNCTION("IF(R50="""","""",IFERROR(INDEX(FILTER('新規'!$O$3:$O$670, '新規'!$E$3:$E$670=R50),1),""""))"),"")</f>
        <v/>
      </c>
      <c r="V50" s="8" t="str">
        <f>IFERROR(__xludf.DUMMYFUNCTION("IF(R50="""","""",IFERROR(INDEX(FILTER('新規'!$P$3:$P$670, '新規'!$E$3:$E$670=R50),1),""""))"),"")</f>
        <v/>
      </c>
      <c r="W50" s="590" t="str">
        <f>IFERROR(__xludf.DUMMYFUNCTION("IFERROR(FILTER('新規'!$E$3:$E$170, ('新規'!$B$3:$B$170=LOOKUP(2,1/($A$3:$A50&lt;&gt;""""),$A$3:$A50))*(('新規'!$A$3:$A$170=W$1)+(('新規'!$G$3:$G$170=""毎月配信"")*(TEXT('新規'!$A$3:$A$170,""ddd"")=TEXT(W$1, ""ddd""))))), """")"),"JAD特集")</f>
        <v>JAD特集</v>
      </c>
      <c r="X50" s="8">
        <f t="array" ref="X50">IFERROR(XLOOKUP(W50, '新規'!$E:$E, '新規'!$F:$F, ""), "")</f>
        <v>2</v>
      </c>
      <c r="Y50" s="8"/>
      <c r="Z50" s="8" t="str">
        <f>IFERROR(__xludf.DUMMYFUNCTION("IF(W50="""","""",IFERROR(INDEX(FILTER('新規'!$O$3:$O$670, '新規'!$E$3:$E$670=W50),1),""""))"),"")</f>
        <v/>
      </c>
      <c r="AA50" s="8" t="str">
        <f>IFERROR(__xludf.DUMMYFUNCTION("IF(W50="""","""",IFERROR(INDEX(FILTER('新規'!$P$3:$P$670, '新規'!$E$3:$E$670=W50),1),""""))"),"")</f>
        <v/>
      </c>
      <c r="AB50" s="590" t="str">
        <f>IFERROR(__xludf.DUMMYFUNCTION("IFERROR(FILTER('新規'!$E$3:$E$170, ('新規'!$B$3:$B$170=LOOKUP(2,1/($A$3:$A50&lt;&gt;""""),$A$3:$A50))*(('新規'!$A$3:$A$170=AB$1)+(('新規'!$G$3:$G$170=""毎月配信"")*(TEXT('新規'!$A$3:$A$170,""ddd"")=TEXT(AB$1, ""ddd""))))), """")"),"")</f>
        <v/>
      </c>
      <c r="AC50" s="8" t="str">
        <f t="array" ref="AC50">IFERROR(XLOOKUP(AB50, '新規'!$E:$E, '新規'!$F:$F, ""), "")</f>
        <v/>
      </c>
      <c r="AD50" s="8"/>
      <c r="AE50" s="8" t="str">
        <f>IFERROR(__xludf.DUMMYFUNCTION("IF(AB50="""","""",IFERROR(INDEX(FILTER('新規'!$O$3:$O$670, '新規'!$E$3:$E$670=AB50),1),""""))"),"")</f>
        <v/>
      </c>
      <c r="AF50" s="8" t="str">
        <f>IFERROR(__xludf.DUMMYFUNCTION("IF(AB50="""","""",IFERROR(INDEX(FILTER('新規'!$P$3:$P$670, '新規'!$E$3:$E$670=AB50),1),""""))"),"")</f>
        <v/>
      </c>
      <c r="AG50" s="590" t="str">
        <f>IFERROR(__xludf.DUMMYFUNCTION("IFERROR(FILTER('新規'!$E$3:$E$170, ('新規'!$B$3:$B$170=LOOKUP(2,1/($A$3:$A50&lt;&gt;""""),$A$3:$A50))*(('新規'!$A$3:$A$170=AG$1)+(('新規'!$G$3:$G$170=""毎月配信"")*(TEXT('新規'!$A$3:$A$170,""ddd"")=TEXT(AG$1, ""ddd""))))), """")"),"")</f>
        <v/>
      </c>
      <c r="AH50" s="8" t="str">
        <f t="array" ref="AH50">IFERROR(XLOOKUP(AG50, '新規'!$E:$E, '新規'!$F:$F, ""), "")</f>
        <v/>
      </c>
      <c r="AI50" s="8"/>
      <c r="AJ50" s="8" t="str">
        <f>IFERROR(__xludf.DUMMYFUNCTION("IF(AG50="""","""",IFERROR(INDEX(FILTER('新規'!$O$3:$O$670, '新規'!$E$3:$E$670=AG50),1),""""))"),"")</f>
        <v/>
      </c>
      <c r="AK50" s="8" t="str">
        <f>IFERROR(__xludf.DUMMYFUNCTION("IF(AG50="""","""",IFERROR(INDEX(FILTER('新規'!$P$3:$P$670, '新規'!$E$3:$E$670=AG50),1),""""))"),"")</f>
        <v/>
      </c>
    </row>
    <row r="51" ht="17.25" customHeight="1">
      <c r="A51" s="587"/>
      <c r="B51" s="588"/>
      <c r="C51" s="590"/>
      <c r="D51" s="8" t="str">
        <f t="array" ref="D51">IFERROR(XLOOKUP(C51, '新規'!$E:$E, '新規'!$F:$F, ""), "")</f>
        <v/>
      </c>
      <c r="E51" s="8"/>
      <c r="F51" s="8" t="str">
        <f t="array" ref="F51">IFERROR(XLOOKUP(C51, '新規'!$E:$E, '新規'!$O:$O, ""), "")</f>
        <v/>
      </c>
      <c r="G51" s="8" t="str">
        <f t="array" ref="G51">IFERROR(XLOOKUP(C51, '新規'!$E:$E, '新規'!$P:$P, ""), "")</f>
        <v/>
      </c>
      <c r="H51" s="590"/>
      <c r="I51" s="8" t="str">
        <f t="array" ref="I51">IFERROR(XLOOKUP(H51, '新規'!$E:$E, '新規'!$F:$F, ""), "")</f>
        <v/>
      </c>
      <c r="J51" s="8"/>
      <c r="K51" s="8" t="str">
        <f t="array" ref="K51">IFERROR(XLOOKUP(H51, '新規'!$E:$E, '新規'!$O:$O, ""), "")</f>
        <v/>
      </c>
      <c r="L51" s="8" t="str">
        <f t="array" ref="L51">IFERROR(XLOOKUP(H51, '新規'!$E:$E, '新規'!$P:$P, ""), "")</f>
        <v/>
      </c>
      <c r="M51" s="590"/>
      <c r="N51" s="8" t="str">
        <f t="array" ref="N51">IFERROR(XLOOKUP(M51, '新規'!$E:$E, '新規'!$F:$F, ""), "")</f>
        <v/>
      </c>
      <c r="O51" s="8"/>
      <c r="P51" s="8" t="str">
        <f t="array" ref="P51">IFERROR(XLOOKUP(M51, '新規'!$E:$E, '新規'!$O:$O, ""), "")</f>
        <v/>
      </c>
      <c r="Q51" s="8" t="str">
        <f t="array" ref="Q51">IFERROR(XLOOKUP(M51, '新規'!$E:$E, '新規'!$P:$P, ""), "")</f>
        <v/>
      </c>
      <c r="R51" s="590"/>
      <c r="S51" s="8" t="str">
        <f t="array" ref="S51">IFERROR(XLOOKUP(R51, '新規'!$E:$E, '新規'!$F:$F, ""), "")</f>
        <v/>
      </c>
      <c r="T51" s="8"/>
      <c r="U51" s="8" t="str">
        <f t="array" ref="U51">IFERROR(XLOOKUP(R51, '新規'!$E:$E, '新規'!$O:$O, ""), "")</f>
        <v/>
      </c>
      <c r="V51" s="8" t="str">
        <f t="array" ref="V51">IFERROR(XLOOKUP(R51, '新規'!$E:$E, '新規'!$P:$P, ""), "")</f>
        <v/>
      </c>
      <c r="W51" s="590"/>
      <c r="X51" s="8" t="str">
        <f t="array" ref="X51">IFERROR(XLOOKUP(W51, '新規'!$E:$E, '新規'!$F:$F, ""), "")</f>
        <v/>
      </c>
      <c r="Y51" s="8"/>
      <c r="Z51" s="8" t="str">
        <f t="array" ref="Z51">IFERROR(XLOOKUP(W51, '新規'!$E:$E, '新規'!$O:$O, ""), "")</f>
        <v/>
      </c>
      <c r="AA51" s="8" t="str">
        <f t="array" ref="AA51">IFERROR(XLOOKUP(W51, '新規'!$E:$E, '新規'!$P:$P, ""), "")</f>
        <v/>
      </c>
      <c r="AB51" s="590"/>
      <c r="AC51" s="8" t="str">
        <f t="array" ref="AC51">IFERROR(XLOOKUP(AB51, '新規'!$E:$E, '新規'!$F:$F, ""), "")</f>
        <v/>
      </c>
      <c r="AD51" s="8"/>
      <c r="AE51" s="8" t="str">
        <f t="array" ref="AE51">IFERROR(XLOOKUP(AB51, '新規'!$E:$E, '新規'!$O:$O, ""), "")</f>
        <v/>
      </c>
      <c r="AF51" s="8" t="str">
        <f t="array" ref="AF51">IFERROR(XLOOKUP(AB51, '新規'!$E:$E, '新規'!$P:$P, ""), "")</f>
        <v/>
      </c>
      <c r="AG51" s="590"/>
      <c r="AH51" s="8" t="str">
        <f t="array" ref="AH51">IFERROR(XLOOKUP(AG51, '新規'!$E:$E, '新規'!$F:$F, ""), "")</f>
        <v/>
      </c>
      <c r="AI51" s="8"/>
      <c r="AJ51" s="8" t="str">
        <f t="array" ref="AJ51">IFERROR(XLOOKUP(AG51, '新規'!$E:$E, '新規'!$O:$O, ""), "")</f>
        <v/>
      </c>
      <c r="AK51" s="8" t="str">
        <f t="array" ref="AK51">IFERROR(XLOOKUP(AG51, '新規'!$E:$E, '新規'!$P:$P, ""), "")</f>
        <v/>
      </c>
    </row>
    <row r="52" ht="17.25" customHeight="1">
      <c r="A52" s="587"/>
      <c r="B52" s="588"/>
      <c r="C52" s="590"/>
      <c r="D52" s="8" t="str">
        <f t="array" ref="D52">IFERROR(XLOOKUP(C52, '新規'!$E:$E, '新規'!$F:$F, ""), "")</f>
        <v/>
      </c>
      <c r="E52" s="8"/>
      <c r="F52" s="8" t="str">
        <f t="array" ref="F52">IFERROR(XLOOKUP(C52, '新規'!$E:$E, '新規'!$O:$O, ""), "")</f>
        <v/>
      </c>
      <c r="G52" s="8" t="str">
        <f t="array" ref="G52">IFERROR(XLOOKUP(C52, '新規'!$E:$E, '新規'!$P:$P, ""), "")</f>
        <v/>
      </c>
      <c r="H52" s="590"/>
      <c r="I52" s="8" t="str">
        <f t="array" ref="I52">IFERROR(XLOOKUP(H52, '新規'!$E:$E, '新規'!$F:$F, ""), "")</f>
        <v/>
      </c>
      <c r="J52" s="8"/>
      <c r="K52" s="8" t="str">
        <f t="array" ref="K52">IFERROR(XLOOKUP(H52, '新規'!$E:$E, '新規'!$O:$O, ""), "")</f>
        <v/>
      </c>
      <c r="L52" s="8" t="str">
        <f t="array" ref="L52">IFERROR(XLOOKUP(H52, '新規'!$E:$E, '新規'!$P:$P, ""), "")</f>
        <v/>
      </c>
      <c r="M52" s="590"/>
      <c r="N52" s="8" t="str">
        <f t="array" ref="N52">IFERROR(XLOOKUP(M52, '新規'!$E:$E, '新規'!$F:$F, ""), "")</f>
        <v/>
      </c>
      <c r="O52" s="8"/>
      <c r="P52" s="8" t="str">
        <f t="array" ref="P52">IFERROR(XLOOKUP(M52, '新規'!$E:$E, '新規'!$O:$O, ""), "")</f>
        <v/>
      </c>
      <c r="Q52" s="8" t="str">
        <f t="array" ref="Q52">IFERROR(XLOOKUP(M52, '新規'!$E:$E, '新規'!$P:$P, ""), "")</f>
        <v/>
      </c>
      <c r="R52" s="590"/>
      <c r="S52" s="8" t="str">
        <f t="array" ref="S52">IFERROR(XLOOKUP(R52, '新規'!$E:$E, '新規'!$F:$F, ""), "")</f>
        <v/>
      </c>
      <c r="T52" s="8"/>
      <c r="U52" s="8" t="str">
        <f t="array" ref="U52">IFERROR(XLOOKUP(R52, '新規'!$E:$E, '新規'!$O:$O, ""), "")</f>
        <v/>
      </c>
      <c r="V52" s="8" t="str">
        <f t="array" ref="V52">IFERROR(XLOOKUP(R52, '新規'!$E:$E, '新規'!$P:$P, ""), "")</f>
        <v/>
      </c>
      <c r="W52" s="590"/>
      <c r="X52" s="8" t="str">
        <f t="array" ref="X52">IFERROR(XLOOKUP(W52, '新規'!$E:$E, '新規'!$F:$F, ""), "")</f>
        <v/>
      </c>
      <c r="Y52" s="8"/>
      <c r="Z52" s="8" t="str">
        <f t="array" ref="Z52">IFERROR(XLOOKUP(W52, '新規'!$E:$E, '新規'!$O:$O, ""), "")</f>
        <v/>
      </c>
      <c r="AA52" s="8" t="str">
        <f t="array" ref="AA52">IFERROR(XLOOKUP(W52, '新規'!$E:$E, '新規'!$P:$P, ""), "")</f>
        <v/>
      </c>
      <c r="AB52" s="590"/>
      <c r="AC52" s="8" t="str">
        <f t="array" ref="AC52">IFERROR(XLOOKUP(AB52, '新規'!$E:$E, '新規'!$F:$F, ""), "")</f>
        <v/>
      </c>
      <c r="AD52" s="8"/>
      <c r="AE52" s="8" t="str">
        <f t="array" ref="AE52">IFERROR(XLOOKUP(AB52, '新規'!$E:$E, '新規'!$O:$O, ""), "")</f>
        <v/>
      </c>
      <c r="AF52" s="8" t="str">
        <f t="array" ref="AF52">IFERROR(XLOOKUP(AB52, '新規'!$E:$E, '新規'!$P:$P, ""), "")</f>
        <v/>
      </c>
      <c r="AG52" s="590"/>
      <c r="AH52" s="8" t="str">
        <f t="array" ref="AH52">IFERROR(XLOOKUP(AG52, '新規'!$E:$E, '新規'!$F:$F, ""), "")</f>
        <v/>
      </c>
      <c r="AI52" s="8"/>
      <c r="AJ52" s="8" t="str">
        <f t="array" ref="AJ52">IFERROR(XLOOKUP(AG52, '新規'!$E:$E, '新規'!$O:$O, ""), "")</f>
        <v/>
      </c>
      <c r="AK52" s="8" t="str">
        <f t="array" ref="AK52">IFERROR(XLOOKUP(AG52, '新規'!$E:$E, '新規'!$P:$P, ""), "")</f>
        <v/>
      </c>
    </row>
    <row r="53" ht="17.25" customHeight="1">
      <c r="A53" s="587"/>
      <c r="B53" s="588"/>
      <c r="C53" s="590"/>
      <c r="D53" s="8" t="str">
        <f t="array" ref="D53">IFERROR(XLOOKUP(C53, '新規'!$E:$E, '新規'!$F:$F, ""), "")</f>
        <v/>
      </c>
      <c r="E53" s="8"/>
      <c r="F53" s="8" t="str">
        <f t="array" ref="F53">IFERROR(XLOOKUP(C53, '新規'!$E:$E, '新規'!$O:$O, ""), "")</f>
        <v/>
      </c>
      <c r="G53" s="8" t="str">
        <f t="array" ref="G53">IFERROR(XLOOKUP(C53, '新規'!$E:$E, '新規'!$P:$P, ""), "")</f>
        <v/>
      </c>
      <c r="H53" s="590"/>
      <c r="I53" s="8" t="str">
        <f t="array" ref="I53">IFERROR(XLOOKUP(H53, '新規'!$E:$E, '新規'!$F:$F, ""), "")</f>
        <v/>
      </c>
      <c r="J53" s="8"/>
      <c r="K53" s="8" t="str">
        <f t="array" ref="K53">IFERROR(XLOOKUP(H53, '新規'!$E:$E, '新規'!$O:$O, ""), "")</f>
        <v/>
      </c>
      <c r="L53" s="8" t="str">
        <f t="array" ref="L53">IFERROR(XLOOKUP(H53, '新規'!$E:$E, '新規'!$P:$P, ""), "")</f>
        <v/>
      </c>
      <c r="M53" s="590"/>
      <c r="N53" s="8" t="str">
        <f t="array" ref="N53">IFERROR(XLOOKUP(M53, '新規'!$E:$E, '新規'!$F:$F, ""), "")</f>
        <v/>
      </c>
      <c r="O53" s="8"/>
      <c r="P53" s="8" t="str">
        <f t="array" ref="P53">IFERROR(XLOOKUP(M53, '新規'!$E:$E, '新規'!$O:$O, ""), "")</f>
        <v/>
      </c>
      <c r="Q53" s="8" t="str">
        <f t="array" ref="Q53">IFERROR(XLOOKUP(M53, '新規'!$E:$E, '新規'!$P:$P, ""), "")</f>
        <v/>
      </c>
      <c r="R53" s="590"/>
      <c r="S53" s="8" t="str">
        <f t="array" ref="S53">IFERROR(XLOOKUP(R53, '新規'!$E:$E, '新規'!$F:$F, ""), "")</f>
        <v/>
      </c>
      <c r="T53" s="8"/>
      <c r="U53" s="8" t="str">
        <f t="array" ref="U53">IFERROR(XLOOKUP(R53, '新規'!$E:$E, '新規'!$O:$O, ""), "")</f>
        <v/>
      </c>
      <c r="V53" s="8" t="str">
        <f t="array" ref="V53">IFERROR(XLOOKUP(R53, '新規'!$E:$E, '新規'!$P:$P, ""), "")</f>
        <v/>
      </c>
      <c r="W53" s="590"/>
      <c r="X53" s="8" t="str">
        <f t="array" ref="X53">IFERROR(XLOOKUP(W53, '新規'!$E:$E, '新規'!$F:$F, ""), "")</f>
        <v/>
      </c>
      <c r="Y53" s="8"/>
      <c r="Z53" s="8" t="str">
        <f t="array" ref="Z53">IFERROR(XLOOKUP(W53, '新規'!$E:$E, '新規'!$O:$O, ""), "")</f>
        <v/>
      </c>
      <c r="AA53" s="8" t="str">
        <f t="array" ref="AA53">IFERROR(XLOOKUP(W53, '新規'!$E:$E, '新規'!$P:$P, ""), "")</f>
        <v/>
      </c>
      <c r="AB53" s="590"/>
      <c r="AC53" s="8" t="str">
        <f t="array" ref="AC53">IFERROR(XLOOKUP(AB53, '新規'!$E:$E, '新規'!$F:$F, ""), "")</f>
        <v/>
      </c>
      <c r="AD53" s="8"/>
      <c r="AE53" s="8" t="str">
        <f t="array" ref="AE53">IFERROR(XLOOKUP(AB53, '新規'!$E:$E, '新規'!$O:$O, ""), "")</f>
        <v/>
      </c>
      <c r="AF53" s="8" t="str">
        <f t="array" ref="AF53">IFERROR(XLOOKUP(AB53, '新規'!$E:$E, '新規'!$P:$P, ""), "")</f>
        <v/>
      </c>
      <c r="AG53" s="590"/>
      <c r="AH53" s="8" t="str">
        <f t="array" ref="AH53">IFERROR(XLOOKUP(AG53, '新規'!$E:$E, '新規'!$F:$F, ""), "")</f>
        <v/>
      </c>
      <c r="AI53" s="8"/>
      <c r="AJ53" s="8" t="str">
        <f t="array" ref="AJ53">IFERROR(XLOOKUP(AG53, '新規'!$E:$E, '新規'!$O:$O, ""), "")</f>
        <v/>
      </c>
      <c r="AK53" s="8" t="str">
        <f t="array" ref="AK53">IFERROR(XLOOKUP(AG53, '新規'!$E:$E, '新規'!$P:$P, ""), "")</f>
        <v/>
      </c>
    </row>
    <row r="54" ht="17.25" customHeight="1">
      <c r="A54" s="587"/>
      <c r="B54" s="592"/>
      <c r="C54" s="590"/>
      <c r="D54" s="593" t="str">
        <f>IFERROR(__xludf.DUMMYFUNCTION("IF(C54="""","""",IFERROR(INDEX(FILTER('特殊配信マスタ'!$F$3:$F$16,('特殊配信マスタ'!$A$3:$A$16=CHOOSE(WEEKDAY(C$1),""日"",""月"",""火"",""水"",""木"",""金"",""土""))*('特殊配信マスタ'!$B$3:$B$16=A$3)*('特殊配信マスタ'!$R$3:$R$16=MOD(INT((C$1-'特殊配信マスタ'!$A$1)/7),3)+1)),1),""""))"),"")</f>
        <v/>
      </c>
      <c r="E54" s="590"/>
      <c r="F54" s="593" t="str">
        <f>IFERROR(__xludf.DUMMYFUNCTION("IF(C54="""","""",IFERROR(INDEX(FILTER('特殊配信マスタ'!$O$3:$O$16,('特殊配信マスタ'!$A$3:$A$16=CHOOSE(WEEKDAY(C$1),""日"",""月"",""火"",""水"",""木"",""金"",""土""))*('特殊配信マスタ'!$B$3:$B$16=A$3)*('特殊配信マスタ'!$R$3:$R$16=MOD(INT((C$1-'特殊配信マスタ'!$A$1)/7),3)+1)),1),""""))"),"")</f>
        <v/>
      </c>
      <c r="G54" s="593" t="str">
        <f>IFERROR(__xludf.DUMMYFUNCTION("IF(C54="""","""",IFERROR(INDEX(FILTER('特殊配信マスタ'!$P$3:$P$16,('特殊配信マスタ'!$A$3:$A$16=CHOOSE(WEEKDAY(C$1),""日"",""月"",""火"",""水"",""木"",""金"",""土""))*('特殊配信マスタ'!$B$3:$B$16=A$3)*('特殊配信マスタ'!$R$3:$R$16=MOD(INT((C$1-'特殊配信マスタ'!$A$1)/7),3)+1)),1),""""))"),"")</f>
        <v/>
      </c>
      <c r="H54" s="590"/>
      <c r="I54" s="593" t="str">
        <f>IFERROR(__xludf.DUMMYFUNCTION("IF(H54="""","""",IFERROR(INDEX(FILTER('特殊配信マスタ'!$F$3:$F$16,('特殊配信マスタ'!$A$3:$A$16=CHOOSE(WEEKDAY(H$1),""日"",""月"",""火"",""水"",""木"",""金"",""土""))*('特殊配信マスタ'!$B$3:$B$16=F$3)*('特殊配信マスタ'!$R$3:$R$16=MOD(INT((H$1-'特殊配信マスタ'!$A$1)/7),3)+1)),1),""""))"),"")</f>
        <v/>
      </c>
      <c r="J54" s="590"/>
      <c r="K54" s="593" t="str">
        <f>IFERROR(__xludf.DUMMYFUNCTION("IF(H54="""","""",IFERROR(INDEX(FILTER('特殊配信マスタ'!$O$3:$O$16,('特殊配信マスタ'!$A$3:$A$16=CHOOSE(WEEKDAY(H$1),""日"",""月"",""火"",""水"",""木"",""金"",""土""))*('特殊配信マスタ'!$B$3:$B$16=F$3)*('特殊配信マスタ'!$R$3:$R$16=MOD(INT((H$1-'特殊配信マスタ'!$A$1)/7),3)+1)),1),""""))"),"")</f>
        <v/>
      </c>
      <c r="L54" s="593" t="str">
        <f>IFERROR(__xludf.DUMMYFUNCTION("IF(H54="""","""",IFERROR(INDEX(FILTER('特殊配信マスタ'!$P$3:$P$16,('特殊配信マスタ'!$A$3:$A$16=CHOOSE(WEEKDAY(H$1),""日"",""月"",""火"",""水"",""木"",""金"",""土""))*('特殊配信マスタ'!$B$3:$B$16=F$3)*('特殊配信マスタ'!$R$3:$R$16=MOD(INT((H$1-'特殊配信マスタ'!$A$1)/7),3)+1)),1),""""))"),"")</f>
        <v/>
      </c>
      <c r="M54" s="590"/>
      <c r="N54" s="593" t="str">
        <f>IFERROR(__xludf.DUMMYFUNCTION("IF(M54="""","""",IFERROR(INDEX(FILTER('特殊配信マスタ'!$F$3:$F$16,('特殊配信マスタ'!$A$3:$A$16=CHOOSE(WEEKDAY(M$1),""日"",""月"",""火"",""水"",""木"",""金"",""土""))*('特殊配信マスタ'!$B$3:$B$16=K$3)*('特殊配信マスタ'!$R$3:$R$16=MOD(INT((M$1-'特殊配信マスタ'!$A$1)/7),3)+1)),1),""""))"),"")</f>
        <v/>
      </c>
      <c r="O54" s="590"/>
      <c r="P54" s="593" t="str">
        <f>IFERROR(__xludf.DUMMYFUNCTION("IF(M54="""","""",IFERROR(INDEX(FILTER('特殊配信マスタ'!$O$3:$O$16,('特殊配信マスタ'!$A$3:$A$16=CHOOSE(WEEKDAY(M$1),""日"",""月"",""火"",""水"",""木"",""金"",""土""))*('特殊配信マスタ'!$B$3:$B$16=K$3)*('特殊配信マスタ'!$R$3:$R$16=MOD(INT((M$1-'特殊配信マスタ'!$A$1)/7),3)+1)),1),""""))"),"")</f>
        <v/>
      </c>
      <c r="Q54" s="593" t="str">
        <f>IFERROR(__xludf.DUMMYFUNCTION("IF(M54="""","""",IFERROR(INDEX(FILTER('特殊配信マスタ'!$P$3:$P$16,('特殊配信マスタ'!$A$3:$A$16=CHOOSE(WEEKDAY(M$1),""日"",""月"",""火"",""水"",""木"",""金"",""土""))*('特殊配信マスタ'!$B$3:$B$16=K$3)*('特殊配信マスタ'!$R$3:$R$16=MOD(INT((M$1-'特殊配信マスタ'!$A$1)/7),3)+1)),1),""""))"),"")</f>
        <v/>
      </c>
      <c r="R54" s="590"/>
      <c r="S54" s="593" t="str">
        <f>IFERROR(__xludf.DUMMYFUNCTION("IF(R54="""","""",IFERROR(INDEX(FILTER('特殊配信マスタ'!$F$3:$F$16,('特殊配信マスタ'!$A$3:$A$16=CHOOSE(WEEKDAY(R$1),""日"",""月"",""火"",""水"",""木"",""金"",""土""))*('特殊配信マスタ'!$B$3:$B$16=P$3)*('特殊配信マスタ'!$R$3:$R$16=MOD(INT((R$1-'特殊配信マスタ'!$A$1)/7),3)+1)),1),""""))"),"")</f>
        <v/>
      </c>
      <c r="T54" s="590"/>
      <c r="U54" s="593" t="str">
        <f>IFERROR(__xludf.DUMMYFUNCTION("IF(R54="""","""",IFERROR(INDEX(FILTER('特殊配信マスタ'!$O$3:$O$16,('特殊配信マスタ'!$A$3:$A$16=CHOOSE(WEEKDAY(R$1),""日"",""月"",""火"",""水"",""木"",""金"",""土""))*('特殊配信マスタ'!$B$3:$B$16=P$3)*('特殊配信マスタ'!$R$3:$R$16=MOD(INT((R$1-'特殊配信マスタ'!$A$1)/7),3)+1)),1),""""))"),"")</f>
        <v/>
      </c>
      <c r="V54" s="593" t="str">
        <f>IFERROR(__xludf.DUMMYFUNCTION("IF(R54="""","""",IFERROR(INDEX(FILTER('特殊配信マスタ'!$P$3:$P$16,('特殊配信マスタ'!$A$3:$A$16=CHOOSE(WEEKDAY(R$1),""日"",""月"",""火"",""水"",""木"",""金"",""土""))*('特殊配信マスタ'!$B$3:$B$16=P$3)*('特殊配信マスタ'!$R$3:$R$16=MOD(INT((R$1-'特殊配信マスタ'!$A$1)/7),3)+1)),1),""""))"),"")</f>
        <v/>
      </c>
      <c r="W54" s="590"/>
      <c r="X54" s="593" t="str">
        <f>IFERROR(__xludf.DUMMYFUNCTION("IF(W54="""","""",IFERROR(INDEX(FILTER('特殊配信マスタ'!$F$3:$F$16,('特殊配信マスタ'!$A$3:$A$16=CHOOSE(WEEKDAY(W$1),""日"",""月"",""火"",""水"",""木"",""金"",""土""))*('特殊配信マスタ'!$B$3:$B$16=U$3)*('特殊配信マスタ'!$R$3:$R$16=MOD(INT((W$1-'特殊配信マスタ'!$A$1)/7),3)+1)),1),""""))"),"")</f>
        <v/>
      </c>
      <c r="Y54" s="590"/>
      <c r="Z54" s="593" t="str">
        <f>IFERROR(__xludf.DUMMYFUNCTION("IF(W54="""","""",IFERROR(INDEX(FILTER('特殊配信マスタ'!$O$3:$O$16,('特殊配信マスタ'!$A$3:$A$16=CHOOSE(WEEKDAY(W$1),""日"",""月"",""火"",""水"",""木"",""金"",""土""))*('特殊配信マスタ'!$B$3:$B$16=U$3)*('特殊配信マスタ'!$R$3:$R$16=MOD(INT((W$1-'特殊配信マスタ'!$A$1)/7),3)+1)),1),""""))"),"")</f>
        <v/>
      </c>
      <c r="AA54" s="593" t="str">
        <f>IFERROR(__xludf.DUMMYFUNCTION("IF(W54="""","""",IFERROR(INDEX(FILTER('特殊配信マスタ'!$P$3:$P$16,('特殊配信マスタ'!$A$3:$A$16=CHOOSE(WEEKDAY(W$1),""日"",""月"",""火"",""水"",""木"",""金"",""土""))*('特殊配信マスタ'!$B$3:$B$16=U$3)*('特殊配信マスタ'!$R$3:$R$16=MOD(INT((W$1-'特殊配信マスタ'!$A$1)/7),3)+1)),1),""""))"),"")</f>
        <v/>
      </c>
      <c r="AB54" s="590"/>
      <c r="AC54" s="593" t="str">
        <f>IFERROR(__xludf.DUMMYFUNCTION("IF(AB54="""","""",IFERROR(INDEX(FILTER('特殊配信マスタ'!$F$3:$F$16,('特殊配信マスタ'!$A$3:$A$16=CHOOSE(WEEKDAY(AB$1),""日"",""月"",""火"",""水"",""木"",""金"",""土""))*('特殊配信マスタ'!$B$3:$B$16=Z$3)*('特殊配信マスタ'!$R$3:$R$16=MOD(INT((AB$1-'特殊配信マスタ'!$A$1)/7),3)+1)),1),""""))"),"")</f>
        <v/>
      </c>
      <c r="AD54" s="590"/>
      <c r="AE54" s="593" t="str">
        <f>IFERROR(__xludf.DUMMYFUNCTION("IF(AB54="""","""",IFERROR(INDEX(FILTER('特殊配信マスタ'!$O$3:$O$16,('特殊配信マスタ'!$A$3:$A$16=CHOOSE(WEEKDAY(AB$1),""日"",""月"",""火"",""水"",""木"",""金"",""土""))*('特殊配信マスタ'!$B$3:$B$16=Z$3)*('特殊配信マスタ'!$R$3:$R$16=MOD(INT((AB$1-'特殊配信マスタ'!$A$1)/7),3)+1)),1),""""))"),"")</f>
        <v/>
      </c>
      <c r="AF54" s="593" t="str">
        <f>IFERROR(__xludf.DUMMYFUNCTION("IF(AB54="""","""",IFERROR(INDEX(FILTER('特殊配信マスタ'!$P$3:$P$16,('特殊配信マスタ'!$A$3:$A$16=CHOOSE(WEEKDAY(AB$1),""日"",""月"",""火"",""水"",""木"",""金"",""土""))*('特殊配信マスタ'!$B$3:$B$16=Z$3)*('特殊配信マスタ'!$R$3:$R$16=MOD(INT((AB$1-'特殊配信マスタ'!$A$1)/7),3)+1)),1),""""))"),"")</f>
        <v/>
      </c>
      <c r="AG54" s="590"/>
      <c r="AH54" s="593" t="str">
        <f>IFERROR(__xludf.DUMMYFUNCTION("IF(AG54="""","""",IFERROR(INDEX(FILTER('特殊配信マスタ'!$F$3:$F$16,('特殊配信マスタ'!$A$3:$A$16=CHOOSE(WEEKDAY(AG$1),""日"",""月"",""火"",""水"",""木"",""金"",""土""))*('特殊配信マスタ'!$B$3:$B$16=AE$3)*('特殊配信マスタ'!$R$3:$R$16=MOD(INT((AG$1-'特殊配信マスタ'!$A$1)/7),3)+1)),1),""""))"),"")</f>
        <v/>
      </c>
      <c r="AI54" s="590"/>
      <c r="AJ54" s="593" t="str">
        <f>IFERROR(__xludf.DUMMYFUNCTION("IF(AG54="""","""",IFERROR(INDEX(FILTER('特殊配信マスタ'!$O$3:$O$16,('特殊配信マスタ'!$A$3:$A$16=CHOOSE(WEEKDAY(AG$1),""日"",""月"",""火"",""水"",""木"",""金"",""土""))*('特殊配信マスタ'!$B$3:$B$16=AE$3)*('特殊配信マスタ'!$R$3:$R$16=MOD(INT((AG$1-'特殊配信マスタ'!$A$1)/7),3)+1)),1),""""))"),"")</f>
        <v/>
      </c>
      <c r="AK54" s="593" t="str">
        <f>IFERROR(__xludf.DUMMYFUNCTION("IF(AG54="""","""",IFERROR(INDEX(FILTER('特殊配信マスタ'!$P$3:$P$16,('特殊配信マスタ'!$A$3:$A$16=CHOOSE(WEEKDAY(AG$1),""日"",""月"",""火"",""水"",""木"",""金"",""土""))*('特殊配信マスタ'!$B$3:$B$16=AE$3)*('特殊配信マスタ'!$R$3:$R$16=MOD(INT((AG$1-'特殊配信マスタ'!$A$1)/7),3)+1)),1),""""))"),"")</f>
        <v/>
      </c>
    </row>
    <row r="55" ht="17.25" customHeight="1">
      <c r="A55" s="587"/>
      <c r="B55" s="585" t="s">
        <v>1451</v>
      </c>
      <c r="C55" s="590" t="str">
        <f>IFERROR(__xludf.DUMMYFUNCTION("IFERROR(INDEX(FILTER('特殊配信マスタ'!$E$3:$E$16, (TEXT('特殊配信マスタ'!$A$3:$A$16,""ddd"")=TEXT(C$1,""ddd""))*(IFERROR(VALUE('特殊配信マスタ'!$B$3:$B$16),0)=VALUE(LOOKUP(2,1/($A$3:$A55&lt;&gt;""""),$A$3:$A55)))*('特殊配信マスタ'!$Q$3:$Q$16&lt;&gt;TRUE)), 1), """")"),"")</f>
        <v/>
      </c>
      <c r="D55" s="593" t="str">
        <f>IFERROR(__xludf.DUMMYFUNCTION("IF(C55="""","""",IFERROR(INDEX(FILTER('特殊配信マスタ'!$F$3:$F$16,('特殊配信マスタ'!$A$3:$A$16=CHOOSE(WEEKDAY(C$1),""日"",""月"",""火"",""水"",""木"",""金"",""土""))*('特殊配信マスタ'!$B$3:$B$16=A$3)*('特殊配信マスタ'!$R$3:$R$16=MOD(INT((C$1-'特殊配信マスタ'!$A$1)/7),3)+1)),1),""""))"),"")</f>
        <v/>
      </c>
      <c r="E55" s="590"/>
      <c r="F55" s="593" t="str">
        <f>IFERROR(__xludf.DUMMYFUNCTION("IF(C55="""","""",IFERROR(INDEX(FILTER('特殊配信マスタ'!$O$3:$O$16, '特殊配信マスタ'!$E$3:$E$16=C55),1),""""))"),"")</f>
        <v/>
      </c>
      <c r="G55" s="593" t="str">
        <f>IFERROR(__xludf.DUMMYFUNCTION("IF(C55="""","""",IFERROR(INDEX(FILTER('特殊配信マスタ'!$P$3:$P$16, '特殊配信マスタ'!$E$3:$E$16=C55),1),""""))"),"")</f>
        <v/>
      </c>
      <c r="H55" s="590" t="str">
        <f>IFERROR(__xludf.DUMMYFUNCTION("IFERROR(INDEX(FILTER('特殊配信マスタ'!$E$3:$E$16, (TEXT('特殊配信マスタ'!$A$3:$A$16,""ddd"")=TEXT(H$1,""ddd""))*(IFERROR(VALUE('特殊配信マスタ'!$B$3:$B$16),0)=VALUE(LOOKUP(2,1/($A$3:$A55&lt;&gt;""""),$A$3:$A55)))*('特殊配信マスタ'!$Q$3:$Q$16&lt;&gt;TRUE)), 1), """")"),"")</f>
        <v/>
      </c>
      <c r="I55" s="593" t="str">
        <f>IFERROR(__xludf.DUMMYFUNCTION("IF(H55="""","""",IFERROR(INDEX(FILTER('特殊配信マスタ'!$F$3:$F$16,('特殊配信マスタ'!$A$3:$A$16=CHOOSE(WEEKDAY(H$1),""日"",""月"",""火"",""水"",""木"",""金"",""土""))*('特殊配信マスタ'!$B$3:$B$16=F$3)*('特殊配信マスタ'!$R$3:$R$16=MOD(INT((H$1-'特殊配信マスタ'!$A$1)/7),3)+1)),1),""""))"),"")</f>
        <v/>
      </c>
      <c r="J55" s="590"/>
      <c r="K55" s="593" t="str">
        <f>IFERROR(__xludf.DUMMYFUNCTION("IF(H55="""","""",IFERROR(INDEX(FILTER('特殊配信マスタ'!$O$3:$O$16, '特殊配信マスタ'!$E$3:$E$16=H55),1),""""))"),"")</f>
        <v/>
      </c>
      <c r="L55" s="593" t="str">
        <f>IFERROR(__xludf.DUMMYFUNCTION("IF(H55="""","""",IFERROR(INDEX(FILTER('特殊配信マスタ'!$P$3:$P$16, '特殊配信マスタ'!$E$3:$E$16=H55),1),""""))"),"")</f>
        <v/>
      </c>
      <c r="M55" s="590" t="str">
        <f>IFERROR(__xludf.DUMMYFUNCTION("IFERROR(INDEX(FILTER('特殊配信マスタ'!$E$3:$E$16, (TEXT('特殊配信マスタ'!$A$3:$A$16,""ddd"")=TEXT(M$1,""ddd""))*(IFERROR(VALUE('特殊配信マスタ'!$B$3:$B$16),0)=VALUE(LOOKUP(2,1/($A$3:$A55&lt;&gt;""""),$A$3:$A55)))*('特殊配信マスタ'!$Q$3:$Q$16&lt;&gt;TRUE)), 1), """")"),"")</f>
        <v/>
      </c>
      <c r="N55" s="593" t="str">
        <f>IFERROR(__xludf.DUMMYFUNCTION("IF(M55="""","""",IFERROR(INDEX(FILTER('特殊配信マスタ'!$F$3:$F$16,('特殊配信マスタ'!$A$3:$A$16=CHOOSE(WEEKDAY(M$1),""日"",""月"",""火"",""水"",""木"",""金"",""土""))*('特殊配信マスタ'!$B$3:$B$16=K$3)*('特殊配信マスタ'!$R$3:$R$16=MOD(INT((M$1-'特殊配信マスタ'!$A$1)/7),3)+1)),1),""""))"),"")</f>
        <v/>
      </c>
      <c r="O55" s="590"/>
      <c r="P55" s="593" t="str">
        <f>IFERROR(__xludf.DUMMYFUNCTION("IF(M55="""","""",IFERROR(INDEX(FILTER('特殊配信マスタ'!$O$3:$O$16, '特殊配信マスタ'!$E$3:$E$16=M55),1),""""))"),"")</f>
        <v/>
      </c>
      <c r="Q55" s="593" t="str">
        <f>IFERROR(__xludf.DUMMYFUNCTION("IF(M55="""","""",IFERROR(INDEX(FILTER('特殊配信マスタ'!$P$3:$P$16, '特殊配信マスタ'!$E$3:$E$16=M55),1),""""))"),"")</f>
        <v/>
      </c>
      <c r="R55" s="590" t="str">
        <f>IFERROR(__xludf.DUMMYFUNCTION("IFERROR(INDEX(FILTER('特殊配信マスタ'!$E$3:$E$16, (TEXT('特殊配信マスタ'!$A$3:$A$16,""ddd"")=TEXT(R$1,""ddd""))*(IFERROR(VALUE('特殊配信マスタ'!$B$3:$B$16),0)=VALUE(LOOKUP(2,1/($A$3:$A55&lt;&gt;""""),$A$3:$A55)))*('特殊配信マスタ'!$Q$3:$Q$16&lt;&gt;TRUE)), 1), """")"),"")</f>
        <v/>
      </c>
      <c r="S55" s="593" t="str">
        <f>IFERROR(__xludf.DUMMYFUNCTION("IF(R55="""","""",IFERROR(INDEX(FILTER('特殊配信マスタ'!$F$3:$F$16,('特殊配信マスタ'!$A$3:$A$16=CHOOSE(WEEKDAY(R$1),""日"",""月"",""火"",""水"",""木"",""金"",""土""))*('特殊配信マスタ'!$B$3:$B$16=P$3)*('特殊配信マスタ'!$R$3:$R$16=MOD(INT((R$1-'特殊配信マスタ'!$A$1)/7),3)+1)),1),""""))"),"")</f>
        <v/>
      </c>
      <c r="T55" s="590"/>
      <c r="U55" s="593" t="str">
        <f>IFERROR(__xludf.DUMMYFUNCTION("IF(R55="""","""",IFERROR(INDEX(FILTER('特殊配信マスタ'!$O$3:$O$16, '特殊配信マスタ'!$E$3:$E$16=R55),1),""""))"),"")</f>
        <v/>
      </c>
      <c r="V55" s="593" t="str">
        <f>IFERROR(__xludf.DUMMYFUNCTION("IF(R55="""","""",IFERROR(INDEX(FILTER('特殊配信マスタ'!$P$3:$P$16, '特殊配信マスタ'!$E$3:$E$16=R55),1),""""))"),"")</f>
        <v/>
      </c>
      <c r="W55" s="590" t="str">
        <f>IFERROR(__xludf.DUMMYFUNCTION("IFERROR(INDEX(FILTER('特殊配信マスタ'!$E$3:$E$16, (TEXT('特殊配信マスタ'!$A$3:$A$16,""ddd"")=TEXT(W$1,""ddd""))*(IFERROR(VALUE('特殊配信マスタ'!$B$3:$B$16),0)=VALUE(LOOKUP(2,1/($A$3:$A55&lt;&gt;""""),$A$3:$A55)))*('特殊配信マスタ'!$Q$3:$Q$16&lt;&gt;TRUE)), 1), """")"),"")</f>
        <v/>
      </c>
      <c r="X55" s="593" t="str">
        <f>IFERROR(__xludf.DUMMYFUNCTION("IF(W55="""","""",IFERROR(INDEX(FILTER('特殊配信マスタ'!$F$3:$F$16,('特殊配信マスタ'!$A$3:$A$16=CHOOSE(WEEKDAY(W$1),""日"",""月"",""火"",""水"",""木"",""金"",""土""))*('特殊配信マスタ'!$B$3:$B$16=U$3)*('特殊配信マスタ'!$R$3:$R$16=MOD(INT((W$1-'特殊配信マスタ'!$A$1)/7),3)+1)),1),""""))"),"")</f>
        <v/>
      </c>
      <c r="Y55" s="590"/>
      <c r="Z55" s="593" t="str">
        <f>IFERROR(__xludf.DUMMYFUNCTION("IF(W55="""","""",IFERROR(INDEX(FILTER('特殊配信マスタ'!$O$3:$O$16, '特殊配信マスタ'!$E$3:$E$16=W55),1),""""))"),"")</f>
        <v/>
      </c>
      <c r="AA55" s="593" t="str">
        <f>IFERROR(__xludf.DUMMYFUNCTION("IF(W55="""","""",IFERROR(INDEX(FILTER('特殊配信マスタ'!$P$3:$P$16, '特殊配信マスタ'!$E$3:$E$16=W55),1),""""))"),"")</f>
        <v/>
      </c>
      <c r="AB55" s="590" t="str">
        <f>IFERROR(__xludf.DUMMYFUNCTION("IFERROR(INDEX(FILTER('特殊配信マスタ'!$E$3:$E$16, (TEXT('特殊配信マスタ'!$A$3:$A$16,""ddd"")=TEXT(AB$1,""ddd""))*(IFERROR(VALUE('特殊配信マスタ'!$B$3:$B$16),0)=VALUE(LOOKUP(2,1/($A$3:$A55&lt;&gt;""""),$A$3:$A55)))*('特殊配信マスタ'!$Q$3:$Q$16&lt;&gt;TRUE)), 1), """")"),"")</f>
        <v/>
      </c>
      <c r="AC55" s="593" t="str">
        <f>IFERROR(__xludf.DUMMYFUNCTION("IF(AB55="""","""",IFERROR(INDEX(FILTER('特殊配信マスタ'!$F$3:$F$16,('特殊配信マスタ'!$A$3:$A$16=CHOOSE(WEEKDAY(AB$1),""日"",""月"",""火"",""水"",""木"",""金"",""土""))*('特殊配信マスタ'!$B$3:$B$16=Z$3)*('特殊配信マスタ'!$R$3:$R$16=MOD(INT((AB$1-'特殊配信マスタ'!$A$1)/7),3)+1)),1),""""))"),"")</f>
        <v/>
      </c>
      <c r="AD55" s="590"/>
      <c r="AE55" s="593" t="str">
        <f>IFERROR(__xludf.DUMMYFUNCTION("IF(AB55="""","""",IFERROR(INDEX(FILTER('特殊配信マスタ'!$O$3:$O$16, '特殊配信マスタ'!$E$3:$E$16=AB55),1),""""))"),"")</f>
        <v/>
      </c>
      <c r="AF55" s="593" t="str">
        <f>IFERROR(__xludf.DUMMYFUNCTION("IF(AB55="""","""",IFERROR(INDEX(FILTER('特殊配信マスタ'!$P$3:$P$16, '特殊配信マスタ'!$E$3:$E$16=AB55),1),""""))"),"")</f>
        <v/>
      </c>
      <c r="AG55" s="590" t="str">
        <f>IFERROR(__xludf.DUMMYFUNCTION("IFERROR(INDEX(FILTER('特殊配信マスタ'!$E$3:$E$16, (TEXT('特殊配信マスタ'!$A$3:$A$16,""ddd"")=TEXT(AG$1,""ddd""))*(IFERROR(VALUE('特殊配信マスタ'!$B$3:$B$16),0)=VALUE(LOOKUP(2,1/($A$3:$A55&lt;&gt;""""),$A$3:$A55)))*('特殊配信マスタ'!$Q$3:$Q$16&lt;&gt;TRUE)), 1), """")"),"")</f>
        <v/>
      </c>
      <c r="AH55" s="593" t="str">
        <f>IFERROR(__xludf.DUMMYFUNCTION("IF(AG55="""","""",IFERROR(INDEX(FILTER('特殊配信マスタ'!$F$3:$F$16,('特殊配信マスタ'!$A$3:$A$16=CHOOSE(WEEKDAY(AG$1),""日"",""月"",""火"",""水"",""木"",""金"",""土""))*('特殊配信マスタ'!$B$3:$B$16=AE$3)*('特殊配信マスタ'!$R$3:$R$16=MOD(INT((AG$1-'特殊配信マスタ'!$A$1)/7),3)+1)),1),""""))"),"")</f>
        <v/>
      </c>
      <c r="AI55" s="590"/>
      <c r="AJ55" s="593" t="str">
        <f>IFERROR(__xludf.DUMMYFUNCTION("IF(AG55="""","""",IFERROR(INDEX(FILTER('特殊配信マスタ'!$O$3:$O$16, '特殊配信マスタ'!$E$3:$E$16=AG55),1),""""))"),"")</f>
        <v/>
      </c>
      <c r="AK55" s="593" t="str">
        <f>IFERROR(__xludf.DUMMYFUNCTION("IF(AG55="""","""",IFERROR(INDEX(FILTER('特殊配信マスタ'!$P$3:$P$16, '特殊配信マスタ'!$E$3:$E$16=AG55),1),""""))"),"")</f>
        <v/>
      </c>
    </row>
    <row r="56" ht="17.25" customHeight="1">
      <c r="A56" s="587"/>
      <c r="B56" s="588"/>
      <c r="C56" s="590" t="str">
        <f>IFERROR(__xludf.DUMMYFUNCTION("IFERROR(INDEX(FILTER('特殊配信マスタ'!$E$3:$E$16, (TEXT('特殊配信マスタ'!$A$3:$A$16,""ddd"")=TEXT(C$1,""ddd""))*(IFERROR(VALUE('特殊配信マスタ'!$B$3:$B$16),0)=VALUE(LOOKUP(2,1/($A$3:$A56&lt;&gt;""""),$A$3:$A56)))*('特殊配信マスタ'!$Q$3:$Q$16&lt;&gt;TRUE)), 2), """")"),"")</f>
        <v/>
      </c>
      <c r="D56" s="593" t="str">
        <f>IFERROR(__xludf.DUMMYFUNCTION("IF(C56="""","""",IFERROR(INDEX(FILTER('特殊配信マスタ'!$F$3:$F$16,('特殊配信マスタ'!$A$3:$A$16=CHOOSE(WEEKDAY(C$1),""日"",""月"",""火"",""水"",""木"",""金"",""土""))*('特殊配信マスタ'!$B$3:$B$16=A$3)*('特殊配信マスタ'!$R$3:$R$16=MOD(INT((C$1-'特殊配信マスタ'!$A$1)/7),3)+1)),1),""""))"),"")</f>
        <v/>
      </c>
      <c r="E56" s="590"/>
      <c r="F56" s="593" t="str">
        <f>IFERROR(__xludf.DUMMYFUNCTION("IF(C56="""","""",IFERROR(INDEX(FILTER('特殊配信マスタ'!$O$3:$O$16, '特殊配信マスタ'!$E$3:$E$16=C56),1),""""))"),"")</f>
        <v/>
      </c>
      <c r="G56" s="593" t="str">
        <f>IFERROR(__xludf.DUMMYFUNCTION("IF(C56="""","""",IFERROR(INDEX(FILTER('特殊配信マスタ'!$P$3:$P$16, '特殊配信マスタ'!$E$3:$E$16=C56),1),""""))"),"")</f>
        <v/>
      </c>
      <c r="H56" s="590" t="str">
        <f>IFERROR(__xludf.DUMMYFUNCTION("IFERROR(INDEX(FILTER('特殊配信マスタ'!$E$3:$E$16, (TEXT('特殊配信マスタ'!$A$3:$A$16,""ddd"")=TEXT(H$1,""ddd""))*(IFERROR(VALUE('特殊配信マスタ'!$B$3:$B$16),0)=VALUE(LOOKUP(2,1/($A$3:$A56&lt;&gt;""""),$A$3:$A56)))*('特殊配信マスタ'!$Q$3:$Q$16&lt;&gt;TRUE)), 2), """")"),"")</f>
        <v/>
      </c>
      <c r="I56" s="593" t="str">
        <f>IFERROR(__xludf.DUMMYFUNCTION("IF(H56="""","""",IFERROR(INDEX(FILTER('特殊配信マスタ'!$F$3:$F$16,('特殊配信マスタ'!$A$3:$A$16=CHOOSE(WEEKDAY(H$1),""日"",""月"",""火"",""水"",""木"",""金"",""土""))*('特殊配信マスタ'!$B$3:$B$16=F$3)*('特殊配信マスタ'!$R$3:$R$16=MOD(INT((H$1-'特殊配信マスタ'!$A$1)/7),3)+1)),1),""""))"),"")</f>
        <v/>
      </c>
      <c r="J56" s="590"/>
      <c r="K56" s="593" t="str">
        <f>IFERROR(__xludf.DUMMYFUNCTION("IF(H56="""","""",IFERROR(INDEX(FILTER('特殊配信マスタ'!$O$3:$O$16, '特殊配信マスタ'!$E$3:$E$16=H56),1),""""))"),"")</f>
        <v/>
      </c>
      <c r="L56" s="593" t="str">
        <f>IFERROR(__xludf.DUMMYFUNCTION("IF(H56="""","""",IFERROR(INDEX(FILTER('特殊配信マスタ'!$P$3:$P$16, '特殊配信マスタ'!$E$3:$E$16=H56),1),""""))"),"")</f>
        <v/>
      </c>
      <c r="M56" s="590" t="str">
        <f>IFERROR(__xludf.DUMMYFUNCTION("IFERROR(INDEX(FILTER('特殊配信マスタ'!$E$3:$E$16, (TEXT('特殊配信マスタ'!$A$3:$A$16,""ddd"")=TEXT(M$1,""ddd""))*(IFERROR(VALUE('特殊配信マスタ'!$B$3:$B$16),0)=VALUE(LOOKUP(2,1/($A$3:$A56&lt;&gt;""""),$A$3:$A56)))*('特殊配信マスタ'!$Q$3:$Q$16&lt;&gt;TRUE)), 2), """")"),"")</f>
        <v/>
      </c>
      <c r="N56" s="593" t="str">
        <f>IFERROR(__xludf.DUMMYFUNCTION("IF(M56="""","""",IFERROR(INDEX(FILTER('特殊配信マスタ'!$F$3:$F$16,('特殊配信マスタ'!$A$3:$A$16=CHOOSE(WEEKDAY(M$1),""日"",""月"",""火"",""水"",""木"",""金"",""土""))*('特殊配信マスタ'!$B$3:$B$16=K$3)*('特殊配信マスタ'!$R$3:$R$16=MOD(INT((M$1-'特殊配信マスタ'!$A$1)/7),3)+1)),1),""""))"),"")</f>
        <v/>
      </c>
      <c r="O56" s="590"/>
      <c r="P56" s="593" t="str">
        <f>IFERROR(__xludf.DUMMYFUNCTION("IF(M56="""","""",IFERROR(INDEX(FILTER('特殊配信マスタ'!$O$3:$O$16, '特殊配信マスタ'!$E$3:$E$16=M56),1),""""))"),"")</f>
        <v/>
      </c>
      <c r="Q56" s="593" t="str">
        <f>IFERROR(__xludf.DUMMYFUNCTION("IF(M56="""","""",IFERROR(INDEX(FILTER('特殊配信マスタ'!$P$3:$P$16, '特殊配信マスタ'!$E$3:$E$16=M56),1),""""))"),"")</f>
        <v/>
      </c>
      <c r="R56" s="590" t="str">
        <f>IFERROR(__xludf.DUMMYFUNCTION("IFERROR(INDEX(FILTER('特殊配信マスタ'!$E$3:$E$16, (TEXT('特殊配信マスタ'!$A$3:$A$16,""ddd"")=TEXT(R$1,""ddd""))*(IFERROR(VALUE('特殊配信マスタ'!$B$3:$B$16),0)=VALUE(LOOKUP(2,1/($A$3:$A56&lt;&gt;""""),$A$3:$A56)))*('特殊配信マスタ'!$Q$3:$Q$16&lt;&gt;TRUE)), 2), """")"),"")</f>
        <v/>
      </c>
      <c r="S56" s="593" t="str">
        <f>IFERROR(__xludf.DUMMYFUNCTION("IF(R56="""","""",IFERROR(INDEX(FILTER('特殊配信マスタ'!$F$3:$F$16,('特殊配信マスタ'!$A$3:$A$16=CHOOSE(WEEKDAY(R$1),""日"",""月"",""火"",""水"",""木"",""金"",""土""))*('特殊配信マスタ'!$B$3:$B$16=P$3)*('特殊配信マスタ'!$R$3:$R$16=MOD(INT((R$1-'特殊配信マスタ'!$A$1)/7),3)+1)),1),""""))"),"")</f>
        <v/>
      </c>
      <c r="T56" s="590"/>
      <c r="U56" s="593" t="str">
        <f>IFERROR(__xludf.DUMMYFUNCTION("IF(R56="""","""",IFERROR(INDEX(FILTER('特殊配信マスタ'!$O$3:$O$16, '特殊配信マスタ'!$E$3:$E$16=R56),1),""""))"),"")</f>
        <v/>
      </c>
      <c r="V56" s="593" t="str">
        <f>IFERROR(__xludf.DUMMYFUNCTION("IF(R56="""","""",IFERROR(INDEX(FILTER('特殊配信マスタ'!$P$3:$P$16, '特殊配信マスタ'!$E$3:$E$16=R56),1),""""))"),"")</f>
        <v/>
      </c>
      <c r="W56" s="590" t="str">
        <f>IFERROR(__xludf.DUMMYFUNCTION("IFERROR(INDEX(FILTER('特殊配信マスタ'!$E$3:$E$16, (TEXT('特殊配信マスタ'!$A$3:$A$16,""ddd"")=TEXT(W$1,""ddd""))*(IFERROR(VALUE('特殊配信マスタ'!$B$3:$B$16),0)=VALUE(LOOKUP(2,1/($A$3:$A56&lt;&gt;""""),$A$3:$A56)))*('特殊配信マスタ'!$Q$3:$Q$16&lt;&gt;TRUE)), 2), """")"),"")</f>
        <v/>
      </c>
      <c r="X56" s="593" t="str">
        <f>IFERROR(__xludf.DUMMYFUNCTION("IF(W56="""","""",IFERROR(INDEX(FILTER('特殊配信マスタ'!$F$3:$F$16,('特殊配信マスタ'!$A$3:$A$16=CHOOSE(WEEKDAY(W$1),""日"",""月"",""火"",""水"",""木"",""金"",""土""))*('特殊配信マスタ'!$B$3:$B$16=U$3)*('特殊配信マスタ'!$R$3:$R$16=MOD(INT((W$1-'特殊配信マスタ'!$A$1)/7),3)+1)),1),""""))"),"")</f>
        <v/>
      </c>
      <c r="Y56" s="590"/>
      <c r="Z56" s="593" t="str">
        <f>IFERROR(__xludf.DUMMYFUNCTION("IF(W56="""","""",IFERROR(INDEX(FILTER('特殊配信マスタ'!$O$3:$O$16, '特殊配信マスタ'!$E$3:$E$16=W56),1),""""))"),"")</f>
        <v/>
      </c>
      <c r="AA56" s="593" t="str">
        <f>IFERROR(__xludf.DUMMYFUNCTION("IF(W56="""","""",IFERROR(INDEX(FILTER('特殊配信マスタ'!$P$3:$P$16, '特殊配信マスタ'!$E$3:$E$16=W56),1),""""))"),"")</f>
        <v/>
      </c>
      <c r="AB56" s="590" t="str">
        <f>IFERROR(__xludf.DUMMYFUNCTION("IFERROR(INDEX(FILTER('特殊配信マスタ'!$E$3:$E$16, (TEXT('特殊配信マスタ'!$A$3:$A$16,""ddd"")=TEXT(AB$1,""ddd""))*(IFERROR(VALUE('特殊配信マスタ'!$B$3:$B$16),0)=VALUE(LOOKUP(2,1/($A$3:$A56&lt;&gt;""""),$A$3:$A56)))*('特殊配信マスタ'!$Q$3:$Q$16&lt;&gt;TRUE)), 2), """")"),"")</f>
        <v/>
      </c>
      <c r="AC56" s="593" t="str">
        <f>IFERROR(__xludf.DUMMYFUNCTION("IF(AB56="""","""",IFERROR(INDEX(FILTER('特殊配信マスタ'!$F$3:$F$16,('特殊配信マスタ'!$A$3:$A$16=CHOOSE(WEEKDAY(AB$1),""日"",""月"",""火"",""水"",""木"",""金"",""土""))*('特殊配信マスタ'!$B$3:$B$16=Z$3)*('特殊配信マスタ'!$R$3:$R$16=MOD(INT((AB$1-'特殊配信マスタ'!$A$1)/7),3)+1)),1),""""))"),"")</f>
        <v/>
      </c>
      <c r="AD56" s="590"/>
      <c r="AE56" s="593" t="str">
        <f>IFERROR(__xludf.DUMMYFUNCTION("IF(AB56="""","""",IFERROR(INDEX(FILTER('特殊配信マスタ'!$O$3:$O$16, '特殊配信マスタ'!$E$3:$E$16=AB56),1),""""))"),"")</f>
        <v/>
      </c>
      <c r="AF56" s="593" t="str">
        <f>IFERROR(__xludf.DUMMYFUNCTION("IF(AB56="""","""",IFERROR(INDEX(FILTER('特殊配信マスタ'!$P$3:$P$16, '特殊配信マスタ'!$E$3:$E$16=AB56),1),""""))"),"")</f>
        <v/>
      </c>
      <c r="AG56" s="590" t="str">
        <f>IFERROR(__xludf.DUMMYFUNCTION("IFERROR(INDEX(FILTER('特殊配信マスタ'!$E$3:$E$16, (TEXT('特殊配信マスタ'!$A$3:$A$16,""ddd"")=TEXT(AG$1,""ddd""))*(IFERROR(VALUE('特殊配信マスタ'!$B$3:$B$16),0)=VALUE(LOOKUP(2,1/($A$3:$A56&lt;&gt;""""),$A$3:$A56)))*('特殊配信マスタ'!$Q$3:$Q$16&lt;&gt;TRUE)), 2), """")"),"")</f>
        <v/>
      </c>
      <c r="AH56" s="593" t="str">
        <f>IFERROR(__xludf.DUMMYFUNCTION("IF(AG56="""","""",IFERROR(INDEX(FILTER('特殊配信マスタ'!$F$3:$F$16,('特殊配信マスタ'!$A$3:$A$16=CHOOSE(WEEKDAY(AG$1),""日"",""月"",""火"",""水"",""木"",""金"",""土""))*('特殊配信マスタ'!$B$3:$B$16=AE$3)*('特殊配信マスタ'!$R$3:$R$16=MOD(INT((AG$1-'特殊配信マスタ'!$A$1)/7),3)+1)),1),""""))"),"")</f>
        <v/>
      </c>
      <c r="AI56" s="590"/>
      <c r="AJ56" s="593" t="str">
        <f>IFERROR(__xludf.DUMMYFUNCTION("IF(AG56="""","""",IFERROR(INDEX(FILTER('特殊配信マスタ'!$O$3:$O$16, '特殊配信マスタ'!$E$3:$E$16=AG56),1),""""))"),"")</f>
        <v/>
      </c>
      <c r="AK56" s="593" t="str">
        <f>IFERROR(__xludf.DUMMYFUNCTION("IF(AG56="""","""",IFERROR(INDEX(FILTER('特殊配信マスタ'!$P$3:$P$16, '特殊配信マスタ'!$E$3:$E$16=AG56),1),""""))"),"")</f>
        <v/>
      </c>
    </row>
    <row r="57" ht="17.25" customHeight="1">
      <c r="A57" s="587"/>
      <c r="B57" s="588"/>
      <c r="C57" s="590" t="str">
        <f>IFERROR(__xludf.DUMMYFUNCTION("IFERROR(INDEX(FILTER('特殊配信マスタ'!$E$3:$E$16, (TEXT('特殊配信マスタ'!$A$3:$A$16,""ddd"")=TEXT(C$1,""ddd""))*(IFERROR(VALUE('特殊配信マスタ'!$B$3:$B$16),0)=VALUE(LOOKUP(2,1/($A$3:$A57&lt;&gt;""""),$A$3:$A57)))*('特殊配信マスタ'!$Q$3:$Q$16&lt;&gt;TRUE)), 3), """")"),"")</f>
        <v/>
      </c>
      <c r="D57" s="593"/>
      <c r="E57" s="590"/>
      <c r="F57" s="593" t="str">
        <f>IFERROR(__xludf.DUMMYFUNCTION("IF(C57="""","""",IFERROR(INDEX(FILTER('特殊配信マスタ'!$O$3:$O$16, '特殊配信マスタ'!$E$3:$E$16=C57),1),""""))"),"")</f>
        <v/>
      </c>
      <c r="G57" s="593" t="str">
        <f>IFERROR(__xludf.DUMMYFUNCTION("IF(C57="""","""",IFERROR(INDEX(FILTER('特殊配信マスタ'!$P$3:$P$16, '特殊配信マスタ'!$E$3:$E$16=C57),1),""""))"),"")</f>
        <v/>
      </c>
      <c r="H57" s="590" t="str">
        <f>IFERROR(__xludf.DUMMYFUNCTION("IFERROR(INDEX(FILTER('特殊配信マスタ'!$E$3:$E$16, (TEXT('特殊配信マスタ'!$A$3:$A$16,""ddd"")=TEXT(H$1,""ddd""))*(IFERROR(VALUE('特殊配信マスタ'!$B$3:$B$16),0)=VALUE(LOOKUP(2,1/($A$3:$A57&lt;&gt;""""),$A$3:$A57)))*('特殊配信マスタ'!$Q$3:$Q$16&lt;&gt;TRUE)), 3), """")"),"")</f>
        <v/>
      </c>
      <c r="I57" s="593"/>
      <c r="J57" s="590"/>
      <c r="K57" s="593" t="str">
        <f>IFERROR(__xludf.DUMMYFUNCTION("IF(H57="""","""",IFERROR(INDEX(FILTER('特殊配信マスタ'!$O$3:$O$16, '特殊配信マスタ'!$E$3:$E$16=H57),1),""""))"),"")</f>
        <v/>
      </c>
      <c r="L57" s="593" t="str">
        <f>IFERROR(__xludf.DUMMYFUNCTION("IF(H57="""","""",IFERROR(INDEX(FILTER('特殊配信マスタ'!$P$3:$P$16, '特殊配信マスタ'!$E$3:$E$16=H57),1),""""))"),"")</f>
        <v/>
      </c>
      <c r="M57" s="590" t="str">
        <f>IFERROR(__xludf.DUMMYFUNCTION("IFERROR(INDEX(FILTER('特殊配信マスタ'!$E$3:$E$16, (TEXT('特殊配信マスタ'!$A$3:$A$16,""ddd"")=TEXT(M$1,""ddd""))*(IFERROR(VALUE('特殊配信マスタ'!$B$3:$B$16),0)=VALUE(LOOKUP(2,1/($A$3:$A57&lt;&gt;""""),$A$3:$A57)))*('特殊配信マスタ'!$Q$3:$Q$16&lt;&gt;TRUE)), 3), """")"),"")</f>
        <v/>
      </c>
      <c r="N57" s="593"/>
      <c r="O57" s="590"/>
      <c r="P57" s="593" t="str">
        <f>IFERROR(__xludf.DUMMYFUNCTION("IF(M57="""","""",IFERROR(INDEX(FILTER('特殊配信マスタ'!$O$3:$O$16, '特殊配信マスタ'!$E$3:$E$16=M57),1),""""))"),"")</f>
        <v/>
      </c>
      <c r="Q57" s="593" t="str">
        <f>IFERROR(__xludf.DUMMYFUNCTION("IF(M57="""","""",IFERROR(INDEX(FILTER('特殊配信マスタ'!$P$3:$P$16, '特殊配信マスタ'!$E$3:$E$16=M57),1),""""))"),"")</f>
        <v/>
      </c>
      <c r="R57" s="590" t="str">
        <f>IFERROR(__xludf.DUMMYFUNCTION("IFERROR(INDEX(FILTER('特殊配信マスタ'!$E$3:$E$16, (TEXT('特殊配信マスタ'!$A$3:$A$16,""ddd"")=TEXT(R$1,""ddd""))*(IFERROR(VALUE('特殊配信マスタ'!$B$3:$B$16),0)=VALUE(LOOKUP(2,1/($A$3:$A57&lt;&gt;""""),$A$3:$A57)))*('特殊配信マスタ'!$Q$3:$Q$16&lt;&gt;TRUE)), 3), """")"),"")</f>
        <v/>
      </c>
      <c r="S57" s="593"/>
      <c r="T57" s="590"/>
      <c r="U57" s="593" t="str">
        <f>IFERROR(__xludf.DUMMYFUNCTION("IF(R57="""","""",IFERROR(INDEX(FILTER('特殊配信マスタ'!$O$3:$O$16, '特殊配信マスタ'!$E$3:$E$16=R57),1),""""))"),"")</f>
        <v/>
      </c>
      <c r="V57" s="593" t="str">
        <f>IFERROR(__xludf.DUMMYFUNCTION("IF(R57="""","""",IFERROR(INDEX(FILTER('特殊配信マスタ'!$P$3:$P$16, '特殊配信マスタ'!$E$3:$E$16=R57),1),""""))"),"")</f>
        <v/>
      </c>
      <c r="W57" s="590" t="str">
        <f>IFERROR(__xludf.DUMMYFUNCTION("IFERROR(INDEX(FILTER('特殊配信マスタ'!$E$3:$E$16, (TEXT('特殊配信マスタ'!$A$3:$A$16,""ddd"")=TEXT(W$1,""ddd""))*(IFERROR(VALUE('特殊配信マスタ'!$B$3:$B$16),0)=VALUE(LOOKUP(2,1/($A$3:$A57&lt;&gt;""""),$A$3:$A57)))*('特殊配信マスタ'!$Q$3:$Q$16&lt;&gt;TRUE)), 3), """")"),"")</f>
        <v/>
      </c>
      <c r="X57" s="593"/>
      <c r="Y57" s="590"/>
      <c r="Z57" s="593" t="str">
        <f>IFERROR(__xludf.DUMMYFUNCTION("IF(W57="""","""",IFERROR(INDEX(FILTER('特殊配信マスタ'!$O$3:$O$16, '特殊配信マスタ'!$E$3:$E$16=W57),1),""""))"),"")</f>
        <v/>
      </c>
      <c r="AA57" s="593" t="str">
        <f>IFERROR(__xludf.DUMMYFUNCTION("IF(W57="""","""",IFERROR(INDEX(FILTER('特殊配信マスタ'!$P$3:$P$16, '特殊配信マスタ'!$E$3:$E$16=W57),1),""""))"),"")</f>
        <v/>
      </c>
      <c r="AB57" s="590" t="str">
        <f>IFERROR(__xludf.DUMMYFUNCTION("IFERROR(INDEX(FILTER('特殊配信マスタ'!$E$3:$E$16, (TEXT('特殊配信マスタ'!$A$3:$A$16,""ddd"")=TEXT(AB$1,""ddd""))*(IFERROR(VALUE('特殊配信マスタ'!$B$3:$B$16),0)=VALUE(LOOKUP(2,1/($A$3:$A57&lt;&gt;""""),$A$3:$A57)))*('特殊配信マスタ'!$Q$3:$Q$16&lt;&gt;TRUE)), 3), """")"),"")</f>
        <v/>
      </c>
      <c r="AC57" s="593"/>
      <c r="AD57" s="590"/>
      <c r="AE57" s="593" t="str">
        <f>IFERROR(__xludf.DUMMYFUNCTION("IF(AB57="""","""",IFERROR(INDEX(FILTER('特殊配信マスタ'!$O$3:$O$16, '特殊配信マスタ'!$E$3:$E$16=AB57),1),""""))"),"")</f>
        <v/>
      </c>
      <c r="AF57" s="593" t="str">
        <f>IFERROR(__xludf.DUMMYFUNCTION("IF(AB57="""","""",IFERROR(INDEX(FILTER('特殊配信マスタ'!$P$3:$P$16, '特殊配信マスタ'!$E$3:$E$16=AB57),1),""""))"),"")</f>
        <v/>
      </c>
      <c r="AG57" s="590" t="str">
        <f>IFERROR(__xludf.DUMMYFUNCTION("IFERROR(INDEX(FILTER('特殊配信マスタ'!$E$3:$E$16, (TEXT('特殊配信マスタ'!$A$3:$A$16,""ddd"")=TEXT(AG$1,""ddd""))*(IFERROR(VALUE('特殊配信マスタ'!$B$3:$B$16),0)=VALUE(LOOKUP(2,1/($A$3:$A57&lt;&gt;""""),$A$3:$A57)))*('特殊配信マスタ'!$Q$3:$Q$16&lt;&gt;TRUE)), 3), """")"),"")</f>
        <v/>
      </c>
      <c r="AH57" s="593"/>
      <c r="AI57" s="590"/>
      <c r="AJ57" s="593" t="str">
        <f>IFERROR(__xludf.DUMMYFUNCTION("IF(AG57="""","""",IFERROR(INDEX(FILTER('特殊配信マスタ'!$O$3:$O$16, '特殊配信マスタ'!$E$3:$E$16=AG57),1),""""))"),"")</f>
        <v/>
      </c>
      <c r="AK57" s="593" t="str">
        <f>IFERROR(__xludf.DUMMYFUNCTION("IF(AG57="""","""",IFERROR(INDEX(FILTER('特殊配信マスタ'!$P$3:$P$16, '特殊配信マスタ'!$E$3:$E$16=AG57),1),""""))"),"")</f>
        <v/>
      </c>
    </row>
    <row r="58" ht="17.25" customHeight="1">
      <c r="A58" s="587"/>
      <c r="B58" s="588"/>
      <c r="C58" s="590" t="str">
        <f>IFERROR(__xludf.DUMMYFUNCTION("IFERROR(INDEX(FILTER('特殊配信マスタ'!$E$3:$E$16, (TEXT('特殊配信マスタ'!$A$3:$A$16,""ddd"")=TEXT(C$1,""ddd""))*(IFERROR(VALUE('特殊配信マスタ'!$B$3:$B$16),0)=VALUE(LOOKUP(2,1/($A$3:$A58&lt;&gt;""""),$A$3:$A58)))*('特殊配信マスタ'!$Q$3:$Q$16&lt;&gt;TRUE)), 4), """")"),"")</f>
        <v/>
      </c>
      <c r="D58" s="593" t="str">
        <f>IFERROR(__xludf.DUMMYFUNCTION("IF(C58="""","""",IFERROR(INDEX(FILTER('特殊配信マスタ'!$F$3:$F$16,('特殊配信マスタ'!$A$3:$A$16=CHOOSE(WEEKDAY(C$1),""日"",""月"",""火"",""水"",""木"",""金"",""土""))*('特殊配信マスタ'!$B$3:$B$16=A$3)*('特殊配信マスタ'!$R$3:$R$16=MOD(INT((C$1-'特殊配信マスタ'!$A$1)/7),3)+1)),1),""""))"),"")</f>
        <v/>
      </c>
      <c r="E58" s="590"/>
      <c r="F58" s="593" t="str">
        <f>IFERROR(__xludf.DUMMYFUNCTION("IF(C58="""","""",IFERROR(INDEX(FILTER('特殊配信マスタ'!$O$3:$O$16, '特殊配信マスタ'!$E$3:$E$16=C58),1),""""))"),"")</f>
        <v/>
      </c>
      <c r="G58" s="593" t="str">
        <f>IFERROR(__xludf.DUMMYFUNCTION("IF(C58="""","""",IFERROR(INDEX(FILTER('特殊配信マスタ'!$P$3:$P$16, '特殊配信マスタ'!$E$3:$E$16=C58),1),""""))"),"")</f>
        <v/>
      </c>
      <c r="H58" s="590" t="str">
        <f>IFERROR(__xludf.DUMMYFUNCTION("IFERROR(INDEX(FILTER('特殊配信マスタ'!$E$3:$E$16, (TEXT('特殊配信マスタ'!$A$3:$A$16,""ddd"")=TEXT(H$1,""ddd""))*(IFERROR(VALUE('特殊配信マスタ'!$B$3:$B$16),0)=VALUE(LOOKUP(2,1/($A$3:$A58&lt;&gt;""""),$A$3:$A58)))*('特殊配信マスタ'!$Q$3:$Q$16&lt;&gt;TRUE)), 4), """")"),"")</f>
        <v/>
      </c>
      <c r="I58" s="593" t="str">
        <f>IFERROR(__xludf.DUMMYFUNCTION("IF(H58="""","""",IFERROR(INDEX(FILTER('特殊配信マスタ'!$F$3:$F$16,('特殊配信マスタ'!$A$3:$A$16=CHOOSE(WEEKDAY(H$1),""日"",""月"",""火"",""水"",""木"",""金"",""土""))*('特殊配信マスタ'!$B$3:$B$16=F$3)*('特殊配信マスタ'!$R$3:$R$16=MOD(INT((H$1-'特殊配信マスタ'!$A$1)/7),3)+1)),1),""""))"),"")</f>
        <v/>
      </c>
      <c r="J58" s="590"/>
      <c r="K58" s="593" t="str">
        <f>IFERROR(__xludf.DUMMYFUNCTION("IF(H58="""","""",IFERROR(INDEX(FILTER('特殊配信マスタ'!$O$3:$O$16, '特殊配信マスタ'!$E$3:$E$16=H58),1),""""))"),"")</f>
        <v/>
      </c>
      <c r="L58" s="593" t="str">
        <f>IFERROR(__xludf.DUMMYFUNCTION("IF(H58="""","""",IFERROR(INDEX(FILTER('特殊配信マスタ'!$P$3:$P$16, '特殊配信マスタ'!$E$3:$E$16=H58),1),""""))"),"")</f>
        <v/>
      </c>
      <c r="M58" s="590" t="str">
        <f>IFERROR(__xludf.DUMMYFUNCTION("IFERROR(INDEX(FILTER('特殊配信マスタ'!$E$3:$E$16, (TEXT('特殊配信マスタ'!$A$3:$A$16,""ddd"")=TEXT(M$1,""ddd""))*(IFERROR(VALUE('特殊配信マスタ'!$B$3:$B$16),0)=VALUE(LOOKUP(2,1/($A$3:$A58&lt;&gt;""""),$A$3:$A58)))*('特殊配信マスタ'!$Q$3:$Q$16&lt;&gt;TRUE)), 4), """")"),"")</f>
        <v/>
      </c>
      <c r="N58" s="593" t="str">
        <f>IFERROR(__xludf.DUMMYFUNCTION("IF(M58="""","""",IFERROR(INDEX(FILTER('特殊配信マスタ'!$F$3:$F$16,('特殊配信マスタ'!$A$3:$A$16=CHOOSE(WEEKDAY(M$1),""日"",""月"",""火"",""水"",""木"",""金"",""土""))*('特殊配信マスタ'!$B$3:$B$16=K$3)*('特殊配信マスタ'!$R$3:$R$16=MOD(INT((M$1-'特殊配信マスタ'!$A$1)/7),3)+1)),1),""""))"),"")</f>
        <v/>
      </c>
      <c r="O58" s="590"/>
      <c r="P58" s="593" t="str">
        <f>IFERROR(__xludf.DUMMYFUNCTION("IF(M58="""","""",IFERROR(INDEX(FILTER('特殊配信マスタ'!$O$3:$O$16, '特殊配信マスタ'!$E$3:$E$16=M58),1),""""))"),"")</f>
        <v/>
      </c>
      <c r="Q58" s="593" t="str">
        <f>IFERROR(__xludf.DUMMYFUNCTION("IF(M58="""","""",IFERROR(INDEX(FILTER('特殊配信マスタ'!$P$3:$P$16, '特殊配信マスタ'!$E$3:$E$16=M58),1),""""))"),"")</f>
        <v/>
      </c>
      <c r="R58" s="590" t="str">
        <f>IFERROR(__xludf.DUMMYFUNCTION("IFERROR(INDEX(FILTER('特殊配信マスタ'!$E$3:$E$16, (TEXT('特殊配信マスタ'!$A$3:$A$16,""ddd"")=TEXT(R$1,""ddd""))*(IFERROR(VALUE('特殊配信マスタ'!$B$3:$B$16),0)=VALUE(LOOKUP(2,1/($A$3:$A58&lt;&gt;""""),$A$3:$A58)))*('特殊配信マスタ'!$Q$3:$Q$16&lt;&gt;TRUE)), 4), """")"),"")</f>
        <v/>
      </c>
      <c r="S58" s="593" t="str">
        <f>IFERROR(__xludf.DUMMYFUNCTION("IF(R58="""","""",IFERROR(INDEX(FILTER('特殊配信マスタ'!$F$3:$F$16,('特殊配信マスタ'!$A$3:$A$16=CHOOSE(WEEKDAY(R$1),""日"",""月"",""火"",""水"",""木"",""金"",""土""))*('特殊配信マスタ'!$B$3:$B$16=P$3)*('特殊配信マスタ'!$R$3:$R$16=MOD(INT((R$1-'特殊配信マスタ'!$A$1)/7),3)+1)),1),""""))"),"")</f>
        <v/>
      </c>
      <c r="T58" s="590"/>
      <c r="U58" s="593" t="str">
        <f>IFERROR(__xludf.DUMMYFUNCTION("IF(R58="""","""",IFERROR(INDEX(FILTER('特殊配信マスタ'!$O$3:$O$16, '特殊配信マスタ'!$E$3:$E$16=R58),1),""""))"),"")</f>
        <v/>
      </c>
      <c r="V58" s="593" t="str">
        <f>IFERROR(__xludf.DUMMYFUNCTION("IF(R58="""","""",IFERROR(INDEX(FILTER('特殊配信マスタ'!$P$3:$P$16, '特殊配信マスタ'!$E$3:$E$16=R58),1),""""))"),"")</f>
        <v/>
      </c>
      <c r="W58" s="590" t="str">
        <f>IFERROR(__xludf.DUMMYFUNCTION("IFERROR(INDEX(FILTER('特殊配信マスタ'!$E$3:$E$16, (TEXT('特殊配信マスタ'!$A$3:$A$16,""ddd"")=TEXT(W$1,""ddd""))*(IFERROR(VALUE('特殊配信マスタ'!$B$3:$B$16),0)=VALUE(LOOKUP(2,1/($A$3:$A58&lt;&gt;""""),$A$3:$A58)))*('特殊配信マスタ'!$Q$3:$Q$16&lt;&gt;TRUE)), 4), """")"),"")</f>
        <v/>
      </c>
      <c r="X58" s="593" t="str">
        <f>IFERROR(__xludf.DUMMYFUNCTION("IF(W58="""","""",IFERROR(INDEX(FILTER('特殊配信マスタ'!$F$3:$F$16,('特殊配信マスタ'!$A$3:$A$16=CHOOSE(WEEKDAY(W$1),""日"",""月"",""火"",""水"",""木"",""金"",""土""))*('特殊配信マスタ'!$B$3:$B$16=U$3)*('特殊配信マスタ'!$R$3:$R$16=MOD(INT((W$1-'特殊配信マスタ'!$A$1)/7),3)+1)),1),""""))"),"")</f>
        <v/>
      </c>
      <c r="Y58" s="590"/>
      <c r="Z58" s="593" t="str">
        <f>IFERROR(__xludf.DUMMYFUNCTION("IF(W58="""","""",IFERROR(INDEX(FILTER('特殊配信マスタ'!$O$3:$O$16, '特殊配信マスタ'!$E$3:$E$16=W58),1),""""))"),"")</f>
        <v/>
      </c>
      <c r="AA58" s="593" t="str">
        <f>IFERROR(__xludf.DUMMYFUNCTION("IF(W58="""","""",IFERROR(INDEX(FILTER('特殊配信マスタ'!$P$3:$P$16, '特殊配信マスタ'!$E$3:$E$16=W58),1),""""))"),"")</f>
        <v/>
      </c>
      <c r="AB58" s="590" t="str">
        <f>IFERROR(__xludf.DUMMYFUNCTION("IFERROR(INDEX(FILTER('特殊配信マスタ'!$E$3:$E$16, (TEXT('特殊配信マスタ'!$A$3:$A$16,""ddd"")=TEXT(AB$1,""ddd""))*(IFERROR(VALUE('特殊配信マスタ'!$B$3:$B$16),0)=VALUE(LOOKUP(2,1/($A$3:$A58&lt;&gt;""""),$A$3:$A58)))*('特殊配信マスタ'!$Q$3:$Q$16&lt;&gt;TRUE)), 4), """")"),"")</f>
        <v/>
      </c>
      <c r="AC58" s="593" t="str">
        <f>IFERROR(__xludf.DUMMYFUNCTION("IF(AB58="""","""",IFERROR(INDEX(FILTER('特殊配信マスタ'!$F$3:$F$16,('特殊配信マスタ'!$A$3:$A$16=CHOOSE(WEEKDAY(AB$1),""日"",""月"",""火"",""水"",""木"",""金"",""土""))*('特殊配信マスタ'!$B$3:$B$16=Z$3)*('特殊配信マスタ'!$R$3:$R$16=MOD(INT((AB$1-'特殊配信マスタ'!$A$1)/7),3)+1)),1),""""))"),"")</f>
        <v/>
      </c>
      <c r="AD58" s="590"/>
      <c r="AE58" s="593" t="str">
        <f>IFERROR(__xludf.DUMMYFUNCTION("IF(AB58="""","""",IFERROR(INDEX(FILTER('特殊配信マスタ'!$O$3:$O$16, '特殊配信マスタ'!$E$3:$E$16=AB58),1),""""))"),"")</f>
        <v/>
      </c>
      <c r="AF58" s="593" t="str">
        <f>IFERROR(__xludf.DUMMYFUNCTION("IF(AB58="""","""",IFERROR(INDEX(FILTER('特殊配信マスタ'!$P$3:$P$16, '特殊配信マスタ'!$E$3:$E$16=AB58),1),""""))"),"")</f>
        <v/>
      </c>
      <c r="AG58" s="590" t="str">
        <f>IFERROR(__xludf.DUMMYFUNCTION("IFERROR(INDEX(FILTER('特殊配信マスタ'!$E$3:$E$16, (TEXT('特殊配信マスタ'!$A$3:$A$16,""ddd"")=TEXT(AG$1,""ddd""))*(IFERROR(VALUE('特殊配信マスタ'!$B$3:$B$16),0)=VALUE(LOOKUP(2,1/($A$3:$A58&lt;&gt;""""),$A$3:$A58)))*('特殊配信マスタ'!$Q$3:$Q$16&lt;&gt;TRUE)), 4), """")"),"")</f>
        <v/>
      </c>
      <c r="AH58" s="593" t="str">
        <f>IFERROR(__xludf.DUMMYFUNCTION("IF(AG58="""","""",IFERROR(INDEX(FILTER('特殊配信マスタ'!$F$3:$F$16,('特殊配信マスタ'!$A$3:$A$16=CHOOSE(WEEKDAY(AG$1),""日"",""月"",""火"",""水"",""木"",""金"",""土""))*('特殊配信マスタ'!$B$3:$B$16=AE$3)*('特殊配信マスタ'!$R$3:$R$16=MOD(INT((AG$1-'特殊配信マスタ'!$A$1)/7),3)+1)),1),""""))"),"")</f>
        <v/>
      </c>
      <c r="AI58" s="590"/>
      <c r="AJ58" s="593" t="str">
        <f>IFERROR(__xludf.DUMMYFUNCTION("IF(AG58="""","""",IFERROR(INDEX(FILTER('特殊配信マスタ'!$O$3:$O$16, '特殊配信マスタ'!$E$3:$E$16=AG58),1),""""))"),"")</f>
        <v/>
      </c>
      <c r="AK58" s="593" t="str">
        <f>IFERROR(__xludf.DUMMYFUNCTION("IF(AG58="""","""",IFERROR(INDEX(FILTER('特殊配信マスタ'!$P$3:$P$16, '特殊配信マスタ'!$E$3:$E$16=AG58),1),""""))"),"")</f>
        <v/>
      </c>
    </row>
    <row r="59" ht="17.25" customHeight="1">
      <c r="A59" s="599"/>
      <c r="B59" s="592"/>
      <c r="C59" s="590" t="str">
        <f>IFERROR(__xludf.DUMMYFUNCTION("IFERROR(INDEX(FILTER('特殊配信マスタ'!$E$3:$E$16, (TEXT('特殊配信マスタ'!$A$3:$A$16,""ddd"")=TEXT(C$1,""ddd""))*(IFERROR(VALUE('特殊配信マスタ'!$B$3:$B$16),0)=VALUE(LOOKUP(2,1/($A$3:$A59&lt;&gt;""""),$A$3:$A59)))*('特殊配信マスタ'!$Q$3:$Q$16&lt;&gt;TRUE)), 5), """")"),"")</f>
        <v/>
      </c>
      <c r="D59" s="593" t="str">
        <f>IFERROR(__xludf.DUMMYFUNCTION("IF(C59="""","""",IFERROR(INDEX(FILTER('特殊配信マスタ'!$F$3:$F$16,('特殊配信マスタ'!$A$3:$A$16=CHOOSE(WEEKDAY(C$1),""日"",""月"",""火"",""水"",""木"",""金"",""土""))*('特殊配信マスタ'!$B$3:$B$16=A$3)*('特殊配信マスタ'!$R$3:$R$16=MOD(INT((C$1-'特殊配信マスタ'!$A$1)/7),3)+1)),1),""""))"),"")</f>
        <v/>
      </c>
      <c r="E59" s="590"/>
      <c r="F59" s="593" t="str">
        <f>IFERROR(__xludf.DUMMYFUNCTION("IF(C59="""","""",IFERROR(INDEX(FILTER('特殊配信マスタ'!$O$3:$O$16, '特殊配信マスタ'!$E$3:$E$16=C59),1),""""))"),"")</f>
        <v/>
      </c>
      <c r="G59" s="593" t="str">
        <f>IFERROR(__xludf.DUMMYFUNCTION("IF(C59="""","""",IFERROR(INDEX(FILTER('特殊配信マスタ'!$P$3:$P$16, '特殊配信マスタ'!$E$3:$E$16=C59),1),""""))"),"")</f>
        <v/>
      </c>
      <c r="H59" s="590" t="str">
        <f>IFERROR(__xludf.DUMMYFUNCTION("IFERROR(INDEX(FILTER('特殊配信マスタ'!$E$3:$E$16, (TEXT('特殊配信マスタ'!$A$3:$A$16,""ddd"")=TEXT(H$1,""ddd""))*(IFERROR(VALUE('特殊配信マスタ'!$B$3:$B$16),0)=VALUE(LOOKUP(2,1/($A$3:$A59&lt;&gt;""""),$A$3:$A59)))*('特殊配信マスタ'!$Q$3:$Q$16&lt;&gt;TRUE)), 5), """")"),"")</f>
        <v/>
      </c>
      <c r="I59" s="593" t="str">
        <f>IFERROR(__xludf.DUMMYFUNCTION("IF(H59="""","""",IFERROR(INDEX(FILTER('特殊配信マスタ'!$F$3:$F$16,('特殊配信マスタ'!$A$3:$A$16=CHOOSE(WEEKDAY(H$1),""日"",""月"",""火"",""水"",""木"",""金"",""土""))*('特殊配信マスタ'!$B$3:$B$16=F$3)*('特殊配信マスタ'!$R$3:$R$16=MOD(INT((H$1-'特殊配信マスタ'!$A$1)/7),3)+1)),1),""""))"),"")</f>
        <v/>
      </c>
      <c r="J59" s="590"/>
      <c r="K59" s="593" t="str">
        <f>IFERROR(__xludf.DUMMYFUNCTION("IF(H59="""","""",IFERROR(INDEX(FILTER('特殊配信マスタ'!$O$3:$O$16, '特殊配信マスタ'!$E$3:$E$16=H59),1),""""))"),"")</f>
        <v/>
      </c>
      <c r="L59" s="593" t="str">
        <f>IFERROR(__xludf.DUMMYFUNCTION("IF(H59="""","""",IFERROR(INDEX(FILTER('特殊配信マスタ'!$P$3:$P$16, '特殊配信マスタ'!$E$3:$E$16=H59),1),""""))"),"")</f>
        <v/>
      </c>
      <c r="M59" s="590" t="str">
        <f>IFERROR(__xludf.DUMMYFUNCTION("IFERROR(INDEX(FILTER('特殊配信マスタ'!$E$3:$E$16, (TEXT('特殊配信マスタ'!$A$3:$A$16,""ddd"")=TEXT(M$1,""ddd""))*(IFERROR(VALUE('特殊配信マスタ'!$B$3:$B$16),0)=VALUE(LOOKUP(2,1/($A$3:$A59&lt;&gt;""""),$A$3:$A59)))*('特殊配信マスタ'!$Q$3:$Q$16&lt;&gt;TRUE)), 5), """")"),"")</f>
        <v/>
      </c>
      <c r="N59" s="593" t="str">
        <f>IFERROR(__xludf.DUMMYFUNCTION("IF(M59="""","""",IFERROR(INDEX(FILTER('特殊配信マスタ'!$F$3:$F$16,('特殊配信マスタ'!$A$3:$A$16=CHOOSE(WEEKDAY(M$1),""日"",""月"",""火"",""水"",""木"",""金"",""土""))*('特殊配信マスタ'!$B$3:$B$16=K$3)*('特殊配信マスタ'!$R$3:$R$16=MOD(INT((M$1-'特殊配信マスタ'!$A$1)/7),3)+1)),1),""""))"),"")</f>
        <v/>
      </c>
      <c r="O59" s="590"/>
      <c r="P59" s="593" t="str">
        <f>IFERROR(__xludf.DUMMYFUNCTION("IF(M59="""","""",IFERROR(INDEX(FILTER('特殊配信マスタ'!$O$3:$O$16, '特殊配信マスタ'!$E$3:$E$16=M59),1),""""))"),"")</f>
        <v/>
      </c>
      <c r="Q59" s="593" t="str">
        <f>IFERROR(__xludf.DUMMYFUNCTION("IF(M59="""","""",IFERROR(INDEX(FILTER('特殊配信マスタ'!$P$3:$P$16, '特殊配信マスタ'!$E$3:$E$16=M59),1),""""))"),"")</f>
        <v/>
      </c>
      <c r="R59" s="590" t="str">
        <f>IFERROR(__xludf.DUMMYFUNCTION("IFERROR(INDEX(FILTER('特殊配信マスタ'!$E$3:$E$16, (TEXT('特殊配信マスタ'!$A$3:$A$16,""ddd"")=TEXT(R$1,""ddd""))*(IFERROR(VALUE('特殊配信マスタ'!$B$3:$B$16),0)=VALUE(LOOKUP(2,1/($A$3:$A59&lt;&gt;""""),$A$3:$A59)))*('特殊配信マスタ'!$Q$3:$Q$16&lt;&gt;TRUE)), 5), """")"),"")</f>
        <v/>
      </c>
      <c r="S59" s="593" t="str">
        <f>IFERROR(__xludf.DUMMYFUNCTION("IF(R59="""","""",IFERROR(INDEX(FILTER('特殊配信マスタ'!$F$3:$F$16,('特殊配信マスタ'!$A$3:$A$16=CHOOSE(WEEKDAY(R$1),""日"",""月"",""火"",""水"",""木"",""金"",""土""))*('特殊配信マスタ'!$B$3:$B$16=P$3)*('特殊配信マスタ'!$R$3:$R$16=MOD(INT((R$1-'特殊配信マスタ'!$A$1)/7),3)+1)),1),""""))"),"")</f>
        <v/>
      </c>
      <c r="T59" s="590"/>
      <c r="U59" s="593" t="str">
        <f>IFERROR(__xludf.DUMMYFUNCTION("IF(R59="""","""",IFERROR(INDEX(FILTER('特殊配信マスタ'!$O$3:$O$16, '特殊配信マスタ'!$E$3:$E$16=R59),1),""""))"),"")</f>
        <v/>
      </c>
      <c r="V59" s="593" t="str">
        <f>IFERROR(__xludf.DUMMYFUNCTION("IF(R59="""","""",IFERROR(INDEX(FILTER('特殊配信マスタ'!$P$3:$P$16, '特殊配信マスタ'!$E$3:$E$16=R59),1),""""))"),"")</f>
        <v/>
      </c>
      <c r="W59" s="590" t="str">
        <f>IFERROR(__xludf.DUMMYFUNCTION("IFERROR(INDEX(FILTER('特殊配信マスタ'!$E$3:$E$16, (TEXT('特殊配信マスタ'!$A$3:$A$16,""ddd"")=TEXT(W$1,""ddd""))*(IFERROR(VALUE('特殊配信マスタ'!$B$3:$B$16),0)=VALUE(LOOKUP(2,1/($A$3:$A59&lt;&gt;""""),$A$3:$A59)))*('特殊配信マスタ'!$Q$3:$Q$16&lt;&gt;TRUE)), 5), """")"),"")</f>
        <v/>
      </c>
      <c r="X59" s="593" t="str">
        <f>IFERROR(__xludf.DUMMYFUNCTION("IF(W59="""","""",IFERROR(INDEX(FILTER('特殊配信マスタ'!$F$3:$F$16,('特殊配信マスタ'!$A$3:$A$16=CHOOSE(WEEKDAY(W$1),""日"",""月"",""火"",""水"",""木"",""金"",""土""))*('特殊配信マスタ'!$B$3:$B$16=U$3)*('特殊配信マスタ'!$R$3:$R$16=MOD(INT((W$1-'特殊配信マスタ'!$A$1)/7),3)+1)),1),""""))"),"")</f>
        <v/>
      </c>
      <c r="Y59" s="590"/>
      <c r="Z59" s="593" t="str">
        <f>IFERROR(__xludf.DUMMYFUNCTION("IF(W59="""","""",IFERROR(INDEX(FILTER('特殊配信マスタ'!$O$3:$O$16, '特殊配信マスタ'!$E$3:$E$16=W59),1),""""))"),"")</f>
        <v/>
      </c>
      <c r="AA59" s="593" t="str">
        <f>IFERROR(__xludf.DUMMYFUNCTION("IF(W59="""","""",IFERROR(INDEX(FILTER('特殊配信マスタ'!$P$3:$P$16, '特殊配信マスタ'!$E$3:$E$16=W59),1),""""))"),"")</f>
        <v/>
      </c>
      <c r="AB59" s="590" t="str">
        <f>IFERROR(__xludf.DUMMYFUNCTION("IFERROR(INDEX(FILTER('特殊配信マスタ'!$E$3:$E$16, (TEXT('特殊配信マスタ'!$A$3:$A$16,""ddd"")=TEXT(AB$1,""ddd""))*(IFERROR(VALUE('特殊配信マスタ'!$B$3:$B$16),0)=VALUE(LOOKUP(2,1/($A$3:$A59&lt;&gt;""""),$A$3:$A59)))*('特殊配信マスタ'!$Q$3:$Q$16&lt;&gt;TRUE)), 5), """")"),"")</f>
        <v/>
      </c>
      <c r="AC59" s="593" t="str">
        <f>IFERROR(__xludf.DUMMYFUNCTION("IF(AB59="""","""",IFERROR(INDEX(FILTER('特殊配信マスタ'!$F$3:$F$16,('特殊配信マスタ'!$A$3:$A$16=CHOOSE(WEEKDAY(AB$1),""日"",""月"",""火"",""水"",""木"",""金"",""土""))*('特殊配信マスタ'!$B$3:$B$16=Z$3)*('特殊配信マスタ'!$R$3:$R$16=MOD(INT((AB$1-'特殊配信マスタ'!$A$1)/7),3)+1)),1),""""))"),"")</f>
        <v/>
      </c>
      <c r="AD59" s="590"/>
      <c r="AE59" s="593" t="str">
        <f>IFERROR(__xludf.DUMMYFUNCTION("IF(AB59="""","""",IFERROR(INDEX(FILTER('特殊配信マスタ'!$O$3:$O$16, '特殊配信マスタ'!$E$3:$E$16=AB59),1),""""))"),"")</f>
        <v/>
      </c>
      <c r="AF59" s="593" t="str">
        <f>IFERROR(__xludf.DUMMYFUNCTION("IF(AB59="""","""",IFERROR(INDEX(FILTER('特殊配信マスタ'!$P$3:$P$16, '特殊配信マスタ'!$E$3:$E$16=AB59),1),""""))"),"")</f>
        <v/>
      </c>
      <c r="AG59" s="590" t="str">
        <f>IFERROR(__xludf.DUMMYFUNCTION("IFERROR(INDEX(FILTER('特殊配信マスタ'!$E$3:$E$16, (TEXT('特殊配信マスタ'!$A$3:$A$16,""ddd"")=TEXT(AG$1,""ddd""))*(IFERROR(VALUE('特殊配信マスタ'!$B$3:$B$16),0)=VALUE(LOOKUP(2,1/($A$3:$A59&lt;&gt;""""),$A$3:$A59)))*('特殊配信マスタ'!$Q$3:$Q$16&lt;&gt;TRUE)), 5), """")"),"")</f>
        <v/>
      </c>
      <c r="AH59" s="593" t="str">
        <f>IFERROR(__xludf.DUMMYFUNCTION("IF(AG59="""","""",IFERROR(INDEX(FILTER('特殊配信マスタ'!$F$3:$F$16,('特殊配信マスタ'!$A$3:$A$16=CHOOSE(WEEKDAY(AG$1),""日"",""月"",""火"",""水"",""木"",""金"",""土""))*('特殊配信マスタ'!$B$3:$B$16=AE$3)*('特殊配信マスタ'!$R$3:$R$16=MOD(INT((AG$1-'特殊配信マスタ'!$A$1)/7),3)+1)),1),""""))"),"")</f>
        <v/>
      </c>
      <c r="AI59" s="590"/>
      <c r="AJ59" s="593" t="str">
        <f>IFERROR(__xludf.DUMMYFUNCTION("IF(AG59="""","""",IFERROR(INDEX(FILTER('特殊配信マスタ'!$O$3:$O$16, '特殊配信マスタ'!$E$3:$E$16=AG59),1),""""))"),"")</f>
        <v/>
      </c>
      <c r="AK59" s="593" t="str">
        <f>IFERROR(__xludf.DUMMYFUNCTION("IF(AG59="""","""",IFERROR(INDEX(FILTER('特殊配信マスタ'!$P$3:$P$16, '特殊配信マスタ'!$E$3:$E$16=AG59),1),""""))"),"")</f>
        <v/>
      </c>
    </row>
    <row r="60" ht="17.25" customHeight="1">
      <c r="A60" s="584">
        <f>A41+1</f>
        <v>11</v>
      </c>
      <c r="B60" s="585" t="s">
        <v>1450</v>
      </c>
      <c r="C60" s="586" t="str">
        <f>IFERROR(__xludf.DUMMYFUNCTION("IFERROR(FILTER('リスト'!$E$4:$E$349, (TEXT('リスト'!$A$4:$A$349,""ddd"")=TEXT(C$1, ""ddd""))*('リスト'!$B$4:$B$349=LOOKUP(2,1/($A$3:$A60&lt;&gt;""""),$A$3:$A60))*(('リスト'!$G$4:$G$349=""毎週配信"")+('リスト'!$G$4:$G$349=$A$1))), """")"),"事務（経理）_希望")</f>
        <v>事務（経理）_希望</v>
      </c>
      <c r="D60" s="8">
        <f t="array" ref="D60">IFERROR(XLOOKUP(C60, 'リスト'!$E:$E, 'リスト'!$F:$F, ""), "")</f>
        <v>0.5</v>
      </c>
      <c r="E60" s="8">
        <f>SUM(D60:D78)</f>
        <v>0.5</v>
      </c>
      <c r="F60" s="8" t="str">
        <f>IFERROR(__xludf.DUMMYFUNCTION("IF(C60="""","""",IFERROR(INDEX(FILTER('リスト'!$O$4:$O$349, 'リスト'!$E$4:$E$349=C60),1),""""))"),"R")</f>
        <v>R</v>
      </c>
      <c r="G60" s="8" t="str">
        <f>IFERROR(__xludf.DUMMYFUNCTION("IF(C60="""","""",IFERROR(INDEX(FILTER('リスト'!$P$4:$P$349, 'リスト'!$E$4:$E$349=C60),1),""""))"),"")</f>
        <v/>
      </c>
      <c r="H60" s="586" t="str">
        <f>IFERROR(__xludf.DUMMYFUNCTION("IFERROR(FILTER('リスト'!$E$4:$E$349, (TEXT('リスト'!$A$4:$A$349,""ddd"")=TEXT(H$1, ""ddd""))*('リスト'!$B$4:$B$349=LOOKUP(2,1/($A$3:$A60&lt;&gt;""""),$A$3:$A60))*(('リスト'!$G$4:$G$349=""毎週配信"")+('リスト'!$G$4:$G$349=$A$1))), """")"),"事務（総務・人事）_希望")</f>
        <v>事務（総務・人事）_希望</v>
      </c>
      <c r="I60" s="8">
        <f t="array" ref="I60">IFERROR(XLOOKUP(H60, 'リスト'!$E:$E, 'リスト'!$F:$F, ""), "")</f>
        <v>1.1</v>
      </c>
      <c r="J60" s="8">
        <f>SUM(I60:I78)</f>
        <v>1.1</v>
      </c>
      <c r="K60" s="8" t="str">
        <f>IFERROR(__xludf.DUMMYFUNCTION("IF(H60="""","""",IFERROR(INDEX(FILTER('リスト'!$O$4:$O$349, 'リスト'!$E$4:$E$349=H60),1),""""))"),"R")</f>
        <v>R</v>
      </c>
      <c r="L60" s="8" t="str">
        <f>IFERROR(__xludf.DUMMYFUNCTION("IF(H60="""","""",IFERROR(INDEX(FILTER('リスト'!$P$4:$P$349, 'リスト'!$E$4:$E$349=H60),1),""""))"),"")</f>
        <v/>
      </c>
      <c r="M60" s="586" t="str">
        <f>IFERROR(__xludf.DUMMYFUNCTION("IFERROR(FILTER('リスト'!$E$4:$E$349, (TEXT('リスト'!$A$4:$A$349,""ddd"")=TEXT(M$1, ""ddd""))*('リスト'!$B$4:$B$349=LOOKUP(2,1/($A$3:$A60&lt;&gt;""""),$A$3:$A60))*(('リスト'!$G$4:$G$349=""毎週配信"")+('リスト'!$G$4:$G$349=$A$1))), """")"),"クリエイティブ（Web）_希望")</f>
        <v>クリエイティブ（Web）_希望</v>
      </c>
      <c r="N60" s="8">
        <f t="array" ref="N60">IFERROR(XLOOKUP(M60, 'リスト'!$E:$E, 'リスト'!$F:$F, ""), "")</f>
        <v>0.4</v>
      </c>
      <c r="O60" s="8">
        <f>SUM(N60:N78)</f>
        <v>2.9</v>
      </c>
      <c r="P60" s="8" t="str">
        <f>IFERROR(__xludf.DUMMYFUNCTION("IF(M60="""","""",IFERROR(INDEX(FILTER('リスト'!$O$4:$O$349, 'リスト'!$E$4:$E$349=M60),1),""""))"),"R")</f>
        <v>R</v>
      </c>
      <c r="Q60" s="8" t="str">
        <f>IFERROR(__xludf.DUMMYFUNCTION("IF(M60="""","""",IFERROR(INDEX(FILTER('リスト'!$P$4:$P$349, 'リスト'!$E$4:$E$349=M60),1),""""))"),"")</f>
        <v/>
      </c>
      <c r="R60" s="586" t="str">
        <f>IFERROR(__xludf.DUMMYFUNCTION("IFERROR(FILTER('リスト'!$E$4:$E$349, (TEXT('リスト'!$A$4:$A$349,""ddd"")=TEXT(R$1, ""ddd""))*('リスト'!$B$4:$B$349=LOOKUP(2,1/($A$3:$A60&lt;&gt;""""),$A$3:$A60))*(('リスト'!$G$4:$G$349=""毎週配信"")+('リスト'!$G$4:$G$349=$A$1))), """")"),"クリエイティブ（その他）_希望")</f>
        <v>クリエイティブ（その他）_希望</v>
      </c>
      <c r="S60" s="8">
        <f t="array" ref="S60">IFERROR(XLOOKUP(R60, 'リスト'!$E:$E, 'リスト'!$F:$F, ""), "")</f>
        <v>0.3</v>
      </c>
      <c r="T60" s="8">
        <f>SUM(S60:S78)</f>
        <v>6.5</v>
      </c>
      <c r="U60" s="8" t="str">
        <f>IFERROR(__xludf.DUMMYFUNCTION("IF(R60="""","""",IFERROR(INDEX(FILTER('リスト'!$O$4:$O$349, 'リスト'!$E$4:$E$349=R60),1),""""))"),"R")</f>
        <v>R</v>
      </c>
      <c r="V60" s="8" t="str">
        <f>IFERROR(__xludf.DUMMYFUNCTION("IF(R60="""","""",IFERROR(INDEX(FILTER('リスト'!$P$4:$P$349, 'リスト'!$E$4:$E$349=R60),1),""""))"),"")</f>
        <v/>
      </c>
      <c r="W60" s="586" t="str">
        <f>IFERROR(__xludf.DUMMYFUNCTION("IFERROR(FILTER('リスト'!$E$4:$E$349, (TEXT('リスト'!$A$4:$A$349,""ddd"")=TEXT(W$1, ""ddd""))*('リスト'!$B$4:$B$349=LOOKUP(2,1/($A$3:$A60&lt;&gt;""""),$A$3:$A60))*(('リスト'!$G$4:$G$349=""毎週配信"")+('リスト'!$G$4:$G$349=$A$1))), """")"),"フレックス_ランキング")</f>
        <v>フレックス_ランキング</v>
      </c>
      <c r="X60" s="8">
        <f t="array" ref="X60">IFERROR(XLOOKUP(W60, 'リスト'!$E:$E, 'リスト'!$F:$F, ""), "")</f>
        <v>2</v>
      </c>
      <c r="Y60" s="8">
        <f>SUM(X60:X78)</f>
        <v>2</v>
      </c>
      <c r="Z60" s="8" t="str">
        <f>IFERROR(__xludf.DUMMYFUNCTION("IF(W60="""","""",IFERROR(INDEX(FILTER('リスト'!$O$4:$O$349, 'リスト'!$E$4:$E$349=W60),1),""""))"),"石")</f>
        <v>石</v>
      </c>
      <c r="AA60" s="8" t="str">
        <f>IFERROR(__xludf.DUMMYFUNCTION("IF(W60="""","""",IFERROR(INDEX(FILTER('リスト'!$P$4:$P$349, 'リスト'!$E$4:$E$349=W60),1),""""))"),"福")</f>
        <v>福</v>
      </c>
      <c r="AB60" s="586" t="str">
        <f>IFERROR(__xludf.DUMMYFUNCTION("IFERROR(FILTER('リスト'!$E$4:$E$349, (TEXT('リスト'!$A$4:$A$349,""ddd"")=TEXT(AB$1, ""ddd""))*('リスト'!$B$4:$B$349=LOOKUP(2,1/($A$3:$A60&lt;&gt;""""),$A$3:$A60))*(('リスト'!$G$4:$G$349=""毎週配信"")+('リスト'!$G$4:$G$349=$A$1))), """")"),"関西単独求人メルマガ_B")</f>
        <v>関西単独求人メルマガ_B</v>
      </c>
      <c r="AC60" s="8">
        <f t="array" ref="AC60">IFERROR(XLOOKUP(AB60, 'リスト'!$E:$E, 'リスト'!$F:$F, ""), "")</f>
        <v>0.7</v>
      </c>
      <c r="AD60" s="8">
        <f>SUM(AC60:AC78)</f>
        <v>1.7</v>
      </c>
      <c r="AE60" s="8" t="str">
        <f>IFERROR(__xludf.DUMMYFUNCTION("IF(AB60="""","""",IFERROR(INDEX(FILTER('リスト'!$O$4:$O$349, 'リスト'!$E$4:$E$349=AB60),1),""""))"),"武")</f>
        <v>武</v>
      </c>
      <c r="AF60" s="8" t="str">
        <f>IFERROR(__xludf.DUMMYFUNCTION("IF(AB60="""","""",IFERROR(INDEX(FILTER('リスト'!$P$4:$P$349, 'リスト'!$E$4:$E$349=AB60),1),""""))"),"部")</f>
        <v>部</v>
      </c>
      <c r="AG60" s="586" t="str">
        <f>IFERROR(__xludf.DUMMYFUNCTION("IFERROR(FILTER('リスト'!$E$4:$E$349, (TEXT('リスト'!$A$4:$A$349,""ddd"")=TEXT(AG$1, ""ddd""))*('リスト'!$B$4:$B$349=LOOKUP(2,1/($A$3:$A60&lt;&gt;""""),$A$3:$A60))*(('リスト'!$G$4:$G$349=""毎週配信"")+('リスト'!$G$4:$G$349=$A$1))), """")"),"クリエイティブ総合ランキング")</f>
        <v>クリエイティブ総合ランキング</v>
      </c>
      <c r="AH60" s="8">
        <f t="array" ref="AH60">IFERROR(XLOOKUP(AG60, 'リスト'!$E:$E, 'リスト'!$F:$F, ""), "")</f>
        <v>0.8</v>
      </c>
      <c r="AI60" s="8">
        <f>SUM(AH60:AH78)</f>
        <v>1.5</v>
      </c>
      <c r="AJ60" s="8" t="str">
        <f>IFERROR(__xludf.DUMMYFUNCTION("IF(AG60="""","""",IFERROR(INDEX(FILTER('リスト'!$O$4:$O$349, 'リスト'!$E$4:$E$349=AG60),1),""""))"),"R")</f>
        <v>R</v>
      </c>
      <c r="AK60" s="8" t="str">
        <f>IFERROR(__xludf.DUMMYFUNCTION("IF(AG60="""","""",IFERROR(INDEX(FILTER('リスト'!$P$4:$P$349, 'リスト'!$E$4:$E$349=AG60),1),""""))"),"")</f>
        <v/>
      </c>
    </row>
    <row r="61" ht="17.25" customHeight="1">
      <c r="A61" s="587"/>
      <c r="B61" s="588"/>
      <c r="C61" s="586"/>
      <c r="D61" s="8" t="str">
        <f t="array" ref="D61">IFERROR(XLOOKUP(C61, 'リスト'!$E:$E, 'リスト'!$F:$F, ""), "")</f>
        <v/>
      </c>
      <c r="E61" s="8"/>
      <c r="F61" s="8" t="str">
        <f t="array" ref="F61">IFERROR(XLOOKUP(C61, 'リスト'!$E:$E, 'リスト'!$O:$O, ""), "")</f>
        <v/>
      </c>
      <c r="G61" s="8" t="str">
        <f t="array" ref="G61">IFERROR(XLOOKUP(C61, 'リスト'!$E:$E, 'リスト'!$P:$P, ""), "")</f>
        <v/>
      </c>
      <c r="H61" s="586"/>
      <c r="I61" s="8" t="str">
        <f t="array" ref="I61">IFERROR(XLOOKUP(H61, 'リスト'!$E:$E, 'リスト'!$F:$F, ""), "")</f>
        <v/>
      </c>
      <c r="J61" s="8"/>
      <c r="K61" s="8" t="str">
        <f t="array" ref="K61">IFERROR(XLOOKUP(H61, 'リスト'!$E:$E, 'リスト'!$O:$O, ""), "")</f>
        <v/>
      </c>
      <c r="L61" s="8" t="str">
        <f t="array" ref="L61">IFERROR(XLOOKUP(H61, 'リスト'!$E:$E, 'リスト'!$P:$P, ""), "")</f>
        <v/>
      </c>
      <c r="M61" s="586" t="str">
        <f>IFERROR(__xludf.DUMMYFUNCTION("""COMPUTED_VALUE"""),"コロナ禍_事務_首都圏")</f>
        <v>コロナ禍_事務_首都圏</v>
      </c>
      <c r="N61" s="8">
        <f t="array" ref="N61">IFERROR(XLOOKUP(M61, 'リスト'!$E:$E, 'リスト'!$F:$F, ""), "")</f>
        <v>2.5</v>
      </c>
      <c r="O61" s="8"/>
      <c r="P61" s="8" t="str">
        <f t="array" ref="P61">IFERROR(XLOOKUP(M61, 'リスト'!$E:$E, 'リスト'!$O:$O, ""), "")</f>
        <v>R</v>
      </c>
      <c r="Q61" s="8" t="str">
        <f t="array" ref="Q61">IFERROR(XLOOKUP(M61, 'リスト'!$E:$E, 'リスト'!$P:$P, ""), "")</f>
        <v/>
      </c>
      <c r="R61" s="586" t="str">
        <f>IFERROR(__xludf.DUMMYFUNCTION("""COMPUTED_VALUE"""),"今週の人気求人ランキング")</f>
        <v>今週の人気求人ランキング</v>
      </c>
      <c r="S61" s="8">
        <f t="array" ref="S61">IFERROR(XLOOKUP(R61, 'リスト'!$E:$E, 'リスト'!$F:$F, ""), "")</f>
        <v>5.7</v>
      </c>
      <c r="T61" s="8"/>
      <c r="U61" s="8" t="str">
        <f t="array" ref="U61">IFERROR(XLOOKUP(R61, 'リスト'!$E:$E, 'リスト'!$O:$O, ""), "")</f>
        <v>R</v>
      </c>
      <c r="V61" s="8" t="str">
        <f t="array" ref="V61">IFERROR(XLOOKUP(R61, 'リスト'!$E:$E, 'リスト'!$P:$P, ""), "")</f>
        <v/>
      </c>
      <c r="W61" s="586"/>
      <c r="X61" s="8" t="str">
        <f t="array" ref="X61">IFERROR(XLOOKUP(W61, 'リスト'!$E:$E, 'リスト'!$F:$F, ""), "")</f>
        <v/>
      </c>
      <c r="Y61" s="8"/>
      <c r="Z61" s="8" t="str">
        <f t="array" ref="Z61">IFERROR(XLOOKUP(W61, 'リスト'!$E:$E, 'リスト'!$O:$O, ""), "")</f>
        <v/>
      </c>
      <c r="AA61" s="8" t="str">
        <f t="array" ref="AA61">IFERROR(XLOOKUP(W61, 'リスト'!$E:$E, 'リスト'!$P:$P, ""), "")</f>
        <v/>
      </c>
      <c r="AB61" s="586" t="str">
        <f>IFERROR(__xludf.DUMMYFUNCTION("""COMPUTED_VALUE"""),"事務（営業事務）_希望")</f>
        <v>事務（営業事務）_希望</v>
      </c>
      <c r="AC61" s="8">
        <f t="array" ref="AC61">IFERROR(XLOOKUP(AB61, 'リスト'!$E:$E, 'リスト'!$F:$F, ""), "")</f>
        <v>1</v>
      </c>
      <c r="AD61" s="8"/>
      <c r="AE61" s="8" t="str">
        <f t="array" ref="AE61">IFERROR(XLOOKUP(AB61, 'リスト'!$E:$E, 'リスト'!$O:$O, ""), "")</f>
        <v>R</v>
      </c>
      <c r="AF61" s="8" t="str">
        <f t="array" ref="AF61">IFERROR(XLOOKUP(AB61, 'リスト'!$E:$E, 'リスト'!$P:$P, ""), "")</f>
        <v/>
      </c>
      <c r="AG61" s="586" t="str">
        <f>IFERROR(__xludf.DUMMYFUNCTION("""COMPUTED_VALUE"""),"関西_未経験リモート_事務")</f>
        <v>関西_未経験リモート_事務</v>
      </c>
      <c r="AH61" s="8">
        <f t="array" ref="AH61">IFERROR(XLOOKUP(AG61, 'リスト'!$E:$E, 'リスト'!$F:$F, ""), "")</f>
        <v>0.7</v>
      </c>
      <c r="AI61" s="8"/>
      <c r="AJ61" s="8" t="str">
        <f t="array" ref="AJ61">IFERROR(XLOOKUP(AG61, 'リスト'!$E:$E, 'リスト'!$O:$O, ""), "")</f>
        <v>R</v>
      </c>
      <c r="AK61" s="8" t="str">
        <f t="array" ref="AK61">IFERROR(XLOOKUP(AG61, 'リスト'!$E:$E, 'リスト'!$P:$P, ""), "")</f>
        <v/>
      </c>
    </row>
    <row r="62" ht="17.25" customHeight="1">
      <c r="A62" s="587"/>
      <c r="B62" s="588"/>
      <c r="C62" s="586"/>
      <c r="D62" s="8" t="str">
        <f t="array" ref="D62">IFERROR(XLOOKUP(C62, 'リスト'!$E:$E, 'リスト'!$F:$F, ""), "")</f>
        <v/>
      </c>
      <c r="E62" s="8"/>
      <c r="F62" s="8" t="str">
        <f t="array" ref="F62">IFERROR(XLOOKUP(C62, 'リスト'!$E:$E, 'リスト'!$O:$O, ""), "")</f>
        <v/>
      </c>
      <c r="G62" s="8" t="str">
        <f t="array" ref="G62">IFERROR(XLOOKUP(C62, 'リスト'!$E:$E, 'リスト'!$P:$P, ""), "")</f>
        <v/>
      </c>
      <c r="H62" s="586"/>
      <c r="I62" s="8" t="str">
        <f t="array" ref="I62">IFERROR(XLOOKUP(H62, 'リスト'!$E:$E, 'リスト'!$F:$F, ""), "")</f>
        <v/>
      </c>
      <c r="J62" s="8"/>
      <c r="K62" s="8" t="str">
        <f t="array" ref="K62">IFERROR(XLOOKUP(H62, 'リスト'!$E:$E, 'リスト'!$O:$O, ""), "")</f>
        <v/>
      </c>
      <c r="L62" s="8" t="str">
        <f t="array" ref="L62">IFERROR(XLOOKUP(H62, 'リスト'!$E:$E, 'リスト'!$P:$P, ""), "")</f>
        <v/>
      </c>
      <c r="M62" s="586"/>
      <c r="N62" s="8" t="str">
        <f t="array" ref="N62">IFERROR(XLOOKUP(M62, 'リスト'!$E:$E, 'リスト'!$F:$F, ""), "")</f>
        <v/>
      </c>
      <c r="O62" s="8"/>
      <c r="P62" s="8" t="str">
        <f t="array" ref="P62">IFERROR(XLOOKUP(M62, 'リスト'!$E:$E, 'リスト'!$O:$O, ""), "")</f>
        <v/>
      </c>
      <c r="Q62" s="8" t="str">
        <f t="array" ref="Q62">IFERROR(XLOOKUP(M62, 'リスト'!$E:$E, 'リスト'!$P:$P, ""), "")</f>
        <v/>
      </c>
      <c r="R62" s="586" t="str">
        <f>IFERROR(__xludf.DUMMYFUNCTION("""COMPUTED_VALUE"""),"事務（広報）_希望")</f>
        <v>事務（広報）_希望</v>
      </c>
      <c r="S62" s="8">
        <f t="array" ref="S62">IFERROR(XLOOKUP(R62, 'リスト'!$E:$E, 'リスト'!$F:$F, ""), "")</f>
        <v>0.5</v>
      </c>
      <c r="T62" s="8"/>
      <c r="U62" s="8" t="str">
        <f t="array" ref="U62">IFERROR(XLOOKUP(R62, 'リスト'!$E:$E, 'リスト'!$O:$O, ""), "")</f>
        <v>R</v>
      </c>
      <c r="V62" s="8" t="str">
        <f t="array" ref="V62">IFERROR(XLOOKUP(R62, 'リスト'!$E:$E, 'リスト'!$P:$P, ""), "")</f>
        <v/>
      </c>
      <c r="W62" s="586"/>
      <c r="X62" s="8" t="str">
        <f t="array" ref="X62">IFERROR(XLOOKUP(W62, 'リスト'!$E:$E, 'リスト'!$F:$F, ""), "")</f>
        <v/>
      </c>
      <c r="Y62" s="8"/>
      <c r="Z62" s="8" t="str">
        <f t="array" ref="Z62">IFERROR(XLOOKUP(W62, 'リスト'!$E:$E, 'リスト'!$O:$O, ""), "")</f>
        <v/>
      </c>
      <c r="AA62" s="8" t="str">
        <f t="array" ref="AA62">IFERROR(XLOOKUP(W62, 'リスト'!$E:$E, 'リスト'!$P:$P, ""), "")</f>
        <v/>
      </c>
      <c r="AB62" s="586"/>
      <c r="AC62" s="8" t="str">
        <f t="array" ref="AC62">IFERROR(XLOOKUP(AB62, 'リスト'!$E:$E, 'リスト'!$F:$F, ""), "")</f>
        <v/>
      </c>
      <c r="AD62" s="8"/>
      <c r="AE62" s="8" t="str">
        <f t="array" ref="AE62">IFERROR(XLOOKUP(AB62, 'リスト'!$E:$E, 'リスト'!$O:$O, ""), "")</f>
        <v/>
      </c>
      <c r="AF62" s="8" t="str">
        <f t="array" ref="AF62">IFERROR(XLOOKUP(AB62, 'リスト'!$E:$E, 'リスト'!$P:$P, ""), "")</f>
        <v/>
      </c>
      <c r="AG62" s="586"/>
      <c r="AH62" s="8" t="str">
        <f t="array" ref="AH62">IFERROR(XLOOKUP(AG62, 'リスト'!$E:$E, 'リスト'!$F:$F, ""), "")</f>
        <v/>
      </c>
      <c r="AI62" s="8"/>
      <c r="AJ62" s="8" t="str">
        <f t="array" ref="AJ62">IFERROR(XLOOKUP(AG62, 'リスト'!$E:$E, 'リスト'!$O:$O, ""), "")</f>
        <v/>
      </c>
      <c r="AK62" s="8" t="str">
        <f t="array" ref="AK62">IFERROR(XLOOKUP(AG62, 'リスト'!$E:$E, 'リスト'!$P:$P, ""), "")</f>
        <v/>
      </c>
    </row>
    <row r="63" ht="17.25" customHeight="1">
      <c r="A63" s="587"/>
      <c r="B63" s="588"/>
      <c r="C63" s="589"/>
      <c r="D63" s="8" t="str">
        <f t="array" ref="D63">IFERROR(XLOOKUP(C63, 'リスト'!$E:$E, 'リスト'!$F:$F, ""), "")</f>
        <v/>
      </c>
      <c r="E63" s="8"/>
      <c r="F63" s="8" t="str">
        <f t="array" ref="F63">IFERROR(XLOOKUP(C63, 'リスト'!$E:$E, 'リスト'!$O:$O, ""), "")</f>
        <v/>
      </c>
      <c r="G63" s="8" t="str">
        <f t="array" ref="G63">IFERROR(XLOOKUP(C63, 'リスト'!$E:$E, 'リスト'!$P:$P, ""), "")</f>
        <v/>
      </c>
      <c r="H63" s="589"/>
      <c r="I63" s="8" t="str">
        <f t="array" ref="I63">IFERROR(XLOOKUP(H63, 'リスト'!$E:$E, 'リスト'!$F:$F, ""), "")</f>
        <v/>
      </c>
      <c r="J63" s="8"/>
      <c r="K63" s="8" t="str">
        <f t="array" ref="K63">IFERROR(XLOOKUP(H63, 'リスト'!$E:$E, 'リスト'!$O:$O, ""), "")</f>
        <v/>
      </c>
      <c r="L63" s="8" t="str">
        <f t="array" ref="L63">IFERROR(XLOOKUP(H63, 'リスト'!$E:$E, 'リスト'!$P:$P, ""), "")</f>
        <v/>
      </c>
      <c r="M63" s="589"/>
      <c r="N63" s="8" t="str">
        <f t="array" ref="N63">IFERROR(XLOOKUP(M63, 'リスト'!$E:$E, 'リスト'!$F:$F, ""), "")</f>
        <v/>
      </c>
      <c r="O63" s="8"/>
      <c r="P63" s="8" t="str">
        <f t="array" ref="P63">IFERROR(XLOOKUP(M63, 'リスト'!$E:$E, 'リスト'!$O:$O, ""), "")</f>
        <v/>
      </c>
      <c r="Q63" s="8" t="str">
        <f t="array" ref="Q63">IFERROR(XLOOKUP(M63, 'リスト'!$E:$E, 'リスト'!$P:$P, ""), "")</f>
        <v/>
      </c>
      <c r="R63" s="589"/>
      <c r="S63" s="8" t="str">
        <f t="array" ref="S63">IFERROR(XLOOKUP(R63, 'リスト'!$E:$E, 'リスト'!$F:$F, ""), "")</f>
        <v/>
      </c>
      <c r="T63" s="8"/>
      <c r="U63" s="8" t="str">
        <f t="array" ref="U63">IFERROR(XLOOKUP(R63, 'リスト'!$E:$E, 'リスト'!$O:$O, ""), "")</f>
        <v/>
      </c>
      <c r="V63" s="8" t="str">
        <f t="array" ref="V63">IFERROR(XLOOKUP(R63, 'リスト'!$E:$E, 'リスト'!$P:$P, ""), "")</f>
        <v/>
      </c>
      <c r="W63" s="589"/>
      <c r="X63" s="8" t="str">
        <f t="array" ref="X63">IFERROR(XLOOKUP(W63, 'リスト'!$E:$E, 'リスト'!$F:$F, ""), "")</f>
        <v/>
      </c>
      <c r="Y63" s="8"/>
      <c r="Z63" s="8" t="str">
        <f t="array" ref="Z63">IFERROR(XLOOKUP(W63, 'リスト'!$E:$E, 'リスト'!$O:$O, ""), "")</f>
        <v/>
      </c>
      <c r="AA63" s="8" t="str">
        <f t="array" ref="AA63">IFERROR(XLOOKUP(W63, 'リスト'!$E:$E, 'リスト'!$P:$P, ""), "")</f>
        <v/>
      </c>
      <c r="AB63" s="589"/>
      <c r="AC63" s="8" t="str">
        <f t="array" ref="AC63">IFERROR(XLOOKUP(AB63, 'リスト'!$E:$E, 'リスト'!$F:$F, ""), "")</f>
        <v/>
      </c>
      <c r="AD63" s="8"/>
      <c r="AE63" s="8" t="str">
        <f t="array" ref="AE63">IFERROR(XLOOKUP(AB63, 'リスト'!$E:$E, 'リスト'!$O:$O, ""), "")</f>
        <v/>
      </c>
      <c r="AF63" s="8" t="str">
        <f t="array" ref="AF63">IFERROR(XLOOKUP(AB63, 'リスト'!$E:$E, 'リスト'!$P:$P, ""), "")</f>
        <v/>
      </c>
      <c r="AG63" s="589"/>
      <c r="AH63" s="8" t="str">
        <f t="array" ref="AH63">IFERROR(XLOOKUP(AG63, 'リスト'!$E:$E, 'リスト'!$F:$F, ""), "")</f>
        <v/>
      </c>
      <c r="AI63" s="8"/>
      <c r="AJ63" s="8" t="str">
        <f t="array" ref="AJ63">IFERROR(XLOOKUP(AG63, 'リスト'!$E:$E, 'リスト'!$O:$O, ""), "")</f>
        <v/>
      </c>
      <c r="AK63" s="8" t="str">
        <f t="array" ref="AK63">IFERROR(XLOOKUP(AG63, 'リスト'!$E:$E, 'リスト'!$P:$P, ""), "")</f>
        <v/>
      </c>
    </row>
    <row r="64" ht="17.25" customHeight="1">
      <c r="A64" s="587"/>
      <c r="B64" s="588"/>
      <c r="C64" s="590"/>
      <c r="D64" s="8" t="str">
        <f t="array" ref="D64">IFERROR(XLOOKUP(C64, 'リスト'!$E:$E, 'リスト'!$F:$F, ""), "")</f>
        <v/>
      </c>
      <c r="E64" s="8"/>
      <c r="F64" s="8" t="str">
        <f t="array" ref="F64">IFERROR(XLOOKUP(C64, 'リスト'!$E:$E, 'リスト'!$O:$O, ""), "")</f>
        <v/>
      </c>
      <c r="G64" s="8" t="str">
        <f t="array" ref="G64">IFERROR(XLOOKUP(C64, 'リスト'!$E:$E, 'リスト'!$P:$P, ""), "")</f>
        <v/>
      </c>
      <c r="H64" s="590"/>
      <c r="I64" s="8" t="str">
        <f t="array" ref="I64">IFERROR(XLOOKUP(H64, 'リスト'!$E:$E, 'リスト'!$F:$F, ""), "")</f>
        <v/>
      </c>
      <c r="J64" s="8"/>
      <c r="K64" s="8" t="str">
        <f t="array" ref="K64">IFERROR(XLOOKUP(H64, 'リスト'!$E:$E, 'リスト'!$O:$O, ""), "")</f>
        <v/>
      </c>
      <c r="L64" s="8" t="str">
        <f t="array" ref="L64">IFERROR(XLOOKUP(H64, 'リスト'!$E:$E, 'リスト'!$P:$P, ""), "")</f>
        <v/>
      </c>
      <c r="M64" s="590"/>
      <c r="N64" s="8" t="str">
        <f t="array" ref="N64">IFERROR(XLOOKUP(M64, 'リスト'!$E:$E, 'リスト'!$F:$F, ""), "")</f>
        <v/>
      </c>
      <c r="O64" s="8"/>
      <c r="P64" s="8" t="str">
        <f t="array" ref="P64">IFERROR(XLOOKUP(M64, 'リスト'!$E:$E, 'リスト'!$O:$O, ""), "")</f>
        <v/>
      </c>
      <c r="Q64" s="8" t="str">
        <f t="array" ref="Q64">IFERROR(XLOOKUP(M64, 'リスト'!$E:$E, 'リスト'!$P:$P, ""), "")</f>
        <v/>
      </c>
      <c r="R64" s="590"/>
      <c r="S64" s="8" t="str">
        <f t="array" ref="S64">IFERROR(XLOOKUP(R64, 'リスト'!$E:$E, 'リスト'!$F:$F, ""), "")</f>
        <v/>
      </c>
      <c r="T64" s="8"/>
      <c r="U64" s="8" t="str">
        <f t="array" ref="U64">IFERROR(XLOOKUP(R64, 'リスト'!$E:$E, 'リスト'!$O:$O, ""), "")</f>
        <v/>
      </c>
      <c r="V64" s="8" t="str">
        <f t="array" ref="V64">IFERROR(XLOOKUP(R64, 'リスト'!$E:$E, 'リスト'!$P:$P, ""), "")</f>
        <v/>
      </c>
      <c r="W64" s="590"/>
      <c r="X64" s="8" t="str">
        <f t="array" ref="X64">IFERROR(XLOOKUP(W64, 'リスト'!$E:$E, 'リスト'!$F:$F, ""), "")</f>
        <v/>
      </c>
      <c r="Y64" s="8"/>
      <c r="Z64" s="8" t="str">
        <f t="array" ref="Z64">IFERROR(XLOOKUP(W64, 'リスト'!$E:$E, 'リスト'!$O:$O, ""), "")</f>
        <v/>
      </c>
      <c r="AA64" s="8" t="str">
        <f t="array" ref="AA64">IFERROR(XLOOKUP(W64, 'リスト'!$E:$E, 'リスト'!$P:$P, ""), "")</f>
        <v/>
      </c>
      <c r="AB64" s="590"/>
      <c r="AC64" s="8" t="str">
        <f t="array" ref="AC64">IFERROR(XLOOKUP(AB64, 'リスト'!$E:$E, 'リスト'!$F:$F, ""), "")</f>
        <v/>
      </c>
      <c r="AD64" s="8"/>
      <c r="AE64" s="8" t="str">
        <f t="array" ref="AE64">IFERROR(XLOOKUP(AB64, 'リスト'!$E:$E, 'リスト'!$O:$O, ""), "")</f>
        <v/>
      </c>
      <c r="AF64" s="8" t="str">
        <f t="array" ref="AF64">IFERROR(XLOOKUP(AB64, 'リスト'!$E:$E, 'リスト'!$P:$P, ""), "")</f>
        <v/>
      </c>
      <c r="AG64" s="590"/>
      <c r="AH64" s="8" t="str">
        <f t="array" ref="AH64">IFERROR(XLOOKUP(AG64, 'リスト'!$E:$E, 'リスト'!$F:$F, ""), "")</f>
        <v/>
      </c>
      <c r="AI64" s="8"/>
      <c r="AJ64" s="8" t="str">
        <f t="array" ref="AJ64">IFERROR(XLOOKUP(AG64, 'リスト'!$E:$E, 'リスト'!$O:$O, ""), "")</f>
        <v/>
      </c>
      <c r="AK64" s="8" t="str">
        <f t="array" ref="AK64">IFERROR(XLOOKUP(AG64, 'リスト'!$E:$E, 'リスト'!$P:$P, ""), "")</f>
        <v/>
      </c>
    </row>
    <row r="65" ht="17.25" customHeight="1">
      <c r="A65" s="587"/>
      <c r="B65" s="588"/>
      <c r="C65" s="590"/>
      <c r="D65" s="8" t="str">
        <f t="array" ref="D65">IFERROR(XLOOKUP(C65, 'リスト'!$E:$E, 'リスト'!$F:$F, ""), "")</f>
        <v/>
      </c>
      <c r="E65" s="8"/>
      <c r="F65" s="8" t="str">
        <f t="array" ref="F65">IFERROR(XLOOKUP(C65, 'リスト'!$E:$E, 'リスト'!$O:$O, ""), "")</f>
        <v/>
      </c>
      <c r="G65" s="8" t="str">
        <f t="array" ref="G65">IFERROR(XLOOKUP(C65, 'リスト'!$E:$E, 'リスト'!$P:$P, ""), "")</f>
        <v/>
      </c>
      <c r="H65" s="590"/>
      <c r="I65" s="8" t="str">
        <f t="array" ref="I65">IFERROR(XLOOKUP(H65, 'リスト'!$E:$E, 'リスト'!$F:$F, ""), "")</f>
        <v/>
      </c>
      <c r="J65" s="8"/>
      <c r="K65" s="8" t="str">
        <f t="array" ref="K65">IFERROR(XLOOKUP(H65, 'リスト'!$E:$E, 'リスト'!$O:$O, ""), "")</f>
        <v/>
      </c>
      <c r="L65" s="8" t="str">
        <f t="array" ref="L65">IFERROR(XLOOKUP(H65, 'リスト'!$E:$E, 'リスト'!$P:$P, ""), "")</f>
        <v/>
      </c>
      <c r="M65" s="590"/>
      <c r="N65" s="8" t="str">
        <f t="array" ref="N65">IFERROR(XLOOKUP(M65, 'リスト'!$E:$E, 'リスト'!$F:$F, ""), "")</f>
        <v/>
      </c>
      <c r="O65" s="8"/>
      <c r="P65" s="8" t="str">
        <f t="array" ref="P65">IFERROR(XLOOKUP(M65, 'リスト'!$E:$E, 'リスト'!$O:$O, ""), "")</f>
        <v/>
      </c>
      <c r="Q65" s="8" t="str">
        <f t="array" ref="Q65">IFERROR(XLOOKUP(M65, 'リスト'!$E:$E, 'リスト'!$P:$P, ""), "")</f>
        <v/>
      </c>
      <c r="R65" s="590"/>
      <c r="S65" s="8" t="str">
        <f t="array" ref="S65">IFERROR(XLOOKUP(R65, 'リスト'!$E:$E, 'リスト'!$F:$F, ""), "")</f>
        <v/>
      </c>
      <c r="T65" s="8"/>
      <c r="U65" s="8" t="str">
        <f t="array" ref="U65">IFERROR(XLOOKUP(R65, 'リスト'!$E:$E, 'リスト'!$O:$O, ""), "")</f>
        <v/>
      </c>
      <c r="V65" s="8" t="str">
        <f t="array" ref="V65">IFERROR(XLOOKUP(R65, 'リスト'!$E:$E, 'リスト'!$P:$P, ""), "")</f>
        <v/>
      </c>
      <c r="W65" s="590"/>
      <c r="X65" s="8" t="str">
        <f t="array" ref="X65">IFERROR(XLOOKUP(W65, 'リスト'!$E:$E, 'リスト'!$F:$F, ""), "")</f>
        <v/>
      </c>
      <c r="Y65" s="8"/>
      <c r="Z65" s="8" t="str">
        <f t="array" ref="Z65">IFERROR(XLOOKUP(W65, 'リスト'!$E:$E, 'リスト'!$O:$O, ""), "")</f>
        <v/>
      </c>
      <c r="AA65" s="8" t="str">
        <f t="array" ref="AA65">IFERROR(XLOOKUP(W65, 'リスト'!$E:$E, 'リスト'!$P:$P, ""), "")</f>
        <v/>
      </c>
      <c r="AB65" s="590"/>
      <c r="AC65" s="8" t="str">
        <f t="array" ref="AC65">IFERROR(XLOOKUP(AB65, 'リスト'!$E:$E, 'リスト'!$F:$F, ""), "")</f>
        <v/>
      </c>
      <c r="AD65" s="8"/>
      <c r="AE65" s="8" t="str">
        <f t="array" ref="AE65">IFERROR(XLOOKUP(AB65, 'リスト'!$E:$E, 'リスト'!$O:$O, ""), "")</f>
        <v/>
      </c>
      <c r="AF65" s="8" t="str">
        <f t="array" ref="AF65">IFERROR(XLOOKUP(AB65, 'リスト'!$E:$E, 'リスト'!$P:$P, ""), "")</f>
        <v/>
      </c>
      <c r="AG65" s="590"/>
      <c r="AH65" s="8" t="str">
        <f t="array" ref="AH65">IFERROR(XLOOKUP(AG65, 'リスト'!$E:$E, 'リスト'!$F:$F, ""), "")</f>
        <v/>
      </c>
      <c r="AI65" s="8"/>
      <c r="AJ65" s="8" t="str">
        <f t="array" ref="AJ65">IFERROR(XLOOKUP(AG65, 'リスト'!$E:$E, 'リスト'!$O:$O, ""), "")</f>
        <v/>
      </c>
      <c r="AK65" s="8" t="str">
        <f t="array" ref="AK65">IFERROR(XLOOKUP(AG65, 'リスト'!$E:$E, 'リスト'!$P:$P, ""), "")</f>
        <v/>
      </c>
    </row>
    <row r="66" ht="17.25" customHeight="1">
      <c r="A66" s="587"/>
      <c r="B66" s="588"/>
      <c r="C66" s="590"/>
      <c r="D66" s="8" t="str">
        <f t="array" ref="D66">IFERROR(XLOOKUP(C66, 'リスト'!$E:$E, 'リスト'!$F:$F, ""), "")</f>
        <v/>
      </c>
      <c r="E66" s="8"/>
      <c r="F66" s="8" t="str">
        <f t="array" ref="F66">IFERROR(XLOOKUP(C66, 'リスト'!$E:$E, 'リスト'!$O:$O, ""), "")</f>
        <v/>
      </c>
      <c r="G66" s="8" t="str">
        <f t="array" ref="G66">IFERROR(XLOOKUP(C66, 'リスト'!$E:$E, 'リスト'!$P:$P, ""), "")</f>
        <v/>
      </c>
      <c r="H66" s="590"/>
      <c r="I66" s="8" t="str">
        <f t="array" ref="I66">IFERROR(XLOOKUP(H66, 'リスト'!$E:$E, 'リスト'!$F:$F, ""), "")</f>
        <v/>
      </c>
      <c r="J66" s="8"/>
      <c r="K66" s="8" t="str">
        <f t="array" ref="K66">IFERROR(XLOOKUP(H66, 'リスト'!$E:$E, 'リスト'!$O:$O, ""), "")</f>
        <v/>
      </c>
      <c r="L66" s="8" t="str">
        <f t="array" ref="L66">IFERROR(XLOOKUP(H66, 'リスト'!$E:$E, 'リスト'!$P:$P, ""), "")</f>
        <v/>
      </c>
      <c r="M66" s="590"/>
      <c r="N66" s="8" t="str">
        <f t="array" ref="N66">IFERROR(XLOOKUP(M66, 'リスト'!$E:$E, 'リスト'!$F:$F, ""), "")</f>
        <v/>
      </c>
      <c r="O66" s="8"/>
      <c r="P66" s="8" t="str">
        <f t="array" ref="P66">IFERROR(XLOOKUP(M66, 'リスト'!$E:$E, 'リスト'!$O:$O, ""), "")</f>
        <v/>
      </c>
      <c r="Q66" s="8" t="str">
        <f t="array" ref="Q66">IFERROR(XLOOKUP(M66, 'リスト'!$E:$E, 'リスト'!$P:$P, ""), "")</f>
        <v/>
      </c>
      <c r="R66" s="590"/>
      <c r="S66" s="8" t="str">
        <f t="array" ref="S66">IFERROR(XLOOKUP(R66, 'リスト'!$E:$E, 'リスト'!$F:$F, ""), "")</f>
        <v/>
      </c>
      <c r="T66" s="8"/>
      <c r="U66" s="8" t="str">
        <f t="array" ref="U66">IFERROR(XLOOKUP(R66, 'リスト'!$E:$E, 'リスト'!$O:$O, ""), "")</f>
        <v/>
      </c>
      <c r="V66" s="8" t="str">
        <f t="array" ref="V66">IFERROR(XLOOKUP(R66, 'リスト'!$E:$E, 'リスト'!$P:$P, ""), "")</f>
        <v/>
      </c>
      <c r="W66" s="590"/>
      <c r="X66" s="8" t="str">
        <f t="array" ref="X66">IFERROR(XLOOKUP(W66, 'リスト'!$E:$E, 'リスト'!$F:$F, ""), "")</f>
        <v/>
      </c>
      <c r="Y66" s="8"/>
      <c r="Z66" s="8" t="str">
        <f t="array" ref="Z66">IFERROR(XLOOKUP(W66, 'リスト'!$E:$E, 'リスト'!$O:$O, ""), "")</f>
        <v/>
      </c>
      <c r="AA66" s="8" t="str">
        <f t="array" ref="AA66">IFERROR(XLOOKUP(W66, 'リスト'!$E:$E, 'リスト'!$P:$P, ""), "")</f>
        <v/>
      </c>
      <c r="AB66" s="590"/>
      <c r="AC66" s="8" t="str">
        <f t="array" ref="AC66">IFERROR(XLOOKUP(AB66, 'リスト'!$E:$E, 'リスト'!$F:$F, ""), "")</f>
        <v/>
      </c>
      <c r="AD66" s="8"/>
      <c r="AE66" s="8" t="str">
        <f t="array" ref="AE66">IFERROR(XLOOKUP(AB66, 'リスト'!$E:$E, 'リスト'!$O:$O, ""), "")</f>
        <v/>
      </c>
      <c r="AF66" s="8" t="str">
        <f t="array" ref="AF66">IFERROR(XLOOKUP(AB66, 'リスト'!$E:$E, 'リスト'!$P:$P, ""), "")</f>
        <v/>
      </c>
      <c r="AG66" s="590"/>
      <c r="AH66" s="8" t="str">
        <f t="array" ref="AH66">IFERROR(XLOOKUP(AG66, 'リスト'!$E:$E, 'リスト'!$F:$F, ""), "")</f>
        <v/>
      </c>
      <c r="AI66" s="8"/>
      <c r="AJ66" s="8" t="str">
        <f t="array" ref="AJ66">IFERROR(XLOOKUP(AG66, 'リスト'!$E:$E, 'リスト'!$O:$O, ""), "")</f>
        <v/>
      </c>
      <c r="AK66" s="8" t="str">
        <f t="array" ref="AK66">IFERROR(XLOOKUP(AG66, 'リスト'!$E:$E, 'リスト'!$P:$P, ""), "")</f>
        <v/>
      </c>
    </row>
    <row r="67" ht="17.25" customHeight="1">
      <c r="A67" s="587"/>
      <c r="B67" s="588"/>
      <c r="C67" s="590"/>
      <c r="D67" s="8" t="str">
        <f t="array" ref="D67">IFERROR(XLOOKUP(C67, 'リスト'!$E:$E, 'リスト'!$F:$F, ""), "")</f>
        <v/>
      </c>
      <c r="E67" s="8"/>
      <c r="F67" s="8" t="str">
        <f t="array" ref="F67">IFERROR(XLOOKUP(C67, 'リスト'!$E:$E, 'リスト'!$O:$O, ""), "")</f>
        <v/>
      </c>
      <c r="G67" s="8" t="str">
        <f t="array" ref="G67">IFERROR(XLOOKUP(C67, 'リスト'!$E:$E, 'リスト'!$P:$P, ""), "")</f>
        <v/>
      </c>
      <c r="H67" s="590"/>
      <c r="I67" s="8" t="str">
        <f t="array" ref="I67">IFERROR(XLOOKUP(H67, 'リスト'!$E:$E, 'リスト'!$F:$F, ""), "")</f>
        <v/>
      </c>
      <c r="J67" s="8"/>
      <c r="K67" s="8" t="str">
        <f t="array" ref="K67">IFERROR(XLOOKUP(H67, 'リスト'!$E:$E, 'リスト'!$O:$O, ""), "")</f>
        <v/>
      </c>
      <c r="L67" s="8" t="str">
        <f t="array" ref="L67">IFERROR(XLOOKUP(H67, 'リスト'!$E:$E, 'リスト'!$P:$P, ""), "")</f>
        <v/>
      </c>
      <c r="M67" s="590"/>
      <c r="N67" s="8" t="str">
        <f t="array" ref="N67">IFERROR(XLOOKUP(M67, 'リスト'!$E:$E, 'リスト'!$F:$F, ""), "")</f>
        <v/>
      </c>
      <c r="O67" s="8"/>
      <c r="P67" s="8" t="str">
        <f t="array" ref="P67">IFERROR(XLOOKUP(M67, 'リスト'!$E:$E, 'リスト'!$O:$O, ""), "")</f>
        <v/>
      </c>
      <c r="Q67" s="8" t="str">
        <f t="array" ref="Q67">IFERROR(XLOOKUP(M67, 'リスト'!$E:$E, 'リスト'!$P:$P, ""), "")</f>
        <v/>
      </c>
      <c r="R67" s="590"/>
      <c r="S67" s="8" t="str">
        <f t="array" ref="S67">IFERROR(XLOOKUP(R67, 'リスト'!$E:$E, 'リスト'!$F:$F, ""), "")</f>
        <v/>
      </c>
      <c r="T67" s="8"/>
      <c r="U67" s="8" t="str">
        <f t="array" ref="U67">IFERROR(XLOOKUP(R67, 'リスト'!$E:$E, 'リスト'!$O:$O, ""), "")</f>
        <v/>
      </c>
      <c r="V67" s="8" t="str">
        <f t="array" ref="V67">IFERROR(XLOOKUP(R67, 'リスト'!$E:$E, 'リスト'!$P:$P, ""), "")</f>
        <v/>
      </c>
      <c r="W67" s="590"/>
      <c r="X67" s="8" t="str">
        <f t="array" ref="X67">IFERROR(XLOOKUP(W67, 'リスト'!$E:$E, 'リスト'!$F:$F, ""), "")</f>
        <v/>
      </c>
      <c r="Y67" s="8"/>
      <c r="Z67" s="8" t="str">
        <f t="array" ref="Z67">IFERROR(XLOOKUP(W67, 'リスト'!$E:$E, 'リスト'!$O:$O, ""), "")</f>
        <v/>
      </c>
      <c r="AA67" s="8" t="str">
        <f t="array" ref="AA67">IFERROR(XLOOKUP(W67, 'リスト'!$E:$E, 'リスト'!$P:$P, ""), "")</f>
        <v/>
      </c>
      <c r="AB67" s="590"/>
      <c r="AC67" s="8" t="str">
        <f t="array" ref="AC67">IFERROR(XLOOKUP(AB67, 'リスト'!$E:$E, 'リスト'!$F:$F, ""), "")</f>
        <v/>
      </c>
      <c r="AD67" s="8"/>
      <c r="AE67" s="8" t="str">
        <f t="array" ref="AE67">IFERROR(XLOOKUP(AB67, 'リスト'!$E:$E, 'リスト'!$O:$O, ""), "")</f>
        <v/>
      </c>
      <c r="AF67" s="8" t="str">
        <f t="array" ref="AF67">IFERROR(XLOOKUP(AB67, 'リスト'!$E:$E, 'リスト'!$P:$P, ""), "")</f>
        <v/>
      </c>
      <c r="AG67" s="590"/>
      <c r="AH67" s="8" t="str">
        <f t="array" ref="AH67">IFERROR(XLOOKUP(AG67, 'リスト'!$E:$E, 'リスト'!$F:$F, ""), "")</f>
        <v/>
      </c>
      <c r="AI67" s="8"/>
      <c r="AJ67" s="8" t="str">
        <f t="array" ref="AJ67">IFERROR(XLOOKUP(AG67, 'リスト'!$E:$E, 'リスト'!$O:$O, ""), "")</f>
        <v/>
      </c>
      <c r="AK67" s="8" t="str">
        <f t="array" ref="AK67">IFERROR(XLOOKUP(AG67, 'リスト'!$E:$E, 'リスト'!$P:$P, ""), "")</f>
        <v/>
      </c>
    </row>
    <row r="68" ht="17.25" customHeight="1">
      <c r="A68" s="587"/>
      <c r="B68" s="592"/>
      <c r="C68" s="590"/>
      <c r="D68" s="8" t="str">
        <f t="array" ref="D68">IFERROR(XLOOKUP(C68, '新規'!$E:$E, '新規'!$F:$F, ""), "")</f>
        <v/>
      </c>
      <c r="E68" s="8"/>
      <c r="F68" s="8" t="str">
        <f t="array" ref="F68">IFERROR(XLOOKUP(C68, '新規'!$E:$E, '新規'!$O:$O, ""), "")</f>
        <v/>
      </c>
      <c r="G68" s="8" t="str">
        <f t="array" ref="G68">IFERROR(XLOOKUP(C68, '新規'!$E:$E, '新規'!$P:$P, ""), "")</f>
        <v/>
      </c>
      <c r="H68" s="590"/>
      <c r="I68" s="8" t="str">
        <f t="array" ref="I68">IFERROR(XLOOKUP(H68, '新規'!$E:$E, '新規'!$F:$F, ""), "")</f>
        <v/>
      </c>
      <c r="J68" s="8"/>
      <c r="K68" s="8" t="str">
        <f t="array" ref="K68">IFERROR(XLOOKUP(H68, '新規'!$E:$E, '新規'!$O:$O, ""), "")</f>
        <v/>
      </c>
      <c r="L68" s="8" t="str">
        <f t="array" ref="L68">IFERROR(XLOOKUP(H68, '新規'!$E:$E, '新規'!$P:$P, ""), "")</f>
        <v/>
      </c>
      <c r="M68" s="590"/>
      <c r="N68" s="8" t="str">
        <f t="array" ref="N68">IFERROR(XLOOKUP(M68, '新規'!$E:$E, '新規'!$F:$F, ""), "")</f>
        <v/>
      </c>
      <c r="O68" s="8"/>
      <c r="P68" s="8" t="str">
        <f t="array" ref="P68">IFERROR(XLOOKUP(M68, '新規'!$E:$E, '新規'!$O:$O, ""), "")</f>
        <v/>
      </c>
      <c r="Q68" s="8" t="str">
        <f t="array" ref="Q68">IFERROR(XLOOKUP(M68, '新規'!$E:$E, '新規'!$P:$P, ""), "")</f>
        <v/>
      </c>
      <c r="R68" s="590"/>
      <c r="S68" s="8" t="str">
        <f t="array" ref="S68">IFERROR(XLOOKUP(R68, '新規'!$E:$E, '新規'!$F:$F, ""), "")</f>
        <v/>
      </c>
      <c r="T68" s="8"/>
      <c r="U68" s="8" t="str">
        <f t="array" ref="U68">IFERROR(XLOOKUP(R68, '新規'!$E:$E, '新規'!$O:$O, ""), "")</f>
        <v/>
      </c>
      <c r="V68" s="8" t="str">
        <f t="array" ref="V68">IFERROR(XLOOKUP(R68, '新規'!$E:$E, '新規'!$P:$P, ""), "")</f>
        <v/>
      </c>
      <c r="W68" s="590"/>
      <c r="X68" s="8" t="str">
        <f t="array" ref="X68">IFERROR(XLOOKUP(W68, '新規'!$E:$E, '新規'!$F:$F, ""), "")</f>
        <v/>
      </c>
      <c r="Y68" s="8"/>
      <c r="Z68" s="8" t="str">
        <f t="array" ref="Z68">IFERROR(XLOOKUP(W68, '新規'!$E:$E, '新規'!$O:$O, ""), "")</f>
        <v/>
      </c>
      <c r="AA68" s="8" t="str">
        <f t="array" ref="AA68">IFERROR(XLOOKUP(W68, '新規'!$E:$E, '新規'!$P:$P, ""), "")</f>
        <v/>
      </c>
      <c r="AB68" s="590"/>
      <c r="AC68" s="8" t="str">
        <f t="array" ref="AC68">IFERROR(XLOOKUP(AB68, '新規'!$E:$E, '新規'!$F:$F, ""), "")</f>
        <v/>
      </c>
      <c r="AD68" s="8"/>
      <c r="AE68" s="8" t="str">
        <f t="array" ref="AE68">IFERROR(XLOOKUP(AB68, '新規'!$E:$E, '新規'!$O:$O, ""), "")</f>
        <v/>
      </c>
      <c r="AF68" s="8" t="str">
        <f t="array" ref="AF68">IFERROR(XLOOKUP(AB68, '新規'!$E:$E, '新規'!$P:$P, ""), "")</f>
        <v/>
      </c>
      <c r="AG68" s="590"/>
      <c r="AH68" s="8" t="str">
        <f t="array" ref="AH68">IFERROR(XLOOKUP(AG68, '新規'!$E:$E, '新規'!$F:$F, ""), "")</f>
        <v/>
      </c>
      <c r="AI68" s="8"/>
      <c r="AJ68" s="8" t="str">
        <f t="array" ref="AJ68">IFERROR(XLOOKUP(AG68, '新規'!$E:$E, '新規'!$O:$O, ""), "")</f>
        <v/>
      </c>
      <c r="AK68" s="8" t="str">
        <f t="array" ref="AK68">IFERROR(XLOOKUP(AG68, '新規'!$E:$E, '新規'!$P:$P, ""), "")</f>
        <v/>
      </c>
    </row>
    <row r="69" ht="17.25" customHeight="1">
      <c r="A69" s="587"/>
      <c r="B69" s="585" t="s">
        <v>78</v>
      </c>
      <c r="C69" s="590" t="str">
        <f>IFERROR(__xludf.DUMMYFUNCTION("IFERROR(FILTER('新規'!$E$3:$E$170, ('新規'!$B$3:$B$170=LOOKUP(2,1/($A$3:$A69&lt;&gt;""""),$A$3:$A69))*(('新規'!$A$3:$A$170=C$1)+(('新規'!$G$3:$G$170=""毎月配信"")*(TEXT('新規'!$A$3:$A$170,""ddd"")=TEXT(C$1, ""ddd""))))), """")"),"")</f>
        <v/>
      </c>
      <c r="D69" s="8" t="str">
        <f t="array" ref="D69">IFERROR(XLOOKUP(C69, '新規'!$E:$E, '新規'!$F:$F, ""), "")</f>
        <v/>
      </c>
      <c r="E69" s="8"/>
      <c r="F69" s="8" t="str">
        <f>IFERROR(__xludf.DUMMYFUNCTION("IF(C69="""","""",IFERROR(INDEX(FILTER('新規'!$O$3:$O$670, '新規'!$E$3:$E$670=C69),1),""""))"),"")</f>
        <v/>
      </c>
      <c r="G69" s="8" t="str">
        <f>IFERROR(__xludf.DUMMYFUNCTION("IF(C69="""","""",IFERROR(INDEX(FILTER('新規'!$P$3:$P$670, '新規'!$E$3:$E$670=C69),1),""""))"),"")</f>
        <v/>
      </c>
      <c r="H69" s="590" t="str">
        <f>IFERROR(__xludf.DUMMYFUNCTION("IFERROR(FILTER('新規'!$E$3:$E$170, ('新規'!$B$3:$B$170=LOOKUP(2,1/($A$3:$A69&lt;&gt;""""),$A$3:$A69))*(('新規'!$A$3:$A$170=H$1)+(('新規'!$G$3:$G$170=""毎月配信"")*(TEXT('新規'!$A$3:$A$170,""ddd"")=TEXT(H$1, ""ddd""))))), """")"),"")</f>
        <v/>
      </c>
      <c r="I69" s="8" t="str">
        <f t="array" ref="I69">IFERROR(XLOOKUP(H69, '新規'!$E:$E, '新規'!$F:$F, ""), "")</f>
        <v/>
      </c>
      <c r="J69" s="8"/>
      <c r="K69" s="8" t="str">
        <f>IFERROR(__xludf.DUMMYFUNCTION("IF(H69="""","""",IFERROR(INDEX(FILTER('新規'!$O$3:$O$670, '新規'!$E$3:$E$670=H69),1),""""))"),"")</f>
        <v/>
      </c>
      <c r="L69" s="8" t="str">
        <f>IFERROR(__xludf.DUMMYFUNCTION("IF(H69="""","""",IFERROR(INDEX(FILTER('新規'!$P$3:$P$670, '新規'!$E$3:$E$670=H69),1),""""))"),"")</f>
        <v/>
      </c>
      <c r="M69" s="590" t="str">
        <f>IFERROR(__xludf.DUMMYFUNCTION("IFERROR(FILTER('新規'!$E$3:$E$170, ('新規'!$B$3:$B$170=LOOKUP(2,1/($A$3:$A69&lt;&gt;""""),$A$3:$A69))*(('新規'!$A$3:$A$170=M$1)+(('新規'!$G$3:$G$170=""毎月配信"")*(TEXT('新規'!$A$3:$A$170,""ddd"")=TEXT(M$1, ""ddd""))))), """")"),"")</f>
        <v/>
      </c>
      <c r="N69" s="8" t="str">
        <f t="array" ref="N69">IFERROR(XLOOKUP(M69, '新規'!$E:$E, '新規'!$F:$F, ""), "")</f>
        <v/>
      </c>
      <c r="O69" s="8"/>
      <c r="P69" s="8" t="str">
        <f>IFERROR(__xludf.DUMMYFUNCTION("IF(M69="""","""",IFERROR(INDEX(FILTER('新規'!$O$3:$O$670, '新規'!$E$3:$E$670=M69),1),""""))"),"")</f>
        <v/>
      </c>
      <c r="Q69" s="8" t="str">
        <f>IFERROR(__xludf.DUMMYFUNCTION("IF(M69="""","""",IFERROR(INDEX(FILTER('新規'!$P$3:$P$670, '新規'!$E$3:$E$670=M69),1),""""))"),"")</f>
        <v/>
      </c>
      <c r="R69" s="590" t="str">
        <f>IFERROR(__xludf.DUMMYFUNCTION("IFERROR(FILTER('新規'!$E$3:$E$170, ('新規'!$B$3:$B$170=LOOKUP(2,1/($A$3:$A69&lt;&gt;""""),$A$3:$A69))*(('新規'!$A$3:$A$170=R$1)+(('新規'!$G$3:$G$170=""毎月配信"")*(TEXT('新規'!$A$3:$A$170,""ddd"")=TEXT(R$1, ""ddd""))))), """")"),"")</f>
        <v/>
      </c>
      <c r="S69" s="8" t="str">
        <f t="array" ref="S69">IFERROR(XLOOKUP(R69, '新規'!$E:$E, '新規'!$F:$F, ""), "")</f>
        <v/>
      </c>
      <c r="T69" s="8"/>
      <c r="U69" s="8" t="str">
        <f>IFERROR(__xludf.DUMMYFUNCTION("IF(R69="""","""",IFERROR(INDEX(FILTER('新規'!$O$3:$O$670, '新規'!$E$3:$E$670=R69),1),""""))"),"")</f>
        <v/>
      </c>
      <c r="V69" s="8" t="str">
        <f>IFERROR(__xludf.DUMMYFUNCTION("IF(R69="""","""",IFERROR(INDEX(FILTER('新規'!$P$3:$P$670, '新規'!$E$3:$E$670=R69),1),""""))"),"")</f>
        <v/>
      </c>
      <c r="W69" s="590" t="str">
        <f>IFERROR(__xludf.DUMMYFUNCTION("IFERROR(FILTER('新規'!$E$3:$E$170, ('新規'!$B$3:$B$170=LOOKUP(2,1/($A$3:$A69&lt;&gt;""""),$A$3:$A69))*(('新規'!$A$3:$A$170=W$1)+(('新規'!$G$3:$G$170=""毎月配信"")*(TEXT('新規'!$A$3:$A$170,""ddd"")=TEXT(W$1, ""ddd""))))), """")"),"")</f>
        <v/>
      </c>
      <c r="X69" s="8" t="str">
        <f t="array" ref="X69">IFERROR(XLOOKUP(W69, '新規'!$E:$E, '新規'!$F:$F, ""), "")</f>
        <v/>
      </c>
      <c r="Y69" s="8"/>
      <c r="Z69" s="8" t="str">
        <f>IFERROR(__xludf.DUMMYFUNCTION("IF(W69="""","""",IFERROR(INDEX(FILTER('新規'!$O$3:$O$670, '新規'!$E$3:$E$670=W69),1),""""))"),"")</f>
        <v/>
      </c>
      <c r="AA69" s="8" t="str">
        <f>IFERROR(__xludf.DUMMYFUNCTION("IF(W69="""","""",IFERROR(INDEX(FILTER('新規'!$P$3:$P$670, '新規'!$E$3:$E$670=W69),1),""""))"),"")</f>
        <v/>
      </c>
      <c r="AB69" s="590" t="str">
        <f>IFERROR(__xludf.DUMMYFUNCTION("IFERROR(FILTER('新規'!$E$3:$E$170, ('新規'!$B$3:$B$170=LOOKUP(2,1/($A$3:$A69&lt;&gt;""""),$A$3:$A69))*(('新規'!$A$3:$A$170=AB$1)+(('新規'!$G$3:$G$170=""毎月配信"")*(TEXT('新規'!$A$3:$A$170,""ddd"")=TEXT(AB$1, ""ddd""))))), """")"),"")</f>
        <v/>
      </c>
      <c r="AC69" s="8" t="str">
        <f t="array" ref="AC69">IFERROR(XLOOKUP(AB69, '新規'!$E:$E, '新規'!$F:$F, ""), "")</f>
        <v/>
      </c>
      <c r="AD69" s="8"/>
      <c r="AE69" s="8" t="str">
        <f>IFERROR(__xludf.DUMMYFUNCTION("IF(AB69="""","""",IFERROR(INDEX(FILTER('新規'!$O$3:$O$670, '新規'!$E$3:$E$670=AB69),1),""""))"),"")</f>
        <v/>
      </c>
      <c r="AF69" s="8" t="str">
        <f>IFERROR(__xludf.DUMMYFUNCTION("IF(AB69="""","""",IFERROR(INDEX(FILTER('新規'!$P$3:$P$670, '新規'!$E$3:$E$670=AB69),1),""""))"),"")</f>
        <v/>
      </c>
      <c r="AG69" s="590" t="str">
        <f>IFERROR(__xludf.DUMMYFUNCTION("IFERROR(FILTER('新規'!$E$3:$E$170, ('新規'!$B$3:$B$170=LOOKUP(2,1/($A$3:$A69&lt;&gt;""""),$A$3:$A69))*(('新規'!$A$3:$A$170=AG$1)+(('新規'!$G$3:$G$170=""毎月配信"")*(TEXT('新規'!$A$3:$A$170,""ddd"")=TEXT(AG$1, ""ddd""))))), """")"),"")</f>
        <v/>
      </c>
      <c r="AH69" s="8" t="str">
        <f t="array" ref="AH69">IFERROR(XLOOKUP(AG69, '新規'!$E:$E, '新規'!$F:$F, ""), "")</f>
        <v/>
      </c>
      <c r="AI69" s="8"/>
      <c r="AJ69" s="8" t="str">
        <f>IFERROR(__xludf.DUMMYFUNCTION("IF(AG69="""","""",IFERROR(INDEX(FILTER('新規'!$O$3:$O$670, '新規'!$E$3:$E$670=AG69),1),""""))"),"")</f>
        <v/>
      </c>
      <c r="AK69" s="8" t="str">
        <f>IFERROR(__xludf.DUMMYFUNCTION("IF(AG69="""","""",IFERROR(INDEX(FILTER('新規'!$P$3:$P$670, '新規'!$E$3:$E$670=AG69),1),""""))"),"")</f>
        <v/>
      </c>
    </row>
    <row r="70" ht="17.25" customHeight="1">
      <c r="A70" s="587"/>
      <c r="B70" s="588"/>
      <c r="C70" s="590"/>
      <c r="D70" s="8" t="str">
        <f t="array" ref="D70">IFERROR(XLOOKUP(C70, '新規'!$E:$E, '新規'!$F:$F, ""), "")</f>
        <v/>
      </c>
      <c r="E70" s="8"/>
      <c r="F70" s="8" t="str">
        <f t="array" ref="F70">IFERROR(XLOOKUP(C70, '新規'!$E:$E, '新規'!$O:$O, ""), "")</f>
        <v/>
      </c>
      <c r="G70" s="8" t="str">
        <f t="array" ref="G70">IFERROR(XLOOKUP(C70, '新規'!$E:$E, '新規'!$P:$P, ""), "")</f>
        <v/>
      </c>
      <c r="H70" s="590"/>
      <c r="I70" s="8" t="str">
        <f t="array" ref="I70">IFERROR(XLOOKUP(H70, '新規'!$E:$E, '新規'!$F:$F, ""), "")</f>
        <v/>
      </c>
      <c r="J70" s="8"/>
      <c r="K70" s="8" t="str">
        <f t="array" ref="K70">IFERROR(XLOOKUP(H70, '新規'!$E:$E, '新規'!$O:$O, ""), "")</f>
        <v/>
      </c>
      <c r="L70" s="8" t="str">
        <f t="array" ref="L70">IFERROR(XLOOKUP(H70, '新規'!$E:$E, '新規'!$P:$P, ""), "")</f>
        <v/>
      </c>
      <c r="M70" s="590"/>
      <c r="N70" s="8" t="str">
        <f t="array" ref="N70">IFERROR(XLOOKUP(M70, '新規'!$E:$E, '新規'!$F:$F, ""), "")</f>
        <v/>
      </c>
      <c r="O70" s="8"/>
      <c r="P70" s="8" t="str">
        <f t="array" ref="P70">IFERROR(XLOOKUP(M70, '新規'!$E:$E, '新規'!$O:$O, ""), "")</f>
        <v/>
      </c>
      <c r="Q70" s="8" t="str">
        <f t="array" ref="Q70">IFERROR(XLOOKUP(M70, '新規'!$E:$E, '新規'!$P:$P, ""), "")</f>
        <v/>
      </c>
      <c r="R70" s="590"/>
      <c r="S70" s="8" t="str">
        <f t="array" ref="S70">IFERROR(XLOOKUP(R70, '新規'!$E:$E, '新規'!$F:$F, ""), "")</f>
        <v/>
      </c>
      <c r="T70" s="8"/>
      <c r="U70" s="8" t="str">
        <f t="array" ref="U70">IFERROR(XLOOKUP(R70, '新規'!$E:$E, '新規'!$O:$O, ""), "")</f>
        <v/>
      </c>
      <c r="V70" s="8" t="str">
        <f t="array" ref="V70">IFERROR(XLOOKUP(R70, '新規'!$E:$E, '新規'!$P:$P, ""), "")</f>
        <v/>
      </c>
      <c r="W70" s="590"/>
      <c r="X70" s="8" t="str">
        <f t="array" ref="X70">IFERROR(XLOOKUP(W70, '新規'!$E:$E, '新規'!$F:$F, ""), "")</f>
        <v/>
      </c>
      <c r="Y70" s="8"/>
      <c r="Z70" s="8" t="str">
        <f t="array" ref="Z70">IFERROR(XLOOKUP(W70, '新規'!$E:$E, '新規'!$O:$O, ""), "")</f>
        <v/>
      </c>
      <c r="AA70" s="8" t="str">
        <f t="array" ref="AA70">IFERROR(XLOOKUP(W70, '新規'!$E:$E, '新規'!$P:$P, ""), "")</f>
        <v/>
      </c>
      <c r="AB70" s="590"/>
      <c r="AC70" s="8" t="str">
        <f t="array" ref="AC70">IFERROR(XLOOKUP(AB70, '新規'!$E:$E, '新規'!$F:$F, ""), "")</f>
        <v/>
      </c>
      <c r="AD70" s="8"/>
      <c r="AE70" s="8" t="str">
        <f t="array" ref="AE70">IFERROR(XLOOKUP(AB70, '新規'!$E:$E, '新規'!$O:$O, ""), "")</f>
        <v/>
      </c>
      <c r="AF70" s="8" t="str">
        <f t="array" ref="AF70">IFERROR(XLOOKUP(AB70, '新規'!$E:$E, '新規'!$P:$P, ""), "")</f>
        <v/>
      </c>
      <c r="AG70" s="590"/>
      <c r="AH70" s="8" t="str">
        <f t="array" ref="AH70">IFERROR(XLOOKUP(AG70, '新規'!$E:$E, '新規'!$F:$F, ""), "")</f>
        <v/>
      </c>
      <c r="AI70" s="8"/>
      <c r="AJ70" s="8" t="str">
        <f t="array" ref="AJ70">IFERROR(XLOOKUP(AG70, '新規'!$E:$E, '新規'!$O:$O, ""), "")</f>
        <v/>
      </c>
      <c r="AK70" s="8" t="str">
        <f t="array" ref="AK70">IFERROR(XLOOKUP(AG70, '新規'!$E:$E, '新規'!$P:$P, ""), "")</f>
        <v/>
      </c>
    </row>
    <row r="71" ht="17.25" customHeight="1">
      <c r="A71" s="587"/>
      <c r="B71" s="588"/>
      <c r="C71" s="590"/>
      <c r="D71" s="8" t="str">
        <f t="array" ref="D71">IFERROR(XLOOKUP(C71, '新規'!$E:$E, '新規'!$F:$F, ""), "")</f>
        <v/>
      </c>
      <c r="E71" s="8"/>
      <c r="F71" s="8" t="str">
        <f t="array" ref="F71">IFERROR(XLOOKUP(C71, '新規'!$E:$E, '新規'!$O:$O, ""), "")</f>
        <v/>
      </c>
      <c r="G71" s="8" t="str">
        <f t="array" ref="G71">IFERROR(XLOOKUP(C71, '新規'!$E:$E, '新規'!$P:$P, ""), "")</f>
        <v/>
      </c>
      <c r="H71" s="590"/>
      <c r="I71" s="8" t="str">
        <f t="array" ref="I71">IFERROR(XLOOKUP(H71, '新規'!$E:$E, '新規'!$F:$F, ""), "")</f>
        <v/>
      </c>
      <c r="J71" s="8"/>
      <c r="K71" s="8" t="str">
        <f t="array" ref="K71">IFERROR(XLOOKUP(H71, '新規'!$E:$E, '新規'!$O:$O, ""), "")</f>
        <v/>
      </c>
      <c r="L71" s="8" t="str">
        <f t="array" ref="L71">IFERROR(XLOOKUP(H71, '新規'!$E:$E, '新規'!$P:$P, ""), "")</f>
        <v/>
      </c>
      <c r="M71" s="590"/>
      <c r="N71" s="8" t="str">
        <f t="array" ref="N71">IFERROR(XLOOKUP(M71, '新規'!$E:$E, '新規'!$F:$F, ""), "")</f>
        <v/>
      </c>
      <c r="O71" s="8"/>
      <c r="P71" s="8" t="str">
        <f t="array" ref="P71">IFERROR(XLOOKUP(M71, '新規'!$E:$E, '新規'!$O:$O, ""), "")</f>
        <v/>
      </c>
      <c r="Q71" s="8" t="str">
        <f t="array" ref="Q71">IFERROR(XLOOKUP(M71, '新規'!$E:$E, '新規'!$P:$P, ""), "")</f>
        <v/>
      </c>
      <c r="R71" s="590"/>
      <c r="S71" s="8" t="str">
        <f t="array" ref="S71">IFERROR(XLOOKUP(R71, '新規'!$E:$E, '新規'!$F:$F, ""), "")</f>
        <v/>
      </c>
      <c r="T71" s="8"/>
      <c r="U71" s="8" t="str">
        <f t="array" ref="U71">IFERROR(XLOOKUP(R71, '新規'!$E:$E, '新規'!$O:$O, ""), "")</f>
        <v/>
      </c>
      <c r="V71" s="8" t="str">
        <f t="array" ref="V71">IFERROR(XLOOKUP(R71, '新規'!$E:$E, '新規'!$P:$P, ""), "")</f>
        <v/>
      </c>
      <c r="W71" s="590"/>
      <c r="X71" s="8" t="str">
        <f t="array" ref="X71">IFERROR(XLOOKUP(W71, '新規'!$E:$E, '新規'!$F:$F, ""), "")</f>
        <v/>
      </c>
      <c r="Y71" s="8"/>
      <c r="Z71" s="8" t="str">
        <f t="array" ref="Z71">IFERROR(XLOOKUP(W71, '新規'!$E:$E, '新規'!$O:$O, ""), "")</f>
        <v/>
      </c>
      <c r="AA71" s="8" t="str">
        <f t="array" ref="AA71">IFERROR(XLOOKUP(W71, '新規'!$E:$E, '新規'!$P:$P, ""), "")</f>
        <v/>
      </c>
      <c r="AB71" s="590"/>
      <c r="AC71" s="8" t="str">
        <f t="array" ref="AC71">IFERROR(XLOOKUP(AB71, '新規'!$E:$E, '新規'!$F:$F, ""), "")</f>
        <v/>
      </c>
      <c r="AD71" s="8"/>
      <c r="AE71" s="8" t="str">
        <f t="array" ref="AE71">IFERROR(XLOOKUP(AB71, '新規'!$E:$E, '新規'!$O:$O, ""), "")</f>
        <v/>
      </c>
      <c r="AF71" s="8" t="str">
        <f t="array" ref="AF71">IFERROR(XLOOKUP(AB71, '新規'!$E:$E, '新規'!$P:$P, ""), "")</f>
        <v/>
      </c>
      <c r="AG71" s="590"/>
      <c r="AH71" s="8" t="str">
        <f t="array" ref="AH71">IFERROR(XLOOKUP(AG71, '新規'!$E:$E, '新規'!$F:$F, ""), "")</f>
        <v/>
      </c>
      <c r="AI71" s="8"/>
      <c r="AJ71" s="8" t="str">
        <f t="array" ref="AJ71">IFERROR(XLOOKUP(AG71, '新規'!$E:$E, '新規'!$O:$O, ""), "")</f>
        <v/>
      </c>
      <c r="AK71" s="8" t="str">
        <f t="array" ref="AK71">IFERROR(XLOOKUP(AG71, '新規'!$E:$E, '新規'!$P:$P, ""), "")</f>
        <v/>
      </c>
    </row>
    <row r="72" ht="17.25" customHeight="1">
      <c r="A72" s="587"/>
      <c r="B72" s="588"/>
      <c r="C72" s="590"/>
      <c r="D72" s="8" t="str">
        <f t="array" ref="D72">IFERROR(XLOOKUP(C72, '新規'!$E:$E, '新規'!$F:$F, ""), "")</f>
        <v/>
      </c>
      <c r="E72" s="8"/>
      <c r="F72" s="8" t="str">
        <f t="array" ref="F72">IFERROR(XLOOKUP(C72, '新規'!$E:$E, '新規'!$O:$O, ""), "")</f>
        <v/>
      </c>
      <c r="G72" s="8" t="str">
        <f t="array" ref="G72">IFERROR(XLOOKUP(C72, '新規'!$E:$E, '新規'!$P:$P, ""), "")</f>
        <v/>
      </c>
      <c r="H72" s="590"/>
      <c r="I72" s="8" t="str">
        <f t="array" ref="I72">IFERROR(XLOOKUP(H72, '新規'!$E:$E, '新規'!$F:$F, ""), "")</f>
        <v/>
      </c>
      <c r="J72" s="8"/>
      <c r="K72" s="8" t="str">
        <f t="array" ref="K72">IFERROR(XLOOKUP(H72, '新規'!$E:$E, '新規'!$O:$O, ""), "")</f>
        <v/>
      </c>
      <c r="L72" s="8" t="str">
        <f t="array" ref="L72">IFERROR(XLOOKUP(H72, '新規'!$E:$E, '新規'!$P:$P, ""), "")</f>
        <v/>
      </c>
      <c r="M72" s="590"/>
      <c r="N72" s="8" t="str">
        <f t="array" ref="N72">IFERROR(XLOOKUP(M72, '新規'!$E:$E, '新規'!$F:$F, ""), "")</f>
        <v/>
      </c>
      <c r="O72" s="8"/>
      <c r="P72" s="8" t="str">
        <f t="array" ref="P72">IFERROR(XLOOKUP(M72, '新規'!$E:$E, '新規'!$O:$O, ""), "")</f>
        <v/>
      </c>
      <c r="Q72" s="8" t="str">
        <f t="array" ref="Q72">IFERROR(XLOOKUP(M72, '新規'!$E:$E, '新規'!$P:$P, ""), "")</f>
        <v/>
      </c>
      <c r="R72" s="590"/>
      <c r="S72" s="8" t="str">
        <f t="array" ref="S72">IFERROR(XLOOKUP(R72, '新規'!$E:$E, '新規'!$F:$F, ""), "")</f>
        <v/>
      </c>
      <c r="T72" s="8"/>
      <c r="U72" s="8" t="str">
        <f t="array" ref="U72">IFERROR(XLOOKUP(R72, '新規'!$E:$E, '新規'!$O:$O, ""), "")</f>
        <v/>
      </c>
      <c r="V72" s="8" t="str">
        <f t="array" ref="V72">IFERROR(XLOOKUP(R72, '新規'!$E:$E, '新規'!$P:$P, ""), "")</f>
        <v/>
      </c>
      <c r="W72" s="590"/>
      <c r="X72" s="8" t="str">
        <f t="array" ref="X72">IFERROR(XLOOKUP(W72, '新規'!$E:$E, '新規'!$F:$F, ""), "")</f>
        <v/>
      </c>
      <c r="Y72" s="8"/>
      <c r="Z72" s="8" t="str">
        <f t="array" ref="Z72">IFERROR(XLOOKUP(W72, '新規'!$E:$E, '新規'!$O:$O, ""), "")</f>
        <v/>
      </c>
      <c r="AA72" s="8" t="str">
        <f t="array" ref="AA72">IFERROR(XLOOKUP(W72, '新規'!$E:$E, '新規'!$P:$P, ""), "")</f>
        <v/>
      </c>
      <c r="AB72" s="590"/>
      <c r="AC72" s="8" t="str">
        <f t="array" ref="AC72">IFERROR(XLOOKUP(AB72, '新規'!$E:$E, '新規'!$F:$F, ""), "")</f>
        <v/>
      </c>
      <c r="AD72" s="8"/>
      <c r="AE72" s="8" t="str">
        <f t="array" ref="AE72">IFERROR(XLOOKUP(AB72, '新規'!$E:$E, '新規'!$O:$O, ""), "")</f>
        <v/>
      </c>
      <c r="AF72" s="8" t="str">
        <f t="array" ref="AF72">IFERROR(XLOOKUP(AB72, '新規'!$E:$E, '新規'!$P:$P, ""), "")</f>
        <v/>
      </c>
      <c r="AG72" s="590"/>
      <c r="AH72" s="8" t="str">
        <f t="array" ref="AH72">IFERROR(XLOOKUP(AG72, '新規'!$E:$E, '新規'!$F:$F, ""), "")</f>
        <v/>
      </c>
      <c r="AI72" s="8"/>
      <c r="AJ72" s="8" t="str">
        <f t="array" ref="AJ72">IFERROR(XLOOKUP(AG72, '新規'!$E:$E, '新規'!$O:$O, ""), "")</f>
        <v/>
      </c>
      <c r="AK72" s="8" t="str">
        <f t="array" ref="AK72">IFERROR(XLOOKUP(AG72, '新規'!$E:$E, '新規'!$P:$P, ""), "")</f>
        <v/>
      </c>
    </row>
    <row r="73" ht="17.25" customHeight="1">
      <c r="A73" s="587"/>
      <c r="B73" s="592"/>
      <c r="C73" s="590"/>
      <c r="D73" s="593" t="str">
        <f>IFERROR(__xludf.DUMMYFUNCTION("IF(C73="""","""",IFERROR(INDEX(FILTER('特殊配信マスタ'!$F$3:$F$16,('特殊配信マスタ'!$A$3:$A$16=CHOOSE(WEEKDAY(C$1),""日"",""月"",""火"",""水"",""木"",""金"",""土""))*('特殊配信マスタ'!$B$3:$B$16=A$3)*('特殊配信マスタ'!$R$3:$R$16=MOD(INT((C$1-'特殊配信マスタ'!$A$1)/7),3)+1)),1),""""))"),"")</f>
        <v/>
      </c>
      <c r="E73" s="590"/>
      <c r="F73" s="593" t="str">
        <f>IFERROR(__xludf.DUMMYFUNCTION("IF(C73="""","""",IFERROR(INDEX(FILTER('特殊配信マスタ'!$O$3:$O$16,('特殊配信マスタ'!$A$3:$A$16=CHOOSE(WEEKDAY(C$1),""日"",""月"",""火"",""水"",""木"",""金"",""土""))*('特殊配信マスタ'!$B$3:$B$16=A$3)*('特殊配信マスタ'!$R$3:$R$16=MOD(INT((C$1-'特殊配信マスタ'!$A$1)/7),3)+1)),1),""""))"),"")</f>
        <v/>
      </c>
      <c r="G73" s="593" t="str">
        <f>IFERROR(__xludf.DUMMYFUNCTION("IF(C73="""","""",IFERROR(INDEX(FILTER('特殊配信マスタ'!$P$3:$P$16,('特殊配信マスタ'!$A$3:$A$16=CHOOSE(WEEKDAY(C$1),""日"",""月"",""火"",""水"",""木"",""金"",""土""))*('特殊配信マスタ'!$B$3:$B$16=A$3)*('特殊配信マスタ'!$R$3:$R$16=MOD(INT((C$1-'特殊配信マスタ'!$A$1)/7),3)+1)),1),""""))"),"")</f>
        <v/>
      </c>
      <c r="H73" s="590"/>
      <c r="I73" s="593" t="str">
        <f>IFERROR(__xludf.DUMMYFUNCTION("IF(H73="""","""",IFERROR(INDEX(FILTER('特殊配信マスタ'!$F$3:$F$16,('特殊配信マスタ'!$A$3:$A$16=CHOOSE(WEEKDAY(H$1),""日"",""月"",""火"",""水"",""木"",""金"",""土""))*('特殊配信マスタ'!$B$3:$B$16=F$3)*('特殊配信マスタ'!$R$3:$R$16=MOD(INT((H$1-'特殊配信マスタ'!$A$1)/7),3)+1)),1),""""))"),"")</f>
        <v/>
      </c>
      <c r="J73" s="590"/>
      <c r="K73" s="593" t="str">
        <f>IFERROR(__xludf.DUMMYFUNCTION("IF(H73="""","""",IFERROR(INDEX(FILTER('特殊配信マスタ'!$O$3:$O$16,('特殊配信マスタ'!$A$3:$A$16=CHOOSE(WEEKDAY(H$1),""日"",""月"",""火"",""水"",""木"",""金"",""土""))*('特殊配信マスタ'!$B$3:$B$16=F$3)*('特殊配信マスタ'!$R$3:$R$16=MOD(INT((H$1-'特殊配信マスタ'!$A$1)/7),3)+1)),1),""""))"),"")</f>
        <v/>
      </c>
      <c r="L73" s="593" t="str">
        <f>IFERROR(__xludf.DUMMYFUNCTION("IF(H73="""","""",IFERROR(INDEX(FILTER('特殊配信マスタ'!$P$3:$P$16,('特殊配信マスタ'!$A$3:$A$16=CHOOSE(WEEKDAY(H$1),""日"",""月"",""火"",""水"",""木"",""金"",""土""))*('特殊配信マスタ'!$B$3:$B$16=F$3)*('特殊配信マスタ'!$R$3:$R$16=MOD(INT((H$1-'特殊配信マスタ'!$A$1)/7),3)+1)),1),""""))"),"")</f>
        <v/>
      </c>
      <c r="M73" s="590"/>
      <c r="N73" s="593" t="str">
        <f>IFERROR(__xludf.DUMMYFUNCTION("IF(M73="""","""",IFERROR(INDEX(FILTER('特殊配信マスタ'!$F$3:$F$16,('特殊配信マスタ'!$A$3:$A$16=CHOOSE(WEEKDAY(M$1),""日"",""月"",""火"",""水"",""木"",""金"",""土""))*('特殊配信マスタ'!$B$3:$B$16=K$3)*('特殊配信マスタ'!$R$3:$R$16=MOD(INT((M$1-'特殊配信マスタ'!$A$1)/7),3)+1)),1),""""))"),"")</f>
        <v/>
      </c>
      <c r="O73" s="590"/>
      <c r="P73" s="593" t="str">
        <f>IFERROR(__xludf.DUMMYFUNCTION("IF(M73="""","""",IFERROR(INDEX(FILTER('特殊配信マスタ'!$O$3:$O$16,('特殊配信マスタ'!$A$3:$A$16=CHOOSE(WEEKDAY(M$1),""日"",""月"",""火"",""水"",""木"",""金"",""土""))*('特殊配信マスタ'!$B$3:$B$16=K$3)*('特殊配信マスタ'!$R$3:$R$16=MOD(INT((M$1-'特殊配信マスタ'!$A$1)/7),3)+1)),1),""""))"),"")</f>
        <v/>
      </c>
      <c r="Q73" s="593" t="str">
        <f>IFERROR(__xludf.DUMMYFUNCTION("IF(M73="""","""",IFERROR(INDEX(FILTER('特殊配信マスタ'!$P$3:$P$16,('特殊配信マスタ'!$A$3:$A$16=CHOOSE(WEEKDAY(M$1),""日"",""月"",""火"",""水"",""木"",""金"",""土""))*('特殊配信マスタ'!$B$3:$B$16=K$3)*('特殊配信マスタ'!$R$3:$R$16=MOD(INT((M$1-'特殊配信マスタ'!$A$1)/7),3)+1)),1),""""))"),"")</f>
        <v/>
      </c>
      <c r="R73" s="590"/>
      <c r="S73" s="593" t="str">
        <f>IFERROR(__xludf.DUMMYFUNCTION("IF(R73="""","""",IFERROR(INDEX(FILTER('特殊配信マスタ'!$F$3:$F$16,('特殊配信マスタ'!$A$3:$A$16=CHOOSE(WEEKDAY(R$1),""日"",""月"",""火"",""水"",""木"",""金"",""土""))*('特殊配信マスタ'!$B$3:$B$16=P$3)*('特殊配信マスタ'!$R$3:$R$16=MOD(INT((R$1-'特殊配信マスタ'!$A$1)/7),3)+1)),1),""""))"),"")</f>
        <v/>
      </c>
      <c r="T73" s="590"/>
      <c r="U73" s="593" t="str">
        <f>IFERROR(__xludf.DUMMYFUNCTION("IF(R73="""","""",IFERROR(INDEX(FILTER('特殊配信マスタ'!$O$3:$O$16,('特殊配信マスタ'!$A$3:$A$16=CHOOSE(WEEKDAY(R$1),""日"",""月"",""火"",""水"",""木"",""金"",""土""))*('特殊配信マスタ'!$B$3:$B$16=P$3)*('特殊配信マスタ'!$R$3:$R$16=MOD(INT((R$1-'特殊配信マスタ'!$A$1)/7),3)+1)),1),""""))"),"")</f>
        <v/>
      </c>
      <c r="V73" s="593" t="str">
        <f>IFERROR(__xludf.DUMMYFUNCTION("IF(R73="""","""",IFERROR(INDEX(FILTER('特殊配信マスタ'!$P$3:$P$16,('特殊配信マスタ'!$A$3:$A$16=CHOOSE(WEEKDAY(R$1),""日"",""月"",""火"",""水"",""木"",""金"",""土""))*('特殊配信マスタ'!$B$3:$B$16=P$3)*('特殊配信マスタ'!$R$3:$R$16=MOD(INT((R$1-'特殊配信マスタ'!$A$1)/7),3)+1)),1),""""))"),"")</f>
        <v/>
      </c>
      <c r="W73" s="590"/>
      <c r="X73" s="593" t="str">
        <f>IFERROR(__xludf.DUMMYFUNCTION("IF(W73="""","""",IFERROR(INDEX(FILTER('特殊配信マスタ'!$F$3:$F$16,('特殊配信マスタ'!$A$3:$A$16=CHOOSE(WEEKDAY(W$1),""日"",""月"",""火"",""水"",""木"",""金"",""土""))*('特殊配信マスタ'!$B$3:$B$16=U$3)*('特殊配信マスタ'!$R$3:$R$16=MOD(INT((W$1-'特殊配信マスタ'!$A$1)/7),3)+1)),1),""""))"),"")</f>
        <v/>
      </c>
      <c r="Y73" s="590"/>
      <c r="Z73" s="593" t="str">
        <f>IFERROR(__xludf.DUMMYFUNCTION("IF(W73="""","""",IFERROR(INDEX(FILTER('特殊配信マスタ'!$O$3:$O$16,('特殊配信マスタ'!$A$3:$A$16=CHOOSE(WEEKDAY(W$1),""日"",""月"",""火"",""水"",""木"",""金"",""土""))*('特殊配信マスタ'!$B$3:$B$16=U$3)*('特殊配信マスタ'!$R$3:$R$16=MOD(INT((W$1-'特殊配信マスタ'!$A$1)/7),3)+1)),1),""""))"),"")</f>
        <v/>
      </c>
      <c r="AA73" s="593" t="str">
        <f>IFERROR(__xludf.DUMMYFUNCTION("IF(W73="""","""",IFERROR(INDEX(FILTER('特殊配信マスタ'!$P$3:$P$16,('特殊配信マスタ'!$A$3:$A$16=CHOOSE(WEEKDAY(W$1),""日"",""月"",""火"",""水"",""木"",""金"",""土""))*('特殊配信マスタ'!$B$3:$B$16=U$3)*('特殊配信マスタ'!$R$3:$R$16=MOD(INT((W$1-'特殊配信マスタ'!$A$1)/7),3)+1)),1),""""))"),"")</f>
        <v/>
      </c>
      <c r="AB73" s="590"/>
      <c r="AC73" s="593" t="str">
        <f>IFERROR(__xludf.DUMMYFUNCTION("IF(AB73="""","""",IFERROR(INDEX(FILTER('特殊配信マスタ'!$F$3:$F$16,('特殊配信マスタ'!$A$3:$A$16=CHOOSE(WEEKDAY(AB$1),""日"",""月"",""火"",""水"",""木"",""金"",""土""))*('特殊配信マスタ'!$B$3:$B$16=Z$3)*('特殊配信マスタ'!$R$3:$R$16=MOD(INT((AB$1-'特殊配信マスタ'!$A$1)/7),3)+1)),1),""""))"),"")</f>
        <v/>
      </c>
      <c r="AD73" s="590"/>
      <c r="AE73" s="593" t="str">
        <f>IFERROR(__xludf.DUMMYFUNCTION("IF(AB73="""","""",IFERROR(INDEX(FILTER('特殊配信マスタ'!$O$3:$O$16,('特殊配信マスタ'!$A$3:$A$16=CHOOSE(WEEKDAY(AB$1),""日"",""月"",""火"",""水"",""木"",""金"",""土""))*('特殊配信マスタ'!$B$3:$B$16=Z$3)*('特殊配信マスタ'!$R$3:$R$16=MOD(INT((AB$1-'特殊配信マスタ'!$A$1)/7),3)+1)),1),""""))"),"")</f>
        <v/>
      </c>
      <c r="AF73" s="593" t="str">
        <f>IFERROR(__xludf.DUMMYFUNCTION("IF(AB73="""","""",IFERROR(INDEX(FILTER('特殊配信マスタ'!$P$3:$P$16,('特殊配信マスタ'!$A$3:$A$16=CHOOSE(WEEKDAY(AB$1),""日"",""月"",""火"",""水"",""木"",""金"",""土""))*('特殊配信マスタ'!$B$3:$B$16=Z$3)*('特殊配信マスタ'!$R$3:$R$16=MOD(INT((AB$1-'特殊配信マスタ'!$A$1)/7),3)+1)),1),""""))"),"")</f>
        <v/>
      </c>
      <c r="AG73" s="590"/>
      <c r="AH73" s="593" t="str">
        <f>IFERROR(__xludf.DUMMYFUNCTION("IF(AG73="""","""",IFERROR(INDEX(FILTER('特殊配信マスタ'!$F$3:$F$16,('特殊配信マスタ'!$A$3:$A$16=CHOOSE(WEEKDAY(AG$1),""日"",""月"",""火"",""水"",""木"",""金"",""土""))*('特殊配信マスタ'!$B$3:$B$16=AE$3)*('特殊配信マスタ'!$R$3:$R$16=MOD(INT((AG$1-'特殊配信マスタ'!$A$1)/7),3)+1)),1),""""))"),"")</f>
        <v/>
      </c>
      <c r="AI73" s="590"/>
      <c r="AJ73" s="593" t="str">
        <f>IFERROR(__xludf.DUMMYFUNCTION("IF(AG73="""","""",IFERROR(INDEX(FILTER('特殊配信マスタ'!$O$3:$O$16,('特殊配信マスタ'!$A$3:$A$16=CHOOSE(WEEKDAY(AG$1),""日"",""月"",""火"",""水"",""木"",""金"",""土""))*('特殊配信マスタ'!$B$3:$B$16=AE$3)*('特殊配信マスタ'!$R$3:$R$16=MOD(INT((AG$1-'特殊配信マスタ'!$A$1)/7),3)+1)),1),""""))"),"")</f>
        <v/>
      </c>
      <c r="AK73" s="593" t="str">
        <f>IFERROR(__xludf.DUMMYFUNCTION("IF(AG73="""","""",IFERROR(INDEX(FILTER('特殊配信マスタ'!$P$3:$P$16,('特殊配信マスタ'!$A$3:$A$16=CHOOSE(WEEKDAY(AG$1),""日"",""月"",""火"",""水"",""木"",""金"",""土""))*('特殊配信マスタ'!$B$3:$B$16=AE$3)*('特殊配信マスタ'!$R$3:$R$16=MOD(INT((AG$1-'特殊配信マスタ'!$A$1)/7),3)+1)),1),""""))"),"")</f>
        <v/>
      </c>
    </row>
    <row r="74" ht="17.25" customHeight="1">
      <c r="A74" s="587"/>
      <c r="B74" s="585" t="s">
        <v>1451</v>
      </c>
      <c r="C74" s="590" t="str">
        <f>IFERROR(__xludf.DUMMYFUNCTION("IFERROR(INDEX(FILTER('特殊配信マスタ'!$E$3:$E$16, (TEXT('特殊配信マスタ'!$A$3:$A$16,""ddd"")=TEXT(C$1,""ddd""))*(IFERROR(VALUE('特殊配信マスタ'!$B$3:$B$16),0)=VALUE(LOOKUP(2,1/($A$3:$A74&lt;&gt;""""),$A$3:$A74)))*('特殊配信マスタ'!$Q$3:$Q$16&lt;&gt;TRUE)), 1), """")"),"")</f>
        <v/>
      </c>
      <c r="D74" s="593" t="str">
        <f>IFERROR(__xludf.DUMMYFUNCTION("IF(C74="""","""",IFERROR(INDEX(FILTER('特殊配信マスタ'!$F$3:$F$16,('特殊配信マスタ'!$A$3:$A$16=CHOOSE(WEEKDAY(C$1),""日"",""月"",""火"",""水"",""木"",""金"",""土""))*('特殊配信マスタ'!$B$3:$B$16=A$3)*('特殊配信マスタ'!$R$3:$R$16=MOD(INT((C$1-'特殊配信マスタ'!$A$1)/7),3)+1)),1),""""))"),"")</f>
        <v/>
      </c>
      <c r="E74" s="590"/>
      <c r="F74" s="593" t="str">
        <f>IFERROR(__xludf.DUMMYFUNCTION("IF(C74="""","""",IFERROR(INDEX(FILTER('特殊配信マスタ'!$O$3:$O$16, '特殊配信マスタ'!$E$3:$E$16=C74),1),""""))"),"")</f>
        <v/>
      </c>
      <c r="G74" s="593" t="str">
        <f>IFERROR(__xludf.DUMMYFUNCTION("IF(C74="""","""",IFERROR(INDEX(FILTER('特殊配信マスタ'!$P$3:$P$16, '特殊配信マスタ'!$E$3:$E$16=C74),1),""""))"),"")</f>
        <v/>
      </c>
      <c r="H74" s="590" t="str">
        <f>IFERROR(__xludf.DUMMYFUNCTION("IFERROR(INDEX(FILTER('特殊配信マスタ'!$E$3:$E$16, (TEXT('特殊配信マスタ'!$A$3:$A$16,""ddd"")=TEXT(H$1,""ddd""))*(IFERROR(VALUE('特殊配信マスタ'!$B$3:$B$16),0)=VALUE(LOOKUP(2,1/($A$3:$A74&lt;&gt;""""),$A$3:$A74)))*('特殊配信マスタ'!$Q$3:$Q$16&lt;&gt;TRUE)), 1), """")"),"")</f>
        <v/>
      </c>
      <c r="I74" s="593" t="str">
        <f>IFERROR(__xludf.DUMMYFUNCTION("IF(H74="""","""",IFERROR(INDEX(FILTER('特殊配信マスタ'!$F$3:$F$16,('特殊配信マスタ'!$A$3:$A$16=CHOOSE(WEEKDAY(H$1),""日"",""月"",""火"",""水"",""木"",""金"",""土""))*('特殊配信マスタ'!$B$3:$B$16=F$3)*('特殊配信マスタ'!$R$3:$R$16=MOD(INT((H$1-'特殊配信マスタ'!$A$1)/7),3)+1)),1),""""))"),"")</f>
        <v/>
      </c>
      <c r="J74" s="590"/>
      <c r="K74" s="593" t="str">
        <f>IFERROR(__xludf.DUMMYFUNCTION("IF(H74="""","""",IFERROR(INDEX(FILTER('特殊配信マスタ'!$O$3:$O$16, '特殊配信マスタ'!$E$3:$E$16=H74),1),""""))"),"")</f>
        <v/>
      </c>
      <c r="L74" s="593" t="str">
        <f>IFERROR(__xludf.DUMMYFUNCTION("IF(H74="""","""",IFERROR(INDEX(FILTER('特殊配信マスタ'!$P$3:$P$16, '特殊配信マスタ'!$E$3:$E$16=H74),1),""""))"),"")</f>
        <v/>
      </c>
      <c r="M74" s="590" t="str">
        <f>IFERROR(__xludf.DUMMYFUNCTION("IFERROR(INDEX(FILTER('特殊配信マスタ'!$E$3:$E$16, (TEXT('特殊配信マスタ'!$A$3:$A$16,""ddd"")=TEXT(M$1,""ddd""))*(IFERROR(VALUE('特殊配信マスタ'!$B$3:$B$16),0)=VALUE(LOOKUP(2,1/($A$3:$A74&lt;&gt;""""),$A$3:$A74)))*('特殊配信マスタ'!$Q$3:$Q$16&lt;&gt;TRUE)), 1), """")"),"")</f>
        <v/>
      </c>
      <c r="N74" s="593" t="str">
        <f>IFERROR(__xludf.DUMMYFUNCTION("IF(M74="""","""",IFERROR(INDEX(FILTER('特殊配信マスタ'!$F$3:$F$16,('特殊配信マスタ'!$A$3:$A$16=CHOOSE(WEEKDAY(M$1),""日"",""月"",""火"",""水"",""木"",""金"",""土""))*('特殊配信マスタ'!$B$3:$B$16=K$3)*('特殊配信マスタ'!$R$3:$R$16=MOD(INT((M$1-'特殊配信マスタ'!$A$1)/7),3)+1)),1),""""))"),"")</f>
        <v/>
      </c>
      <c r="O74" s="590"/>
      <c r="P74" s="593" t="str">
        <f>IFERROR(__xludf.DUMMYFUNCTION("IF(M74="""","""",IFERROR(INDEX(FILTER('特殊配信マスタ'!$O$3:$O$16, '特殊配信マスタ'!$E$3:$E$16=M74),1),""""))"),"")</f>
        <v/>
      </c>
      <c r="Q74" s="593" t="str">
        <f>IFERROR(__xludf.DUMMYFUNCTION("IF(M74="""","""",IFERROR(INDEX(FILTER('特殊配信マスタ'!$P$3:$P$16, '特殊配信マスタ'!$E$3:$E$16=M74),1),""""))"),"")</f>
        <v/>
      </c>
      <c r="R74" s="590" t="str">
        <f>IFERROR(__xludf.DUMMYFUNCTION("IFERROR(INDEX(FILTER('特殊配信マスタ'!$E$3:$E$16, (TEXT('特殊配信マスタ'!$A$3:$A$16,""ddd"")=TEXT(R$1,""ddd""))*(IFERROR(VALUE('特殊配信マスタ'!$B$3:$B$16),0)=VALUE(LOOKUP(2,1/($A$3:$A74&lt;&gt;""""),$A$3:$A74)))*('特殊配信マスタ'!$Q$3:$Q$16&lt;&gt;TRUE)), 1), """")"),"")</f>
        <v/>
      </c>
      <c r="S74" s="593" t="str">
        <f>IFERROR(__xludf.DUMMYFUNCTION("IF(R74="""","""",IFERROR(INDEX(FILTER('特殊配信マスタ'!$F$3:$F$16,('特殊配信マスタ'!$A$3:$A$16=CHOOSE(WEEKDAY(R$1),""日"",""月"",""火"",""水"",""木"",""金"",""土""))*('特殊配信マスタ'!$B$3:$B$16=P$3)*('特殊配信マスタ'!$R$3:$R$16=MOD(INT((R$1-'特殊配信マスタ'!$A$1)/7),3)+1)),1),""""))"),"")</f>
        <v/>
      </c>
      <c r="T74" s="590"/>
      <c r="U74" s="593" t="str">
        <f>IFERROR(__xludf.DUMMYFUNCTION("IF(R74="""","""",IFERROR(INDEX(FILTER('特殊配信マスタ'!$O$3:$O$16, '特殊配信マスタ'!$E$3:$E$16=R74),1),""""))"),"")</f>
        <v/>
      </c>
      <c r="V74" s="593" t="str">
        <f>IFERROR(__xludf.DUMMYFUNCTION("IF(R74="""","""",IFERROR(INDEX(FILTER('特殊配信マスタ'!$P$3:$P$16, '特殊配信マスタ'!$E$3:$E$16=R74),1),""""))"),"")</f>
        <v/>
      </c>
      <c r="W74" s="590" t="str">
        <f>IFERROR(__xludf.DUMMYFUNCTION("IFERROR(INDEX(FILTER('特殊配信マスタ'!$E$3:$E$16, (TEXT('特殊配信マスタ'!$A$3:$A$16,""ddd"")=TEXT(W$1,""ddd""))*(IFERROR(VALUE('特殊配信マスタ'!$B$3:$B$16),0)=VALUE(LOOKUP(2,1/($A$3:$A74&lt;&gt;""""),$A$3:$A74)))*('特殊配信マスタ'!$Q$3:$Q$16&lt;&gt;TRUE)), 1), """")"),"")</f>
        <v/>
      </c>
      <c r="X74" s="593" t="str">
        <f>IFERROR(__xludf.DUMMYFUNCTION("IF(W74="""","""",IFERROR(INDEX(FILTER('特殊配信マスタ'!$F$3:$F$16,('特殊配信マスタ'!$A$3:$A$16=CHOOSE(WEEKDAY(W$1),""日"",""月"",""火"",""水"",""木"",""金"",""土""))*('特殊配信マスタ'!$B$3:$B$16=U$3)*('特殊配信マスタ'!$R$3:$R$16=MOD(INT((W$1-'特殊配信マスタ'!$A$1)/7),3)+1)),1),""""))"),"")</f>
        <v/>
      </c>
      <c r="Y74" s="590"/>
      <c r="Z74" s="593" t="str">
        <f>IFERROR(__xludf.DUMMYFUNCTION("IF(W74="""","""",IFERROR(INDEX(FILTER('特殊配信マスタ'!$O$3:$O$16, '特殊配信マスタ'!$E$3:$E$16=W74),1),""""))"),"")</f>
        <v/>
      </c>
      <c r="AA74" s="593" t="str">
        <f>IFERROR(__xludf.DUMMYFUNCTION("IF(W74="""","""",IFERROR(INDEX(FILTER('特殊配信マスタ'!$P$3:$P$16, '特殊配信マスタ'!$E$3:$E$16=W74),1),""""))"),"")</f>
        <v/>
      </c>
      <c r="AB74" s="590" t="str">
        <f>IFERROR(__xludf.DUMMYFUNCTION("IFERROR(INDEX(FILTER('特殊配信マスタ'!$E$3:$E$16, (TEXT('特殊配信マスタ'!$A$3:$A$16,""ddd"")=TEXT(AB$1,""ddd""))*(IFERROR(VALUE('特殊配信マスタ'!$B$3:$B$16),0)=VALUE(LOOKUP(2,1/($A$3:$A74&lt;&gt;""""),$A$3:$A74)))*('特殊配信マスタ'!$Q$3:$Q$16&lt;&gt;TRUE)), 1), """")"),"")</f>
        <v/>
      </c>
      <c r="AC74" s="593" t="str">
        <f>IFERROR(__xludf.DUMMYFUNCTION("IF(AB74="""","""",IFERROR(INDEX(FILTER('特殊配信マスタ'!$F$3:$F$16,('特殊配信マスタ'!$A$3:$A$16=CHOOSE(WEEKDAY(AB$1),""日"",""月"",""火"",""水"",""木"",""金"",""土""))*('特殊配信マスタ'!$B$3:$B$16=Z$3)*('特殊配信マスタ'!$R$3:$R$16=MOD(INT((AB$1-'特殊配信マスタ'!$A$1)/7),3)+1)),1),""""))"),"")</f>
        <v/>
      </c>
      <c r="AD74" s="590"/>
      <c r="AE74" s="593" t="str">
        <f>IFERROR(__xludf.DUMMYFUNCTION("IF(AB74="""","""",IFERROR(INDEX(FILTER('特殊配信マスタ'!$O$3:$O$16, '特殊配信マスタ'!$E$3:$E$16=AB74),1),""""))"),"")</f>
        <v/>
      </c>
      <c r="AF74" s="593" t="str">
        <f>IFERROR(__xludf.DUMMYFUNCTION("IF(AB74="""","""",IFERROR(INDEX(FILTER('特殊配信マスタ'!$P$3:$P$16, '特殊配信マスタ'!$E$3:$E$16=AB74),1),""""))"),"")</f>
        <v/>
      </c>
      <c r="AG74" s="590" t="str">
        <f>IFERROR(__xludf.DUMMYFUNCTION("IFERROR(INDEX(FILTER('特殊配信マスタ'!$E$3:$E$16, (TEXT('特殊配信マスタ'!$A$3:$A$16,""ddd"")=TEXT(AG$1,""ddd""))*(IFERROR(VALUE('特殊配信マスタ'!$B$3:$B$16),0)=VALUE(LOOKUP(2,1/($A$3:$A74&lt;&gt;""""),$A$3:$A74)))*('特殊配信マスタ'!$Q$3:$Q$16&lt;&gt;TRUE)), 1), """")"),"")</f>
        <v/>
      </c>
      <c r="AH74" s="593" t="str">
        <f>IFERROR(__xludf.DUMMYFUNCTION("IF(AG74="""","""",IFERROR(INDEX(FILTER('特殊配信マスタ'!$F$3:$F$16,('特殊配信マスタ'!$A$3:$A$16=CHOOSE(WEEKDAY(AG$1),""日"",""月"",""火"",""水"",""木"",""金"",""土""))*('特殊配信マスタ'!$B$3:$B$16=AE$3)*('特殊配信マスタ'!$R$3:$R$16=MOD(INT((AG$1-'特殊配信マスタ'!$A$1)/7),3)+1)),1),""""))"),"")</f>
        <v/>
      </c>
      <c r="AI74" s="590"/>
      <c r="AJ74" s="593" t="str">
        <f>IFERROR(__xludf.DUMMYFUNCTION("IF(AG74="""","""",IFERROR(INDEX(FILTER('特殊配信マスタ'!$O$3:$O$16, '特殊配信マスタ'!$E$3:$E$16=AG74),1),""""))"),"")</f>
        <v/>
      </c>
      <c r="AK74" s="593" t="str">
        <f>IFERROR(__xludf.DUMMYFUNCTION("IF(AG74="""","""",IFERROR(INDEX(FILTER('特殊配信マスタ'!$P$3:$P$16, '特殊配信マスタ'!$E$3:$E$16=AG74),1),""""))"),"")</f>
        <v/>
      </c>
    </row>
    <row r="75" ht="17.25" customHeight="1">
      <c r="A75" s="587"/>
      <c r="B75" s="588"/>
      <c r="C75" s="590" t="str">
        <f>IFERROR(__xludf.DUMMYFUNCTION("IFERROR(INDEX(FILTER('特殊配信マスタ'!$E$3:$E$16, (TEXT('特殊配信マスタ'!$A$3:$A$16,""ddd"")=TEXT(C$1,""ddd""))*(IFERROR(VALUE('特殊配信マスタ'!$B$3:$B$16),0)=VALUE(LOOKUP(2,1/($A$3:$A75&lt;&gt;""""),$A$3:$A75)))*('特殊配信マスタ'!$Q$3:$Q$16&lt;&gt;TRUE)), 2), """")"),"")</f>
        <v/>
      </c>
      <c r="D75" s="593" t="str">
        <f>IFERROR(__xludf.DUMMYFUNCTION("IF(C75="""","""",IFERROR(INDEX(FILTER('特殊配信マスタ'!$F$3:$F$16,('特殊配信マスタ'!$A$3:$A$16=CHOOSE(WEEKDAY(C$1),""日"",""月"",""火"",""水"",""木"",""金"",""土""))*('特殊配信マスタ'!$B$3:$B$16=A$3)*('特殊配信マスタ'!$R$3:$R$16=MOD(INT((C$1-'特殊配信マスタ'!$A$1)/7),3)+1)),1),""""))"),"")</f>
        <v/>
      </c>
      <c r="E75" s="590"/>
      <c r="F75" s="593" t="str">
        <f>IFERROR(__xludf.DUMMYFUNCTION("IF(C75="""","""",IFERROR(INDEX(FILTER('特殊配信マスタ'!$O$3:$O$16, '特殊配信マスタ'!$E$3:$E$16=C75),1),""""))"),"")</f>
        <v/>
      </c>
      <c r="G75" s="593" t="str">
        <f>IFERROR(__xludf.DUMMYFUNCTION("IF(C75="""","""",IFERROR(INDEX(FILTER('特殊配信マスタ'!$P$3:$P$16, '特殊配信マスタ'!$E$3:$E$16=C75),1),""""))"),"")</f>
        <v/>
      </c>
      <c r="H75" s="590" t="str">
        <f>IFERROR(__xludf.DUMMYFUNCTION("IFERROR(INDEX(FILTER('特殊配信マスタ'!$E$3:$E$16, (TEXT('特殊配信マスタ'!$A$3:$A$16,""ddd"")=TEXT(H$1,""ddd""))*(IFERROR(VALUE('特殊配信マスタ'!$B$3:$B$16),0)=VALUE(LOOKUP(2,1/($A$3:$A75&lt;&gt;""""),$A$3:$A75)))*('特殊配信マスタ'!$Q$3:$Q$16&lt;&gt;TRUE)), 2), """")"),"")</f>
        <v/>
      </c>
      <c r="I75" s="593" t="str">
        <f>IFERROR(__xludf.DUMMYFUNCTION("IF(H75="""","""",IFERROR(INDEX(FILTER('特殊配信マスタ'!$F$3:$F$16,('特殊配信マスタ'!$A$3:$A$16=CHOOSE(WEEKDAY(H$1),""日"",""月"",""火"",""水"",""木"",""金"",""土""))*('特殊配信マスタ'!$B$3:$B$16=F$3)*('特殊配信マスタ'!$R$3:$R$16=MOD(INT((H$1-'特殊配信マスタ'!$A$1)/7),3)+1)),1),""""))"),"")</f>
        <v/>
      </c>
      <c r="J75" s="590"/>
      <c r="K75" s="593" t="str">
        <f>IFERROR(__xludf.DUMMYFUNCTION("IF(H75="""","""",IFERROR(INDEX(FILTER('特殊配信マスタ'!$O$3:$O$16, '特殊配信マスタ'!$E$3:$E$16=H75),1),""""))"),"")</f>
        <v/>
      </c>
      <c r="L75" s="593" t="str">
        <f>IFERROR(__xludf.DUMMYFUNCTION("IF(H75="""","""",IFERROR(INDEX(FILTER('特殊配信マスタ'!$P$3:$P$16, '特殊配信マスタ'!$E$3:$E$16=H75),1),""""))"),"")</f>
        <v/>
      </c>
      <c r="M75" s="590" t="str">
        <f>IFERROR(__xludf.DUMMYFUNCTION("IFERROR(INDEX(FILTER('特殊配信マスタ'!$E$3:$E$16, (TEXT('特殊配信マスタ'!$A$3:$A$16,""ddd"")=TEXT(M$1,""ddd""))*(IFERROR(VALUE('特殊配信マスタ'!$B$3:$B$16),0)=VALUE(LOOKUP(2,1/($A$3:$A75&lt;&gt;""""),$A$3:$A75)))*('特殊配信マスタ'!$Q$3:$Q$16&lt;&gt;TRUE)), 2), """")"),"")</f>
        <v/>
      </c>
      <c r="N75" s="593" t="str">
        <f>IFERROR(__xludf.DUMMYFUNCTION("IF(M75="""","""",IFERROR(INDEX(FILTER('特殊配信マスタ'!$F$3:$F$16,('特殊配信マスタ'!$A$3:$A$16=CHOOSE(WEEKDAY(M$1),""日"",""月"",""火"",""水"",""木"",""金"",""土""))*('特殊配信マスタ'!$B$3:$B$16=K$3)*('特殊配信マスタ'!$R$3:$R$16=MOD(INT((M$1-'特殊配信マスタ'!$A$1)/7),3)+1)),1),""""))"),"")</f>
        <v/>
      </c>
      <c r="O75" s="590"/>
      <c r="P75" s="593" t="str">
        <f>IFERROR(__xludf.DUMMYFUNCTION("IF(M75="""","""",IFERROR(INDEX(FILTER('特殊配信マスタ'!$O$3:$O$16, '特殊配信マスタ'!$E$3:$E$16=M75),1),""""))"),"")</f>
        <v/>
      </c>
      <c r="Q75" s="593" t="str">
        <f>IFERROR(__xludf.DUMMYFUNCTION("IF(M75="""","""",IFERROR(INDEX(FILTER('特殊配信マスタ'!$P$3:$P$16, '特殊配信マスタ'!$E$3:$E$16=M75),1),""""))"),"")</f>
        <v/>
      </c>
      <c r="R75" s="590" t="str">
        <f>IFERROR(__xludf.DUMMYFUNCTION("IFERROR(INDEX(FILTER('特殊配信マスタ'!$E$3:$E$16, (TEXT('特殊配信マスタ'!$A$3:$A$16,""ddd"")=TEXT(R$1,""ddd""))*(IFERROR(VALUE('特殊配信マスタ'!$B$3:$B$16),0)=VALUE(LOOKUP(2,1/($A$3:$A75&lt;&gt;""""),$A$3:$A75)))*('特殊配信マスタ'!$Q$3:$Q$16&lt;&gt;TRUE)), 2), """")"),"")</f>
        <v/>
      </c>
      <c r="S75" s="593" t="str">
        <f>IFERROR(__xludf.DUMMYFUNCTION("IF(R75="""","""",IFERROR(INDEX(FILTER('特殊配信マスタ'!$F$3:$F$16,('特殊配信マスタ'!$A$3:$A$16=CHOOSE(WEEKDAY(R$1),""日"",""月"",""火"",""水"",""木"",""金"",""土""))*('特殊配信マスタ'!$B$3:$B$16=P$3)*('特殊配信マスタ'!$R$3:$R$16=MOD(INT((R$1-'特殊配信マスタ'!$A$1)/7),3)+1)),1),""""))"),"")</f>
        <v/>
      </c>
      <c r="T75" s="590"/>
      <c r="U75" s="593" t="str">
        <f>IFERROR(__xludf.DUMMYFUNCTION("IF(R75="""","""",IFERROR(INDEX(FILTER('特殊配信マスタ'!$O$3:$O$16, '特殊配信マスタ'!$E$3:$E$16=R75),1),""""))"),"")</f>
        <v/>
      </c>
      <c r="V75" s="593" t="str">
        <f>IFERROR(__xludf.DUMMYFUNCTION("IF(R75="""","""",IFERROR(INDEX(FILTER('特殊配信マスタ'!$P$3:$P$16, '特殊配信マスタ'!$E$3:$E$16=R75),1),""""))"),"")</f>
        <v/>
      </c>
      <c r="W75" s="590" t="str">
        <f>IFERROR(__xludf.DUMMYFUNCTION("IFERROR(INDEX(FILTER('特殊配信マスタ'!$E$3:$E$16, (TEXT('特殊配信マスタ'!$A$3:$A$16,""ddd"")=TEXT(W$1,""ddd""))*(IFERROR(VALUE('特殊配信マスタ'!$B$3:$B$16),0)=VALUE(LOOKUP(2,1/($A$3:$A75&lt;&gt;""""),$A$3:$A75)))*('特殊配信マスタ'!$Q$3:$Q$16&lt;&gt;TRUE)), 2), """")"),"")</f>
        <v/>
      </c>
      <c r="X75" s="593" t="str">
        <f>IFERROR(__xludf.DUMMYFUNCTION("IF(W75="""","""",IFERROR(INDEX(FILTER('特殊配信マスタ'!$F$3:$F$16,('特殊配信マスタ'!$A$3:$A$16=CHOOSE(WEEKDAY(W$1),""日"",""月"",""火"",""水"",""木"",""金"",""土""))*('特殊配信マスタ'!$B$3:$B$16=U$3)*('特殊配信マスタ'!$R$3:$R$16=MOD(INT((W$1-'特殊配信マスタ'!$A$1)/7),3)+1)),1),""""))"),"")</f>
        <v/>
      </c>
      <c r="Y75" s="590"/>
      <c r="Z75" s="593" t="str">
        <f>IFERROR(__xludf.DUMMYFUNCTION("IF(W75="""","""",IFERROR(INDEX(FILTER('特殊配信マスタ'!$O$3:$O$16, '特殊配信マスタ'!$E$3:$E$16=W75),1),""""))"),"")</f>
        <v/>
      </c>
      <c r="AA75" s="593" t="str">
        <f>IFERROR(__xludf.DUMMYFUNCTION("IF(W75="""","""",IFERROR(INDEX(FILTER('特殊配信マスタ'!$P$3:$P$16, '特殊配信マスタ'!$E$3:$E$16=W75),1),""""))"),"")</f>
        <v/>
      </c>
      <c r="AB75" s="590" t="str">
        <f>IFERROR(__xludf.DUMMYFUNCTION("IFERROR(INDEX(FILTER('特殊配信マスタ'!$E$3:$E$16, (TEXT('特殊配信マスタ'!$A$3:$A$16,""ddd"")=TEXT(AB$1,""ddd""))*(IFERROR(VALUE('特殊配信マスタ'!$B$3:$B$16),0)=VALUE(LOOKUP(2,1/($A$3:$A75&lt;&gt;""""),$A$3:$A75)))*('特殊配信マスタ'!$Q$3:$Q$16&lt;&gt;TRUE)), 2), """")"),"")</f>
        <v/>
      </c>
      <c r="AC75" s="593" t="str">
        <f>IFERROR(__xludf.DUMMYFUNCTION("IF(AB75="""","""",IFERROR(INDEX(FILTER('特殊配信マスタ'!$F$3:$F$16,('特殊配信マスタ'!$A$3:$A$16=CHOOSE(WEEKDAY(AB$1),""日"",""月"",""火"",""水"",""木"",""金"",""土""))*('特殊配信マスタ'!$B$3:$B$16=Z$3)*('特殊配信マスタ'!$R$3:$R$16=MOD(INT((AB$1-'特殊配信マスタ'!$A$1)/7),3)+1)),1),""""))"),"")</f>
        <v/>
      </c>
      <c r="AD75" s="590"/>
      <c r="AE75" s="593" t="str">
        <f>IFERROR(__xludf.DUMMYFUNCTION("IF(AB75="""","""",IFERROR(INDEX(FILTER('特殊配信マスタ'!$O$3:$O$16, '特殊配信マスタ'!$E$3:$E$16=AB75),1),""""))"),"")</f>
        <v/>
      </c>
      <c r="AF75" s="593" t="str">
        <f>IFERROR(__xludf.DUMMYFUNCTION("IF(AB75="""","""",IFERROR(INDEX(FILTER('特殊配信マスタ'!$P$3:$P$16, '特殊配信マスタ'!$E$3:$E$16=AB75),1),""""))"),"")</f>
        <v/>
      </c>
      <c r="AG75" s="590" t="str">
        <f>IFERROR(__xludf.DUMMYFUNCTION("IFERROR(INDEX(FILTER('特殊配信マスタ'!$E$3:$E$16, (TEXT('特殊配信マスタ'!$A$3:$A$16,""ddd"")=TEXT(AG$1,""ddd""))*(IFERROR(VALUE('特殊配信マスタ'!$B$3:$B$16),0)=VALUE(LOOKUP(2,1/($A$3:$A75&lt;&gt;""""),$A$3:$A75)))*('特殊配信マスタ'!$Q$3:$Q$16&lt;&gt;TRUE)), 2), """")"),"")</f>
        <v/>
      </c>
      <c r="AH75" s="593" t="str">
        <f>IFERROR(__xludf.DUMMYFUNCTION("IF(AG75="""","""",IFERROR(INDEX(FILTER('特殊配信マスタ'!$F$3:$F$16,('特殊配信マスタ'!$A$3:$A$16=CHOOSE(WEEKDAY(AG$1),""日"",""月"",""火"",""水"",""木"",""金"",""土""))*('特殊配信マスタ'!$B$3:$B$16=AE$3)*('特殊配信マスタ'!$R$3:$R$16=MOD(INT((AG$1-'特殊配信マスタ'!$A$1)/7),3)+1)),1),""""))"),"")</f>
        <v/>
      </c>
      <c r="AI75" s="590"/>
      <c r="AJ75" s="593" t="str">
        <f>IFERROR(__xludf.DUMMYFUNCTION("IF(AG75="""","""",IFERROR(INDEX(FILTER('特殊配信マスタ'!$O$3:$O$16, '特殊配信マスタ'!$E$3:$E$16=AG75),1),""""))"),"")</f>
        <v/>
      </c>
      <c r="AK75" s="593" t="str">
        <f>IFERROR(__xludf.DUMMYFUNCTION("IF(AG75="""","""",IFERROR(INDEX(FILTER('特殊配信マスタ'!$P$3:$P$16, '特殊配信マスタ'!$E$3:$E$16=AG75),1),""""))"),"")</f>
        <v/>
      </c>
    </row>
    <row r="76" ht="17.25" customHeight="1">
      <c r="A76" s="587"/>
      <c r="B76" s="588"/>
      <c r="C76" s="590" t="str">
        <f>IFERROR(__xludf.DUMMYFUNCTION("IFERROR(INDEX(FILTER('特殊配信マスタ'!$E$3:$E$16, (TEXT('特殊配信マスタ'!$A$3:$A$16,""ddd"")=TEXT(C$1,""ddd""))*(IFERROR(VALUE('特殊配信マスタ'!$B$3:$B$16),0)=VALUE(LOOKUP(2,1/($A$3:$A76&lt;&gt;""""),$A$3:$A76)))*('特殊配信マスタ'!$Q$3:$Q$16&lt;&gt;TRUE)), 3), """")"),"")</f>
        <v/>
      </c>
      <c r="D76" s="593"/>
      <c r="E76" s="590"/>
      <c r="F76" s="593" t="str">
        <f>IFERROR(__xludf.DUMMYFUNCTION("IF(C76="""","""",IFERROR(INDEX(FILTER('特殊配信マスタ'!$O$3:$O$16, '特殊配信マスタ'!$E$3:$E$16=C76),1),""""))"),"")</f>
        <v/>
      </c>
      <c r="G76" s="593" t="str">
        <f>IFERROR(__xludf.DUMMYFUNCTION("IF(C76="""","""",IFERROR(INDEX(FILTER('特殊配信マスタ'!$P$3:$P$16, '特殊配信マスタ'!$E$3:$E$16=C76),1),""""))"),"")</f>
        <v/>
      </c>
      <c r="H76" s="590" t="str">
        <f>IFERROR(__xludf.DUMMYFUNCTION("IFERROR(INDEX(FILTER('特殊配信マスタ'!$E$3:$E$16, (TEXT('特殊配信マスタ'!$A$3:$A$16,""ddd"")=TEXT(H$1,""ddd""))*(IFERROR(VALUE('特殊配信マスタ'!$B$3:$B$16),0)=VALUE(LOOKUP(2,1/($A$3:$A76&lt;&gt;""""),$A$3:$A76)))*('特殊配信マスタ'!$Q$3:$Q$16&lt;&gt;TRUE)), 3), """")"),"")</f>
        <v/>
      </c>
      <c r="I76" s="593"/>
      <c r="J76" s="590"/>
      <c r="K76" s="593" t="str">
        <f>IFERROR(__xludf.DUMMYFUNCTION("IF(H76="""","""",IFERROR(INDEX(FILTER('特殊配信マスタ'!$O$3:$O$16, '特殊配信マスタ'!$E$3:$E$16=H76),1),""""))"),"")</f>
        <v/>
      </c>
      <c r="L76" s="593" t="str">
        <f>IFERROR(__xludf.DUMMYFUNCTION("IF(H76="""","""",IFERROR(INDEX(FILTER('特殊配信マスタ'!$P$3:$P$16, '特殊配信マスタ'!$E$3:$E$16=H76),1),""""))"),"")</f>
        <v/>
      </c>
      <c r="M76" s="590" t="str">
        <f>IFERROR(__xludf.DUMMYFUNCTION("IFERROR(INDEX(FILTER('特殊配信マスタ'!$E$3:$E$16, (TEXT('特殊配信マスタ'!$A$3:$A$16,""ddd"")=TEXT(M$1,""ddd""))*(IFERROR(VALUE('特殊配信マスタ'!$B$3:$B$16),0)=VALUE(LOOKUP(2,1/($A$3:$A76&lt;&gt;""""),$A$3:$A76)))*('特殊配信マスタ'!$Q$3:$Q$16&lt;&gt;TRUE)), 3), """")"),"")</f>
        <v/>
      </c>
      <c r="N76" s="593"/>
      <c r="O76" s="590"/>
      <c r="P76" s="593" t="str">
        <f>IFERROR(__xludf.DUMMYFUNCTION("IF(M76="""","""",IFERROR(INDEX(FILTER('特殊配信マスタ'!$O$3:$O$16, '特殊配信マスタ'!$E$3:$E$16=M76),1),""""))"),"")</f>
        <v/>
      </c>
      <c r="Q76" s="593" t="str">
        <f>IFERROR(__xludf.DUMMYFUNCTION("IF(M76="""","""",IFERROR(INDEX(FILTER('特殊配信マスタ'!$P$3:$P$16, '特殊配信マスタ'!$E$3:$E$16=M76),1),""""))"),"")</f>
        <v/>
      </c>
      <c r="R76" s="590" t="str">
        <f>IFERROR(__xludf.DUMMYFUNCTION("IFERROR(INDEX(FILTER('特殊配信マスタ'!$E$3:$E$16, (TEXT('特殊配信マスタ'!$A$3:$A$16,""ddd"")=TEXT(R$1,""ddd""))*(IFERROR(VALUE('特殊配信マスタ'!$B$3:$B$16),0)=VALUE(LOOKUP(2,1/($A$3:$A76&lt;&gt;""""),$A$3:$A76)))*('特殊配信マスタ'!$Q$3:$Q$16&lt;&gt;TRUE)), 3), """")"),"")</f>
        <v/>
      </c>
      <c r="S76" s="593"/>
      <c r="T76" s="590"/>
      <c r="U76" s="593" t="str">
        <f>IFERROR(__xludf.DUMMYFUNCTION("IF(R76="""","""",IFERROR(INDEX(FILTER('特殊配信マスタ'!$O$3:$O$16, '特殊配信マスタ'!$E$3:$E$16=R76),1),""""))"),"")</f>
        <v/>
      </c>
      <c r="V76" s="593" t="str">
        <f>IFERROR(__xludf.DUMMYFUNCTION("IF(R76="""","""",IFERROR(INDEX(FILTER('特殊配信マスタ'!$P$3:$P$16, '特殊配信マスタ'!$E$3:$E$16=R76),1),""""))"),"")</f>
        <v/>
      </c>
      <c r="W76" s="590" t="str">
        <f>IFERROR(__xludf.DUMMYFUNCTION("IFERROR(INDEX(FILTER('特殊配信マスタ'!$E$3:$E$16, (TEXT('特殊配信マスタ'!$A$3:$A$16,""ddd"")=TEXT(W$1,""ddd""))*(IFERROR(VALUE('特殊配信マスタ'!$B$3:$B$16),0)=VALUE(LOOKUP(2,1/($A$3:$A76&lt;&gt;""""),$A$3:$A76)))*('特殊配信マスタ'!$Q$3:$Q$16&lt;&gt;TRUE)), 3), """")"),"")</f>
        <v/>
      </c>
      <c r="X76" s="593"/>
      <c r="Y76" s="590"/>
      <c r="Z76" s="593" t="str">
        <f>IFERROR(__xludf.DUMMYFUNCTION("IF(W76="""","""",IFERROR(INDEX(FILTER('特殊配信マスタ'!$O$3:$O$16, '特殊配信マスタ'!$E$3:$E$16=W76),1),""""))"),"")</f>
        <v/>
      </c>
      <c r="AA76" s="593" t="str">
        <f>IFERROR(__xludf.DUMMYFUNCTION("IF(W76="""","""",IFERROR(INDEX(FILTER('特殊配信マスタ'!$P$3:$P$16, '特殊配信マスタ'!$E$3:$E$16=W76),1),""""))"),"")</f>
        <v/>
      </c>
      <c r="AB76" s="590" t="str">
        <f>IFERROR(__xludf.DUMMYFUNCTION("IFERROR(INDEX(FILTER('特殊配信マスタ'!$E$3:$E$16, (TEXT('特殊配信マスタ'!$A$3:$A$16,""ddd"")=TEXT(AB$1,""ddd""))*(IFERROR(VALUE('特殊配信マスタ'!$B$3:$B$16),0)=VALUE(LOOKUP(2,1/($A$3:$A76&lt;&gt;""""),$A$3:$A76)))*('特殊配信マスタ'!$Q$3:$Q$16&lt;&gt;TRUE)), 3), """")"),"")</f>
        <v/>
      </c>
      <c r="AC76" s="593"/>
      <c r="AD76" s="590"/>
      <c r="AE76" s="593" t="str">
        <f>IFERROR(__xludf.DUMMYFUNCTION("IF(AB76="""","""",IFERROR(INDEX(FILTER('特殊配信マスタ'!$O$3:$O$16, '特殊配信マスタ'!$E$3:$E$16=AB76),1),""""))"),"")</f>
        <v/>
      </c>
      <c r="AF76" s="593" t="str">
        <f>IFERROR(__xludf.DUMMYFUNCTION("IF(AB76="""","""",IFERROR(INDEX(FILTER('特殊配信マスタ'!$P$3:$P$16, '特殊配信マスタ'!$E$3:$E$16=AB76),1),""""))"),"")</f>
        <v/>
      </c>
      <c r="AG76" s="590" t="str">
        <f>IFERROR(__xludf.DUMMYFUNCTION("IFERROR(INDEX(FILTER('特殊配信マスタ'!$E$3:$E$16, (TEXT('特殊配信マスタ'!$A$3:$A$16,""ddd"")=TEXT(AG$1,""ddd""))*(IFERROR(VALUE('特殊配信マスタ'!$B$3:$B$16),0)=VALUE(LOOKUP(2,1/($A$3:$A76&lt;&gt;""""),$A$3:$A76)))*('特殊配信マスタ'!$Q$3:$Q$16&lt;&gt;TRUE)), 3), """")"),"")</f>
        <v/>
      </c>
      <c r="AH76" s="593"/>
      <c r="AI76" s="590"/>
      <c r="AJ76" s="593" t="str">
        <f>IFERROR(__xludf.DUMMYFUNCTION("IF(AG76="""","""",IFERROR(INDEX(FILTER('特殊配信マスタ'!$O$3:$O$16, '特殊配信マスタ'!$E$3:$E$16=AG76),1),""""))"),"")</f>
        <v/>
      </c>
      <c r="AK76" s="593" t="str">
        <f>IFERROR(__xludf.DUMMYFUNCTION("IF(AG76="""","""",IFERROR(INDEX(FILTER('特殊配信マスタ'!$P$3:$P$16, '特殊配信マスタ'!$E$3:$E$16=AG76),1),""""))"),"")</f>
        <v/>
      </c>
    </row>
    <row r="77" ht="17.25" customHeight="1">
      <c r="A77" s="587"/>
      <c r="B77" s="588"/>
      <c r="C77" s="590" t="str">
        <f>IFERROR(__xludf.DUMMYFUNCTION("IFERROR(INDEX(FILTER('特殊配信マスタ'!$E$3:$E$16, (TEXT('特殊配信マスタ'!$A$3:$A$16,""ddd"")=TEXT(C$1,""ddd""))*(IFERROR(VALUE('特殊配信マスタ'!$B$3:$B$16),0)=VALUE(LOOKUP(2,1/($A$3:$A77&lt;&gt;""""),$A$3:$A77)))*('特殊配信マスタ'!$Q$3:$Q$16&lt;&gt;TRUE)), 4), """")"),"")</f>
        <v/>
      </c>
      <c r="D77" s="593" t="str">
        <f>IFERROR(__xludf.DUMMYFUNCTION("IF(C77="""","""",IFERROR(INDEX(FILTER('特殊配信マスタ'!$F$3:$F$16,('特殊配信マスタ'!$A$3:$A$16=CHOOSE(WEEKDAY(C$1),""日"",""月"",""火"",""水"",""木"",""金"",""土""))*('特殊配信マスタ'!$B$3:$B$16=A$3)*('特殊配信マスタ'!$R$3:$R$16=MOD(INT((C$1-'特殊配信マスタ'!$A$1)/7),3)+1)),1),""""))"),"")</f>
        <v/>
      </c>
      <c r="E77" s="590"/>
      <c r="F77" s="593" t="str">
        <f>IFERROR(__xludf.DUMMYFUNCTION("IF(C77="""","""",IFERROR(INDEX(FILTER('特殊配信マスタ'!$O$3:$O$16, '特殊配信マスタ'!$E$3:$E$16=C77),1),""""))"),"")</f>
        <v/>
      </c>
      <c r="G77" s="593" t="str">
        <f>IFERROR(__xludf.DUMMYFUNCTION("IF(C77="""","""",IFERROR(INDEX(FILTER('特殊配信マスタ'!$P$3:$P$16, '特殊配信マスタ'!$E$3:$E$16=C77),1),""""))"),"")</f>
        <v/>
      </c>
      <c r="H77" s="590" t="str">
        <f>IFERROR(__xludf.DUMMYFUNCTION("IFERROR(INDEX(FILTER('特殊配信マスタ'!$E$3:$E$16, (TEXT('特殊配信マスタ'!$A$3:$A$16,""ddd"")=TEXT(H$1,""ddd""))*(IFERROR(VALUE('特殊配信マスタ'!$B$3:$B$16),0)=VALUE(LOOKUP(2,1/($A$3:$A77&lt;&gt;""""),$A$3:$A77)))*('特殊配信マスタ'!$Q$3:$Q$16&lt;&gt;TRUE)), 4), """")"),"")</f>
        <v/>
      </c>
      <c r="I77" s="593" t="str">
        <f>IFERROR(__xludf.DUMMYFUNCTION("IF(H77="""","""",IFERROR(INDEX(FILTER('特殊配信マスタ'!$F$3:$F$16,('特殊配信マスタ'!$A$3:$A$16=CHOOSE(WEEKDAY(H$1),""日"",""月"",""火"",""水"",""木"",""金"",""土""))*('特殊配信マスタ'!$B$3:$B$16=F$3)*('特殊配信マスタ'!$R$3:$R$16=MOD(INT((H$1-'特殊配信マスタ'!$A$1)/7),3)+1)),1),""""))"),"")</f>
        <v/>
      </c>
      <c r="J77" s="590"/>
      <c r="K77" s="593" t="str">
        <f>IFERROR(__xludf.DUMMYFUNCTION("IF(H77="""","""",IFERROR(INDEX(FILTER('特殊配信マスタ'!$O$3:$O$16, '特殊配信マスタ'!$E$3:$E$16=H77),1),""""))"),"")</f>
        <v/>
      </c>
      <c r="L77" s="593" t="str">
        <f>IFERROR(__xludf.DUMMYFUNCTION("IF(H77="""","""",IFERROR(INDEX(FILTER('特殊配信マスタ'!$P$3:$P$16, '特殊配信マスタ'!$E$3:$E$16=H77),1),""""))"),"")</f>
        <v/>
      </c>
      <c r="M77" s="590" t="str">
        <f>IFERROR(__xludf.DUMMYFUNCTION("IFERROR(INDEX(FILTER('特殊配信マスタ'!$E$3:$E$16, (TEXT('特殊配信マスタ'!$A$3:$A$16,""ddd"")=TEXT(M$1,""ddd""))*(IFERROR(VALUE('特殊配信マスタ'!$B$3:$B$16),0)=VALUE(LOOKUP(2,1/($A$3:$A77&lt;&gt;""""),$A$3:$A77)))*('特殊配信マスタ'!$Q$3:$Q$16&lt;&gt;TRUE)), 4), """")"),"")</f>
        <v/>
      </c>
      <c r="N77" s="593" t="str">
        <f>IFERROR(__xludf.DUMMYFUNCTION("IF(M77="""","""",IFERROR(INDEX(FILTER('特殊配信マスタ'!$F$3:$F$16,('特殊配信マスタ'!$A$3:$A$16=CHOOSE(WEEKDAY(M$1),""日"",""月"",""火"",""水"",""木"",""金"",""土""))*('特殊配信マスタ'!$B$3:$B$16=K$3)*('特殊配信マスタ'!$R$3:$R$16=MOD(INT((M$1-'特殊配信マスタ'!$A$1)/7),3)+1)),1),""""))"),"")</f>
        <v/>
      </c>
      <c r="O77" s="590"/>
      <c r="P77" s="593" t="str">
        <f>IFERROR(__xludf.DUMMYFUNCTION("IF(M77="""","""",IFERROR(INDEX(FILTER('特殊配信マスタ'!$O$3:$O$16, '特殊配信マスタ'!$E$3:$E$16=M77),1),""""))"),"")</f>
        <v/>
      </c>
      <c r="Q77" s="593" t="str">
        <f>IFERROR(__xludf.DUMMYFUNCTION("IF(M77="""","""",IFERROR(INDEX(FILTER('特殊配信マスタ'!$P$3:$P$16, '特殊配信マスタ'!$E$3:$E$16=M77),1),""""))"),"")</f>
        <v/>
      </c>
      <c r="R77" s="590" t="str">
        <f>IFERROR(__xludf.DUMMYFUNCTION("IFERROR(INDEX(FILTER('特殊配信マスタ'!$E$3:$E$16, (TEXT('特殊配信マスタ'!$A$3:$A$16,""ddd"")=TEXT(R$1,""ddd""))*(IFERROR(VALUE('特殊配信マスタ'!$B$3:$B$16),0)=VALUE(LOOKUP(2,1/($A$3:$A77&lt;&gt;""""),$A$3:$A77)))*('特殊配信マスタ'!$Q$3:$Q$16&lt;&gt;TRUE)), 4), """")"),"")</f>
        <v/>
      </c>
      <c r="S77" s="593" t="str">
        <f>IFERROR(__xludf.DUMMYFUNCTION("IF(R77="""","""",IFERROR(INDEX(FILTER('特殊配信マスタ'!$F$3:$F$16,('特殊配信マスタ'!$A$3:$A$16=CHOOSE(WEEKDAY(R$1),""日"",""月"",""火"",""水"",""木"",""金"",""土""))*('特殊配信マスタ'!$B$3:$B$16=P$3)*('特殊配信マスタ'!$R$3:$R$16=MOD(INT((R$1-'特殊配信マスタ'!$A$1)/7),3)+1)),1),""""))"),"")</f>
        <v/>
      </c>
      <c r="T77" s="590"/>
      <c r="U77" s="593" t="str">
        <f>IFERROR(__xludf.DUMMYFUNCTION("IF(R77="""","""",IFERROR(INDEX(FILTER('特殊配信マスタ'!$O$3:$O$16, '特殊配信マスタ'!$E$3:$E$16=R77),1),""""))"),"")</f>
        <v/>
      </c>
      <c r="V77" s="593" t="str">
        <f>IFERROR(__xludf.DUMMYFUNCTION("IF(R77="""","""",IFERROR(INDEX(FILTER('特殊配信マスタ'!$P$3:$P$16, '特殊配信マスタ'!$E$3:$E$16=R77),1),""""))"),"")</f>
        <v/>
      </c>
      <c r="W77" s="590" t="str">
        <f>IFERROR(__xludf.DUMMYFUNCTION("IFERROR(INDEX(FILTER('特殊配信マスタ'!$E$3:$E$16, (TEXT('特殊配信マスタ'!$A$3:$A$16,""ddd"")=TEXT(W$1,""ddd""))*(IFERROR(VALUE('特殊配信マスタ'!$B$3:$B$16),0)=VALUE(LOOKUP(2,1/($A$3:$A77&lt;&gt;""""),$A$3:$A77)))*('特殊配信マスタ'!$Q$3:$Q$16&lt;&gt;TRUE)), 4), """")"),"")</f>
        <v/>
      </c>
      <c r="X77" s="593" t="str">
        <f>IFERROR(__xludf.DUMMYFUNCTION("IF(W77="""","""",IFERROR(INDEX(FILTER('特殊配信マスタ'!$F$3:$F$16,('特殊配信マスタ'!$A$3:$A$16=CHOOSE(WEEKDAY(W$1),""日"",""月"",""火"",""水"",""木"",""金"",""土""))*('特殊配信マスタ'!$B$3:$B$16=U$3)*('特殊配信マスタ'!$R$3:$R$16=MOD(INT((W$1-'特殊配信マスタ'!$A$1)/7),3)+1)),1),""""))"),"")</f>
        <v/>
      </c>
      <c r="Y77" s="590"/>
      <c r="Z77" s="593" t="str">
        <f>IFERROR(__xludf.DUMMYFUNCTION("IF(W77="""","""",IFERROR(INDEX(FILTER('特殊配信マスタ'!$O$3:$O$16, '特殊配信マスタ'!$E$3:$E$16=W77),1),""""))"),"")</f>
        <v/>
      </c>
      <c r="AA77" s="593" t="str">
        <f>IFERROR(__xludf.DUMMYFUNCTION("IF(W77="""","""",IFERROR(INDEX(FILTER('特殊配信マスタ'!$P$3:$P$16, '特殊配信マスタ'!$E$3:$E$16=W77),1),""""))"),"")</f>
        <v/>
      </c>
      <c r="AB77" s="590" t="str">
        <f>IFERROR(__xludf.DUMMYFUNCTION("IFERROR(INDEX(FILTER('特殊配信マスタ'!$E$3:$E$16, (TEXT('特殊配信マスタ'!$A$3:$A$16,""ddd"")=TEXT(AB$1,""ddd""))*(IFERROR(VALUE('特殊配信マスタ'!$B$3:$B$16),0)=VALUE(LOOKUP(2,1/($A$3:$A77&lt;&gt;""""),$A$3:$A77)))*('特殊配信マスタ'!$Q$3:$Q$16&lt;&gt;TRUE)), 4), """")"),"")</f>
        <v/>
      </c>
      <c r="AC77" s="593" t="str">
        <f>IFERROR(__xludf.DUMMYFUNCTION("IF(AB77="""","""",IFERROR(INDEX(FILTER('特殊配信マスタ'!$F$3:$F$16,('特殊配信マスタ'!$A$3:$A$16=CHOOSE(WEEKDAY(AB$1),""日"",""月"",""火"",""水"",""木"",""金"",""土""))*('特殊配信マスタ'!$B$3:$B$16=Z$3)*('特殊配信マスタ'!$R$3:$R$16=MOD(INT((AB$1-'特殊配信マスタ'!$A$1)/7),3)+1)),1),""""))"),"")</f>
        <v/>
      </c>
      <c r="AD77" s="590"/>
      <c r="AE77" s="593" t="str">
        <f>IFERROR(__xludf.DUMMYFUNCTION("IF(AB77="""","""",IFERROR(INDEX(FILTER('特殊配信マスタ'!$O$3:$O$16, '特殊配信マスタ'!$E$3:$E$16=AB77),1),""""))"),"")</f>
        <v/>
      </c>
      <c r="AF77" s="593" t="str">
        <f>IFERROR(__xludf.DUMMYFUNCTION("IF(AB77="""","""",IFERROR(INDEX(FILTER('特殊配信マスタ'!$P$3:$P$16, '特殊配信マスタ'!$E$3:$E$16=AB77),1),""""))"),"")</f>
        <v/>
      </c>
      <c r="AG77" s="590" t="str">
        <f>IFERROR(__xludf.DUMMYFUNCTION("IFERROR(INDEX(FILTER('特殊配信マスタ'!$E$3:$E$16, (TEXT('特殊配信マスタ'!$A$3:$A$16,""ddd"")=TEXT(AG$1,""ddd""))*(IFERROR(VALUE('特殊配信マスタ'!$B$3:$B$16),0)=VALUE(LOOKUP(2,1/($A$3:$A77&lt;&gt;""""),$A$3:$A77)))*('特殊配信マスタ'!$Q$3:$Q$16&lt;&gt;TRUE)), 4), """")"),"")</f>
        <v/>
      </c>
      <c r="AH77" s="593" t="str">
        <f>IFERROR(__xludf.DUMMYFUNCTION("IF(AG77="""","""",IFERROR(INDEX(FILTER('特殊配信マスタ'!$F$3:$F$16,('特殊配信マスタ'!$A$3:$A$16=CHOOSE(WEEKDAY(AG$1),""日"",""月"",""火"",""水"",""木"",""金"",""土""))*('特殊配信マスタ'!$B$3:$B$16=AE$3)*('特殊配信マスタ'!$R$3:$R$16=MOD(INT((AG$1-'特殊配信マスタ'!$A$1)/7),3)+1)),1),""""))"),"")</f>
        <v/>
      </c>
      <c r="AI77" s="590"/>
      <c r="AJ77" s="593" t="str">
        <f>IFERROR(__xludf.DUMMYFUNCTION("IF(AG77="""","""",IFERROR(INDEX(FILTER('特殊配信マスタ'!$O$3:$O$16, '特殊配信マスタ'!$E$3:$E$16=AG77),1),""""))"),"")</f>
        <v/>
      </c>
      <c r="AK77" s="593" t="str">
        <f>IFERROR(__xludf.DUMMYFUNCTION("IF(AG77="""","""",IFERROR(INDEX(FILTER('特殊配信マスタ'!$P$3:$P$16, '特殊配信マスタ'!$E$3:$E$16=AG77),1),""""))"),"")</f>
        <v/>
      </c>
    </row>
    <row r="78" ht="17.25" customHeight="1">
      <c r="A78" s="599"/>
      <c r="B78" s="592"/>
      <c r="C78" s="590" t="str">
        <f>IFERROR(__xludf.DUMMYFUNCTION("IFERROR(INDEX(FILTER('特殊配信マスタ'!$E$3:$E$16, (TEXT('特殊配信マスタ'!$A$3:$A$16,""ddd"")=TEXT(C$1,""ddd""))*(IFERROR(VALUE('特殊配信マスタ'!$B$3:$B$16),0)=VALUE(LOOKUP(2,1/($A$3:$A78&lt;&gt;""""),$A$3:$A78)))*('特殊配信マスタ'!$Q$3:$Q$16&lt;&gt;TRUE)), 5), """")"),"")</f>
        <v/>
      </c>
      <c r="D78" s="593" t="str">
        <f>IFERROR(__xludf.DUMMYFUNCTION("IF(C78="""","""",IFERROR(INDEX(FILTER('特殊配信マスタ'!$F$3:$F$16,('特殊配信マスタ'!$A$3:$A$16=CHOOSE(WEEKDAY(C$1),""日"",""月"",""火"",""水"",""木"",""金"",""土""))*('特殊配信マスタ'!$B$3:$B$16=A$3)*('特殊配信マスタ'!$R$3:$R$16=MOD(INT((C$1-'特殊配信マスタ'!$A$1)/7),3)+1)),1),""""))"),"")</f>
        <v/>
      </c>
      <c r="E78" s="590"/>
      <c r="F78" s="593" t="str">
        <f>IFERROR(__xludf.DUMMYFUNCTION("IF(C78="""","""",IFERROR(INDEX(FILTER('特殊配信マスタ'!$O$3:$O$16, '特殊配信マスタ'!$E$3:$E$16=C78),1),""""))"),"")</f>
        <v/>
      </c>
      <c r="G78" s="593" t="str">
        <f>IFERROR(__xludf.DUMMYFUNCTION("IF(C78="""","""",IFERROR(INDEX(FILTER('特殊配信マスタ'!$P$3:$P$16, '特殊配信マスタ'!$E$3:$E$16=C78),1),""""))"),"")</f>
        <v/>
      </c>
      <c r="H78" s="590" t="str">
        <f>IFERROR(__xludf.DUMMYFUNCTION("IFERROR(INDEX(FILTER('特殊配信マスタ'!$E$3:$E$16, (TEXT('特殊配信マスタ'!$A$3:$A$16,""ddd"")=TEXT(H$1,""ddd""))*(IFERROR(VALUE('特殊配信マスタ'!$B$3:$B$16),0)=VALUE(LOOKUP(2,1/($A$3:$A78&lt;&gt;""""),$A$3:$A78)))*('特殊配信マスタ'!$Q$3:$Q$16&lt;&gt;TRUE)), 5), """")"),"")</f>
        <v/>
      </c>
      <c r="I78" s="593" t="str">
        <f>IFERROR(__xludf.DUMMYFUNCTION("IF(H78="""","""",IFERROR(INDEX(FILTER('特殊配信マスタ'!$F$3:$F$16,('特殊配信マスタ'!$A$3:$A$16=CHOOSE(WEEKDAY(H$1),""日"",""月"",""火"",""水"",""木"",""金"",""土""))*('特殊配信マスタ'!$B$3:$B$16=F$3)*('特殊配信マスタ'!$R$3:$R$16=MOD(INT((H$1-'特殊配信マスタ'!$A$1)/7),3)+1)),1),""""))"),"")</f>
        <v/>
      </c>
      <c r="J78" s="590"/>
      <c r="K78" s="593" t="str">
        <f>IFERROR(__xludf.DUMMYFUNCTION("IF(H78="""","""",IFERROR(INDEX(FILTER('特殊配信マスタ'!$O$3:$O$16, '特殊配信マスタ'!$E$3:$E$16=H78),1),""""))"),"")</f>
        <v/>
      </c>
      <c r="L78" s="593" t="str">
        <f>IFERROR(__xludf.DUMMYFUNCTION("IF(H78="""","""",IFERROR(INDEX(FILTER('特殊配信マスタ'!$P$3:$P$16, '特殊配信マスタ'!$E$3:$E$16=H78),1),""""))"),"")</f>
        <v/>
      </c>
      <c r="M78" s="590" t="str">
        <f>IFERROR(__xludf.DUMMYFUNCTION("IFERROR(INDEX(FILTER('特殊配信マスタ'!$E$3:$E$16, (TEXT('特殊配信マスタ'!$A$3:$A$16,""ddd"")=TEXT(M$1,""ddd""))*(IFERROR(VALUE('特殊配信マスタ'!$B$3:$B$16),0)=VALUE(LOOKUP(2,1/($A$3:$A78&lt;&gt;""""),$A$3:$A78)))*('特殊配信マスタ'!$Q$3:$Q$16&lt;&gt;TRUE)), 5), """")"),"")</f>
        <v/>
      </c>
      <c r="N78" s="593" t="str">
        <f>IFERROR(__xludf.DUMMYFUNCTION("IF(M78="""","""",IFERROR(INDEX(FILTER('特殊配信マスタ'!$F$3:$F$16,('特殊配信マスタ'!$A$3:$A$16=CHOOSE(WEEKDAY(M$1),""日"",""月"",""火"",""水"",""木"",""金"",""土""))*('特殊配信マスタ'!$B$3:$B$16=K$3)*('特殊配信マスタ'!$R$3:$R$16=MOD(INT((M$1-'特殊配信マスタ'!$A$1)/7),3)+1)),1),""""))"),"")</f>
        <v/>
      </c>
      <c r="O78" s="590"/>
      <c r="P78" s="593" t="str">
        <f>IFERROR(__xludf.DUMMYFUNCTION("IF(M78="""","""",IFERROR(INDEX(FILTER('特殊配信マスタ'!$O$3:$O$16, '特殊配信マスタ'!$E$3:$E$16=M78),1),""""))"),"")</f>
        <v/>
      </c>
      <c r="Q78" s="593" t="str">
        <f>IFERROR(__xludf.DUMMYFUNCTION("IF(M78="""","""",IFERROR(INDEX(FILTER('特殊配信マスタ'!$P$3:$P$16, '特殊配信マスタ'!$E$3:$E$16=M78),1),""""))"),"")</f>
        <v/>
      </c>
      <c r="R78" s="590" t="str">
        <f>IFERROR(__xludf.DUMMYFUNCTION("IFERROR(INDEX(FILTER('特殊配信マスタ'!$E$3:$E$16, (TEXT('特殊配信マスタ'!$A$3:$A$16,""ddd"")=TEXT(R$1,""ddd""))*(IFERROR(VALUE('特殊配信マスタ'!$B$3:$B$16),0)=VALUE(LOOKUP(2,1/($A$3:$A78&lt;&gt;""""),$A$3:$A78)))*('特殊配信マスタ'!$Q$3:$Q$16&lt;&gt;TRUE)), 5), """")"),"")</f>
        <v/>
      </c>
      <c r="S78" s="593" t="str">
        <f>IFERROR(__xludf.DUMMYFUNCTION("IF(R78="""","""",IFERROR(INDEX(FILTER('特殊配信マスタ'!$F$3:$F$16,('特殊配信マスタ'!$A$3:$A$16=CHOOSE(WEEKDAY(R$1),""日"",""月"",""火"",""水"",""木"",""金"",""土""))*('特殊配信マスタ'!$B$3:$B$16=P$3)*('特殊配信マスタ'!$R$3:$R$16=MOD(INT((R$1-'特殊配信マスタ'!$A$1)/7),3)+1)),1),""""))"),"")</f>
        <v/>
      </c>
      <c r="T78" s="590"/>
      <c r="U78" s="593" t="str">
        <f>IFERROR(__xludf.DUMMYFUNCTION("IF(R78="""","""",IFERROR(INDEX(FILTER('特殊配信マスタ'!$O$3:$O$16, '特殊配信マスタ'!$E$3:$E$16=R78),1),""""))"),"")</f>
        <v/>
      </c>
      <c r="V78" s="593" t="str">
        <f>IFERROR(__xludf.DUMMYFUNCTION("IF(R78="""","""",IFERROR(INDEX(FILTER('特殊配信マスタ'!$P$3:$P$16, '特殊配信マスタ'!$E$3:$E$16=R78),1),""""))"),"")</f>
        <v/>
      </c>
      <c r="W78" s="590" t="str">
        <f>IFERROR(__xludf.DUMMYFUNCTION("IFERROR(INDEX(FILTER('特殊配信マスタ'!$E$3:$E$16, (TEXT('特殊配信マスタ'!$A$3:$A$16,""ddd"")=TEXT(W$1,""ddd""))*(IFERROR(VALUE('特殊配信マスタ'!$B$3:$B$16),0)=VALUE(LOOKUP(2,1/($A$3:$A78&lt;&gt;""""),$A$3:$A78)))*('特殊配信マスタ'!$Q$3:$Q$16&lt;&gt;TRUE)), 5), """")"),"")</f>
        <v/>
      </c>
      <c r="X78" s="593" t="str">
        <f>IFERROR(__xludf.DUMMYFUNCTION("IF(W78="""","""",IFERROR(INDEX(FILTER('特殊配信マスタ'!$F$3:$F$16,('特殊配信マスタ'!$A$3:$A$16=CHOOSE(WEEKDAY(W$1),""日"",""月"",""火"",""水"",""木"",""金"",""土""))*('特殊配信マスタ'!$B$3:$B$16=U$3)*('特殊配信マスタ'!$R$3:$R$16=MOD(INT((W$1-'特殊配信マスタ'!$A$1)/7),3)+1)),1),""""))"),"")</f>
        <v/>
      </c>
      <c r="Y78" s="590"/>
      <c r="Z78" s="593" t="str">
        <f>IFERROR(__xludf.DUMMYFUNCTION("IF(W78="""","""",IFERROR(INDEX(FILTER('特殊配信マスタ'!$O$3:$O$16, '特殊配信マスタ'!$E$3:$E$16=W78),1),""""))"),"")</f>
        <v/>
      </c>
      <c r="AA78" s="593" t="str">
        <f>IFERROR(__xludf.DUMMYFUNCTION("IF(W78="""","""",IFERROR(INDEX(FILTER('特殊配信マスタ'!$P$3:$P$16, '特殊配信マスタ'!$E$3:$E$16=W78),1),""""))"),"")</f>
        <v/>
      </c>
      <c r="AB78" s="590" t="str">
        <f>IFERROR(__xludf.DUMMYFUNCTION("IFERROR(INDEX(FILTER('特殊配信マスタ'!$E$3:$E$16, (TEXT('特殊配信マスタ'!$A$3:$A$16,""ddd"")=TEXT(AB$1,""ddd""))*(IFERROR(VALUE('特殊配信マスタ'!$B$3:$B$16),0)=VALUE(LOOKUP(2,1/($A$3:$A78&lt;&gt;""""),$A$3:$A78)))*('特殊配信マスタ'!$Q$3:$Q$16&lt;&gt;TRUE)), 5), """")"),"")</f>
        <v/>
      </c>
      <c r="AC78" s="593" t="str">
        <f>IFERROR(__xludf.DUMMYFUNCTION("IF(AB78="""","""",IFERROR(INDEX(FILTER('特殊配信マスタ'!$F$3:$F$16,('特殊配信マスタ'!$A$3:$A$16=CHOOSE(WEEKDAY(AB$1),""日"",""月"",""火"",""水"",""木"",""金"",""土""))*('特殊配信マスタ'!$B$3:$B$16=Z$3)*('特殊配信マスタ'!$R$3:$R$16=MOD(INT((AB$1-'特殊配信マスタ'!$A$1)/7),3)+1)),1),""""))"),"")</f>
        <v/>
      </c>
      <c r="AD78" s="590"/>
      <c r="AE78" s="593" t="str">
        <f>IFERROR(__xludf.DUMMYFUNCTION("IF(AB78="""","""",IFERROR(INDEX(FILTER('特殊配信マスタ'!$O$3:$O$16, '特殊配信マスタ'!$E$3:$E$16=AB78),1),""""))"),"")</f>
        <v/>
      </c>
      <c r="AF78" s="593" t="str">
        <f>IFERROR(__xludf.DUMMYFUNCTION("IF(AB78="""","""",IFERROR(INDEX(FILTER('特殊配信マスタ'!$P$3:$P$16, '特殊配信マスタ'!$E$3:$E$16=AB78),1),""""))"),"")</f>
        <v/>
      </c>
      <c r="AG78" s="590" t="str">
        <f>IFERROR(__xludf.DUMMYFUNCTION("IFERROR(INDEX(FILTER('特殊配信マスタ'!$E$3:$E$16, (TEXT('特殊配信マスタ'!$A$3:$A$16,""ddd"")=TEXT(AG$1,""ddd""))*(IFERROR(VALUE('特殊配信マスタ'!$B$3:$B$16),0)=VALUE(LOOKUP(2,1/($A$3:$A78&lt;&gt;""""),$A$3:$A78)))*('特殊配信マスタ'!$Q$3:$Q$16&lt;&gt;TRUE)), 5), """")"),"")</f>
        <v/>
      </c>
      <c r="AH78" s="593" t="str">
        <f>IFERROR(__xludf.DUMMYFUNCTION("IF(AG78="""","""",IFERROR(INDEX(FILTER('特殊配信マスタ'!$F$3:$F$16,('特殊配信マスタ'!$A$3:$A$16=CHOOSE(WEEKDAY(AG$1),""日"",""月"",""火"",""水"",""木"",""金"",""土""))*('特殊配信マスタ'!$B$3:$B$16=AE$3)*('特殊配信マスタ'!$R$3:$R$16=MOD(INT((AG$1-'特殊配信マスタ'!$A$1)/7),3)+1)),1),""""))"),"")</f>
        <v/>
      </c>
      <c r="AI78" s="590"/>
      <c r="AJ78" s="593" t="str">
        <f>IFERROR(__xludf.DUMMYFUNCTION("IF(AG78="""","""",IFERROR(INDEX(FILTER('特殊配信マスタ'!$O$3:$O$16, '特殊配信マスタ'!$E$3:$E$16=AG78),1),""""))"),"")</f>
        <v/>
      </c>
      <c r="AK78" s="593" t="str">
        <f>IFERROR(__xludf.DUMMYFUNCTION("IF(AG78="""","""",IFERROR(INDEX(FILTER('特殊配信マスタ'!$P$3:$P$16, '特殊配信マスタ'!$E$3:$E$16=AG78),1),""""))"),"")</f>
        <v/>
      </c>
    </row>
    <row r="79" ht="17.25" customHeight="1">
      <c r="A79" s="584">
        <f>A60+1</f>
        <v>12</v>
      </c>
      <c r="B79" s="585" t="s">
        <v>1450</v>
      </c>
      <c r="C79" s="586" t="str">
        <f>IFERROR(__xludf.DUMMYFUNCTION("IFERROR(FILTER('リスト'!$E$4:$E$349, (TEXT('リスト'!$A$4:$A$349,""ddd"")=TEXT(C$1, ""ddd""))*('リスト'!$B$4:$B$349=LOOKUP(2,1/($A$3:$A79&lt;&gt;""""),$A$3:$A79))*(('リスト'!$G$4:$G$349=""毎週配信"")+('リスト'!$G$4:$G$349=$A$1))), """")"),"★新着総合_首都圏 A")</f>
        <v>★新着総合_首都圏 A</v>
      </c>
      <c r="D79" s="8">
        <f t="array" ref="D79">IFERROR(XLOOKUP(C79, 'リスト'!$E:$E, 'リスト'!$F:$F, ""), "")</f>
        <v>5</v>
      </c>
      <c r="E79" s="8">
        <f>SUM(D79:D97)</f>
        <v>10.4</v>
      </c>
      <c r="F79" s="8" t="str">
        <f>IFERROR(__xludf.DUMMYFUNCTION("IF(C79="""","""",IFERROR(INDEX(FILTER('リスト'!$O$4:$O$349, 'リスト'!$E$4:$E$349=C79),1),""""))"),"荒")</f>
        <v>荒</v>
      </c>
      <c r="G79" s="8" t="str">
        <f>IFERROR(__xludf.DUMMYFUNCTION("IF(C79="""","""",IFERROR(INDEX(FILTER('リスト'!$P$4:$P$349, 'リスト'!$E$4:$E$349=C79),1),""""))"),"平")</f>
        <v>平</v>
      </c>
      <c r="H79" s="586" t="str">
        <f>IFERROR(__xludf.DUMMYFUNCTION("IFERROR(FILTER('リスト'!$E$4:$E$349, (TEXT('リスト'!$A$4:$A$349,""ddd"")=TEXT(H$1, ""ddd""))*('リスト'!$B$4:$B$349=LOOKUP(2,1/($A$3:$A79&lt;&gt;""""),$A$3:$A79))*(('リスト'!$G$4:$G$349=""毎週配信"")+('リスト'!$G$4:$G$349=$A$1))), """")"),"自己PR不要_リモート未経験_事務")</f>
        <v>自己PR不要_リモート未経験_事務</v>
      </c>
      <c r="I79" s="8">
        <f t="array" ref="I79">IFERROR(XLOOKUP(H79, 'リスト'!$E:$E, 'リスト'!$F:$F, ""), "")</f>
        <v>2.5</v>
      </c>
      <c r="J79" s="8">
        <f>SUM(I79:I97)</f>
        <v>6.7</v>
      </c>
      <c r="K79" s="8" t="str">
        <f>IFERROR(__xludf.DUMMYFUNCTION("IF(H79="""","""",IFERROR(INDEX(FILTER('リスト'!$O$4:$O$349, 'リスト'!$E$4:$E$349=H79),1),""""))"),"R")</f>
        <v>R</v>
      </c>
      <c r="L79" s="8" t="str">
        <f>IFERROR(__xludf.DUMMYFUNCTION("IF(H79="""","""",IFERROR(INDEX(FILTER('リスト'!$P$4:$P$349, 'リスト'!$E$4:$E$349=H79),1),""""))"),"")</f>
        <v/>
      </c>
      <c r="M79" s="586" t="str">
        <f>IFERROR(__xludf.DUMMYFUNCTION("IFERROR(FILTER('リスト'!$E$4:$E$349, (TEXT('リスト'!$A$4:$A$349,""ddd"")=TEXT(M$1, ""ddd""))*('リスト'!$B$4:$B$349=LOOKUP(2,1/($A$3:$A79&lt;&gt;""""),$A$3:$A79))*(('リスト'!$G$4:$G$349=""毎週配信"")+('リスト'!$G$4:$G$349=$A$1))), """")"),"応募ランキング B")</f>
        <v>応募ランキング B</v>
      </c>
      <c r="N79" s="8">
        <f t="array" ref="N79">IFERROR(XLOOKUP(M79, 'リスト'!$E:$E, 'リスト'!$F:$F, ""), "")</f>
        <v>3.5</v>
      </c>
      <c r="O79" s="8">
        <f>SUM(N79:N97)</f>
        <v>8.3</v>
      </c>
      <c r="P79" s="8" t="str">
        <f>IFERROR(__xludf.DUMMYFUNCTION("IF(M79="""","""",IFERROR(INDEX(FILTER('リスト'!$O$4:$O$349, 'リスト'!$E$4:$E$349=M79),1),""""))"),"R")</f>
        <v>R</v>
      </c>
      <c r="Q79" s="8" t="str">
        <f>IFERROR(__xludf.DUMMYFUNCTION("IF(M79="""","""",IFERROR(INDEX(FILTER('リスト'!$P$4:$P$349, 'リスト'!$E$4:$E$349=M79),1),""""))"),"")</f>
        <v/>
      </c>
      <c r="R79" s="586" t="str">
        <f>IFERROR(__xludf.DUMMYFUNCTION("IFERROR(FILTER('リスト'!$E$4:$E$349, (TEXT('リスト'!$A$4:$A$349,""ddd"")=TEXT(R$1, ""ddd""))*('リスト'!$B$4:$B$349=LOOKUP(2,1/($A$3:$A79&lt;&gt;""""),$A$3:$A79))*(('リスト'!$G$4:$G$349=""毎週配信"")+('リスト'!$G$4:$G$349=$A$1))), """")"),"★新着総合_首都圏 B")</f>
        <v>★新着総合_首都圏 B</v>
      </c>
      <c r="S79" s="8">
        <f t="array" ref="S79">IFERROR(XLOOKUP(R79, 'リスト'!$E:$E, 'リスト'!$F:$F, ""), "")</f>
        <v>5</v>
      </c>
      <c r="T79" s="8">
        <f>SUM(S79:S97)</f>
        <v>10.4</v>
      </c>
      <c r="U79" s="8" t="str">
        <f>IFERROR(__xludf.DUMMYFUNCTION("IF(R79="""","""",IFERROR(INDEX(FILTER('リスト'!$O$4:$O$349, 'リスト'!$E$4:$E$349=R79),1),""""))"),"荒")</f>
        <v>荒</v>
      </c>
      <c r="V79" s="8" t="str">
        <f>IFERROR(__xludf.DUMMYFUNCTION("IF(R79="""","""",IFERROR(INDEX(FILTER('リスト'!$P$4:$P$349, 'リスト'!$E$4:$E$349=R79),1),""""))"),"平")</f>
        <v>平</v>
      </c>
      <c r="W79" s="586" t="str">
        <f>IFERROR(__xludf.DUMMYFUNCTION("IFERROR(FILTER('リスト'!$E$4:$E$349, (TEXT('リスト'!$A$4:$A$349,""ddd"")=TEXT(W$1, ""ddd""))*('リスト'!$B$4:$B$349=LOOKUP(2,1/($A$3:$A79&lt;&gt;""""),$A$3:$A79))*(('リスト'!$G$4:$G$349=""毎週配信"")+('リスト'!$G$4:$G$349=$A$1))), """")"),"高層ビルで働く_首都圏")</f>
        <v>高層ビルで働く_首都圏</v>
      </c>
      <c r="X79" s="8">
        <f t="array" ref="X79">IFERROR(XLOOKUP(W79, 'リスト'!$E:$E, 'リスト'!$F:$F, ""), "")</f>
        <v>1.6</v>
      </c>
      <c r="Y79" s="8">
        <f>SUM(X79:X97)</f>
        <v>3.1</v>
      </c>
      <c r="Z79" s="8" t="str">
        <f>IFERROR(__xludf.DUMMYFUNCTION("IF(W79="""","""",IFERROR(INDEX(FILTER('リスト'!$O$4:$O$349, 'リスト'!$E$4:$E$349=W79),1),""""))"),"部")</f>
        <v>部</v>
      </c>
      <c r="AA79" s="8" t="str">
        <f>IFERROR(__xludf.DUMMYFUNCTION("IF(W79="""","""",IFERROR(INDEX(FILTER('リスト'!$P$4:$P$349, 'リスト'!$E$4:$E$349=W79),1),""""))"),"石")</f>
        <v>石</v>
      </c>
      <c r="AB79" s="600" t="str">
        <f>IFERROR(__xludf.DUMMYFUNCTION("IFERROR(FILTER('リスト'!$E$4:$E$349, (TEXT('リスト'!$A$4:$A$349,""ddd"")=TEXT(AB$1, ""ddd""))*('リスト'!$B$4:$B$349=LOOKUP(2,1/($A$3:$A79&lt;&gt;""""),$A$3:$A79))*(('リスト'!$G$4:$G$349=""毎週配信"")+('リスト'!$G$4:$G$349=$A$1))), """")"),"★ウキポリ[全]")</f>
        <v>★ウキポリ[全]</v>
      </c>
      <c r="AC79" s="8">
        <f t="array" ref="AC79">IFERROR(XLOOKUP(AB79, 'リスト'!$E:$E, 'リスト'!$F:$F, ""), "")</f>
        <v>10</v>
      </c>
      <c r="AD79" s="8">
        <f>SUM(AC79:AC97)</f>
        <v>10</v>
      </c>
      <c r="AE79" s="8" t="str">
        <f>IFERROR(__xludf.DUMMYFUNCTION("IF(AB79="""","""",IFERROR(INDEX(FILTER('リスト'!$O$4:$O$349, 'リスト'!$E$4:$E$349=AB79),1),""""))"),"平")</f>
        <v>平</v>
      </c>
      <c r="AF79" s="8" t="str">
        <f>IFERROR(__xludf.DUMMYFUNCTION("IF(AB79="""","""",IFERROR(INDEX(FILTER('リスト'!$P$4:$P$349, 'リスト'!$E$4:$E$349=AB79),1),""""))"),"荒")</f>
        <v>荒</v>
      </c>
      <c r="AG79" s="586" t="str">
        <f>IFERROR(__xludf.DUMMYFUNCTION("IFERROR(FILTER('リスト'!$E$4:$E$349, (TEXT('リスト'!$A$4:$A$349,""ddd"")=TEXT(AG$1, ""ddd""))*('リスト'!$B$4:$B$349=LOOKUP(2,1/($A$3:$A79&lt;&gt;""""),$A$3:$A79))*(('リスト'!$G$4:$G$349=""毎週配信"")+('リスト'!$G$4:$G$349=$A$1))), """")"),"未経験OK_専門性の高い事務")</f>
        <v>未経験OK_専門性の高い事務</v>
      </c>
      <c r="AH79" s="8">
        <f t="array" ref="AH79">IFERROR(XLOOKUP(AG79, 'リスト'!$E:$E, 'リスト'!$F:$F, ""), "")</f>
        <v>1.4</v>
      </c>
      <c r="AI79" s="8">
        <f>SUM(AH79:AH97)</f>
        <v>8.4</v>
      </c>
      <c r="AJ79" s="8" t="str">
        <f>IFERROR(__xludf.DUMMYFUNCTION("IF(AG79="""","""",IFERROR(INDEX(FILTER('リスト'!$O$4:$O$349, 'リスト'!$E$4:$E$349=AG79),1),""""))"),"部")</f>
        <v>部</v>
      </c>
      <c r="AK79" s="8" t="str">
        <f>IFERROR(__xludf.DUMMYFUNCTION("IF(AG79="""","""",IFERROR(INDEX(FILTER('リスト'!$P$4:$P$349, 'リスト'!$E$4:$E$349=AG79),1),""""))"),"石")</f>
        <v>石</v>
      </c>
    </row>
    <row r="80" ht="17.25" customHeight="1">
      <c r="A80" s="587"/>
      <c r="B80" s="588"/>
      <c r="C80" s="586" t="str">
        <f>IFERROR(__xludf.DUMMYFUNCTION("""COMPUTED_VALUE"""),"★新着総合_西日本 A")</f>
        <v>★新着総合_西日本 A</v>
      </c>
      <c r="D80" s="8">
        <f t="array" ref="D80">IFERROR(XLOOKUP(C80, 'リスト'!$E:$E, 'リスト'!$F:$F, ""), "")</f>
        <v>2.9</v>
      </c>
      <c r="E80" s="8"/>
      <c r="F80" s="8" t="str">
        <f t="array" ref="F80">IFERROR(XLOOKUP(C80, 'リスト'!$E:$E, 'リスト'!$O:$O, ""), "")</f>
        <v>荒</v>
      </c>
      <c r="G80" s="8" t="str">
        <f t="array" ref="G80">IFERROR(XLOOKUP(C80, 'リスト'!$E:$E, 'リスト'!$P:$P, ""), "")</f>
        <v>平</v>
      </c>
      <c r="H80" s="586" t="str">
        <f>IFERROR(__xludf.DUMMYFUNCTION("""COMPUTED_VALUE"""),"自己PR不要_リモート未経験_営業")</f>
        <v>自己PR不要_リモート未経験_営業</v>
      </c>
      <c r="I80" s="8">
        <f t="array" ref="I80">IFERROR(XLOOKUP(H80, 'リスト'!$E:$E, 'リスト'!$F:$F, ""), "")</f>
        <v>0.3</v>
      </c>
      <c r="J80" s="8"/>
      <c r="K80" s="8" t="str">
        <f t="array" ref="K80">IFERROR(XLOOKUP(H80, 'リスト'!$E:$E, 'リスト'!$O:$O, ""), "")</f>
        <v>R</v>
      </c>
      <c r="L80" s="8" t="str">
        <f t="array" ref="L80">IFERROR(XLOOKUP(H80, 'リスト'!$E:$E, 'リスト'!$P:$P, ""), "")</f>
        <v/>
      </c>
      <c r="M80" s="586" t="str">
        <f>IFERROR(__xludf.DUMMYFUNCTION("""COMPUTED_VALUE"""),"応募ランキングB_全国")</f>
        <v>応募ランキングB_全国</v>
      </c>
      <c r="N80" s="8">
        <f t="array" ref="N80">IFERROR(XLOOKUP(M80, 'リスト'!$E:$E, 'リスト'!$F:$F, ""), "")</f>
        <v>3.4</v>
      </c>
      <c r="O80" s="8"/>
      <c r="P80" s="8" t="str">
        <f t="array" ref="P80">IFERROR(XLOOKUP(M80, 'リスト'!$E:$E, 'リスト'!$O:$O, ""), "")</f>
        <v>R</v>
      </c>
      <c r="Q80" s="8" t="str">
        <f t="array" ref="Q80">IFERROR(XLOOKUP(M80, 'リスト'!$E:$E, 'リスト'!$P:$P, ""), "")</f>
        <v/>
      </c>
      <c r="R80" s="586" t="str">
        <f>IFERROR(__xludf.DUMMYFUNCTION("""COMPUTED_VALUE"""),"★新着総合_西日本 B")</f>
        <v>★新着総合_西日本 B</v>
      </c>
      <c r="S80" s="8">
        <f t="array" ref="S80">IFERROR(XLOOKUP(R80, 'リスト'!$E:$E, 'リスト'!$F:$F, ""), "")</f>
        <v>2.9</v>
      </c>
      <c r="T80" s="8"/>
      <c r="U80" s="8" t="str">
        <f t="array" ref="U80">IFERROR(XLOOKUP(R80, 'リスト'!$E:$E, 'リスト'!$O:$O, ""), "")</f>
        <v>荒</v>
      </c>
      <c r="V80" s="8" t="str">
        <f t="array" ref="V80">IFERROR(XLOOKUP(R80, 'リスト'!$E:$E, 'リスト'!$P:$P, ""), "")</f>
        <v>平</v>
      </c>
      <c r="W80" s="586" t="str">
        <f>IFERROR(__xludf.DUMMYFUNCTION("""COMPUTED_VALUE"""),"高層ビルで働く_大阪")</f>
        <v>高層ビルで働く_大阪</v>
      </c>
      <c r="X80" s="8">
        <f t="array" ref="X80">IFERROR(XLOOKUP(W80, 'リスト'!$E:$E, 'リスト'!$F:$F, ""), "")</f>
        <v>0.5</v>
      </c>
      <c r="Y80" s="8"/>
      <c r="Z80" s="8" t="str">
        <f t="array" ref="Z80">IFERROR(XLOOKUP(W80, 'リスト'!$E:$E, 'リスト'!$O:$O, ""), "")</f>
        <v>部</v>
      </c>
      <c r="AA80" s="8" t="str">
        <f t="array" ref="AA80">IFERROR(XLOOKUP(W80, 'リスト'!$E:$E, 'リスト'!$P:$P, ""), "")</f>
        <v>石</v>
      </c>
      <c r="AB80" s="586"/>
      <c r="AC80" s="8" t="str">
        <f t="array" ref="AC80">IFERROR(XLOOKUP(AB80, 'リスト'!$E:$E, 'リスト'!$F:$F, ""), "")</f>
        <v/>
      </c>
      <c r="AD80" s="8"/>
      <c r="AE80" s="8" t="str">
        <f t="array" ref="AE80">IFERROR(XLOOKUP(AB80, 'リスト'!$E:$E, 'リスト'!$O:$O, ""), "")</f>
        <v/>
      </c>
      <c r="AF80" s="8" t="str">
        <f t="array" ref="AF80">IFERROR(XLOOKUP(AB80, 'リスト'!$E:$E, 'リスト'!$P:$P, ""), "")</f>
        <v/>
      </c>
      <c r="AG80" s="586" t="str">
        <f>IFERROR(__xludf.DUMMYFUNCTION("""COMPUTED_VALUE"""),"★納品対策")</f>
        <v>★納品対策</v>
      </c>
      <c r="AH80" s="8">
        <f t="array" ref="AH80">IFERROR(XLOOKUP(AG80, 'リスト'!$E:$E, 'リスト'!$F:$F, ""), "")</f>
        <v>7</v>
      </c>
      <c r="AI80" s="8"/>
      <c r="AJ80" s="8" t="str">
        <f t="array" ref="AJ80">IFERROR(XLOOKUP(AG80, 'リスト'!$E:$E, 'リスト'!$O:$O, ""), "")</f>
        <v>平</v>
      </c>
      <c r="AK80" s="8" t="str">
        <f t="array" ref="AK80">IFERROR(XLOOKUP(AG80, 'リスト'!$E:$E, 'リスト'!$P:$P, ""), "")</f>
        <v>荒</v>
      </c>
    </row>
    <row r="81" ht="17.25" customHeight="1">
      <c r="A81" s="587"/>
      <c r="B81" s="588"/>
      <c r="C81" s="586" t="str">
        <f>IFERROR(__xludf.DUMMYFUNCTION("""COMPUTED_VALUE"""),"★新着総合_東海 A")</f>
        <v>★新着総合_東海 A</v>
      </c>
      <c r="D81" s="8">
        <f t="array" ref="D81">IFERROR(XLOOKUP(C81, 'リスト'!$E:$E, 'リスト'!$F:$F, ""), "")</f>
        <v>1</v>
      </c>
      <c r="E81" s="8"/>
      <c r="F81" s="8" t="str">
        <f t="array" ref="F81">IFERROR(XLOOKUP(C81, 'リスト'!$E:$E, 'リスト'!$O:$O, ""), "")</f>
        <v>荒</v>
      </c>
      <c r="G81" s="8" t="str">
        <f t="array" ref="G81">IFERROR(XLOOKUP(C81, 'リスト'!$E:$E, 'リスト'!$P:$P, ""), "")</f>
        <v>平</v>
      </c>
      <c r="H81" s="586" t="str">
        <f>IFERROR(__xludf.DUMMYFUNCTION("""COMPUTED_VALUE"""),"自己PR不要_残業無_未経験_販サ")</f>
        <v>自己PR不要_残業無_未経験_販サ</v>
      </c>
      <c r="I81" s="8">
        <f t="array" ref="I81">IFERROR(XLOOKUP(H81, 'リスト'!$E:$E, 'リスト'!$F:$F, ""), "")</f>
        <v>0.3</v>
      </c>
      <c r="J81" s="8"/>
      <c r="K81" s="8" t="str">
        <f t="array" ref="K81">IFERROR(XLOOKUP(H81, 'リスト'!$E:$E, 'リスト'!$O:$O, ""), "")</f>
        <v>R</v>
      </c>
      <c r="L81" s="8" t="str">
        <f t="array" ref="L81">IFERROR(XLOOKUP(H81, 'リスト'!$E:$E, 'リスト'!$P:$P, ""), "")</f>
        <v/>
      </c>
      <c r="M81" s="586" t="str">
        <f>IFERROR(__xludf.DUMMYFUNCTION("""COMPUTED_VALUE"""),"丸の内・大手町・有楽町_残業少_事務 ")</f>
        <v>丸の内・大手町・有楽町_残業少_事務 </v>
      </c>
      <c r="N81" s="8">
        <f t="array" ref="N81">IFERROR(XLOOKUP(M81, 'リスト'!$E:$E, 'リスト'!$F:$F, ""), "")</f>
        <v>0.9</v>
      </c>
      <c r="O81" s="8"/>
      <c r="P81" s="8" t="str">
        <f t="array" ref="P81">IFERROR(XLOOKUP(M81, 'リスト'!$E:$E, 'リスト'!$O:$O, ""), "")</f>
        <v>R</v>
      </c>
      <c r="Q81" s="8" t="str">
        <f t="array" ref="Q81">IFERROR(XLOOKUP(M81, 'リスト'!$E:$E, 'リスト'!$P:$P, ""), "")</f>
        <v/>
      </c>
      <c r="R81" s="586" t="str">
        <f>IFERROR(__xludf.DUMMYFUNCTION("""COMPUTED_VALUE"""),"★新着総合_東海 B")</f>
        <v>★新着総合_東海 B</v>
      </c>
      <c r="S81" s="8">
        <f t="array" ref="S81">IFERROR(XLOOKUP(R81, 'リスト'!$E:$E, 'リスト'!$F:$F, ""), "")</f>
        <v>1</v>
      </c>
      <c r="T81" s="8"/>
      <c r="U81" s="8" t="str">
        <f t="array" ref="U81">IFERROR(XLOOKUP(R81, 'リスト'!$E:$E, 'リスト'!$O:$O, ""), "")</f>
        <v>荒</v>
      </c>
      <c r="V81" s="8" t="str">
        <f t="array" ref="V81">IFERROR(XLOOKUP(R81, 'リスト'!$E:$E, 'リスト'!$P:$P, ""), "")</f>
        <v>平</v>
      </c>
      <c r="W81" s="586" t="str">
        <f>IFERROR(__xludf.DUMMYFUNCTION("""COMPUTED_VALUE"""),"趣味・興味メルマガ_B")</f>
        <v>趣味・興味メルマガ_B</v>
      </c>
      <c r="X81" s="8">
        <f t="array" ref="X81">IFERROR(XLOOKUP(W81, 'リスト'!$E:$E, 'リスト'!$F:$F, ""), "")</f>
        <v>1</v>
      </c>
      <c r="Y81" s="8"/>
      <c r="Z81" s="8" t="str">
        <f t="array" ref="Z81">IFERROR(XLOOKUP(W81, 'リスト'!$E:$E, 'リスト'!$O:$O, ""), "")</f>
        <v>R</v>
      </c>
      <c r="AA81" s="8" t="str">
        <f t="array" ref="AA81">IFERROR(XLOOKUP(W81, 'リスト'!$E:$E, 'リスト'!$P:$P, ""), "")</f>
        <v/>
      </c>
      <c r="AB81" s="586"/>
      <c r="AC81" s="8" t="str">
        <f t="array" ref="AC81">IFERROR(XLOOKUP(AB81, 'リスト'!$E:$E, 'リスト'!$F:$F, ""), "")</f>
        <v/>
      </c>
      <c r="AD81" s="8"/>
      <c r="AE81" s="8" t="str">
        <f t="array" ref="AE81">IFERROR(XLOOKUP(AB81, 'リスト'!$E:$E, 'リスト'!$O:$O, ""), "")</f>
        <v/>
      </c>
      <c r="AF81" s="8" t="str">
        <f t="array" ref="AF81">IFERROR(XLOOKUP(AB81, 'リスト'!$E:$E, 'リスト'!$P:$P, ""), "")</f>
        <v/>
      </c>
      <c r="AG81" s="586"/>
      <c r="AH81" s="8" t="str">
        <f t="array" ref="AH81">IFERROR(XLOOKUP(AG81, 'リスト'!$E:$E, 'リスト'!$F:$F, ""), "")</f>
        <v/>
      </c>
      <c r="AI81" s="8"/>
      <c r="AJ81" s="8" t="str">
        <f t="array" ref="AJ81">IFERROR(XLOOKUP(AG81, 'リスト'!$E:$E, 'リスト'!$O:$O, ""), "")</f>
        <v/>
      </c>
      <c r="AK81" s="8" t="str">
        <f t="array" ref="AK81">IFERROR(XLOOKUP(AG81, 'リスト'!$E:$E, 'リスト'!$P:$P, ""), "")</f>
        <v/>
      </c>
    </row>
    <row r="82" ht="17.25" customHeight="1">
      <c r="A82" s="587"/>
      <c r="B82" s="588"/>
      <c r="C82" s="589" t="str">
        <f>IFERROR(__xludf.DUMMYFUNCTION("""COMPUTED_VALUE"""),"★新着総合_北海道・東北 A")</f>
        <v>★新着総合_北海道・東北 A</v>
      </c>
      <c r="D82" s="8">
        <f t="array" ref="D82">IFERROR(XLOOKUP(C82, 'リスト'!$E:$E, 'リスト'!$F:$F, ""), "")</f>
        <v>0.8</v>
      </c>
      <c r="E82" s="8"/>
      <c r="F82" s="8" t="str">
        <f t="array" ref="F82">IFERROR(XLOOKUP(C82, 'リスト'!$E:$E, 'リスト'!$O:$O, ""), "")</f>
        <v>荒</v>
      </c>
      <c r="G82" s="8" t="str">
        <f t="array" ref="G82">IFERROR(XLOOKUP(C82, 'リスト'!$E:$E, 'リスト'!$P:$P, ""), "")</f>
        <v>平</v>
      </c>
      <c r="H82" s="589" t="str">
        <f>IFERROR(__xludf.DUMMYFUNCTION("""COMPUTED_VALUE"""),"自己PR不要_リモート未経験_エンジニア")</f>
        <v>自己PR不要_リモート未経験_エンジニア</v>
      </c>
      <c r="I82" s="8">
        <f t="array" ref="I82">IFERROR(XLOOKUP(H82, 'リスト'!$E:$E, 'リスト'!$F:$F, ""), "")</f>
        <v>0.2</v>
      </c>
      <c r="J82" s="8"/>
      <c r="K82" s="8" t="str">
        <f t="array" ref="K82">IFERROR(XLOOKUP(H82, 'リスト'!$E:$E, 'リスト'!$O:$O, ""), "")</f>
        <v>R</v>
      </c>
      <c r="L82" s="8" t="str">
        <f t="array" ref="L82">IFERROR(XLOOKUP(H82, 'リスト'!$E:$E, 'リスト'!$P:$P, ""), "")</f>
        <v/>
      </c>
      <c r="M82" s="589" t="str">
        <f>IFERROR(__xludf.DUMMYFUNCTION("""COMPUTED_VALUE"""),"資格活かせる_簿記")</f>
        <v>資格活かせる_簿記</v>
      </c>
      <c r="N82" s="8">
        <f t="array" ref="N82">IFERROR(XLOOKUP(M82, 'リスト'!$E:$E, 'リスト'!$F:$F, ""), "")</f>
        <v>0.3</v>
      </c>
      <c r="O82" s="8"/>
      <c r="P82" s="8" t="str">
        <f t="array" ref="P82">IFERROR(XLOOKUP(M82, 'リスト'!$E:$E, 'リスト'!$O:$O, ""), "")</f>
        <v>R</v>
      </c>
      <c r="Q82" s="8" t="str">
        <f t="array" ref="Q82">IFERROR(XLOOKUP(M82, 'リスト'!$E:$E, 'リスト'!$P:$P, ""), "")</f>
        <v/>
      </c>
      <c r="R82" s="589" t="str">
        <f>IFERROR(__xludf.DUMMYFUNCTION("""COMPUTED_VALUE"""),"★新着総合_北海道・東北 B")</f>
        <v>★新着総合_北海道・東北 B</v>
      </c>
      <c r="S82" s="8">
        <f t="array" ref="S82">IFERROR(XLOOKUP(R82, 'リスト'!$E:$E, 'リスト'!$F:$F, ""), "")</f>
        <v>0.8</v>
      </c>
      <c r="T82" s="8"/>
      <c r="U82" s="8" t="str">
        <f t="array" ref="U82">IFERROR(XLOOKUP(R82, 'リスト'!$E:$E, 'リスト'!$O:$O, ""), "")</f>
        <v>荒</v>
      </c>
      <c r="V82" s="8" t="str">
        <f t="array" ref="V82">IFERROR(XLOOKUP(R82, 'リスト'!$E:$E, 'リスト'!$P:$P, ""), "")</f>
        <v>平</v>
      </c>
      <c r="W82" s="589"/>
      <c r="X82" s="8" t="str">
        <f t="array" ref="X82">IFERROR(XLOOKUP(W82, 'リスト'!$E:$E, 'リスト'!$F:$F, ""), "")</f>
        <v/>
      </c>
      <c r="Y82" s="8"/>
      <c r="Z82" s="8" t="str">
        <f t="array" ref="Z82">IFERROR(XLOOKUP(W82, 'リスト'!$E:$E, 'リスト'!$O:$O, ""), "")</f>
        <v/>
      </c>
      <c r="AA82" s="8" t="str">
        <f t="array" ref="AA82">IFERROR(XLOOKUP(W82, 'リスト'!$E:$E, 'リスト'!$P:$P, ""), "")</f>
        <v/>
      </c>
      <c r="AB82" s="589"/>
      <c r="AC82" s="8" t="str">
        <f t="array" ref="AC82">IFERROR(XLOOKUP(AB82, 'リスト'!$E:$E, 'リスト'!$F:$F, ""), "")</f>
        <v/>
      </c>
      <c r="AD82" s="8"/>
      <c r="AE82" s="8" t="str">
        <f t="array" ref="AE82">IFERROR(XLOOKUP(AB82, 'リスト'!$E:$E, 'リスト'!$O:$O, ""), "")</f>
        <v/>
      </c>
      <c r="AF82" s="8" t="str">
        <f t="array" ref="AF82">IFERROR(XLOOKUP(AB82, 'リスト'!$E:$E, 'リスト'!$P:$P, ""), "")</f>
        <v/>
      </c>
      <c r="AG82" s="589"/>
      <c r="AH82" s="8" t="str">
        <f t="array" ref="AH82">IFERROR(XLOOKUP(AG82, 'リスト'!$E:$E, 'リスト'!$F:$F, ""), "")</f>
        <v/>
      </c>
      <c r="AI82" s="8"/>
      <c r="AJ82" s="8" t="str">
        <f t="array" ref="AJ82">IFERROR(XLOOKUP(AG82, 'リスト'!$E:$E, 'リスト'!$O:$O, ""), "")</f>
        <v/>
      </c>
      <c r="AK82" s="8" t="str">
        <f t="array" ref="AK82">IFERROR(XLOOKUP(AG82, 'リスト'!$E:$E, 'リスト'!$P:$P, ""), "")</f>
        <v/>
      </c>
    </row>
    <row r="83" ht="17.25" customHeight="1">
      <c r="A83" s="587"/>
      <c r="B83" s="588"/>
      <c r="C83" s="590" t="str">
        <f>IFERROR(__xludf.DUMMYFUNCTION("""COMPUTED_VALUE"""),"★新着総合_北関東・甲信越・北陸 A")</f>
        <v>★新着総合_北関東・甲信越・北陸 A</v>
      </c>
      <c r="D83" s="8">
        <f t="array" ref="D83">IFERROR(XLOOKUP(C83, 'リスト'!$E:$E, 'リスト'!$F:$F, ""), "")</f>
        <v>0.7</v>
      </c>
      <c r="E83" s="8"/>
      <c r="F83" s="8" t="str">
        <f t="array" ref="F83">IFERROR(XLOOKUP(C83, 'リスト'!$E:$E, 'リスト'!$O:$O, ""), "")</f>
        <v>荒</v>
      </c>
      <c r="G83" s="8" t="str">
        <f t="array" ref="G83">IFERROR(XLOOKUP(C83, 'リスト'!$E:$E, 'リスト'!$P:$P, ""), "")</f>
        <v>平</v>
      </c>
      <c r="H83" s="590" t="str">
        <f>IFERROR(__xludf.DUMMYFUNCTION("""COMPUTED_VALUE"""),"休日120日_就業中_関西")</f>
        <v>休日120日_就業中_関西</v>
      </c>
      <c r="I83" s="8">
        <f t="array" ref="I83">IFERROR(XLOOKUP(H83, 'リスト'!$E:$E, 'リスト'!$F:$F, ""), "")</f>
        <v>0.7</v>
      </c>
      <c r="J83" s="8"/>
      <c r="K83" s="8" t="str">
        <f t="array" ref="K83">IFERROR(XLOOKUP(H83, 'リスト'!$E:$E, 'リスト'!$O:$O, ""), "")</f>
        <v>R</v>
      </c>
      <c r="L83" s="8" t="str">
        <f t="array" ref="L83">IFERROR(XLOOKUP(H83, 'リスト'!$E:$E, 'リスト'!$P:$P, ""), "")</f>
        <v/>
      </c>
      <c r="M83" s="590" t="str">
        <f>IFERROR(__xludf.DUMMYFUNCTION("""COMPUTED_VALUE"""),"新規会員向け_自己PR不要_求人特集")</f>
        <v>新規会員向け_自己PR不要_求人特集</v>
      </c>
      <c r="N83" s="8">
        <f t="array" ref="N83">IFERROR(XLOOKUP(M83, 'リスト'!$E:$E, 'リスト'!$F:$F, ""), "")</f>
        <v>0.2</v>
      </c>
      <c r="O83" s="8"/>
      <c r="P83" s="8" t="str">
        <f t="array" ref="P83">IFERROR(XLOOKUP(M83, 'リスト'!$E:$E, 'リスト'!$O:$O, ""), "")</f>
        <v>R</v>
      </c>
      <c r="Q83" s="8" t="str">
        <f t="array" ref="Q83">IFERROR(XLOOKUP(M83, 'リスト'!$E:$E, 'リスト'!$P:$P, ""), "")</f>
        <v/>
      </c>
      <c r="R83" s="590" t="str">
        <f>IFERROR(__xludf.DUMMYFUNCTION("""COMPUTED_VALUE"""),"★新着総合_北関東・甲信越・北陸 B")</f>
        <v>★新着総合_北関東・甲信越・北陸 B</v>
      </c>
      <c r="S83" s="8">
        <f t="array" ref="S83">IFERROR(XLOOKUP(R83, 'リスト'!$E:$E, 'リスト'!$F:$F, ""), "")</f>
        <v>0.7</v>
      </c>
      <c r="T83" s="8"/>
      <c r="U83" s="8" t="str">
        <f t="array" ref="U83">IFERROR(XLOOKUP(R83, 'リスト'!$E:$E, 'リスト'!$O:$O, ""), "")</f>
        <v>荒</v>
      </c>
      <c r="V83" s="8" t="str">
        <f t="array" ref="V83">IFERROR(XLOOKUP(R83, 'リスト'!$E:$E, 'リスト'!$P:$P, ""), "")</f>
        <v>平</v>
      </c>
      <c r="W83" s="590"/>
      <c r="X83" s="8" t="str">
        <f t="array" ref="X83">IFERROR(XLOOKUP(W83, 'リスト'!$E:$E, 'リスト'!$F:$F, ""), "")</f>
        <v/>
      </c>
      <c r="Y83" s="8"/>
      <c r="Z83" s="8" t="str">
        <f t="array" ref="Z83">IFERROR(XLOOKUP(W83, 'リスト'!$E:$E, 'リスト'!$O:$O, ""), "")</f>
        <v/>
      </c>
      <c r="AA83" s="8" t="str">
        <f t="array" ref="AA83">IFERROR(XLOOKUP(W83, 'リスト'!$E:$E, 'リスト'!$P:$P, ""), "")</f>
        <v/>
      </c>
      <c r="AB83" s="590"/>
      <c r="AC83" s="8" t="str">
        <f t="array" ref="AC83">IFERROR(XLOOKUP(AB83, 'リスト'!$E:$E, 'リスト'!$F:$F, ""), "")</f>
        <v/>
      </c>
      <c r="AD83" s="8"/>
      <c r="AE83" s="8" t="str">
        <f t="array" ref="AE83">IFERROR(XLOOKUP(AB83, 'リスト'!$E:$E, 'リスト'!$O:$O, ""), "")</f>
        <v/>
      </c>
      <c r="AF83" s="8" t="str">
        <f t="array" ref="AF83">IFERROR(XLOOKUP(AB83, 'リスト'!$E:$E, 'リスト'!$P:$P, ""), "")</f>
        <v/>
      </c>
      <c r="AG83" s="590"/>
      <c r="AH83" s="8" t="str">
        <f t="array" ref="AH83">IFERROR(XLOOKUP(AG83, 'リスト'!$E:$E, 'リスト'!$F:$F, ""), "")</f>
        <v/>
      </c>
      <c r="AI83" s="8"/>
      <c r="AJ83" s="8" t="str">
        <f t="array" ref="AJ83">IFERROR(XLOOKUP(AG83, 'リスト'!$E:$E, 'リスト'!$O:$O, ""), "")</f>
        <v/>
      </c>
      <c r="AK83" s="8" t="str">
        <f t="array" ref="AK83">IFERROR(XLOOKUP(AG83, 'リスト'!$E:$E, 'リスト'!$P:$P, ""), "")</f>
        <v/>
      </c>
    </row>
    <row r="84" ht="17.25" customHeight="1">
      <c r="A84" s="587"/>
      <c r="B84" s="588"/>
      <c r="C84" s="590"/>
      <c r="D84" s="8" t="str">
        <f t="array" ref="D84">IFERROR(XLOOKUP(C84, 'リスト'!$E:$E, 'リスト'!$F:$F, ""), "")</f>
        <v/>
      </c>
      <c r="E84" s="8"/>
      <c r="F84" s="8" t="str">
        <f t="array" ref="F84">IFERROR(XLOOKUP(C84, 'リスト'!$E:$E, 'リスト'!$O:$O, ""), "")</f>
        <v/>
      </c>
      <c r="G84" s="8" t="str">
        <f t="array" ref="G84">IFERROR(XLOOKUP(C84, 'リスト'!$E:$E, 'リスト'!$P:$P, ""), "")</f>
        <v/>
      </c>
      <c r="H84" s="590" t="str">
        <f>IFERROR(__xludf.DUMMYFUNCTION("""COMPUTED_VALUE"""),"休日120日_未就業")</f>
        <v>休日120日_未就業</v>
      </c>
      <c r="I84" s="8">
        <f t="array" ref="I84">IFERROR(XLOOKUP(H84, 'リスト'!$E:$E, 'リスト'!$F:$F, ""), "")</f>
        <v>0.7</v>
      </c>
      <c r="J84" s="8"/>
      <c r="K84" s="8" t="str">
        <f t="array" ref="K84">IFERROR(XLOOKUP(H84, 'リスト'!$E:$E, 'リスト'!$O:$O, ""), "")</f>
        <v>R</v>
      </c>
      <c r="L84" s="8" t="str">
        <f t="array" ref="L84">IFERROR(XLOOKUP(H84, 'リスト'!$E:$E, 'リスト'!$P:$P, ""), "")</f>
        <v/>
      </c>
      <c r="M84" s="590"/>
      <c r="N84" s="8" t="str">
        <f t="array" ref="N84">IFERROR(XLOOKUP(M84, 'リスト'!$E:$E, 'リスト'!$F:$F, ""), "")</f>
        <v/>
      </c>
      <c r="O84" s="8"/>
      <c r="P84" s="8" t="str">
        <f t="array" ref="P84">IFERROR(XLOOKUP(M84, 'リスト'!$E:$E, 'リスト'!$O:$O, ""), "")</f>
        <v/>
      </c>
      <c r="Q84" s="8" t="str">
        <f t="array" ref="Q84">IFERROR(XLOOKUP(M84, 'リスト'!$E:$E, 'リスト'!$P:$P, ""), "")</f>
        <v/>
      </c>
      <c r="R84" s="590"/>
      <c r="S84" s="8" t="str">
        <f t="array" ref="S84">IFERROR(XLOOKUP(R84, 'リスト'!$E:$E, 'リスト'!$F:$F, ""), "")</f>
        <v/>
      </c>
      <c r="T84" s="8"/>
      <c r="U84" s="8" t="str">
        <f t="array" ref="U84">IFERROR(XLOOKUP(R84, 'リスト'!$E:$E, 'リスト'!$O:$O, ""), "")</f>
        <v/>
      </c>
      <c r="V84" s="8" t="str">
        <f t="array" ref="V84">IFERROR(XLOOKUP(R84, 'リスト'!$E:$E, 'リスト'!$P:$P, ""), "")</f>
        <v/>
      </c>
      <c r="W84" s="590"/>
      <c r="X84" s="8" t="str">
        <f t="array" ref="X84">IFERROR(XLOOKUP(W84, 'リスト'!$E:$E, 'リスト'!$F:$F, ""), "")</f>
        <v/>
      </c>
      <c r="Y84" s="8"/>
      <c r="Z84" s="8" t="str">
        <f t="array" ref="Z84">IFERROR(XLOOKUP(W84, 'リスト'!$E:$E, 'リスト'!$O:$O, ""), "")</f>
        <v/>
      </c>
      <c r="AA84" s="8" t="str">
        <f t="array" ref="AA84">IFERROR(XLOOKUP(W84, 'リスト'!$E:$E, 'リスト'!$P:$P, ""), "")</f>
        <v/>
      </c>
      <c r="AB84" s="590"/>
      <c r="AC84" s="8" t="str">
        <f t="array" ref="AC84">IFERROR(XLOOKUP(AB84, 'リスト'!$E:$E, 'リスト'!$F:$F, ""), "")</f>
        <v/>
      </c>
      <c r="AD84" s="8"/>
      <c r="AE84" s="8" t="str">
        <f t="array" ref="AE84">IFERROR(XLOOKUP(AB84, 'リスト'!$E:$E, 'リスト'!$O:$O, ""), "")</f>
        <v/>
      </c>
      <c r="AF84" s="8" t="str">
        <f t="array" ref="AF84">IFERROR(XLOOKUP(AB84, 'リスト'!$E:$E, 'リスト'!$P:$P, ""), "")</f>
        <v/>
      </c>
      <c r="AG84" s="590"/>
      <c r="AH84" s="8" t="str">
        <f t="array" ref="AH84">IFERROR(XLOOKUP(AG84, 'リスト'!$E:$E, 'リスト'!$F:$F, ""), "")</f>
        <v/>
      </c>
      <c r="AI84" s="8"/>
      <c r="AJ84" s="8" t="str">
        <f t="array" ref="AJ84">IFERROR(XLOOKUP(AG84, 'リスト'!$E:$E, 'リスト'!$O:$O, ""), "")</f>
        <v/>
      </c>
      <c r="AK84" s="8" t="str">
        <f t="array" ref="AK84">IFERROR(XLOOKUP(AG84, 'リスト'!$E:$E, 'リスト'!$P:$P, ""), "")</f>
        <v/>
      </c>
    </row>
    <row r="85" ht="17.25" customHeight="1">
      <c r="A85" s="587"/>
      <c r="B85" s="588"/>
      <c r="C85" s="590"/>
      <c r="D85" s="8" t="str">
        <f t="array" ref="D85">IFERROR(XLOOKUP(C85, 'リスト'!$E:$E, 'リスト'!$F:$F, ""), "")</f>
        <v/>
      </c>
      <c r="E85" s="8"/>
      <c r="F85" s="8" t="str">
        <f t="array" ref="F85">IFERROR(XLOOKUP(C85, 'リスト'!$E:$E, 'リスト'!$O:$O, ""), "")</f>
        <v/>
      </c>
      <c r="G85" s="8" t="str">
        <f t="array" ref="G85">IFERROR(XLOOKUP(C85, 'リスト'!$E:$E, 'リスト'!$P:$P, ""), "")</f>
        <v/>
      </c>
      <c r="H85" s="590"/>
      <c r="I85" s="8" t="str">
        <f t="array" ref="I85">IFERROR(XLOOKUP(H85, 'リスト'!$E:$E, 'リスト'!$F:$F, ""), "")</f>
        <v/>
      </c>
      <c r="J85" s="8"/>
      <c r="K85" s="8" t="str">
        <f t="array" ref="K85">IFERROR(XLOOKUP(H85, 'リスト'!$E:$E, 'リスト'!$O:$O, ""), "")</f>
        <v/>
      </c>
      <c r="L85" s="8" t="str">
        <f t="array" ref="L85">IFERROR(XLOOKUP(H85, 'リスト'!$E:$E, 'リスト'!$P:$P, ""), "")</f>
        <v/>
      </c>
      <c r="M85" s="590"/>
      <c r="N85" s="8" t="str">
        <f t="array" ref="N85">IFERROR(XLOOKUP(M85, 'リスト'!$E:$E, 'リスト'!$F:$F, ""), "")</f>
        <v/>
      </c>
      <c r="O85" s="8"/>
      <c r="P85" s="8" t="str">
        <f t="array" ref="P85">IFERROR(XLOOKUP(M85, 'リスト'!$E:$E, 'リスト'!$O:$O, ""), "")</f>
        <v/>
      </c>
      <c r="Q85" s="8" t="str">
        <f t="array" ref="Q85">IFERROR(XLOOKUP(M85, 'リスト'!$E:$E, 'リスト'!$P:$P, ""), "")</f>
        <v/>
      </c>
      <c r="R85" s="590"/>
      <c r="S85" s="8" t="str">
        <f t="array" ref="S85">IFERROR(XLOOKUP(R85, 'リスト'!$E:$E, 'リスト'!$F:$F, ""), "")</f>
        <v/>
      </c>
      <c r="T85" s="8"/>
      <c r="U85" s="8" t="str">
        <f t="array" ref="U85">IFERROR(XLOOKUP(R85, 'リスト'!$E:$E, 'リスト'!$O:$O, ""), "")</f>
        <v/>
      </c>
      <c r="V85" s="8" t="str">
        <f t="array" ref="V85">IFERROR(XLOOKUP(R85, 'リスト'!$E:$E, 'リスト'!$P:$P, ""), "")</f>
        <v/>
      </c>
      <c r="W85" s="590"/>
      <c r="X85" s="8" t="str">
        <f t="array" ref="X85">IFERROR(XLOOKUP(W85, 'リスト'!$E:$E, 'リスト'!$F:$F, ""), "")</f>
        <v/>
      </c>
      <c r="Y85" s="8"/>
      <c r="Z85" s="8" t="str">
        <f t="array" ref="Z85">IFERROR(XLOOKUP(W85, 'リスト'!$E:$E, 'リスト'!$O:$O, ""), "")</f>
        <v/>
      </c>
      <c r="AA85" s="8" t="str">
        <f t="array" ref="AA85">IFERROR(XLOOKUP(W85, 'リスト'!$E:$E, 'リスト'!$P:$P, ""), "")</f>
        <v/>
      </c>
      <c r="AB85" s="590"/>
      <c r="AC85" s="8" t="str">
        <f t="array" ref="AC85">IFERROR(XLOOKUP(AB85, 'リスト'!$E:$E, 'リスト'!$F:$F, ""), "")</f>
        <v/>
      </c>
      <c r="AD85" s="8"/>
      <c r="AE85" s="8" t="str">
        <f t="array" ref="AE85">IFERROR(XLOOKUP(AB85, 'リスト'!$E:$E, 'リスト'!$O:$O, ""), "")</f>
        <v/>
      </c>
      <c r="AF85" s="8" t="str">
        <f t="array" ref="AF85">IFERROR(XLOOKUP(AB85, 'リスト'!$E:$E, 'リスト'!$P:$P, ""), "")</f>
        <v/>
      </c>
      <c r="AG85" s="590"/>
      <c r="AH85" s="8" t="str">
        <f t="array" ref="AH85">IFERROR(XLOOKUP(AG85, 'リスト'!$E:$E, 'リスト'!$F:$F, ""), "")</f>
        <v/>
      </c>
      <c r="AI85" s="8"/>
      <c r="AJ85" s="8" t="str">
        <f t="array" ref="AJ85">IFERROR(XLOOKUP(AG85, 'リスト'!$E:$E, 'リスト'!$O:$O, ""), "")</f>
        <v/>
      </c>
      <c r="AK85" s="8" t="str">
        <f t="array" ref="AK85">IFERROR(XLOOKUP(AG85, 'リスト'!$E:$E, 'リスト'!$P:$P, ""), "")</f>
        <v/>
      </c>
    </row>
    <row r="86" ht="17.25" customHeight="1">
      <c r="A86" s="587"/>
      <c r="B86" s="588"/>
      <c r="C86" s="590"/>
      <c r="D86" s="8" t="str">
        <f t="array" ref="D86">IFERROR(XLOOKUP(C86, 'リスト'!$E:$E, 'リスト'!$F:$F, ""), "")</f>
        <v/>
      </c>
      <c r="E86" s="8"/>
      <c r="F86" s="8" t="str">
        <f t="array" ref="F86">IFERROR(XLOOKUP(C86, 'リスト'!$E:$E, 'リスト'!$O:$O, ""), "")</f>
        <v/>
      </c>
      <c r="G86" s="8" t="str">
        <f t="array" ref="G86">IFERROR(XLOOKUP(C86, 'リスト'!$E:$E, 'リスト'!$P:$P, ""), "")</f>
        <v/>
      </c>
      <c r="H86" s="590"/>
      <c r="I86" s="8" t="str">
        <f t="array" ref="I86">IFERROR(XLOOKUP(H86, 'リスト'!$E:$E, 'リスト'!$F:$F, ""), "")</f>
        <v/>
      </c>
      <c r="J86" s="8"/>
      <c r="K86" s="8" t="str">
        <f t="array" ref="K86">IFERROR(XLOOKUP(H86, 'リスト'!$E:$E, 'リスト'!$O:$O, ""), "")</f>
        <v/>
      </c>
      <c r="L86" s="8" t="str">
        <f t="array" ref="L86">IFERROR(XLOOKUP(H86, 'リスト'!$E:$E, 'リスト'!$P:$P, ""), "")</f>
        <v/>
      </c>
      <c r="M86" s="590"/>
      <c r="N86" s="8" t="str">
        <f t="array" ref="N86">IFERROR(XLOOKUP(M86, 'リスト'!$E:$E, 'リスト'!$F:$F, ""), "")</f>
        <v/>
      </c>
      <c r="O86" s="8"/>
      <c r="P86" s="8" t="str">
        <f t="array" ref="P86">IFERROR(XLOOKUP(M86, 'リスト'!$E:$E, 'リスト'!$O:$O, ""), "")</f>
        <v/>
      </c>
      <c r="Q86" s="8" t="str">
        <f t="array" ref="Q86">IFERROR(XLOOKUP(M86, 'リスト'!$E:$E, 'リスト'!$P:$P, ""), "")</f>
        <v/>
      </c>
      <c r="R86" s="590"/>
      <c r="S86" s="8" t="str">
        <f t="array" ref="S86">IFERROR(XLOOKUP(R86, 'リスト'!$E:$E, 'リスト'!$F:$F, ""), "")</f>
        <v/>
      </c>
      <c r="T86" s="8"/>
      <c r="U86" s="8" t="str">
        <f t="array" ref="U86">IFERROR(XLOOKUP(R86, 'リスト'!$E:$E, 'リスト'!$O:$O, ""), "")</f>
        <v/>
      </c>
      <c r="V86" s="8" t="str">
        <f t="array" ref="V86">IFERROR(XLOOKUP(R86, 'リスト'!$E:$E, 'リスト'!$P:$P, ""), "")</f>
        <v/>
      </c>
      <c r="W86" s="590"/>
      <c r="X86" s="8" t="str">
        <f t="array" ref="X86">IFERROR(XLOOKUP(W86, 'リスト'!$E:$E, 'リスト'!$F:$F, ""), "")</f>
        <v/>
      </c>
      <c r="Y86" s="8"/>
      <c r="Z86" s="8" t="str">
        <f t="array" ref="Z86">IFERROR(XLOOKUP(W86, 'リスト'!$E:$E, 'リスト'!$O:$O, ""), "")</f>
        <v/>
      </c>
      <c r="AA86" s="8" t="str">
        <f t="array" ref="AA86">IFERROR(XLOOKUP(W86, 'リスト'!$E:$E, 'リスト'!$P:$P, ""), "")</f>
        <v/>
      </c>
      <c r="AB86" s="590"/>
      <c r="AC86" s="8" t="str">
        <f t="array" ref="AC86">IFERROR(XLOOKUP(AB86, 'リスト'!$E:$E, 'リスト'!$F:$F, ""), "")</f>
        <v/>
      </c>
      <c r="AD86" s="8"/>
      <c r="AE86" s="8" t="str">
        <f t="array" ref="AE86">IFERROR(XLOOKUP(AB86, 'リスト'!$E:$E, 'リスト'!$O:$O, ""), "")</f>
        <v/>
      </c>
      <c r="AF86" s="8" t="str">
        <f t="array" ref="AF86">IFERROR(XLOOKUP(AB86, 'リスト'!$E:$E, 'リスト'!$P:$P, ""), "")</f>
        <v/>
      </c>
      <c r="AG86" s="590"/>
      <c r="AH86" s="8" t="str">
        <f t="array" ref="AH86">IFERROR(XLOOKUP(AG86, 'リスト'!$E:$E, 'リスト'!$F:$F, ""), "")</f>
        <v/>
      </c>
      <c r="AI86" s="8"/>
      <c r="AJ86" s="8" t="str">
        <f t="array" ref="AJ86">IFERROR(XLOOKUP(AG86, 'リスト'!$E:$E, 'リスト'!$O:$O, ""), "")</f>
        <v/>
      </c>
      <c r="AK86" s="8" t="str">
        <f t="array" ref="AK86">IFERROR(XLOOKUP(AG86, 'リスト'!$E:$E, 'リスト'!$P:$P, ""), "")</f>
        <v/>
      </c>
    </row>
    <row r="87" ht="17.25" customHeight="1">
      <c r="A87" s="587"/>
      <c r="B87" s="592"/>
      <c r="C87" s="590"/>
      <c r="D87" s="8" t="str">
        <f t="array" ref="D87">IFERROR(XLOOKUP(C87, '新規'!$E:$E, '新規'!$F:$F, ""), "")</f>
        <v/>
      </c>
      <c r="E87" s="8"/>
      <c r="F87" s="8" t="str">
        <f t="array" ref="F87">IFERROR(XLOOKUP(C87, '新規'!$E:$E, '新規'!$O:$O, ""), "")</f>
        <v/>
      </c>
      <c r="G87" s="8" t="str">
        <f t="array" ref="G87">IFERROR(XLOOKUP(C87, '新規'!$E:$E, '新規'!$P:$P, ""), "")</f>
        <v/>
      </c>
      <c r="H87" s="590"/>
      <c r="I87" s="8" t="str">
        <f t="array" ref="I87">IFERROR(XLOOKUP(H87, '新規'!$E:$E, '新規'!$F:$F, ""), "")</f>
        <v/>
      </c>
      <c r="J87" s="8"/>
      <c r="K87" s="8" t="str">
        <f t="array" ref="K87">IFERROR(XLOOKUP(H87, '新規'!$E:$E, '新規'!$O:$O, ""), "")</f>
        <v/>
      </c>
      <c r="L87" s="8" t="str">
        <f t="array" ref="L87">IFERROR(XLOOKUP(H87, '新規'!$E:$E, '新規'!$P:$P, ""), "")</f>
        <v/>
      </c>
      <c r="M87" s="590"/>
      <c r="N87" s="8" t="str">
        <f t="array" ref="N87">IFERROR(XLOOKUP(M87, '新規'!$E:$E, '新規'!$F:$F, ""), "")</f>
        <v/>
      </c>
      <c r="O87" s="8"/>
      <c r="P87" s="8" t="str">
        <f t="array" ref="P87">IFERROR(XLOOKUP(M87, '新規'!$E:$E, '新規'!$O:$O, ""), "")</f>
        <v/>
      </c>
      <c r="Q87" s="8" t="str">
        <f t="array" ref="Q87">IFERROR(XLOOKUP(M87, '新規'!$E:$E, '新規'!$P:$P, ""), "")</f>
        <v/>
      </c>
      <c r="R87" s="590"/>
      <c r="S87" s="8" t="str">
        <f t="array" ref="S87">IFERROR(XLOOKUP(R87, '新規'!$E:$E, '新規'!$F:$F, ""), "")</f>
        <v/>
      </c>
      <c r="T87" s="8"/>
      <c r="U87" s="8" t="str">
        <f t="array" ref="U87">IFERROR(XLOOKUP(R87, '新規'!$E:$E, '新規'!$O:$O, ""), "")</f>
        <v/>
      </c>
      <c r="V87" s="8" t="str">
        <f t="array" ref="V87">IFERROR(XLOOKUP(R87, '新規'!$E:$E, '新規'!$P:$P, ""), "")</f>
        <v/>
      </c>
      <c r="W87" s="590"/>
      <c r="X87" s="8" t="str">
        <f t="array" ref="X87">IFERROR(XLOOKUP(W87, '新規'!$E:$E, '新規'!$F:$F, ""), "")</f>
        <v/>
      </c>
      <c r="Y87" s="8"/>
      <c r="Z87" s="8" t="str">
        <f t="array" ref="Z87">IFERROR(XLOOKUP(W87, '新規'!$E:$E, '新規'!$O:$O, ""), "")</f>
        <v/>
      </c>
      <c r="AA87" s="8" t="str">
        <f t="array" ref="AA87">IFERROR(XLOOKUP(W87, '新規'!$E:$E, '新規'!$P:$P, ""), "")</f>
        <v/>
      </c>
      <c r="AB87" s="590"/>
      <c r="AC87" s="8" t="str">
        <f t="array" ref="AC87">IFERROR(XLOOKUP(AB87, '新規'!$E:$E, '新規'!$F:$F, ""), "")</f>
        <v/>
      </c>
      <c r="AD87" s="8"/>
      <c r="AE87" s="8" t="str">
        <f t="array" ref="AE87">IFERROR(XLOOKUP(AB87, '新規'!$E:$E, '新規'!$O:$O, ""), "")</f>
        <v/>
      </c>
      <c r="AF87" s="8" t="str">
        <f t="array" ref="AF87">IFERROR(XLOOKUP(AB87, '新規'!$E:$E, '新規'!$P:$P, ""), "")</f>
        <v/>
      </c>
      <c r="AG87" s="590"/>
      <c r="AH87" s="8" t="str">
        <f t="array" ref="AH87">IFERROR(XLOOKUP(AG87, '新規'!$E:$E, '新規'!$F:$F, ""), "")</f>
        <v/>
      </c>
      <c r="AI87" s="8"/>
      <c r="AJ87" s="8" t="str">
        <f t="array" ref="AJ87">IFERROR(XLOOKUP(AG87, '新規'!$E:$E, '新規'!$O:$O, ""), "")</f>
        <v/>
      </c>
      <c r="AK87" s="8" t="str">
        <f t="array" ref="AK87">IFERROR(XLOOKUP(AG87, '新規'!$E:$E, '新規'!$P:$P, ""), "")</f>
        <v/>
      </c>
    </row>
    <row r="88" ht="17.25" customHeight="1">
      <c r="A88" s="587"/>
      <c r="B88" s="585" t="s">
        <v>78</v>
      </c>
      <c r="C88" s="590" t="str">
        <f>IFERROR(__xludf.DUMMYFUNCTION("IFERROR(FILTER('新規'!$E$3:$E$170, ('新規'!$B$3:$B$170=LOOKUP(2,1/($A$3:$A88&lt;&gt;""""),$A$3:$A88))*(('新規'!$A$3:$A$170=C$1)+(('新規'!$G$3:$G$170=""毎月配信"")*(TEXT('新規'!$A$3:$A$170,""ddd"")=TEXT(C$1, ""ddd""))))), """")"),"")</f>
        <v/>
      </c>
      <c r="D88" s="8" t="str">
        <f t="array" ref="D88">IFERROR(XLOOKUP(C88, '新規'!$E:$E, '新規'!$F:$F, ""), "")</f>
        <v/>
      </c>
      <c r="E88" s="8"/>
      <c r="F88" s="8" t="str">
        <f>IFERROR(__xludf.DUMMYFUNCTION("IF(C88="""","""",IFERROR(INDEX(FILTER('新規'!$O$3:$O$670, '新規'!$E$3:$E$670=C88),1),""""))"),"")</f>
        <v/>
      </c>
      <c r="G88" s="8" t="str">
        <f>IFERROR(__xludf.DUMMYFUNCTION("IF(C88="""","""",IFERROR(INDEX(FILTER('新規'!$P$3:$P$670, '新規'!$E$3:$E$670=C88),1),""""))"),"")</f>
        <v/>
      </c>
      <c r="H88" s="590" t="str">
        <f>IFERROR(__xludf.DUMMYFUNCTION("IFERROR(FILTER('新規'!$E$3:$E$170, ('新規'!$B$3:$B$170=LOOKUP(2,1/($A$3:$A88&lt;&gt;""""),$A$3:$A88))*(('新規'!$A$3:$A$170=H$1)+(('新規'!$G$3:$G$170=""毎月配信"")*(TEXT('新規'!$A$3:$A$170,""ddd"")=TEXT(H$1, ""ddd""))))), """")"),"5月入社可能")</f>
        <v>5月入社可能</v>
      </c>
      <c r="I88" s="8">
        <f t="array" ref="I88">IFERROR(XLOOKUP(H88, '新規'!$E:$E, '新規'!$F:$F, ""), "")</f>
        <v>2</v>
      </c>
      <c r="J88" s="8"/>
      <c r="K88" s="8" t="str">
        <f>IFERROR(__xludf.DUMMYFUNCTION("IF(H88="""","""",IFERROR(INDEX(FILTER('新規'!$O$3:$O$670, '新規'!$E$3:$E$670=H88),1),""""))"),"石")</f>
        <v>石</v>
      </c>
      <c r="L88" s="8" t="str">
        <f>IFERROR(__xludf.DUMMYFUNCTION("IF(H88="""","""",IFERROR(INDEX(FILTER('新規'!$P$3:$P$670, '新規'!$E$3:$E$670=H88),1),""""))"),"部")</f>
        <v>部</v>
      </c>
      <c r="M88" s="590" t="str">
        <f>IFERROR(__xludf.DUMMYFUNCTION("IFERROR(FILTER('新規'!$E$3:$E$170, ('新規'!$B$3:$B$170=LOOKUP(2,1/($A$3:$A88&lt;&gt;""""),$A$3:$A88))*(('新規'!$A$3:$A$170=M$1)+(('新規'!$G$3:$G$170=""毎月配信"")*(TEXT('新規'!$A$3:$A$170,""ddd"")=TEXT(M$1, ""ddd""))))), """")"),"")</f>
        <v/>
      </c>
      <c r="N88" s="8" t="str">
        <f t="array" ref="N88">IFERROR(XLOOKUP(M88, '新規'!$E:$E, '新規'!$F:$F, ""), "")</f>
        <v/>
      </c>
      <c r="O88" s="8"/>
      <c r="P88" s="8" t="str">
        <f>IFERROR(__xludf.DUMMYFUNCTION("IF(M88="""","""",IFERROR(INDEX(FILTER('新規'!$O$3:$O$670, '新規'!$E$3:$E$670=M88),1),""""))"),"")</f>
        <v/>
      </c>
      <c r="Q88" s="8" t="str">
        <f>IFERROR(__xludf.DUMMYFUNCTION("IF(M88="""","""",IFERROR(INDEX(FILTER('新規'!$P$3:$P$670, '新規'!$E$3:$E$670=M88),1),""""))"),"")</f>
        <v/>
      </c>
      <c r="R88" s="590" t="str">
        <f>IFERROR(__xludf.DUMMYFUNCTION("IFERROR(FILTER('新規'!$E$3:$E$170, ('新規'!$B$3:$B$170=LOOKUP(2,1/($A$3:$A88&lt;&gt;""""),$A$3:$A88))*(('新規'!$A$3:$A$170=R$1)+(('新規'!$G$3:$G$170=""毎月配信"")*(TEXT('新規'!$A$3:$A$170,""ddd"")=TEXT(R$1, ""ddd""))))), """")"),"")</f>
        <v/>
      </c>
      <c r="S88" s="8" t="str">
        <f t="array" ref="S88">IFERROR(XLOOKUP(R88, '新規'!$E:$E, '新規'!$F:$F, ""), "")</f>
        <v/>
      </c>
      <c r="T88" s="8"/>
      <c r="U88" s="8" t="str">
        <f>IFERROR(__xludf.DUMMYFUNCTION("IF(R88="""","""",IFERROR(INDEX(FILTER('新規'!$O$3:$O$670, '新規'!$E$3:$E$670=R88),1),""""))"),"")</f>
        <v/>
      </c>
      <c r="V88" s="8" t="str">
        <f>IFERROR(__xludf.DUMMYFUNCTION("IF(R88="""","""",IFERROR(INDEX(FILTER('新規'!$P$3:$P$670, '新規'!$E$3:$E$670=R88),1),""""))"),"")</f>
        <v/>
      </c>
      <c r="W88" s="590" t="str">
        <f>IFERROR(__xludf.DUMMYFUNCTION("IFERROR(FILTER('新規'!$E$3:$E$170, ('新規'!$B$3:$B$170=LOOKUP(2,1/($A$3:$A88&lt;&gt;""""),$A$3:$A88))*(('新規'!$A$3:$A$170=W$1)+(('新規'!$G$3:$G$170=""毎月配信"")*(TEXT('新規'!$A$3:$A$170,""ddd"")=TEXT(W$1, ""ddd""))))), """")"),"")</f>
        <v/>
      </c>
      <c r="X88" s="8" t="str">
        <f t="array" ref="X88">IFERROR(XLOOKUP(W88, '新規'!$E:$E, '新規'!$F:$F, ""), "")</f>
        <v/>
      </c>
      <c r="Y88" s="8"/>
      <c r="Z88" s="8" t="str">
        <f>IFERROR(__xludf.DUMMYFUNCTION("IF(W88="""","""",IFERROR(INDEX(FILTER('新規'!$O$3:$O$670, '新規'!$E$3:$E$670=W88),1),""""))"),"")</f>
        <v/>
      </c>
      <c r="AA88" s="8" t="str">
        <f>IFERROR(__xludf.DUMMYFUNCTION("IF(W88="""","""",IFERROR(INDEX(FILTER('新規'!$P$3:$P$670, '新規'!$E$3:$E$670=W88),1),""""))"),"")</f>
        <v/>
      </c>
      <c r="AB88" s="590" t="str">
        <f>IFERROR(__xludf.DUMMYFUNCTION("IFERROR(FILTER('新規'!$E$3:$E$170, ('新規'!$B$3:$B$170=LOOKUP(2,1/($A$3:$A88&lt;&gt;""""),$A$3:$A88))*(('新規'!$A$3:$A$170=AB$1)+(('新規'!$G$3:$G$170=""毎月配信"")*(TEXT('新規'!$A$3:$A$170,""ddd"")=TEXT(AB$1, ""ddd""))))), """")"),"")</f>
        <v/>
      </c>
      <c r="AC88" s="8" t="str">
        <f t="array" ref="AC88">IFERROR(XLOOKUP(AB88, '新規'!$E:$E, '新規'!$F:$F, ""), "")</f>
        <v/>
      </c>
      <c r="AD88" s="8"/>
      <c r="AE88" s="8" t="str">
        <f>IFERROR(__xludf.DUMMYFUNCTION("IF(AB88="""","""",IFERROR(INDEX(FILTER('新規'!$O$3:$O$670, '新規'!$E$3:$E$670=AB88),1),""""))"),"")</f>
        <v/>
      </c>
      <c r="AF88" s="8" t="str">
        <f>IFERROR(__xludf.DUMMYFUNCTION("IF(AB88="""","""",IFERROR(INDEX(FILTER('新規'!$P$3:$P$670, '新規'!$E$3:$E$670=AB88),1),""""))"),"")</f>
        <v/>
      </c>
      <c r="AG88" s="590" t="str">
        <f>IFERROR(__xludf.DUMMYFUNCTION("IFERROR(FILTER('新規'!$E$3:$E$170, ('新規'!$B$3:$B$170=LOOKUP(2,1/($A$3:$A88&lt;&gt;""""),$A$3:$A88))*(('新規'!$A$3:$A$170=AG$1)+(('新規'!$G$3:$G$170=""毎月配信"")*(TEXT('新規'!$A$3:$A$170,""ddd"")=TEXT(AG$1, ""ddd""))))), """")"),"")</f>
        <v/>
      </c>
      <c r="AH88" s="8" t="str">
        <f t="array" ref="AH88">IFERROR(XLOOKUP(AG88, '新規'!$E:$E, '新規'!$F:$F, ""), "")</f>
        <v/>
      </c>
      <c r="AI88" s="8"/>
      <c r="AJ88" s="8" t="str">
        <f>IFERROR(__xludf.DUMMYFUNCTION("IF(AG88="""","""",IFERROR(INDEX(FILTER('新規'!$O$3:$O$670, '新規'!$E$3:$E$670=AG88),1),""""))"),"")</f>
        <v/>
      </c>
      <c r="AK88" s="8" t="str">
        <f>IFERROR(__xludf.DUMMYFUNCTION("IF(AG88="""","""",IFERROR(INDEX(FILTER('新規'!$P$3:$P$670, '新規'!$E$3:$E$670=AG88),1),""""))"),"")</f>
        <v/>
      </c>
    </row>
    <row r="89" ht="17.25" customHeight="1">
      <c r="A89" s="587"/>
      <c r="B89" s="588"/>
      <c r="C89" s="590"/>
      <c r="D89" s="8" t="str">
        <f t="array" ref="D89">IFERROR(XLOOKUP(C89, '新規'!$E:$E, '新規'!$F:$F, ""), "")</f>
        <v/>
      </c>
      <c r="E89" s="8"/>
      <c r="F89" s="8" t="str">
        <f t="array" ref="F89">IFERROR(XLOOKUP(C89, '新規'!$E:$E, '新規'!$O:$O, ""), "")</f>
        <v/>
      </c>
      <c r="G89" s="8" t="str">
        <f t="array" ref="G89">IFERROR(XLOOKUP(C89, '新規'!$E:$E, '新規'!$P:$P, ""), "")</f>
        <v/>
      </c>
      <c r="H89" s="590"/>
      <c r="I89" s="8" t="str">
        <f t="array" ref="I89">IFERROR(XLOOKUP(H89, '新規'!$E:$E, '新規'!$F:$F, ""), "")</f>
        <v/>
      </c>
      <c r="J89" s="8"/>
      <c r="K89" s="8" t="str">
        <f t="array" ref="K89">IFERROR(XLOOKUP(H89, '新規'!$E:$E, '新規'!$O:$O, ""), "")</f>
        <v/>
      </c>
      <c r="L89" s="8" t="str">
        <f t="array" ref="L89">IFERROR(XLOOKUP(H89, '新規'!$E:$E, '新規'!$P:$P, ""), "")</f>
        <v/>
      </c>
      <c r="M89" s="590"/>
      <c r="N89" s="8" t="str">
        <f t="array" ref="N89">IFERROR(XLOOKUP(M89, '新規'!$E:$E, '新規'!$F:$F, ""), "")</f>
        <v/>
      </c>
      <c r="O89" s="8"/>
      <c r="P89" s="8" t="str">
        <f t="array" ref="P89">IFERROR(XLOOKUP(M89, '新規'!$E:$E, '新規'!$O:$O, ""), "")</f>
        <v/>
      </c>
      <c r="Q89" s="8" t="str">
        <f t="array" ref="Q89">IFERROR(XLOOKUP(M89, '新規'!$E:$E, '新規'!$P:$P, ""), "")</f>
        <v/>
      </c>
      <c r="R89" s="590"/>
      <c r="S89" s="8" t="str">
        <f t="array" ref="S89">IFERROR(XLOOKUP(R89, '新規'!$E:$E, '新規'!$F:$F, ""), "")</f>
        <v/>
      </c>
      <c r="T89" s="8"/>
      <c r="U89" s="8" t="str">
        <f t="array" ref="U89">IFERROR(XLOOKUP(R89, '新規'!$E:$E, '新規'!$O:$O, ""), "")</f>
        <v/>
      </c>
      <c r="V89" s="8" t="str">
        <f t="array" ref="V89">IFERROR(XLOOKUP(R89, '新規'!$E:$E, '新規'!$P:$P, ""), "")</f>
        <v/>
      </c>
      <c r="W89" s="590"/>
      <c r="X89" s="8" t="str">
        <f t="array" ref="X89">IFERROR(XLOOKUP(W89, '新規'!$E:$E, '新規'!$F:$F, ""), "")</f>
        <v/>
      </c>
      <c r="Y89" s="8"/>
      <c r="Z89" s="8" t="str">
        <f t="array" ref="Z89">IFERROR(XLOOKUP(W89, '新規'!$E:$E, '新規'!$O:$O, ""), "")</f>
        <v/>
      </c>
      <c r="AA89" s="8" t="str">
        <f t="array" ref="AA89">IFERROR(XLOOKUP(W89, '新規'!$E:$E, '新規'!$P:$P, ""), "")</f>
        <v/>
      </c>
      <c r="AB89" s="590"/>
      <c r="AC89" s="8" t="str">
        <f t="array" ref="AC89">IFERROR(XLOOKUP(AB89, '新規'!$E:$E, '新規'!$F:$F, ""), "")</f>
        <v/>
      </c>
      <c r="AD89" s="8"/>
      <c r="AE89" s="8" t="str">
        <f t="array" ref="AE89">IFERROR(XLOOKUP(AB89, '新規'!$E:$E, '新規'!$O:$O, ""), "")</f>
        <v/>
      </c>
      <c r="AF89" s="8" t="str">
        <f t="array" ref="AF89">IFERROR(XLOOKUP(AB89, '新規'!$E:$E, '新規'!$P:$P, ""), "")</f>
        <v/>
      </c>
      <c r="AG89" s="590"/>
      <c r="AH89" s="8" t="str">
        <f t="array" ref="AH89">IFERROR(XLOOKUP(AG89, '新規'!$E:$E, '新規'!$F:$F, ""), "")</f>
        <v/>
      </c>
      <c r="AI89" s="8"/>
      <c r="AJ89" s="8" t="str">
        <f t="array" ref="AJ89">IFERROR(XLOOKUP(AG89, '新規'!$E:$E, '新規'!$O:$O, ""), "")</f>
        <v/>
      </c>
      <c r="AK89" s="8" t="str">
        <f t="array" ref="AK89">IFERROR(XLOOKUP(AG89, '新規'!$E:$E, '新規'!$P:$P, ""), "")</f>
        <v/>
      </c>
    </row>
    <row r="90" ht="17.25" customHeight="1">
      <c r="A90" s="587"/>
      <c r="B90" s="588"/>
      <c r="C90" s="590"/>
      <c r="D90" s="8" t="str">
        <f t="array" ref="D90">IFERROR(XLOOKUP(C90, '新規'!$E:$E, '新規'!$F:$F, ""), "")</f>
        <v/>
      </c>
      <c r="E90" s="8"/>
      <c r="F90" s="8" t="str">
        <f t="array" ref="F90">IFERROR(XLOOKUP(C90, '新規'!$E:$E, '新規'!$O:$O, ""), "")</f>
        <v/>
      </c>
      <c r="G90" s="8" t="str">
        <f t="array" ref="G90">IFERROR(XLOOKUP(C90, '新規'!$E:$E, '新規'!$P:$P, ""), "")</f>
        <v/>
      </c>
      <c r="H90" s="590"/>
      <c r="I90" s="8" t="str">
        <f t="array" ref="I90">IFERROR(XLOOKUP(H90, '新規'!$E:$E, '新規'!$F:$F, ""), "")</f>
        <v/>
      </c>
      <c r="J90" s="8"/>
      <c r="K90" s="8" t="str">
        <f t="array" ref="K90">IFERROR(XLOOKUP(H90, '新規'!$E:$E, '新規'!$O:$O, ""), "")</f>
        <v/>
      </c>
      <c r="L90" s="8" t="str">
        <f t="array" ref="L90">IFERROR(XLOOKUP(H90, '新規'!$E:$E, '新規'!$P:$P, ""), "")</f>
        <v/>
      </c>
      <c r="M90" s="590"/>
      <c r="N90" s="8" t="str">
        <f t="array" ref="N90">IFERROR(XLOOKUP(M90, '新規'!$E:$E, '新規'!$F:$F, ""), "")</f>
        <v/>
      </c>
      <c r="O90" s="8"/>
      <c r="P90" s="8" t="str">
        <f t="array" ref="P90">IFERROR(XLOOKUP(M90, '新規'!$E:$E, '新規'!$O:$O, ""), "")</f>
        <v/>
      </c>
      <c r="Q90" s="8" t="str">
        <f t="array" ref="Q90">IFERROR(XLOOKUP(M90, '新規'!$E:$E, '新規'!$P:$P, ""), "")</f>
        <v/>
      </c>
      <c r="R90" s="590"/>
      <c r="S90" s="8" t="str">
        <f t="array" ref="S90">IFERROR(XLOOKUP(R90, '新規'!$E:$E, '新規'!$F:$F, ""), "")</f>
        <v/>
      </c>
      <c r="T90" s="8"/>
      <c r="U90" s="8" t="str">
        <f t="array" ref="U90">IFERROR(XLOOKUP(R90, '新規'!$E:$E, '新規'!$O:$O, ""), "")</f>
        <v/>
      </c>
      <c r="V90" s="8" t="str">
        <f t="array" ref="V90">IFERROR(XLOOKUP(R90, '新規'!$E:$E, '新規'!$P:$P, ""), "")</f>
        <v/>
      </c>
      <c r="W90" s="590"/>
      <c r="X90" s="8" t="str">
        <f t="array" ref="X90">IFERROR(XLOOKUP(W90, '新規'!$E:$E, '新規'!$F:$F, ""), "")</f>
        <v/>
      </c>
      <c r="Y90" s="8"/>
      <c r="Z90" s="8" t="str">
        <f t="array" ref="Z90">IFERROR(XLOOKUP(W90, '新規'!$E:$E, '新規'!$O:$O, ""), "")</f>
        <v/>
      </c>
      <c r="AA90" s="8" t="str">
        <f t="array" ref="AA90">IFERROR(XLOOKUP(W90, '新規'!$E:$E, '新規'!$P:$P, ""), "")</f>
        <v/>
      </c>
      <c r="AB90" s="590"/>
      <c r="AC90" s="8" t="str">
        <f t="array" ref="AC90">IFERROR(XLOOKUP(AB90, '新規'!$E:$E, '新規'!$F:$F, ""), "")</f>
        <v/>
      </c>
      <c r="AD90" s="8"/>
      <c r="AE90" s="8" t="str">
        <f t="array" ref="AE90">IFERROR(XLOOKUP(AB90, '新規'!$E:$E, '新規'!$O:$O, ""), "")</f>
        <v/>
      </c>
      <c r="AF90" s="8" t="str">
        <f t="array" ref="AF90">IFERROR(XLOOKUP(AB90, '新規'!$E:$E, '新規'!$P:$P, ""), "")</f>
        <v/>
      </c>
      <c r="AG90" s="590"/>
      <c r="AH90" s="8" t="str">
        <f t="array" ref="AH90">IFERROR(XLOOKUP(AG90, '新規'!$E:$E, '新規'!$F:$F, ""), "")</f>
        <v/>
      </c>
      <c r="AI90" s="8"/>
      <c r="AJ90" s="8" t="str">
        <f t="array" ref="AJ90">IFERROR(XLOOKUP(AG90, '新規'!$E:$E, '新規'!$O:$O, ""), "")</f>
        <v/>
      </c>
      <c r="AK90" s="8" t="str">
        <f t="array" ref="AK90">IFERROR(XLOOKUP(AG90, '新規'!$E:$E, '新規'!$P:$P, ""), "")</f>
        <v/>
      </c>
    </row>
    <row r="91" ht="17.25" customHeight="1">
      <c r="A91" s="587"/>
      <c r="B91" s="588"/>
      <c r="C91" s="590"/>
      <c r="D91" s="8" t="str">
        <f t="array" ref="D91">IFERROR(XLOOKUP(C91, '新規'!$E:$E, '新規'!$F:$F, ""), "")</f>
        <v/>
      </c>
      <c r="E91" s="8"/>
      <c r="F91" s="8" t="str">
        <f t="array" ref="F91">IFERROR(XLOOKUP(C91, '新規'!$E:$E, '新規'!$O:$O, ""), "")</f>
        <v/>
      </c>
      <c r="G91" s="8" t="str">
        <f t="array" ref="G91">IFERROR(XLOOKUP(C91, '新規'!$E:$E, '新規'!$P:$P, ""), "")</f>
        <v/>
      </c>
      <c r="H91" s="590"/>
      <c r="I91" s="8" t="str">
        <f t="array" ref="I91">IFERROR(XLOOKUP(H91, '新規'!$E:$E, '新規'!$F:$F, ""), "")</f>
        <v/>
      </c>
      <c r="J91" s="8"/>
      <c r="K91" s="8" t="str">
        <f t="array" ref="K91">IFERROR(XLOOKUP(H91, '新規'!$E:$E, '新規'!$O:$O, ""), "")</f>
        <v/>
      </c>
      <c r="L91" s="8" t="str">
        <f t="array" ref="L91">IFERROR(XLOOKUP(H91, '新規'!$E:$E, '新規'!$P:$P, ""), "")</f>
        <v/>
      </c>
      <c r="M91" s="590"/>
      <c r="N91" s="8" t="str">
        <f t="array" ref="N91">IFERROR(XLOOKUP(M91, '新規'!$E:$E, '新規'!$F:$F, ""), "")</f>
        <v/>
      </c>
      <c r="O91" s="8"/>
      <c r="P91" s="8" t="str">
        <f t="array" ref="P91">IFERROR(XLOOKUP(M91, '新規'!$E:$E, '新規'!$O:$O, ""), "")</f>
        <v/>
      </c>
      <c r="Q91" s="8" t="str">
        <f t="array" ref="Q91">IFERROR(XLOOKUP(M91, '新規'!$E:$E, '新規'!$P:$P, ""), "")</f>
        <v/>
      </c>
      <c r="R91" s="590"/>
      <c r="S91" s="8" t="str">
        <f t="array" ref="S91">IFERROR(XLOOKUP(R91, '新規'!$E:$E, '新規'!$F:$F, ""), "")</f>
        <v/>
      </c>
      <c r="T91" s="8"/>
      <c r="U91" s="8" t="str">
        <f t="array" ref="U91">IFERROR(XLOOKUP(R91, '新規'!$E:$E, '新規'!$O:$O, ""), "")</f>
        <v/>
      </c>
      <c r="V91" s="8" t="str">
        <f t="array" ref="V91">IFERROR(XLOOKUP(R91, '新規'!$E:$E, '新規'!$P:$P, ""), "")</f>
        <v/>
      </c>
      <c r="W91" s="590"/>
      <c r="X91" s="8" t="str">
        <f t="array" ref="X91">IFERROR(XLOOKUP(W91, '新規'!$E:$E, '新規'!$F:$F, ""), "")</f>
        <v/>
      </c>
      <c r="Y91" s="8"/>
      <c r="Z91" s="8" t="str">
        <f t="array" ref="Z91">IFERROR(XLOOKUP(W91, '新規'!$E:$E, '新規'!$O:$O, ""), "")</f>
        <v/>
      </c>
      <c r="AA91" s="8" t="str">
        <f t="array" ref="AA91">IFERROR(XLOOKUP(W91, '新規'!$E:$E, '新規'!$P:$P, ""), "")</f>
        <v/>
      </c>
      <c r="AB91" s="590"/>
      <c r="AC91" s="8" t="str">
        <f t="array" ref="AC91">IFERROR(XLOOKUP(AB91, '新規'!$E:$E, '新規'!$F:$F, ""), "")</f>
        <v/>
      </c>
      <c r="AD91" s="8"/>
      <c r="AE91" s="8" t="str">
        <f t="array" ref="AE91">IFERROR(XLOOKUP(AB91, '新規'!$E:$E, '新規'!$O:$O, ""), "")</f>
        <v/>
      </c>
      <c r="AF91" s="8" t="str">
        <f t="array" ref="AF91">IFERROR(XLOOKUP(AB91, '新規'!$E:$E, '新規'!$P:$P, ""), "")</f>
        <v/>
      </c>
      <c r="AG91" s="590"/>
      <c r="AH91" s="8" t="str">
        <f t="array" ref="AH91">IFERROR(XLOOKUP(AG91, '新規'!$E:$E, '新規'!$F:$F, ""), "")</f>
        <v/>
      </c>
      <c r="AI91" s="8"/>
      <c r="AJ91" s="8" t="str">
        <f t="array" ref="AJ91">IFERROR(XLOOKUP(AG91, '新規'!$E:$E, '新規'!$O:$O, ""), "")</f>
        <v/>
      </c>
      <c r="AK91" s="8" t="str">
        <f t="array" ref="AK91">IFERROR(XLOOKUP(AG91, '新規'!$E:$E, '新規'!$P:$P, ""), "")</f>
        <v/>
      </c>
    </row>
    <row r="92" ht="17.25" customHeight="1">
      <c r="A92" s="587"/>
      <c r="B92" s="592"/>
      <c r="C92" s="590"/>
      <c r="D92" s="593" t="str">
        <f>IFERROR(__xludf.DUMMYFUNCTION("IF(C92="""","""",IFERROR(INDEX(FILTER('特殊配信マスタ'!$F$3:$F$16,('特殊配信マスタ'!$A$3:$A$16=CHOOSE(WEEKDAY(C$1),""日"",""月"",""火"",""水"",""木"",""金"",""土""))*('特殊配信マスタ'!$B$3:$B$16=A$3)*('特殊配信マスタ'!$R$3:$R$16=MOD(INT((C$1-'特殊配信マスタ'!$A$1)/7),3)+1)),1),""""))"),"")</f>
        <v/>
      </c>
      <c r="E92" s="590"/>
      <c r="F92" s="593" t="str">
        <f>IFERROR(__xludf.DUMMYFUNCTION("IF(C92="""","""",IFERROR(INDEX(FILTER('特殊配信マスタ'!$O$3:$O$16,('特殊配信マスタ'!$A$3:$A$16=CHOOSE(WEEKDAY(C$1),""日"",""月"",""火"",""水"",""木"",""金"",""土""))*('特殊配信マスタ'!$B$3:$B$16=A$3)*('特殊配信マスタ'!$R$3:$R$16=MOD(INT((C$1-'特殊配信マスタ'!$A$1)/7),3)+1)),1),""""))"),"")</f>
        <v/>
      </c>
      <c r="G92" s="593" t="str">
        <f>IFERROR(__xludf.DUMMYFUNCTION("IF(C92="""","""",IFERROR(INDEX(FILTER('特殊配信マスタ'!$P$3:$P$16,('特殊配信マスタ'!$A$3:$A$16=CHOOSE(WEEKDAY(C$1),""日"",""月"",""火"",""水"",""木"",""金"",""土""))*('特殊配信マスタ'!$B$3:$B$16=A$3)*('特殊配信マスタ'!$R$3:$R$16=MOD(INT((C$1-'特殊配信マスタ'!$A$1)/7),3)+1)),1),""""))"),"")</f>
        <v/>
      </c>
      <c r="H92" s="590"/>
      <c r="I92" s="593" t="str">
        <f>IFERROR(__xludf.DUMMYFUNCTION("IF(H92="""","""",IFERROR(INDEX(FILTER('特殊配信マスタ'!$F$3:$F$16,('特殊配信マスタ'!$A$3:$A$16=CHOOSE(WEEKDAY(H$1),""日"",""月"",""火"",""水"",""木"",""金"",""土""))*('特殊配信マスタ'!$B$3:$B$16=F$3)*('特殊配信マスタ'!$R$3:$R$16=MOD(INT((H$1-'特殊配信マスタ'!$A$1)/7),3)+1)),1),""""))"),"")</f>
        <v/>
      </c>
      <c r="J92" s="590"/>
      <c r="K92" s="593" t="str">
        <f>IFERROR(__xludf.DUMMYFUNCTION("IF(H92="""","""",IFERROR(INDEX(FILTER('特殊配信マスタ'!$O$3:$O$16,('特殊配信マスタ'!$A$3:$A$16=CHOOSE(WEEKDAY(H$1),""日"",""月"",""火"",""水"",""木"",""金"",""土""))*('特殊配信マスタ'!$B$3:$B$16=F$3)*('特殊配信マスタ'!$R$3:$R$16=MOD(INT((H$1-'特殊配信マスタ'!$A$1)/7),3)+1)),1),""""))"),"")</f>
        <v/>
      </c>
      <c r="L92" s="593" t="str">
        <f>IFERROR(__xludf.DUMMYFUNCTION("IF(H92="""","""",IFERROR(INDEX(FILTER('特殊配信マスタ'!$P$3:$P$16,('特殊配信マスタ'!$A$3:$A$16=CHOOSE(WEEKDAY(H$1),""日"",""月"",""火"",""水"",""木"",""金"",""土""))*('特殊配信マスタ'!$B$3:$B$16=F$3)*('特殊配信マスタ'!$R$3:$R$16=MOD(INT((H$1-'特殊配信マスタ'!$A$1)/7),3)+1)),1),""""))"),"")</f>
        <v/>
      </c>
      <c r="M92" s="590"/>
      <c r="N92" s="593" t="str">
        <f>IFERROR(__xludf.DUMMYFUNCTION("IF(M92="""","""",IFERROR(INDEX(FILTER('特殊配信マスタ'!$F$3:$F$16,('特殊配信マスタ'!$A$3:$A$16=CHOOSE(WEEKDAY(M$1),""日"",""月"",""火"",""水"",""木"",""金"",""土""))*('特殊配信マスタ'!$B$3:$B$16=K$3)*('特殊配信マスタ'!$R$3:$R$16=MOD(INT((M$1-'特殊配信マスタ'!$A$1)/7),3)+1)),1),""""))"),"")</f>
        <v/>
      </c>
      <c r="O92" s="590"/>
      <c r="P92" s="593" t="str">
        <f>IFERROR(__xludf.DUMMYFUNCTION("IF(M92="""","""",IFERROR(INDEX(FILTER('特殊配信マスタ'!$O$3:$O$16,('特殊配信マスタ'!$A$3:$A$16=CHOOSE(WEEKDAY(M$1),""日"",""月"",""火"",""水"",""木"",""金"",""土""))*('特殊配信マスタ'!$B$3:$B$16=K$3)*('特殊配信マスタ'!$R$3:$R$16=MOD(INT((M$1-'特殊配信マスタ'!$A$1)/7),3)+1)),1),""""))"),"")</f>
        <v/>
      </c>
      <c r="Q92" s="593" t="str">
        <f>IFERROR(__xludf.DUMMYFUNCTION("IF(M92="""","""",IFERROR(INDEX(FILTER('特殊配信マスタ'!$P$3:$P$16,('特殊配信マスタ'!$A$3:$A$16=CHOOSE(WEEKDAY(M$1),""日"",""月"",""火"",""水"",""木"",""金"",""土""))*('特殊配信マスタ'!$B$3:$B$16=K$3)*('特殊配信マスタ'!$R$3:$R$16=MOD(INT((M$1-'特殊配信マスタ'!$A$1)/7),3)+1)),1),""""))"),"")</f>
        <v/>
      </c>
      <c r="R92" s="590"/>
      <c r="S92" s="593" t="str">
        <f>IFERROR(__xludf.DUMMYFUNCTION("IF(R92="""","""",IFERROR(INDEX(FILTER('特殊配信マスタ'!$F$3:$F$16,('特殊配信マスタ'!$A$3:$A$16=CHOOSE(WEEKDAY(R$1),""日"",""月"",""火"",""水"",""木"",""金"",""土""))*('特殊配信マスタ'!$B$3:$B$16=P$3)*('特殊配信マスタ'!$R$3:$R$16=MOD(INT((R$1-'特殊配信マスタ'!$A$1)/7),3)+1)),1),""""))"),"")</f>
        <v/>
      </c>
      <c r="T92" s="590"/>
      <c r="U92" s="593" t="str">
        <f>IFERROR(__xludf.DUMMYFUNCTION("IF(R92="""","""",IFERROR(INDEX(FILTER('特殊配信マスタ'!$O$3:$O$16,('特殊配信マスタ'!$A$3:$A$16=CHOOSE(WEEKDAY(R$1),""日"",""月"",""火"",""水"",""木"",""金"",""土""))*('特殊配信マスタ'!$B$3:$B$16=P$3)*('特殊配信マスタ'!$R$3:$R$16=MOD(INT((R$1-'特殊配信マスタ'!$A$1)/7),3)+1)),1),""""))"),"")</f>
        <v/>
      </c>
      <c r="V92" s="593" t="str">
        <f>IFERROR(__xludf.DUMMYFUNCTION("IF(R92="""","""",IFERROR(INDEX(FILTER('特殊配信マスタ'!$P$3:$P$16,('特殊配信マスタ'!$A$3:$A$16=CHOOSE(WEEKDAY(R$1),""日"",""月"",""火"",""水"",""木"",""金"",""土""))*('特殊配信マスタ'!$B$3:$B$16=P$3)*('特殊配信マスタ'!$R$3:$R$16=MOD(INT((R$1-'特殊配信マスタ'!$A$1)/7),3)+1)),1),""""))"),"")</f>
        <v/>
      </c>
      <c r="W92" s="590"/>
      <c r="X92" s="593" t="str">
        <f>IFERROR(__xludf.DUMMYFUNCTION("IF(W92="""","""",IFERROR(INDEX(FILTER('特殊配信マスタ'!$F$3:$F$16,('特殊配信マスタ'!$A$3:$A$16=CHOOSE(WEEKDAY(W$1),""日"",""月"",""火"",""水"",""木"",""金"",""土""))*('特殊配信マスタ'!$B$3:$B$16=U$3)*('特殊配信マスタ'!$R$3:$R$16=MOD(INT((W$1-'特殊配信マスタ'!$A$1)/7),3)+1)),1),""""))"),"")</f>
        <v/>
      </c>
      <c r="Y92" s="590"/>
      <c r="Z92" s="593" t="str">
        <f>IFERROR(__xludf.DUMMYFUNCTION("IF(W92="""","""",IFERROR(INDEX(FILTER('特殊配信マスタ'!$O$3:$O$16,('特殊配信マスタ'!$A$3:$A$16=CHOOSE(WEEKDAY(W$1),""日"",""月"",""火"",""水"",""木"",""金"",""土""))*('特殊配信マスタ'!$B$3:$B$16=U$3)*('特殊配信マスタ'!$R$3:$R$16=MOD(INT((W$1-'特殊配信マスタ'!$A$1)/7),3)+1)),1),""""))"),"")</f>
        <v/>
      </c>
      <c r="AA92" s="593" t="str">
        <f>IFERROR(__xludf.DUMMYFUNCTION("IF(W92="""","""",IFERROR(INDEX(FILTER('特殊配信マスタ'!$P$3:$P$16,('特殊配信マスタ'!$A$3:$A$16=CHOOSE(WEEKDAY(W$1),""日"",""月"",""火"",""水"",""木"",""金"",""土""))*('特殊配信マスタ'!$B$3:$B$16=U$3)*('特殊配信マスタ'!$R$3:$R$16=MOD(INT((W$1-'特殊配信マスタ'!$A$1)/7),3)+1)),1),""""))"),"")</f>
        <v/>
      </c>
      <c r="AB92" s="590"/>
      <c r="AC92" s="593" t="str">
        <f>IFERROR(__xludf.DUMMYFUNCTION("IF(AB92="""","""",IFERROR(INDEX(FILTER('特殊配信マスタ'!$F$3:$F$16,('特殊配信マスタ'!$A$3:$A$16=CHOOSE(WEEKDAY(AB$1),""日"",""月"",""火"",""水"",""木"",""金"",""土""))*('特殊配信マスタ'!$B$3:$B$16=Z$3)*('特殊配信マスタ'!$R$3:$R$16=MOD(INT((AB$1-'特殊配信マスタ'!$A$1)/7),3)+1)),1),""""))"),"")</f>
        <v/>
      </c>
      <c r="AD92" s="590"/>
      <c r="AE92" s="593" t="str">
        <f>IFERROR(__xludf.DUMMYFUNCTION("IF(AB92="""","""",IFERROR(INDEX(FILTER('特殊配信マスタ'!$O$3:$O$16,('特殊配信マスタ'!$A$3:$A$16=CHOOSE(WEEKDAY(AB$1),""日"",""月"",""火"",""水"",""木"",""金"",""土""))*('特殊配信マスタ'!$B$3:$B$16=Z$3)*('特殊配信マスタ'!$R$3:$R$16=MOD(INT((AB$1-'特殊配信マスタ'!$A$1)/7),3)+1)),1),""""))"),"")</f>
        <v/>
      </c>
      <c r="AF92" s="593" t="str">
        <f>IFERROR(__xludf.DUMMYFUNCTION("IF(AB92="""","""",IFERROR(INDEX(FILTER('特殊配信マスタ'!$P$3:$P$16,('特殊配信マスタ'!$A$3:$A$16=CHOOSE(WEEKDAY(AB$1),""日"",""月"",""火"",""水"",""木"",""金"",""土""))*('特殊配信マスタ'!$B$3:$B$16=Z$3)*('特殊配信マスタ'!$R$3:$R$16=MOD(INT((AB$1-'特殊配信マスタ'!$A$1)/7),3)+1)),1),""""))"),"")</f>
        <v/>
      </c>
      <c r="AG92" s="590"/>
      <c r="AH92" s="593" t="str">
        <f>IFERROR(__xludf.DUMMYFUNCTION("IF(AG92="""","""",IFERROR(INDEX(FILTER('特殊配信マスタ'!$F$3:$F$16,('特殊配信マスタ'!$A$3:$A$16=CHOOSE(WEEKDAY(AG$1),""日"",""月"",""火"",""水"",""木"",""金"",""土""))*('特殊配信マスタ'!$B$3:$B$16=AE$3)*('特殊配信マスタ'!$R$3:$R$16=MOD(INT((AG$1-'特殊配信マスタ'!$A$1)/7),3)+1)),1),""""))"),"")</f>
        <v/>
      </c>
      <c r="AI92" s="590"/>
      <c r="AJ92" s="593" t="str">
        <f>IFERROR(__xludf.DUMMYFUNCTION("IF(AG92="""","""",IFERROR(INDEX(FILTER('特殊配信マスタ'!$O$3:$O$16,('特殊配信マスタ'!$A$3:$A$16=CHOOSE(WEEKDAY(AG$1),""日"",""月"",""火"",""水"",""木"",""金"",""土""))*('特殊配信マスタ'!$B$3:$B$16=AE$3)*('特殊配信マスタ'!$R$3:$R$16=MOD(INT((AG$1-'特殊配信マスタ'!$A$1)/7),3)+1)),1),""""))"),"")</f>
        <v/>
      </c>
      <c r="AK92" s="593" t="str">
        <f>IFERROR(__xludf.DUMMYFUNCTION("IF(AG92="""","""",IFERROR(INDEX(FILTER('特殊配信マスタ'!$P$3:$P$16,('特殊配信マスタ'!$A$3:$A$16=CHOOSE(WEEKDAY(AG$1),""日"",""月"",""火"",""水"",""木"",""金"",""土""))*('特殊配信マスタ'!$B$3:$B$16=AE$3)*('特殊配信マスタ'!$R$3:$R$16=MOD(INT((AG$1-'特殊配信マスタ'!$A$1)/7),3)+1)),1),""""))"),"")</f>
        <v/>
      </c>
    </row>
    <row r="93" ht="17.25" customHeight="1">
      <c r="A93" s="587"/>
      <c r="B93" s="585" t="s">
        <v>1451</v>
      </c>
      <c r="C93" s="590" t="str">
        <f>IFERROR(__xludf.DUMMYFUNCTION("IFERROR(INDEX(FILTER('特殊配信マスタ'!$E$3:$E$16, (TEXT('特殊配信マスタ'!$A$3:$A$16,""ddd"")=TEXT(C$1,""ddd""))*(IFERROR(VALUE('特殊配信マスタ'!$B$3:$B$16),0)=VALUE(LOOKUP(2,1/($A$3:$A93&lt;&gt;""""),$A$3:$A93)))*('特殊配信マスタ'!$Q$3:$Q$16&lt;&gt;TRUE)), 1), """")"),"")</f>
        <v/>
      </c>
      <c r="D93" s="593" t="str">
        <f>IFERROR(__xludf.DUMMYFUNCTION("IF(C93="""","""",IFERROR(INDEX(FILTER('特殊配信マスタ'!$F$3:$F$16,('特殊配信マスタ'!$A$3:$A$16=CHOOSE(WEEKDAY(C$1),""日"",""月"",""火"",""水"",""木"",""金"",""土""))*('特殊配信マスタ'!$B$3:$B$16=A$3)*('特殊配信マスタ'!$R$3:$R$16=MOD(INT((C$1-'特殊配信マスタ'!$A$1)/7),3)+1)),1),""""))"),"")</f>
        <v/>
      </c>
      <c r="E93" s="590"/>
      <c r="F93" s="593" t="str">
        <f>IFERROR(__xludf.DUMMYFUNCTION("IF(C93="""","""",IFERROR(INDEX(FILTER('特殊配信マスタ'!$O$3:$O$16, '特殊配信マスタ'!$E$3:$E$16=C93),1),""""))"),"")</f>
        <v/>
      </c>
      <c r="G93" s="593" t="str">
        <f>IFERROR(__xludf.DUMMYFUNCTION("IF(C93="""","""",IFERROR(INDEX(FILTER('特殊配信マスタ'!$P$3:$P$16, '特殊配信マスタ'!$E$3:$E$16=C93),1),""""))"),"")</f>
        <v/>
      </c>
      <c r="H93" s="590" t="str">
        <f>IFERROR(__xludf.DUMMYFUNCTION("IFERROR(INDEX(FILTER('特殊配信マスタ'!$E$3:$E$16, (TEXT('特殊配信マスタ'!$A$3:$A$16,""ddd"")=TEXT(H$1,""ddd""))*(IFERROR(VALUE('特殊配信マスタ'!$B$3:$B$16),0)=VALUE(LOOKUP(2,1/($A$3:$A93&lt;&gt;""""),$A$3:$A93)))*('特殊配信マスタ'!$Q$3:$Q$16&lt;&gt;TRUE)), 1), """")"),"")</f>
        <v/>
      </c>
      <c r="I93" s="593" t="str">
        <f>IFERROR(__xludf.DUMMYFUNCTION("IF(H93="""","""",IFERROR(INDEX(FILTER('特殊配信マスタ'!$F$3:$F$16,('特殊配信マスタ'!$A$3:$A$16=CHOOSE(WEEKDAY(H$1),""日"",""月"",""火"",""水"",""木"",""金"",""土""))*('特殊配信マスタ'!$B$3:$B$16=F$3)*('特殊配信マスタ'!$R$3:$R$16=MOD(INT((H$1-'特殊配信マスタ'!$A$1)/7),3)+1)),1),""""))"),"")</f>
        <v/>
      </c>
      <c r="J93" s="590"/>
      <c r="K93" s="593" t="str">
        <f>IFERROR(__xludf.DUMMYFUNCTION("IF(H93="""","""",IFERROR(INDEX(FILTER('特殊配信マスタ'!$O$3:$O$16, '特殊配信マスタ'!$E$3:$E$16=H93),1),""""))"),"")</f>
        <v/>
      </c>
      <c r="L93" s="593" t="str">
        <f>IFERROR(__xludf.DUMMYFUNCTION("IF(H93="""","""",IFERROR(INDEX(FILTER('特殊配信マスタ'!$P$3:$P$16, '特殊配信マスタ'!$E$3:$E$16=H93),1),""""))"),"")</f>
        <v/>
      </c>
      <c r="M93" s="590" t="str">
        <f>IFERROR(__xludf.DUMMYFUNCTION("IFERROR(INDEX(FILTER('特殊配信マスタ'!$E$3:$E$16, (TEXT('特殊配信マスタ'!$A$3:$A$16,""ddd"")=TEXT(M$1,""ddd""))*(IFERROR(VALUE('特殊配信マスタ'!$B$3:$B$16),0)=VALUE(LOOKUP(2,1/($A$3:$A93&lt;&gt;""""),$A$3:$A93)))*('特殊配信マスタ'!$Q$3:$Q$16&lt;&gt;TRUE)), 1), """")"),"")</f>
        <v/>
      </c>
      <c r="N93" s="593" t="str">
        <f>IFERROR(__xludf.DUMMYFUNCTION("IF(M93="""","""",IFERROR(INDEX(FILTER('特殊配信マスタ'!$F$3:$F$16,('特殊配信マスタ'!$A$3:$A$16=CHOOSE(WEEKDAY(M$1),""日"",""月"",""火"",""水"",""木"",""金"",""土""))*('特殊配信マスタ'!$B$3:$B$16=K$3)*('特殊配信マスタ'!$R$3:$R$16=MOD(INT((M$1-'特殊配信マスタ'!$A$1)/7),3)+1)),1),""""))"),"")</f>
        <v/>
      </c>
      <c r="O93" s="590"/>
      <c r="P93" s="593" t="str">
        <f>IFERROR(__xludf.DUMMYFUNCTION("IF(M93="""","""",IFERROR(INDEX(FILTER('特殊配信マスタ'!$O$3:$O$16, '特殊配信マスタ'!$E$3:$E$16=M93),1),""""))"),"")</f>
        <v/>
      </c>
      <c r="Q93" s="593" t="str">
        <f>IFERROR(__xludf.DUMMYFUNCTION("IF(M93="""","""",IFERROR(INDEX(FILTER('特殊配信マスタ'!$P$3:$P$16, '特殊配信マスタ'!$E$3:$E$16=M93),1),""""))"),"")</f>
        <v/>
      </c>
      <c r="R93" s="590" t="str">
        <f>IFERROR(__xludf.DUMMYFUNCTION("IFERROR(INDEX(FILTER('特殊配信マスタ'!$E$3:$E$16, (TEXT('特殊配信マスタ'!$A$3:$A$16,""ddd"")=TEXT(R$1,""ddd""))*(IFERROR(VALUE('特殊配信マスタ'!$B$3:$B$16),0)=VALUE(LOOKUP(2,1/($A$3:$A93&lt;&gt;""""),$A$3:$A93)))*('特殊配信マスタ'!$Q$3:$Q$16&lt;&gt;TRUE)), 1), """")"),"")</f>
        <v/>
      </c>
      <c r="S93" s="593" t="str">
        <f>IFERROR(__xludf.DUMMYFUNCTION("IF(R93="""","""",IFERROR(INDEX(FILTER('特殊配信マスタ'!$F$3:$F$16,('特殊配信マスタ'!$A$3:$A$16=CHOOSE(WEEKDAY(R$1),""日"",""月"",""火"",""水"",""木"",""金"",""土""))*('特殊配信マスタ'!$B$3:$B$16=P$3)*('特殊配信マスタ'!$R$3:$R$16=MOD(INT((R$1-'特殊配信マスタ'!$A$1)/7),3)+1)),1),""""))"),"")</f>
        <v/>
      </c>
      <c r="T93" s="590"/>
      <c r="U93" s="593" t="str">
        <f>IFERROR(__xludf.DUMMYFUNCTION("IF(R93="""","""",IFERROR(INDEX(FILTER('特殊配信マスタ'!$O$3:$O$16, '特殊配信マスタ'!$E$3:$E$16=R93),1),""""))"),"")</f>
        <v/>
      </c>
      <c r="V93" s="593" t="str">
        <f>IFERROR(__xludf.DUMMYFUNCTION("IF(R93="""","""",IFERROR(INDEX(FILTER('特殊配信マスタ'!$P$3:$P$16, '特殊配信マスタ'!$E$3:$E$16=R93),1),""""))"),"")</f>
        <v/>
      </c>
      <c r="W93" s="590" t="str">
        <f>IFERROR(__xludf.DUMMYFUNCTION("IFERROR(INDEX(FILTER('特殊配信マスタ'!$E$3:$E$16, (TEXT('特殊配信マスタ'!$A$3:$A$16,""ddd"")=TEXT(W$1,""ddd""))*(IFERROR(VALUE('特殊配信マスタ'!$B$3:$B$16),0)=VALUE(LOOKUP(2,1/($A$3:$A93&lt;&gt;""""),$A$3:$A93)))*('特殊配信マスタ'!$Q$3:$Q$16&lt;&gt;TRUE)), 1), """")"),"")</f>
        <v/>
      </c>
      <c r="X93" s="593" t="str">
        <f>IFERROR(__xludf.DUMMYFUNCTION("IF(W93="""","""",IFERROR(INDEX(FILTER('特殊配信マスタ'!$F$3:$F$16,('特殊配信マスタ'!$A$3:$A$16=CHOOSE(WEEKDAY(W$1),""日"",""月"",""火"",""水"",""木"",""金"",""土""))*('特殊配信マスタ'!$B$3:$B$16=U$3)*('特殊配信マスタ'!$R$3:$R$16=MOD(INT((W$1-'特殊配信マスタ'!$A$1)/7),3)+1)),1),""""))"),"")</f>
        <v/>
      </c>
      <c r="Y93" s="590"/>
      <c r="Z93" s="593" t="str">
        <f>IFERROR(__xludf.DUMMYFUNCTION("IF(W93="""","""",IFERROR(INDEX(FILTER('特殊配信マスタ'!$O$3:$O$16, '特殊配信マスタ'!$E$3:$E$16=W93),1),""""))"),"")</f>
        <v/>
      </c>
      <c r="AA93" s="593" t="str">
        <f>IFERROR(__xludf.DUMMYFUNCTION("IF(W93="""","""",IFERROR(INDEX(FILTER('特殊配信マスタ'!$P$3:$P$16, '特殊配信マスタ'!$E$3:$E$16=W93),1),""""))"),"")</f>
        <v/>
      </c>
      <c r="AB93" s="590" t="str">
        <f>IFERROR(__xludf.DUMMYFUNCTION("IFERROR(INDEX(FILTER('特殊配信マスタ'!$E$3:$E$16, (TEXT('特殊配信マスタ'!$A$3:$A$16,""ddd"")=TEXT(AB$1,""ddd""))*(IFERROR(VALUE('特殊配信マスタ'!$B$3:$B$16),0)=VALUE(LOOKUP(2,1/($A$3:$A93&lt;&gt;""""),$A$3:$A93)))*('特殊配信マスタ'!$Q$3:$Q$16&lt;&gt;TRUE)), 1), """")"),"")</f>
        <v/>
      </c>
      <c r="AC93" s="593" t="str">
        <f>IFERROR(__xludf.DUMMYFUNCTION("IF(AB93="""","""",IFERROR(INDEX(FILTER('特殊配信マスタ'!$F$3:$F$16,('特殊配信マスタ'!$A$3:$A$16=CHOOSE(WEEKDAY(AB$1),""日"",""月"",""火"",""水"",""木"",""金"",""土""))*('特殊配信マスタ'!$B$3:$B$16=Z$3)*('特殊配信マスタ'!$R$3:$R$16=MOD(INT((AB$1-'特殊配信マスタ'!$A$1)/7),3)+1)),1),""""))"),"")</f>
        <v/>
      </c>
      <c r="AD93" s="590"/>
      <c r="AE93" s="593" t="str">
        <f>IFERROR(__xludf.DUMMYFUNCTION("IF(AB93="""","""",IFERROR(INDEX(FILTER('特殊配信マスタ'!$O$3:$O$16, '特殊配信マスタ'!$E$3:$E$16=AB93),1),""""))"),"")</f>
        <v/>
      </c>
      <c r="AF93" s="593" t="str">
        <f>IFERROR(__xludf.DUMMYFUNCTION("IF(AB93="""","""",IFERROR(INDEX(FILTER('特殊配信マスタ'!$P$3:$P$16, '特殊配信マスタ'!$E$3:$E$16=AB93),1),""""))"),"")</f>
        <v/>
      </c>
      <c r="AG93" s="590" t="str">
        <f>IFERROR(__xludf.DUMMYFUNCTION("IFERROR(INDEX(FILTER('特殊配信マスタ'!$E$3:$E$16, (TEXT('特殊配信マスタ'!$A$3:$A$16,""ddd"")=TEXT(AG$1,""ddd""))*(IFERROR(VALUE('特殊配信マスタ'!$B$3:$B$16),0)=VALUE(LOOKUP(2,1/($A$3:$A93&lt;&gt;""""),$A$3:$A93)))*('特殊配信マスタ'!$Q$3:$Q$16&lt;&gt;TRUE)), 1), """")"),"")</f>
        <v/>
      </c>
      <c r="AH93" s="593" t="str">
        <f>IFERROR(__xludf.DUMMYFUNCTION("IF(AG93="""","""",IFERROR(INDEX(FILTER('特殊配信マスタ'!$F$3:$F$16,('特殊配信マスタ'!$A$3:$A$16=CHOOSE(WEEKDAY(AG$1),""日"",""月"",""火"",""水"",""木"",""金"",""土""))*('特殊配信マスタ'!$B$3:$B$16=AE$3)*('特殊配信マスタ'!$R$3:$R$16=MOD(INT((AG$1-'特殊配信マスタ'!$A$1)/7),3)+1)),1),""""))"),"")</f>
        <v/>
      </c>
      <c r="AI93" s="590"/>
      <c r="AJ93" s="593" t="str">
        <f>IFERROR(__xludf.DUMMYFUNCTION("IF(AG93="""","""",IFERROR(INDEX(FILTER('特殊配信マスタ'!$O$3:$O$16, '特殊配信マスタ'!$E$3:$E$16=AG93),1),""""))"),"")</f>
        <v/>
      </c>
      <c r="AK93" s="593" t="str">
        <f>IFERROR(__xludf.DUMMYFUNCTION("IF(AG93="""","""",IFERROR(INDEX(FILTER('特殊配信マスタ'!$P$3:$P$16, '特殊配信マスタ'!$E$3:$E$16=AG93),1),""""))"),"")</f>
        <v/>
      </c>
    </row>
    <row r="94" ht="17.25" customHeight="1">
      <c r="A94" s="587"/>
      <c r="B94" s="588"/>
      <c r="C94" s="590" t="str">
        <f>IFERROR(__xludf.DUMMYFUNCTION("IFERROR(INDEX(FILTER('特殊配信マスタ'!$E$3:$E$16, (TEXT('特殊配信マスタ'!$A$3:$A$16,""ddd"")=TEXT(C$1,""ddd""))*(IFERROR(VALUE('特殊配信マスタ'!$B$3:$B$16),0)=VALUE(LOOKUP(2,1/($A$3:$A94&lt;&gt;""""),$A$3:$A94)))*('特殊配信マスタ'!$Q$3:$Q$16&lt;&gt;TRUE)), 2), """")"),"")</f>
        <v/>
      </c>
      <c r="D94" s="593" t="str">
        <f>IFERROR(__xludf.DUMMYFUNCTION("IF(C94="""","""",IFERROR(INDEX(FILTER('特殊配信マスタ'!$F$3:$F$16,('特殊配信マスタ'!$A$3:$A$16=CHOOSE(WEEKDAY(C$1),""日"",""月"",""火"",""水"",""木"",""金"",""土""))*('特殊配信マスタ'!$B$3:$B$16=A$3)*('特殊配信マスタ'!$R$3:$R$16=MOD(INT((C$1-'特殊配信マスタ'!$A$1)/7),3)+1)),1),""""))"),"")</f>
        <v/>
      </c>
      <c r="E94" s="590"/>
      <c r="F94" s="593" t="str">
        <f>IFERROR(__xludf.DUMMYFUNCTION("IF(C94="""","""",IFERROR(INDEX(FILTER('特殊配信マスタ'!$O$3:$O$16, '特殊配信マスタ'!$E$3:$E$16=C94),1),""""))"),"")</f>
        <v/>
      </c>
      <c r="G94" s="593" t="str">
        <f>IFERROR(__xludf.DUMMYFUNCTION("IF(C94="""","""",IFERROR(INDEX(FILTER('特殊配信マスタ'!$P$3:$P$16, '特殊配信マスタ'!$E$3:$E$16=C94),1),""""))"),"")</f>
        <v/>
      </c>
      <c r="H94" s="590" t="str">
        <f>IFERROR(__xludf.DUMMYFUNCTION("IFERROR(INDEX(FILTER('特殊配信マスタ'!$E$3:$E$16, (TEXT('特殊配信マスタ'!$A$3:$A$16,""ddd"")=TEXT(H$1,""ddd""))*(IFERROR(VALUE('特殊配信マスタ'!$B$3:$B$16),0)=VALUE(LOOKUP(2,1/($A$3:$A94&lt;&gt;""""),$A$3:$A94)))*('特殊配信マスタ'!$Q$3:$Q$16&lt;&gt;TRUE)), 2), """")"),"")</f>
        <v/>
      </c>
      <c r="I94" s="593" t="str">
        <f>IFERROR(__xludf.DUMMYFUNCTION("IF(H94="""","""",IFERROR(INDEX(FILTER('特殊配信マスタ'!$F$3:$F$16,('特殊配信マスタ'!$A$3:$A$16=CHOOSE(WEEKDAY(H$1),""日"",""月"",""火"",""水"",""木"",""金"",""土""))*('特殊配信マスタ'!$B$3:$B$16=F$3)*('特殊配信マスタ'!$R$3:$R$16=MOD(INT((H$1-'特殊配信マスタ'!$A$1)/7),3)+1)),1),""""))"),"")</f>
        <v/>
      </c>
      <c r="J94" s="590"/>
      <c r="K94" s="593" t="str">
        <f>IFERROR(__xludf.DUMMYFUNCTION("IF(H94="""","""",IFERROR(INDEX(FILTER('特殊配信マスタ'!$O$3:$O$16, '特殊配信マスタ'!$E$3:$E$16=H94),1),""""))"),"")</f>
        <v/>
      </c>
      <c r="L94" s="593" t="str">
        <f>IFERROR(__xludf.DUMMYFUNCTION("IF(H94="""","""",IFERROR(INDEX(FILTER('特殊配信マスタ'!$P$3:$P$16, '特殊配信マスタ'!$E$3:$E$16=H94),1),""""))"),"")</f>
        <v/>
      </c>
      <c r="M94" s="590" t="str">
        <f>IFERROR(__xludf.DUMMYFUNCTION("IFERROR(INDEX(FILTER('特殊配信マスタ'!$E$3:$E$16, (TEXT('特殊配信マスタ'!$A$3:$A$16,""ddd"")=TEXT(M$1,""ddd""))*(IFERROR(VALUE('特殊配信マスタ'!$B$3:$B$16),0)=VALUE(LOOKUP(2,1/($A$3:$A94&lt;&gt;""""),$A$3:$A94)))*('特殊配信マスタ'!$Q$3:$Q$16&lt;&gt;TRUE)), 2), """")"),"")</f>
        <v/>
      </c>
      <c r="N94" s="593" t="str">
        <f>IFERROR(__xludf.DUMMYFUNCTION("IF(M94="""","""",IFERROR(INDEX(FILTER('特殊配信マスタ'!$F$3:$F$16,('特殊配信マスタ'!$A$3:$A$16=CHOOSE(WEEKDAY(M$1),""日"",""月"",""火"",""水"",""木"",""金"",""土""))*('特殊配信マスタ'!$B$3:$B$16=K$3)*('特殊配信マスタ'!$R$3:$R$16=MOD(INT((M$1-'特殊配信マスタ'!$A$1)/7),3)+1)),1),""""))"),"")</f>
        <v/>
      </c>
      <c r="O94" s="590"/>
      <c r="P94" s="593" t="str">
        <f>IFERROR(__xludf.DUMMYFUNCTION("IF(M94="""","""",IFERROR(INDEX(FILTER('特殊配信マスタ'!$O$3:$O$16, '特殊配信マスタ'!$E$3:$E$16=M94),1),""""))"),"")</f>
        <v/>
      </c>
      <c r="Q94" s="593" t="str">
        <f>IFERROR(__xludf.DUMMYFUNCTION("IF(M94="""","""",IFERROR(INDEX(FILTER('特殊配信マスタ'!$P$3:$P$16, '特殊配信マスタ'!$E$3:$E$16=M94),1),""""))"),"")</f>
        <v/>
      </c>
      <c r="R94" s="590" t="str">
        <f>IFERROR(__xludf.DUMMYFUNCTION("IFERROR(INDEX(FILTER('特殊配信マスタ'!$E$3:$E$16, (TEXT('特殊配信マスタ'!$A$3:$A$16,""ddd"")=TEXT(R$1,""ddd""))*(IFERROR(VALUE('特殊配信マスタ'!$B$3:$B$16),0)=VALUE(LOOKUP(2,1/($A$3:$A94&lt;&gt;""""),$A$3:$A94)))*('特殊配信マスタ'!$Q$3:$Q$16&lt;&gt;TRUE)), 2), """")"),"")</f>
        <v/>
      </c>
      <c r="S94" s="593" t="str">
        <f>IFERROR(__xludf.DUMMYFUNCTION("IF(R94="""","""",IFERROR(INDEX(FILTER('特殊配信マスタ'!$F$3:$F$16,('特殊配信マスタ'!$A$3:$A$16=CHOOSE(WEEKDAY(R$1),""日"",""月"",""火"",""水"",""木"",""金"",""土""))*('特殊配信マスタ'!$B$3:$B$16=P$3)*('特殊配信マスタ'!$R$3:$R$16=MOD(INT((R$1-'特殊配信マスタ'!$A$1)/7),3)+1)),1),""""))"),"")</f>
        <v/>
      </c>
      <c r="T94" s="590"/>
      <c r="U94" s="593" t="str">
        <f>IFERROR(__xludf.DUMMYFUNCTION("IF(R94="""","""",IFERROR(INDEX(FILTER('特殊配信マスタ'!$O$3:$O$16, '特殊配信マスタ'!$E$3:$E$16=R94),1),""""))"),"")</f>
        <v/>
      </c>
      <c r="V94" s="593" t="str">
        <f>IFERROR(__xludf.DUMMYFUNCTION("IF(R94="""","""",IFERROR(INDEX(FILTER('特殊配信マスタ'!$P$3:$P$16, '特殊配信マスタ'!$E$3:$E$16=R94),1),""""))"),"")</f>
        <v/>
      </c>
      <c r="W94" s="590" t="str">
        <f>IFERROR(__xludf.DUMMYFUNCTION("IFERROR(INDEX(FILTER('特殊配信マスタ'!$E$3:$E$16, (TEXT('特殊配信マスタ'!$A$3:$A$16,""ddd"")=TEXT(W$1,""ddd""))*(IFERROR(VALUE('特殊配信マスタ'!$B$3:$B$16),0)=VALUE(LOOKUP(2,1/($A$3:$A94&lt;&gt;""""),$A$3:$A94)))*('特殊配信マスタ'!$Q$3:$Q$16&lt;&gt;TRUE)), 2), """")"),"")</f>
        <v/>
      </c>
      <c r="X94" s="593" t="str">
        <f>IFERROR(__xludf.DUMMYFUNCTION("IF(W94="""","""",IFERROR(INDEX(FILTER('特殊配信マスタ'!$F$3:$F$16,('特殊配信マスタ'!$A$3:$A$16=CHOOSE(WEEKDAY(W$1),""日"",""月"",""火"",""水"",""木"",""金"",""土""))*('特殊配信マスタ'!$B$3:$B$16=U$3)*('特殊配信マスタ'!$R$3:$R$16=MOD(INT((W$1-'特殊配信マスタ'!$A$1)/7),3)+1)),1),""""))"),"")</f>
        <v/>
      </c>
      <c r="Y94" s="590"/>
      <c r="Z94" s="593" t="str">
        <f>IFERROR(__xludf.DUMMYFUNCTION("IF(W94="""","""",IFERROR(INDEX(FILTER('特殊配信マスタ'!$O$3:$O$16, '特殊配信マスタ'!$E$3:$E$16=W94),1),""""))"),"")</f>
        <v/>
      </c>
      <c r="AA94" s="593" t="str">
        <f>IFERROR(__xludf.DUMMYFUNCTION("IF(W94="""","""",IFERROR(INDEX(FILTER('特殊配信マスタ'!$P$3:$P$16, '特殊配信マスタ'!$E$3:$E$16=W94),1),""""))"),"")</f>
        <v/>
      </c>
      <c r="AB94" s="590" t="str">
        <f>IFERROR(__xludf.DUMMYFUNCTION("IFERROR(INDEX(FILTER('特殊配信マスタ'!$E$3:$E$16, (TEXT('特殊配信マスタ'!$A$3:$A$16,""ddd"")=TEXT(AB$1,""ddd""))*(IFERROR(VALUE('特殊配信マスタ'!$B$3:$B$16),0)=VALUE(LOOKUP(2,1/($A$3:$A94&lt;&gt;""""),$A$3:$A94)))*('特殊配信マスタ'!$Q$3:$Q$16&lt;&gt;TRUE)), 2), """")"),"")</f>
        <v/>
      </c>
      <c r="AC94" s="593" t="str">
        <f>IFERROR(__xludf.DUMMYFUNCTION("IF(AB94="""","""",IFERROR(INDEX(FILTER('特殊配信マスタ'!$F$3:$F$16,('特殊配信マスタ'!$A$3:$A$16=CHOOSE(WEEKDAY(AB$1),""日"",""月"",""火"",""水"",""木"",""金"",""土""))*('特殊配信マスタ'!$B$3:$B$16=Z$3)*('特殊配信マスタ'!$R$3:$R$16=MOD(INT((AB$1-'特殊配信マスタ'!$A$1)/7),3)+1)),1),""""))"),"")</f>
        <v/>
      </c>
      <c r="AD94" s="590"/>
      <c r="AE94" s="593" t="str">
        <f>IFERROR(__xludf.DUMMYFUNCTION("IF(AB94="""","""",IFERROR(INDEX(FILTER('特殊配信マスタ'!$O$3:$O$16, '特殊配信マスタ'!$E$3:$E$16=AB94),1),""""))"),"")</f>
        <v/>
      </c>
      <c r="AF94" s="593" t="str">
        <f>IFERROR(__xludf.DUMMYFUNCTION("IF(AB94="""","""",IFERROR(INDEX(FILTER('特殊配信マスタ'!$P$3:$P$16, '特殊配信マスタ'!$E$3:$E$16=AB94),1),""""))"),"")</f>
        <v/>
      </c>
      <c r="AG94" s="590" t="str">
        <f>IFERROR(__xludf.DUMMYFUNCTION("IFERROR(INDEX(FILTER('特殊配信マスタ'!$E$3:$E$16, (TEXT('特殊配信マスタ'!$A$3:$A$16,""ddd"")=TEXT(AG$1,""ddd""))*(IFERROR(VALUE('特殊配信マスタ'!$B$3:$B$16),0)=VALUE(LOOKUP(2,1/($A$3:$A94&lt;&gt;""""),$A$3:$A94)))*('特殊配信マスタ'!$Q$3:$Q$16&lt;&gt;TRUE)), 2), """")"),"")</f>
        <v/>
      </c>
      <c r="AH94" s="593" t="str">
        <f>IFERROR(__xludf.DUMMYFUNCTION("IF(AG94="""","""",IFERROR(INDEX(FILTER('特殊配信マスタ'!$F$3:$F$16,('特殊配信マスタ'!$A$3:$A$16=CHOOSE(WEEKDAY(AG$1),""日"",""月"",""火"",""水"",""木"",""金"",""土""))*('特殊配信マスタ'!$B$3:$B$16=AE$3)*('特殊配信マスタ'!$R$3:$R$16=MOD(INT((AG$1-'特殊配信マスタ'!$A$1)/7),3)+1)),1),""""))"),"")</f>
        <v/>
      </c>
      <c r="AI94" s="590"/>
      <c r="AJ94" s="593" t="str">
        <f>IFERROR(__xludf.DUMMYFUNCTION("IF(AG94="""","""",IFERROR(INDEX(FILTER('特殊配信マスタ'!$O$3:$O$16, '特殊配信マスタ'!$E$3:$E$16=AG94),1),""""))"),"")</f>
        <v/>
      </c>
      <c r="AK94" s="593" t="str">
        <f>IFERROR(__xludf.DUMMYFUNCTION("IF(AG94="""","""",IFERROR(INDEX(FILTER('特殊配信マスタ'!$P$3:$P$16, '特殊配信マスタ'!$E$3:$E$16=AG94),1),""""))"),"")</f>
        <v/>
      </c>
    </row>
    <row r="95" ht="17.25" customHeight="1">
      <c r="A95" s="587"/>
      <c r="B95" s="588"/>
      <c r="C95" s="590" t="str">
        <f>IFERROR(__xludf.DUMMYFUNCTION("IFERROR(INDEX(FILTER('特殊配信マスタ'!$E$3:$E$16, (TEXT('特殊配信マスタ'!$A$3:$A$16,""ddd"")=TEXT(C$1,""ddd""))*(IFERROR(VALUE('特殊配信マスタ'!$B$3:$B$16),0)=VALUE(LOOKUP(2,1/($A$3:$A95&lt;&gt;""""),$A$3:$A95)))*('特殊配信マスタ'!$Q$3:$Q$16&lt;&gt;TRUE)), 3), """")"),"")</f>
        <v/>
      </c>
      <c r="D95" s="593"/>
      <c r="E95" s="590"/>
      <c r="F95" s="593" t="str">
        <f>IFERROR(__xludf.DUMMYFUNCTION("IF(C95="""","""",IFERROR(INDEX(FILTER('特殊配信マスタ'!$O$3:$O$16, '特殊配信マスタ'!$E$3:$E$16=C95),1),""""))"),"")</f>
        <v/>
      </c>
      <c r="G95" s="593" t="str">
        <f>IFERROR(__xludf.DUMMYFUNCTION("IF(C95="""","""",IFERROR(INDEX(FILTER('特殊配信マスタ'!$P$3:$P$16, '特殊配信マスタ'!$E$3:$E$16=C95),1),""""))"),"")</f>
        <v/>
      </c>
      <c r="H95" s="590" t="str">
        <f>IFERROR(__xludf.DUMMYFUNCTION("IFERROR(INDEX(FILTER('特殊配信マスタ'!$E$3:$E$16, (TEXT('特殊配信マスタ'!$A$3:$A$16,""ddd"")=TEXT(H$1,""ddd""))*(IFERROR(VALUE('特殊配信マスタ'!$B$3:$B$16),0)=VALUE(LOOKUP(2,1/($A$3:$A95&lt;&gt;""""),$A$3:$A95)))*('特殊配信マスタ'!$Q$3:$Q$16&lt;&gt;TRUE)), 3), """")"),"")</f>
        <v/>
      </c>
      <c r="I95" s="593"/>
      <c r="J95" s="590"/>
      <c r="K95" s="593" t="str">
        <f>IFERROR(__xludf.DUMMYFUNCTION("IF(H95="""","""",IFERROR(INDEX(FILTER('特殊配信マスタ'!$O$3:$O$16, '特殊配信マスタ'!$E$3:$E$16=H95),1),""""))"),"")</f>
        <v/>
      </c>
      <c r="L95" s="593" t="str">
        <f>IFERROR(__xludf.DUMMYFUNCTION("IF(H95="""","""",IFERROR(INDEX(FILTER('特殊配信マスタ'!$P$3:$P$16, '特殊配信マスタ'!$E$3:$E$16=H95),1),""""))"),"")</f>
        <v/>
      </c>
      <c r="M95" s="590" t="str">
        <f>IFERROR(__xludf.DUMMYFUNCTION("IFERROR(INDEX(FILTER('特殊配信マスタ'!$E$3:$E$16, (TEXT('特殊配信マスタ'!$A$3:$A$16,""ddd"")=TEXT(M$1,""ddd""))*(IFERROR(VALUE('特殊配信マスタ'!$B$3:$B$16),0)=VALUE(LOOKUP(2,1/($A$3:$A95&lt;&gt;""""),$A$3:$A95)))*('特殊配信マスタ'!$Q$3:$Q$16&lt;&gt;TRUE)), 3), """")"),"")</f>
        <v/>
      </c>
      <c r="N95" s="593"/>
      <c r="O95" s="590"/>
      <c r="P95" s="593" t="str">
        <f>IFERROR(__xludf.DUMMYFUNCTION("IF(M95="""","""",IFERROR(INDEX(FILTER('特殊配信マスタ'!$O$3:$O$16, '特殊配信マスタ'!$E$3:$E$16=M95),1),""""))"),"")</f>
        <v/>
      </c>
      <c r="Q95" s="593" t="str">
        <f>IFERROR(__xludf.DUMMYFUNCTION("IF(M95="""","""",IFERROR(INDEX(FILTER('特殊配信マスタ'!$P$3:$P$16, '特殊配信マスタ'!$E$3:$E$16=M95),1),""""))"),"")</f>
        <v/>
      </c>
      <c r="R95" s="590" t="str">
        <f>IFERROR(__xludf.DUMMYFUNCTION("IFERROR(INDEX(FILTER('特殊配信マスタ'!$E$3:$E$16, (TEXT('特殊配信マスタ'!$A$3:$A$16,""ddd"")=TEXT(R$1,""ddd""))*(IFERROR(VALUE('特殊配信マスタ'!$B$3:$B$16),0)=VALUE(LOOKUP(2,1/($A$3:$A95&lt;&gt;""""),$A$3:$A95)))*('特殊配信マスタ'!$Q$3:$Q$16&lt;&gt;TRUE)), 3), """")"),"")</f>
        <v/>
      </c>
      <c r="S95" s="593"/>
      <c r="T95" s="590"/>
      <c r="U95" s="593" t="str">
        <f>IFERROR(__xludf.DUMMYFUNCTION("IF(R95="""","""",IFERROR(INDEX(FILTER('特殊配信マスタ'!$O$3:$O$16, '特殊配信マスタ'!$E$3:$E$16=R95),1),""""))"),"")</f>
        <v/>
      </c>
      <c r="V95" s="593" t="str">
        <f>IFERROR(__xludf.DUMMYFUNCTION("IF(R95="""","""",IFERROR(INDEX(FILTER('特殊配信マスタ'!$P$3:$P$16, '特殊配信マスタ'!$E$3:$E$16=R95),1),""""))"),"")</f>
        <v/>
      </c>
      <c r="W95" s="590" t="str">
        <f>IFERROR(__xludf.DUMMYFUNCTION("IFERROR(INDEX(FILTER('特殊配信マスタ'!$E$3:$E$16, (TEXT('特殊配信マスタ'!$A$3:$A$16,""ddd"")=TEXT(W$1,""ddd""))*(IFERROR(VALUE('特殊配信マスタ'!$B$3:$B$16),0)=VALUE(LOOKUP(2,1/($A$3:$A95&lt;&gt;""""),$A$3:$A95)))*('特殊配信マスタ'!$Q$3:$Q$16&lt;&gt;TRUE)), 3), """")"),"")</f>
        <v/>
      </c>
      <c r="X95" s="593"/>
      <c r="Y95" s="590"/>
      <c r="Z95" s="593" t="str">
        <f>IFERROR(__xludf.DUMMYFUNCTION("IF(W95="""","""",IFERROR(INDEX(FILTER('特殊配信マスタ'!$O$3:$O$16, '特殊配信マスタ'!$E$3:$E$16=W95),1),""""))"),"")</f>
        <v/>
      </c>
      <c r="AA95" s="593" t="str">
        <f>IFERROR(__xludf.DUMMYFUNCTION("IF(W95="""","""",IFERROR(INDEX(FILTER('特殊配信マスタ'!$P$3:$P$16, '特殊配信マスタ'!$E$3:$E$16=W95),1),""""))"),"")</f>
        <v/>
      </c>
      <c r="AB95" s="590" t="str">
        <f>IFERROR(__xludf.DUMMYFUNCTION("IFERROR(INDEX(FILTER('特殊配信マスタ'!$E$3:$E$16, (TEXT('特殊配信マスタ'!$A$3:$A$16,""ddd"")=TEXT(AB$1,""ddd""))*(IFERROR(VALUE('特殊配信マスタ'!$B$3:$B$16),0)=VALUE(LOOKUP(2,1/($A$3:$A95&lt;&gt;""""),$A$3:$A95)))*('特殊配信マスタ'!$Q$3:$Q$16&lt;&gt;TRUE)), 3), """")"),"")</f>
        <v/>
      </c>
      <c r="AC95" s="593"/>
      <c r="AD95" s="590"/>
      <c r="AE95" s="593" t="str">
        <f>IFERROR(__xludf.DUMMYFUNCTION("IF(AB95="""","""",IFERROR(INDEX(FILTER('特殊配信マスタ'!$O$3:$O$16, '特殊配信マスタ'!$E$3:$E$16=AB95),1),""""))"),"")</f>
        <v/>
      </c>
      <c r="AF95" s="593" t="str">
        <f>IFERROR(__xludf.DUMMYFUNCTION("IF(AB95="""","""",IFERROR(INDEX(FILTER('特殊配信マスタ'!$P$3:$P$16, '特殊配信マスタ'!$E$3:$E$16=AB95),1),""""))"),"")</f>
        <v/>
      </c>
      <c r="AG95" s="590" t="str">
        <f>IFERROR(__xludf.DUMMYFUNCTION("IFERROR(INDEX(FILTER('特殊配信マスタ'!$E$3:$E$16, (TEXT('特殊配信マスタ'!$A$3:$A$16,""ddd"")=TEXT(AG$1,""ddd""))*(IFERROR(VALUE('特殊配信マスタ'!$B$3:$B$16),0)=VALUE(LOOKUP(2,1/($A$3:$A95&lt;&gt;""""),$A$3:$A95)))*('特殊配信マスタ'!$Q$3:$Q$16&lt;&gt;TRUE)), 3), """")"),"")</f>
        <v/>
      </c>
      <c r="AH95" s="593"/>
      <c r="AI95" s="590"/>
      <c r="AJ95" s="593" t="str">
        <f>IFERROR(__xludf.DUMMYFUNCTION("IF(AG95="""","""",IFERROR(INDEX(FILTER('特殊配信マスタ'!$O$3:$O$16, '特殊配信マスタ'!$E$3:$E$16=AG95),1),""""))"),"")</f>
        <v/>
      </c>
      <c r="AK95" s="593" t="str">
        <f>IFERROR(__xludf.DUMMYFUNCTION("IF(AG95="""","""",IFERROR(INDEX(FILTER('特殊配信マスタ'!$P$3:$P$16, '特殊配信マスタ'!$E$3:$E$16=AG95),1),""""))"),"")</f>
        <v/>
      </c>
    </row>
    <row r="96" ht="17.25" customHeight="1">
      <c r="A96" s="587"/>
      <c r="B96" s="588"/>
      <c r="C96" s="590" t="str">
        <f>IFERROR(__xludf.DUMMYFUNCTION("IFERROR(INDEX(FILTER('特殊配信マスタ'!$E$3:$E$16, (TEXT('特殊配信マスタ'!$A$3:$A$16,""ddd"")=TEXT(C$1,""ddd""))*(IFERROR(VALUE('特殊配信マスタ'!$B$3:$B$16),0)=VALUE(LOOKUP(2,1/($A$3:$A96&lt;&gt;""""),$A$3:$A96)))*('特殊配信マスタ'!$Q$3:$Q$16&lt;&gt;TRUE)), 4), """")"),"")</f>
        <v/>
      </c>
      <c r="D96" s="593" t="str">
        <f>IFERROR(__xludf.DUMMYFUNCTION("IF(C96="""","""",IFERROR(INDEX(FILTER('特殊配信マスタ'!$F$3:$F$16,('特殊配信マスタ'!$A$3:$A$16=CHOOSE(WEEKDAY(C$1),""日"",""月"",""火"",""水"",""木"",""金"",""土""))*('特殊配信マスタ'!$B$3:$B$16=A$3)*('特殊配信マスタ'!$R$3:$R$16=MOD(INT((C$1-'特殊配信マスタ'!$A$1)/7),3)+1)),1),""""))"),"")</f>
        <v/>
      </c>
      <c r="E96" s="590"/>
      <c r="F96" s="593" t="str">
        <f>IFERROR(__xludf.DUMMYFUNCTION("IF(C96="""","""",IFERROR(INDEX(FILTER('特殊配信マスタ'!$O$3:$O$16, '特殊配信マスタ'!$E$3:$E$16=C96),1),""""))"),"")</f>
        <v/>
      </c>
      <c r="G96" s="593" t="str">
        <f>IFERROR(__xludf.DUMMYFUNCTION("IF(C96="""","""",IFERROR(INDEX(FILTER('特殊配信マスタ'!$P$3:$P$16, '特殊配信マスタ'!$E$3:$E$16=C96),1),""""))"),"")</f>
        <v/>
      </c>
      <c r="H96" s="590" t="str">
        <f>IFERROR(__xludf.DUMMYFUNCTION("IFERROR(INDEX(FILTER('特殊配信マスタ'!$E$3:$E$16, (TEXT('特殊配信マスタ'!$A$3:$A$16,""ddd"")=TEXT(H$1,""ddd""))*(IFERROR(VALUE('特殊配信マスタ'!$B$3:$B$16),0)=VALUE(LOOKUP(2,1/($A$3:$A96&lt;&gt;""""),$A$3:$A96)))*('特殊配信マスタ'!$Q$3:$Q$16&lt;&gt;TRUE)), 4), """")"),"")</f>
        <v/>
      </c>
      <c r="I96" s="593" t="str">
        <f>IFERROR(__xludf.DUMMYFUNCTION("IF(H96="""","""",IFERROR(INDEX(FILTER('特殊配信マスタ'!$F$3:$F$16,('特殊配信マスタ'!$A$3:$A$16=CHOOSE(WEEKDAY(H$1),""日"",""月"",""火"",""水"",""木"",""金"",""土""))*('特殊配信マスタ'!$B$3:$B$16=F$3)*('特殊配信マスタ'!$R$3:$R$16=MOD(INT((H$1-'特殊配信マスタ'!$A$1)/7),3)+1)),1),""""))"),"")</f>
        <v/>
      </c>
      <c r="J96" s="590"/>
      <c r="K96" s="593" t="str">
        <f>IFERROR(__xludf.DUMMYFUNCTION("IF(H96="""","""",IFERROR(INDEX(FILTER('特殊配信マスタ'!$O$3:$O$16, '特殊配信マスタ'!$E$3:$E$16=H96),1),""""))"),"")</f>
        <v/>
      </c>
      <c r="L96" s="593" t="str">
        <f>IFERROR(__xludf.DUMMYFUNCTION("IF(H96="""","""",IFERROR(INDEX(FILTER('特殊配信マスタ'!$P$3:$P$16, '特殊配信マスタ'!$E$3:$E$16=H96),1),""""))"),"")</f>
        <v/>
      </c>
      <c r="M96" s="590" t="str">
        <f>IFERROR(__xludf.DUMMYFUNCTION("IFERROR(INDEX(FILTER('特殊配信マスタ'!$E$3:$E$16, (TEXT('特殊配信マスタ'!$A$3:$A$16,""ddd"")=TEXT(M$1,""ddd""))*(IFERROR(VALUE('特殊配信マスタ'!$B$3:$B$16),0)=VALUE(LOOKUP(2,1/($A$3:$A96&lt;&gt;""""),$A$3:$A96)))*('特殊配信マスタ'!$Q$3:$Q$16&lt;&gt;TRUE)), 4), """")"),"")</f>
        <v/>
      </c>
      <c r="N96" s="593" t="str">
        <f>IFERROR(__xludf.DUMMYFUNCTION("IF(M96="""","""",IFERROR(INDEX(FILTER('特殊配信マスタ'!$F$3:$F$16,('特殊配信マスタ'!$A$3:$A$16=CHOOSE(WEEKDAY(M$1),""日"",""月"",""火"",""水"",""木"",""金"",""土""))*('特殊配信マスタ'!$B$3:$B$16=K$3)*('特殊配信マスタ'!$R$3:$R$16=MOD(INT((M$1-'特殊配信マスタ'!$A$1)/7),3)+1)),1),""""))"),"")</f>
        <v/>
      </c>
      <c r="O96" s="590"/>
      <c r="P96" s="593" t="str">
        <f>IFERROR(__xludf.DUMMYFUNCTION("IF(M96="""","""",IFERROR(INDEX(FILTER('特殊配信マスタ'!$O$3:$O$16, '特殊配信マスタ'!$E$3:$E$16=M96),1),""""))"),"")</f>
        <v/>
      </c>
      <c r="Q96" s="593" t="str">
        <f>IFERROR(__xludf.DUMMYFUNCTION("IF(M96="""","""",IFERROR(INDEX(FILTER('特殊配信マスタ'!$P$3:$P$16, '特殊配信マスタ'!$E$3:$E$16=M96),1),""""))"),"")</f>
        <v/>
      </c>
      <c r="R96" s="590" t="str">
        <f>IFERROR(__xludf.DUMMYFUNCTION("IFERROR(INDEX(FILTER('特殊配信マスタ'!$E$3:$E$16, (TEXT('特殊配信マスタ'!$A$3:$A$16,""ddd"")=TEXT(R$1,""ddd""))*(IFERROR(VALUE('特殊配信マスタ'!$B$3:$B$16),0)=VALUE(LOOKUP(2,1/($A$3:$A96&lt;&gt;""""),$A$3:$A96)))*('特殊配信マスタ'!$Q$3:$Q$16&lt;&gt;TRUE)), 4), """")"),"")</f>
        <v/>
      </c>
      <c r="S96" s="593" t="str">
        <f>IFERROR(__xludf.DUMMYFUNCTION("IF(R96="""","""",IFERROR(INDEX(FILTER('特殊配信マスタ'!$F$3:$F$16,('特殊配信マスタ'!$A$3:$A$16=CHOOSE(WEEKDAY(R$1),""日"",""月"",""火"",""水"",""木"",""金"",""土""))*('特殊配信マスタ'!$B$3:$B$16=P$3)*('特殊配信マスタ'!$R$3:$R$16=MOD(INT((R$1-'特殊配信マスタ'!$A$1)/7),3)+1)),1),""""))"),"")</f>
        <v/>
      </c>
      <c r="T96" s="590"/>
      <c r="U96" s="593" t="str">
        <f>IFERROR(__xludf.DUMMYFUNCTION("IF(R96="""","""",IFERROR(INDEX(FILTER('特殊配信マスタ'!$O$3:$O$16, '特殊配信マスタ'!$E$3:$E$16=R96),1),""""))"),"")</f>
        <v/>
      </c>
      <c r="V96" s="593" t="str">
        <f>IFERROR(__xludf.DUMMYFUNCTION("IF(R96="""","""",IFERROR(INDEX(FILTER('特殊配信マスタ'!$P$3:$P$16, '特殊配信マスタ'!$E$3:$E$16=R96),1),""""))"),"")</f>
        <v/>
      </c>
      <c r="W96" s="590" t="str">
        <f>IFERROR(__xludf.DUMMYFUNCTION("IFERROR(INDEX(FILTER('特殊配信マスタ'!$E$3:$E$16, (TEXT('特殊配信マスタ'!$A$3:$A$16,""ddd"")=TEXT(W$1,""ddd""))*(IFERROR(VALUE('特殊配信マスタ'!$B$3:$B$16),0)=VALUE(LOOKUP(2,1/($A$3:$A96&lt;&gt;""""),$A$3:$A96)))*('特殊配信マスタ'!$Q$3:$Q$16&lt;&gt;TRUE)), 4), """")"),"")</f>
        <v/>
      </c>
      <c r="X96" s="593" t="str">
        <f>IFERROR(__xludf.DUMMYFUNCTION("IF(W96="""","""",IFERROR(INDEX(FILTER('特殊配信マスタ'!$F$3:$F$16,('特殊配信マスタ'!$A$3:$A$16=CHOOSE(WEEKDAY(W$1),""日"",""月"",""火"",""水"",""木"",""金"",""土""))*('特殊配信マスタ'!$B$3:$B$16=U$3)*('特殊配信マスタ'!$R$3:$R$16=MOD(INT((W$1-'特殊配信マスタ'!$A$1)/7),3)+1)),1),""""))"),"")</f>
        <v/>
      </c>
      <c r="Y96" s="590"/>
      <c r="Z96" s="593" t="str">
        <f>IFERROR(__xludf.DUMMYFUNCTION("IF(W96="""","""",IFERROR(INDEX(FILTER('特殊配信マスタ'!$O$3:$O$16, '特殊配信マスタ'!$E$3:$E$16=W96),1),""""))"),"")</f>
        <v/>
      </c>
      <c r="AA96" s="593" t="str">
        <f>IFERROR(__xludf.DUMMYFUNCTION("IF(W96="""","""",IFERROR(INDEX(FILTER('特殊配信マスタ'!$P$3:$P$16, '特殊配信マスタ'!$E$3:$E$16=W96),1),""""))"),"")</f>
        <v/>
      </c>
      <c r="AB96" s="590" t="str">
        <f>IFERROR(__xludf.DUMMYFUNCTION("IFERROR(INDEX(FILTER('特殊配信マスタ'!$E$3:$E$16, (TEXT('特殊配信マスタ'!$A$3:$A$16,""ddd"")=TEXT(AB$1,""ddd""))*(IFERROR(VALUE('特殊配信マスタ'!$B$3:$B$16),0)=VALUE(LOOKUP(2,1/($A$3:$A96&lt;&gt;""""),$A$3:$A96)))*('特殊配信マスタ'!$Q$3:$Q$16&lt;&gt;TRUE)), 4), """")"),"")</f>
        <v/>
      </c>
      <c r="AC96" s="593" t="str">
        <f>IFERROR(__xludf.DUMMYFUNCTION("IF(AB96="""","""",IFERROR(INDEX(FILTER('特殊配信マスタ'!$F$3:$F$16,('特殊配信マスタ'!$A$3:$A$16=CHOOSE(WEEKDAY(AB$1),""日"",""月"",""火"",""水"",""木"",""金"",""土""))*('特殊配信マスタ'!$B$3:$B$16=Z$3)*('特殊配信マスタ'!$R$3:$R$16=MOD(INT((AB$1-'特殊配信マスタ'!$A$1)/7),3)+1)),1),""""))"),"")</f>
        <v/>
      </c>
      <c r="AD96" s="590"/>
      <c r="AE96" s="593" t="str">
        <f>IFERROR(__xludf.DUMMYFUNCTION("IF(AB96="""","""",IFERROR(INDEX(FILTER('特殊配信マスタ'!$O$3:$O$16, '特殊配信マスタ'!$E$3:$E$16=AB96),1),""""))"),"")</f>
        <v/>
      </c>
      <c r="AF96" s="593" t="str">
        <f>IFERROR(__xludf.DUMMYFUNCTION("IF(AB96="""","""",IFERROR(INDEX(FILTER('特殊配信マスタ'!$P$3:$P$16, '特殊配信マスタ'!$E$3:$E$16=AB96),1),""""))"),"")</f>
        <v/>
      </c>
      <c r="AG96" s="590" t="str">
        <f>IFERROR(__xludf.DUMMYFUNCTION("IFERROR(INDEX(FILTER('特殊配信マスタ'!$E$3:$E$16, (TEXT('特殊配信マスタ'!$A$3:$A$16,""ddd"")=TEXT(AG$1,""ddd""))*(IFERROR(VALUE('特殊配信マスタ'!$B$3:$B$16),0)=VALUE(LOOKUP(2,1/($A$3:$A96&lt;&gt;""""),$A$3:$A96)))*('特殊配信マスタ'!$Q$3:$Q$16&lt;&gt;TRUE)), 4), """")"),"")</f>
        <v/>
      </c>
      <c r="AH96" s="593" t="str">
        <f>IFERROR(__xludf.DUMMYFUNCTION("IF(AG96="""","""",IFERROR(INDEX(FILTER('特殊配信マスタ'!$F$3:$F$16,('特殊配信マスタ'!$A$3:$A$16=CHOOSE(WEEKDAY(AG$1),""日"",""月"",""火"",""水"",""木"",""金"",""土""))*('特殊配信マスタ'!$B$3:$B$16=AE$3)*('特殊配信マスタ'!$R$3:$R$16=MOD(INT((AG$1-'特殊配信マスタ'!$A$1)/7),3)+1)),1),""""))"),"")</f>
        <v/>
      </c>
      <c r="AI96" s="590"/>
      <c r="AJ96" s="593" t="str">
        <f>IFERROR(__xludf.DUMMYFUNCTION("IF(AG96="""","""",IFERROR(INDEX(FILTER('特殊配信マスタ'!$O$3:$O$16, '特殊配信マスタ'!$E$3:$E$16=AG96),1),""""))"),"")</f>
        <v/>
      </c>
      <c r="AK96" s="593" t="str">
        <f>IFERROR(__xludf.DUMMYFUNCTION("IF(AG96="""","""",IFERROR(INDEX(FILTER('特殊配信マスタ'!$P$3:$P$16, '特殊配信マスタ'!$E$3:$E$16=AG96),1),""""))"),"")</f>
        <v/>
      </c>
    </row>
    <row r="97" ht="17.25" customHeight="1">
      <c r="A97" s="599"/>
      <c r="B97" s="592"/>
      <c r="C97" s="590" t="str">
        <f>IFERROR(__xludf.DUMMYFUNCTION("IFERROR(INDEX(FILTER('特殊配信マスタ'!$E$3:$E$16, (TEXT('特殊配信マスタ'!$A$3:$A$16,""ddd"")=TEXT(C$1,""ddd""))*(IFERROR(VALUE('特殊配信マスタ'!$B$3:$B$16),0)=VALUE(LOOKUP(2,1/($A$3:$A97&lt;&gt;""""),$A$3:$A97)))*('特殊配信マスタ'!$Q$3:$Q$16&lt;&gt;TRUE)), 5), """")"),"")</f>
        <v/>
      </c>
      <c r="D97" s="593" t="str">
        <f>IFERROR(__xludf.DUMMYFUNCTION("IF(C97="""","""",IFERROR(INDEX(FILTER('特殊配信マスタ'!$F$3:$F$16,('特殊配信マスタ'!$A$3:$A$16=CHOOSE(WEEKDAY(C$1),""日"",""月"",""火"",""水"",""木"",""金"",""土""))*('特殊配信マスタ'!$B$3:$B$16=A$3)*('特殊配信マスタ'!$R$3:$R$16=MOD(INT((C$1-'特殊配信マスタ'!$A$1)/7),3)+1)),1),""""))"),"")</f>
        <v/>
      </c>
      <c r="E97" s="590"/>
      <c r="F97" s="593" t="str">
        <f>IFERROR(__xludf.DUMMYFUNCTION("IF(C97="""","""",IFERROR(INDEX(FILTER('特殊配信マスタ'!$O$3:$O$16, '特殊配信マスタ'!$E$3:$E$16=C97),1),""""))"),"")</f>
        <v/>
      </c>
      <c r="G97" s="593" t="str">
        <f>IFERROR(__xludf.DUMMYFUNCTION("IF(C97="""","""",IFERROR(INDEX(FILTER('特殊配信マスタ'!$P$3:$P$16, '特殊配信マスタ'!$E$3:$E$16=C97),1),""""))"),"")</f>
        <v/>
      </c>
      <c r="H97" s="590" t="str">
        <f>IFERROR(__xludf.DUMMYFUNCTION("IFERROR(INDEX(FILTER('特殊配信マスタ'!$E$3:$E$16, (TEXT('特殊配信マスタ'!$A$3:$A$16,""ddd"")=TEXT(H$1,""ddd""))*(IFERROR(VALUE('特殊配信マスタ'!$B$3:$B$16),0)=VALUE(LOOKUP(2,1/($A$3:$A97&lt;&gt;""""),$A$3:$A97)))*('特殊配信マスタ'!$Q$3:$Q$16&lt;&gt;TRUE)), 5), """")"),"")</f>
        <v/>
      </c>
      <c r="I97" s="593" t="str">
        <f>IFERROR(__xludf.DUMMYFUNCTION("IF(H97="""","""",IFERROR(INDEX(FILTER('特殊配信マスタ'!$F$3:$F$16,('特殊配信マスタ'!$A$3:$A$16=CHOOSE(WEEKDAY(H$1),""日"",""月"",""火"",""水"",""木"",""金"",""土""))*('特殊配信マスタ'!$B$3:$B$16=F$3)*('特殊配信マスタ'!$R$3:$R$16=MOD(INT((H$1-'特殊配信マスタ'!$A$1)/7),3)+1)),1),""""))"),"")</f>
        <v/>
      </c>
      <c r="J97" s="590"/>
      <c r="K97" s="593" t="str">
        <f>IFERROR(__xludf.DUMMYFUNCTION("IF(H97="""","""",IFERROR(INDEX(FILTER('特殊配信マスタ'!$O$3:$O$16, '特殊配信マスタ'!$E$3:$E$16=H97),1),""""))"),"")</f>
        <v/>
      </c>
      <c r="L97" s="593" t="str">
        <f>IFERROR(__xludf.DUMMYFUNCTION("IF(H97="""","""",IFERROR(INDEX(FILTER('特殊配信マスタ'!$P$3:$P$16, '特殊配信マスタ'!$E$3:$E$16=H97),1),""""))"),"")</f>
        <v/>
      </c>
      <c r="M97" s="590" t="str">
        <f>IFERROR(__xludf.DUMMYFUNCTION("IFERROR(INDEX(FILTER('特殊配信マスタ'!$E$3:$E$16, (TEXT('特殊配信マスタ'!$A$3:$A$16,""ddd"")=TEXT(M$1,""ddd""))*(IFERROR(VALUE('特殊配信マスタ'!$B$3:$B$16),0)=VALUE(LOOKUP(2,1/($A$3:$A97&lt;&gt;""""),$A$3:$A97)))*('特殊配信マスタ'!$Q$3:$Q$16&lt;&gt;TRUE)), 5), """")"),"")</f>
        <v/>
      </c>
      <c r="N97" s="593" t="str">
        <f>IFERROR(__xludf.DUMMYFUNCTION("IF(M97="""","""",IFERROR(INDEX(FILTER('特殊配信マスタ'!$F$3:$F$16,('特殊配信マスタ'!$A$3:$A$16=CHOOSE(WEEKDAY(M$1),""日"",""月"",""火"",""水"",""木"",""金"",""土""))*('特殊配信マスタ'!$B$3:$B$16=K$3)*('特殊配信マスタ'!$R$3:$R$16=MOD(INT((M$1-'特殊配信マスタ'!$A$1)/7),3)+1)),1),""""))"),"")</f>
        <v/>
      </c>
      <c r="O97" s="590"/>
      <c r="P97" s="593" t="str">
        <f>IFERROR(__xludf.DUMMYFUNCTION("IF(M97="""","""",IFERROR(INDEX(FILTER('特殊配信マスタ'!$O$3:$O$16, '特殊配信マスタ'!$E$3:$E$16=M97),1),""""))"),"")</f>
        <v/>
      </c>
      <c r="Q97" s="593" t="str">
        <f>IFERROR(__xludf.DUMMYFUNCTION("IF(M97="""","""",IFERROR(INDEX(FILTER('特殊配信マスタ'!$P$3:$P$16, '特殊配信マスタ'!$E$3:$E$16=M97),1),""""))"),"")</f>
        <v/>
      </c>
      <c r="R97" s="590" t="str">
        <f>IFERROR(__xludf.DUMMYFUNCTION("IFERROR(INDEX(FILTER('特殊配信マスタ'!$E$3:$E$16, (TEXT('特殊配信マスタ'!$A$3:$A$16,""ddd"")=TEXT(R$1,""ddd""))*(IFERROR(VALUE('特殊配信マスタ'!$B$3:$B$16),0)=VALUE(LOOKUP(2,1/($A$3:$A97&lt;&gt;""""),$A$3:$A97)))*('特殊配信マスタ'!$Q$3:$Q$16&lt;&gt;TRUE)), 5), """")"),"")</f>
        <v/>
      </c>
      <c r="S97" s="593" t="str">
        <f>IFERROR(__xludf.DUMMYFUNCTION("IF(R97="""","""",IFERROR(INDEX(FILTER('特殊配信マスタ'!$F$3:$F$16,('特殊配信マスタ'!$A$3:$A$16=CHOOSE(WEEKDAY(R$1),""日"",""月"",""火"",""水"",""木"",""金"",""土""))*('特殊配信マスタ'!$B$3:$B$16=P$3)*('特殊配信マスタ'!$R$3:$R$16=MOD(INT((R$1-'特殊配信マスタ'!$A$1)/7),3)+1)),1),""""))"),"")</f>
        <v/>
      </c>
      <c r="T97" s="590"/>
      <c r="U97" s="593" t="str">
        <f>IFERROR(__xludf.DUMMYFUNCTION("IF(R97="""","""",IFERROR(INDEX(FILTER('特殊配信マスタ'!$O$3:$O$16, '特殊配信マスタ'!$E$3:$E$16=R97),1),""""))"),"")</f>
        <v/>
      </c>
      <c r="V97" s="593" t="str">
        <f>IFERROR(__xludf.DUMMYFUNCTION("IF(R97="""","""",IFERROR(INDEX(FILTER('特殊配信マスタ'!$P$3:$P$16, '特殊配信マスタ'!$E$3:$E$16=R97),1),""""))"),"")</f>
        <v/>
      </c>
      <c r="W97" s="590" t="str">
        <f>IFERROR(__xludf.DUMMYFUNCTION("IFERROR(INDEX(FILTER('特殊配信マスタ'!$E$3:$E$16, (TEXT('特殊配信マスタ'!$A$3:$A$16,""ddd"")=TEXT(W$1,""ddd""))*(IFERROR(VALUE('特殊配信マスタ'!$B$3:$B$16),0)=VALUE(LOOKUP(2,1/($A$3:$A97&lt;&gt;""""),$A$3:$A97)))*('特殊配信マスタ'!$Q$3:$Q$16&lt;&gt;TRUE)), 5), """")"),"")</f>
        <v/>
      </c>
      <c r="X97" s="593" t="str">
        <f>IFERROR(__xludf.DUMMYFUNCTION("IF(W97="""","""",IFERROR(INDEX(FILTER('特殊配信マスタ'!$F$3:$F$16,('特殊配信マスタ'!$A$3:$A$16=CHOOSE(WEEKDAY(W$1),""日"",""月"",""火"",""水"",""木"",""金"",""土""))*('特殊配信マスタ'!$B$3:$B$16=U$3)*('特殊配信マスタ'!$R$3:$R$16=MOD(INT((W$1-'特殊配信マスタ'!$A$1)/7),3)+1)),1),""""))"),"")</f>
        <v/>
      </c>
      <c r="Y97" s="590"/>
      <c r="Z97" s="593" t="str">
        <f>IFERROR(__xludf.DUMMYFUNCTION("IF(W97="""","""",IFERROR(INDEX(FILTER('特殊配信マスタ'!$O$3:$O$16, '特殊配信マスタ'!$E$3:$E$16=W97),1),""""))"),"")</f>
        <v/>
      </c>
      <c r="AA97" s="593" t="str">
        <f>IFERROR(__xludf.DUMMYFUNCTION("IF(W97="""","""",IFERROR(INDEX(FILTER('特殊配信マスタ'!$P$3:$P$16, '特殊配信マスタ'!$E$3:$E$16=W97),1),""""))"),"")</f>
        <v/>
      </c>
      <c r="AB97" s="590" t="str">
        <f>IFERROR(__xludf.DUMMYFUNCTION("IFERROR(INDEX(FILTER('特殊配信マスタ'!$E$3:$E$16, (TEXT('特殊配信マスタ'!$A$3:$A$16,""ddd"")=TEXT(AB$1,""ddd""))*(IFERROR(VALUE('特殊配信マスタ'!$B$3:$B$16),0)=VALUE(LOOKUP(2,1/($A$3:$A97&lt;&gt;""""),$A$3:$A97)))*('特殊配信マスタ'!$Q$3:$Q$16&lt;&gt;TRUE)), 5), """")"),"")</f>
        <v/>
      </c>
      <c r="AC97" s="593" t="str">
        <f>IFERROR(__xludf.DUMMYFUNCTION("IF(AB97="""","""",IFERROR(INDEX(FILTER('特殊配信マスタ'!$F$3:$F$16,('特殊配信マスタ'!$A$3:$A$16=CHOOSE(WEEKDAY(AB$1),""日"",""月"",""火"",""水"",""木"",""金"",""土""))*('特殊配信マスタ'!$B$3:$B$16=Z$3)*('特殊配信マスタ'!$R$3:$R$16=MOD(INT((AB$1-'特殊配信マスタ'!$A$1)/7),3)+1)),1),""""))"),"")</f>
        <v/>
      </c>
      <c r="AD97" s="590"/>
      <c r="AE97" s="593" t="str">
        <f>IFERROR(__xludf.DUMMYFUNCTION("IF(AB97="""","""",IFERROR(INDEX(FILTER('特殊配信マスタ'!$O$3:$O$16, '特殊配信マスタ'!$E$3:$E$16=AB97),1),""""))"),"")</f>
        <v/>
      </c>
      <c r="AF97" s="593" t="str">
        <f>IFERROR(__xludf.DUMMYFUNCTION("IF(AB97="""","""",IFERROR(INDEX(FILTER('特殊配信マスタ'!$P$3:$P$16, '特殊配信マスタ'!$E$3:$E$16=AB97),1),""""))"),"")</f>
        <v/>
      </c>
      <c r="AG97" s="590" t="str">
        <f>IFERROR(__xludf.DUMMYFUNCTION("IFERROR(INDEX(FILTER('特殊配信マスタ'!$E$3:$E$16, (TEXT('特殊配信マスタ'!$A$3:$A$16,""ddd"")=TEXT(AG$1,""ddd""))*(IFERROR(VALUE('特殊配信マスタ'!$B$3:$B$16),0)=VALUE(LOOKUP(2,1/($A$3:$A97&lt;&gt;""""),$A$3:$A97)))*('特殊配信マスタ'!$Q$3:$Q$16&lt;&gt;TRUE)), 5), """")"),"")</f>
        <v/>
      </c>
      <c r="AH97" s="593" t="str">
        <f>IFERROR(__xludf.DUMMYFUNCTION("IF(AG97="""","""",IFERROR(INDEX(FILTER('特殊配信マスタ'!$F$3:$F$16,('特殊配信マスタ'!$A$3:$A$16=CHOOSE(WEEKDAY(AG$1),""日"",""月"",""火"",""水"",""木"",""金"",""土""))*('特殊配信マスタ'!$B$3:$B$16=AE$3)*('特殊配信マスタ'!$R$3:$R$16=MOD(INT((AG$1-'特殊配信マスタ'!$A$1)/7),3)+1)),1),""""))"),"")</f>
        <v/>
      </c>
      <c r="AI97" s="590"/>
      <c r="AJ97" s="593" t="str">
        <f>IFERROR(__xludf.DUMMYFUNCTION("IF(AG97="""","""",IFERROR(INDEX(FILTER('特殊配信マスタ'!$O$3:$O$16, '特殊配信マスタ'!$E$3:$E$16=AG97),1),""""))"),"")</f>
        <v/>
      </c>
      <c r="AK97" s="593" t="str">
        <f>IFERROR(__xludf.DUMMYFUNCTION("IF(AG97="""","""",IFERROR(INDEX(FILTER('特殊配信マスタ'!$P$3:$P$16, '特殊配信マスタ'!$E$3:$E$16=AG97),1),""""))"),"")</f>
        <v/>
      </c>
    </row>
    <row r="98" ht="17.25" customHeight="1">
      <c r="A98" s="584">
        <f>A79+1</f>
        <v>13</v>
      </c>
      <c r="B98" s="585" t="s">
        <v>1450</v>
      </c>
      <c r="C98" s="586" t="str">
        <f>IFERROR(__xludf.DUMMYFUNCTION("IFERROR(FILTER('リスト'!$E$4:$E$349, (TEXT('リスト'!$A$4:$A$349,""ddd"")=TEXT(C$1, ""ddd""))*('リスト'!$B$4:$B$349=LOOKUP(2,1/($A$3:$A98&lt;&gt;""""),$A$3:$A98))*(('リスト'!$G$4:$G$349=""毎週配信"")+('リスト'!$G$4:$G$349=$A$1))), """")"),"")</f>
        <v/>
      </c>
      <c r="D98" s="8" t="str">
        <f t="array" ref="D98">IFERROR(XLOOKUP(C98, 'リスト'!$E:$E, 'リスト'!$F:$F, ""), "")</f>
        <v/>
      </c>
      <c r="E98" s="8">
        <f>SUM(D98:D116)</f>
        <v>0</v>
      </c>
      <c r="F98" s="8" t="str">
        <f>IFERROR(__xludf.DUMMYFUNCTION("IF(C98="""","""",IFERROR(INDEX(FILTER('リスト'!$O$4:$O$349, 'リスト'!$E$4:$E$349=C98),1),""""))"),"")</f>
        <v/>
      </c>
      <c r="G98" s="8" t="str">
        <f>IFERROR(__xludf.DUMMYFUNCTION("IF(C98="""","""",IFERROR(INDEX(FILTER('リスト'!$P$4:$P$349, 'リスト'!$E$4:$E$349=C98),1),""""))"),"")</f>
        <v/>
      </c>
      <c r="H98" s="600" t="str">
        <f>IFERROR(__xludf.DUMMYFUNCTION("IFERROR(FILTER('リスト'!$E$4:$E$349, (TEXT('リスト'!$A$4:$A$349,""ddd"")=TEXT(H$1, ""ddd""))*('リスト'!$B$4:$B$349=LOOKUP(2,1/($A$3:$A98&lt;&gt;""""),$A$3:$A98))*(('リスト'!$G$4:$G$349=""毎週配信"")+('リスト'!$G$4:$G$349=$A$1))), """")"),"◇掲載終了前+UP A")</f>
        <v>◇掲載終了前+UP A</v>
      </c>
      <c r="I98" s="8">
        <f t="array" ref="I98">IFERROR(XLOOKUP(H98, 'リスト'!$E:$E, 'リスト'!$F:$F, ""), "")</f>
        <v>2.5</v>
      </c>
      <c r="J98" s="8">
        <f>SUM(I98:I116)</f>
        <v>4.9</v>
      </c>
      <c r="K98" s="8" t="str">
        <f>IFERROR(__xludf.DUMMYFUNCTION("IF(H98="""","""",IFERROR(INDEX(FILTER('リスト'!$O$4:$O$349, 'リスト'!$E$4:$E$349=H98),1),""""))"),"平")</f>
        <v>平</v>
      </c>
      <c r="L98" s="8" t="str">
        <f>IFERROR(__xludf.DUMMYFUNCTION("IF(H98="""","""",IFERROR(INDEX(FILTER('リスト'!$P$4:$P$349, 'リスト'!$E$4:$E$349=H98),1),""""))"),"内")</f>
        <v>内</v>
      </c>
      <c r="M98" s="600" t="str">
        <f>IFERROR(__xludf.DUMMYFUNCTION("IFERROR(FILTER('リスト'!$E$4:$E$349, (TEXT('リスト'!$A$4:$A$349,""ddd"")=TEXT(M$1, ""ddd""))*('リスト'!$B$4:$B$349=LOOKUP(2,1/($A$3:$A98&lt;&gt;""""),$A$3:$A98))*(('リスト'!$G$4:$G$349=""毎週配信"")+('リスト'!$G$4:$G$349=$A$1))), """")"),"☆TP部_事務_現住所")</f>
        <v>☆TP部_事務_現住所</v>
      </c>
      <c r="N98" s="8">
        <f t="array" ref="N98">IFERROR(XLOOKUP(M98, 'リスト'!$E:$E, 'リスト'!$F:$F, ""), "")</f>
        <v>2.4</v>
      </c>
      <c r="O98" s="8">
        <f>SUM(N98:N116)</f>
        <v>2.4</v>
      </c>
      <c r="P98" s="8" t="str">
        <f>IFERROR(__xludf.DUMMYFUNCTION("IF(M98="""","""",IFERROR(INDEX(FILTER('リスト'!$O$4:$O$349, 'リスト'!$E$4:$E$349=M98),1),""""))"),"部")</f>
        <v>部</v>
      </c>
      <c r="Q98" s="8" t="str">
        <f>IFERROR(__xludf.DUMMYFUNCTION("IF(M98="""","""",IFERROR(INDEX(FILTER('リスト'!$P$4:$P$349, 'リスト'!$E$4:$E$349=M98),1),""""))"),"石")</f>
        <v>石</v>
      </c>
      <c r="R98" s="586" t="str">
        <f>IFERROR(__xludf.DUMMYFUNCTION("IFERROR(FILTER('リスト'!$E$4:$E$349, (TEXT('リスト'!$A$4:$A$349,""ddd"")=TEXT(R$1, ""ddd""))*('リスト'!$B$4:$B$349=LOOKUP(2,1/($A$3:$A98&lt;&gt;""""),$A$3:$A98))*(('リスト'!$G$4:$G$349=""毎週配信"")+('リスト'!$G$4:$G$349=$A$1))), """")"),"外部人気求人ランキング")</f>
        <v>外部人気求人ランキング</v>
      </c>
      <c r="S98" s="8">
        <f t="array" ref="S98">IFERROR(XLOOKUP(R98, 'リスト'!$E:$E, 'リスト'!$F:$F, ""), "")</f>
        <v>1.4</v>
      </c>
      <c r="T98" s="8">
        <f>SUM(S98:S116)</f>
        <v>1.4</v>
      </c>
      <c r="U98" s="8" t="str">
        <f>IFERROR(__xludf.DUMMYFUNCTION("IF(R98="""","""",IFERROR(INDEX(FILTER('リスト'!$O$4:$O$349, 'リスト'!$E$4:$E$349=R98),1),""""))"),"石")</f>
        <v>石</v>
      </c>
      <c r="V98" s="8" t="str">
        <f>IFERROR(__xludf.DUMMYFUNCTION("IF(R98="""","""",IFERROR(INDEX(FILTER('リスト'!$P$4:$P$349, 'リスト'!$E$4:$E$349=R98),1),""""))"),"部")</f>
        <v>部</v>
      </c>
      <c r="W98" s="586" t="str">
        <f>IFERROR(__xludf.DUMMYFUNCTION("IFERROR(FILTER('リスト'!$E$4:$E$349, (TEXT('リスト'!$A$4:$A$349,""ddd"")=TEXT(W$1, ""ddd""))*('リスト'!$B$4:$B$349=LOOKUP(2,1/($A$3:$A98&lt;&gt;""""),$A$3:$A98))*(('リスト'!$G$4:$G$349=""毎週配信"")+('リスト'!$G$4:$G$349=$A$1))), """")"),"ランキング_営業（キャリアカウンセラー）_希望")</f>
        <v>ランキング_営業（キャリアカウンセラー）_希望</v>
      </c>
      <c r="X98" s="8">
        <f t="array" ref="X98">IFERROR(XLOOKUP(W98, 'リスト'!$E:$E, 'リスト'!$F:$F, ""), "")</f>
        <v>0.3</v>
      </c>
      <c r="Y98" s="8">
        <f>SUM(X98:X116)</f>
        <v>1.2</v>
      </c>
      <c r="Z98" s="8" t="str">
        <f>IFERROR(__xludf.DUMMYFUNCTION("IF(W98="""","""",IFERROR(INDEX(FILTER('リスト'!$O$4:$O$349, 'リスト'!$E$4:$E$349=W98),1),""""))"),"R")</f>
        <v>R</v>
      </c>
      <c r="AA98" s="8" t="str">
        <f>IFERROR(__xludf.DUMMYFUNCTION("IF(W98="""","""",IFERROR(INDEX(FILTER('リスト'!$P$4:$P$349, 'リスト'!$E$4:$E$349=W98),1),""""))"),"")</f>
        <v/>
      </c>
      <c r="AB98" s="586" t="str">
        <f>IFERROR(__xludf.DUMMYFUNCTION("IFERROR(FILTER('リスト'!$E$4:$E$349, (TEXT('リスト'!$A$4:$A$349,""ddd"")=TEXT(AB$1, ""ddd""))*('リスト'!$B$4:$B$349=LOOKUP(2,1/($A$3:$A98&lt;&gt;""""),$A$3:$A98))*(('リスト'!$G$4:$G$349=""毎週配信"")+('リスト'!$G$4:$G$349=$A$1))), """")"),"関西_フルリモート_求人特集")</f>
        <v>関西_フルリモート_求人特集</v>
      </c>
      <c r="AC98" s="8">
        <f t="array" ref="AC98">IFERROR(XLOOKUP(AB98, 'リスト'!$E:$E, 'リスト'!$F:$F, ""), "")</f>
        <v>1.6</v>
      </c>
      <c r="AD98" s="8">
        <f>SUM(AC98:AC116)</f>
        <v>3.7</v>
      </c>
      <c r="AE98" s="8" t="str">
        <f>IFERROR(__xludf.DUMMYFUNCTION("IF(AB98="""","""",IFERROR(INDEX(FILTER('リスト'!$O$4:$O$349, 'リスト'!$E$4:$E$349=AB98),1),""""))"),"部")</f>
        <v>部</v>
      </c>
      <c r="AF98" s="8" t="str">
        <f>IFERROR(__xludf.DUMMYFUNCTION("IF(AB98="""","""",IFERROR(INDEX(FILTER('リスト'!$P$4:$P$349, 'リスト'!$E$4:$E$349=AB98),1),""""))"),"石")</f>
        <v>石</v>
      </c>
      <c r="AG98" s="586" t="str">
        <f>IFERROR(__xludf.DUMMYFUNCTION("IFERROR(FILTER('リスト'!$E$4:$E$349, (TEXT('リスト'!$A$4:$A$349,""ddd"")=TEXT(AG$1, ""ddd""))*('リスト'!$B$4:$B$349=LOOKUP(2,1/($A$3:$A98&lt;&gt;""""),$A$3:$A98))*(('リスト'!$G$4:$G$349=""毎週配信"")+('リスト'!$G$4:$G$349=$A$1))), """")"),"リモートワーク B")</f>
        <v>リモートワーク B</v>
      </c>
      <c r="AH98" s="8">
        <f t="array" ref="AH98">IFERROR(XLOOKUP(AG98, 'リスト'!$E:$E, 'リスト'!$F:$F, ""), "")</f>
        <v>2.4</v>
      </c>
      <c r="AI98" s="8">
        <f>SUM(AH98:AH116)</f>
        <v>2.7</v>
      </c>
      <c r="AJ98" s="8" t="str">
        <f>IFERROR(__xludf.DUMMYFUNCTION("IF(AG98="""","""",IFERROR(INDEX(FILTER('リスト'!$O$4:$O$349, 'リスト'!$E$4:$E$349=AG98),1),""""))"),"R")</f>
        <v>R</v>
      </c>
      <c r="AK98" s="8" t="str">
        <f>IFERROR(__xludf.DUMMYFUNCTION("IF(AG98="""","""",IFERROR(INDEX(FILTER('リスト'!$P$4:$P$349, 'リスト'!$E$4:$E$349=AG98),1),""""))"),"")</f>
        <v/>
      </c>
    </row>
    <row r="99" ht="17.25" customHeight="1">
      <c r="A99" s="587"/>
      <c r="B99" s="588"/>
      <c r="C99" s="586"/>
      <c r="D99" s="8" t="str">
        <f t="array" ref="D99">IFERROR(XLOOKUP(C99, 'リスト'!$E:$E, 'リスト'!$F:$F, ""), "")</f>
        <v/>
      </c>
      <c r="E99" s="8"/>
      <c r="F99" s="8" t="str">
        <f t="array" ref="F99">IFERROR(XLOOKUP(C99, 'リスト'!$E:$E, 'リスト'!$O:$O, ""), "")</f>
        <v/>
      </c>
      <c r="G99" s="8" t="str">
        <f t="array" ref="G99">IFERROR(XLOOKUP(C99, 'リスト'!$E:$E, 'リスト'!$P:$P, ""), "")</f>
        <v/>
      </c>
      <c r="H99" s="586" t="str">
        <f>IFERROR(__xludf.DUMMYFUNCTION("""COMPUTED_VALUE"""),"◇掲載終了前+UP_35歳以上 A")</f>
        <v>◇掲載終了前+UP_35歳以上 A</v>
      </c>
      <c r="I99" s="8">
        <f t="array" ref="I99">IFERROR(XLOOKUP(H99, 'リスト'!$E:$E, 'リスト'!$F:$F, ""), "")</f>
        <v>1</v>
      </c>
      <c r="J99" s="8"/>
      <c r="K99" s="8" t="str">
        <f t="array" ref="K99">IFERROR(XLOOKUP(H99, 'リスト'!$E:$E, 'リスト'!$O:$O, ""), "")</f>
        <v>平</v>
      </c>
      <c r="L99" s="8" t="str">
        <f t="array" ref="L99">IFERROR(XLOOKUP(H99, 'リスト'!$E:$E, 'リスト'!$P:$P, ""), "")</f>
        <v>内</v>
      </c>
      <c r="M99" s="586"/>
      <c r="N99" s="8" t="str">
        <f t="array" ref="N99">IFERROR(XLOOKUP(M99, 'リスト'!$E:$E, 'リスト'!$F:$F, ""), "")</f>
        <v/>
      </c>
      <c r="O99" s="8"/>
      <c r="P99" s="8" t="str">
        <f t="array" ref="P99">IFERROR(XLOOKUP(M99, 'リスト'!$E:$E, 'リスト'!$O:$O, ""), "")</f>
        <v/>
      </c>
      <c r="Q99" s="8" t="str">
        <f t="array" ref="Q99">IFERROR(XLOOKUP(M99, 'リスト'!$E:$E, 'リスト'!$P:$P, ""), "")</f>
        <v/>
      </c>
      <c r="R99" s="586"/>
      <c r="S99" s="8" t="str">
        <f t="array" ref="S99">IFERROR(XLOOKUP(R99, 'リスト'!$E:$E, 'リスト'!$F:$F, ""), "")</f>
        <v/>
      </c>
      <c r="T99" s="8"/>
      <c r="U99" s="8" t="str">
        <f t="array" ref="U99">IFERROR(XLOOKUP(R99, 'リスト'!$E:$E, 'リスト'!$O:$O, ""), "")</f>
        <v/>
      </c>
      <c r="V99" s="8" t="str">
        <f t="array" ref="V99">IFERROR(XLOOKUP(R99, 'リスト'!$E:$E, 'リスト'!$P:$P, ""), "")</f>
        <v/>
      </c>
      <c r="W99" s="586" t="str">
        <f>IFERROR(__xludf.DUMMYFUNCTION("""COMPUTED_VALUE"""),"ランキング_事務（総務・人事）_希望")</f>
        <v>ランキング_事務（総務・人事）_希望</v>
      </c>
      <c r="X99" s="8">
        <f t="array" ref="X99">IFERROR(XLOOKUP(W99, 'リスト'!$E:$E, 'リスト'!$F:$F, ""), "")</f>
        <v>0.9</v>
      </c>
      <c r="Y99" s="8"/>
      <c r="Z99" s="8" t="str">
        <f t="array" ref="Z99">IFERROR(XLOOKUP(W99, 'リスト'!$E:$E, 'リスト'!$O:$O, ""), "")</f>
        <v>R</v>
      </c>
      <c r="AA99" s="8" t="str">
        <f t="array" ref="AA99">IFERROR(XLOOKUP(W99, 'リスト'!$E:$E, 'リスト'!$P:$P, ""), "")</f>
        <v/>
      </c>
      <c r="AB99" s="586" t="str">
        <f>IFERROR(__xludf.DUMMYFUNCTION("""COMPUTED_VALUE"""),"フルリモート_35歳以上")</f>
        <v>フルリモート_35歳以上</v>
      </c>
      <c r="AC99" s="8">
        <f t="array" ref="AC99">IFERROR(XLOOKUP(AB99, 'リスト'!$E:$E, 'リスト'!$F:$F, ""), "")</f>
        <v>2.1</v>
      </c>
      <c r="AD99" s="8"/>
      <c r="AE99" s="8" t="str">
        <f t="array" ref="AE99">IFERROR(XLOOKUP(AB99, 'リスト'!$E:$E, 'リスト'!$O:$O, ""), "")</f>
        <v>R</v>
      </c>
      <c r="AF99" s="8" t="str">
        <f t="array" ref="AF99">IFERROR(XLOOKUP(AB99, 'リスト'!$E:$E, 'リスト'!$P:$P, ""), "")</f>
        <v/>
      </c>
      <c r="AG99" s="586" t="str">
        <f>IFERROR(__xludf.DUMMYFUNCTION("""COMPUTED_VALUE"""),"美容業界×事務_希望")</f>
        <v>美容業界×事務_希望</v>
      </c>
      <c r="AH99" s="8">
        <f t="array" ref="AH99">IFERROR(XLOOKUP(AG99, 'リスト'!$E:$E, 'リスト'!$F:$F, ""), "")</f>
        <v>0.3</v>
      </c>
      <c r="AI99" s="8"/>
      <c r="AJ99" s="8" t="str">
        <f t="array" ref="AJ99">IFERROR(XLOOKUP(AG99, 'リスト'!$E:$E, 'リスト'!$O:$O, ""), "")</f>
        <v>R</v>
      </c>
      <c r="AK99" s="8" t="str">
        <f t="array" ref="AK99">IFERROR(XLOOKUP(AG99, 'リスト'!$E:$E, 'リスト'!$P:$P, ""), "")</f>
        <v/>
      </c>
    </row>
    <row r="100" ht="17.25" customHeight="1">
      <c r="A100" s="587"/>
      <c r="B100" s="588"/>
      <c r="C100" s="586"/>
      <c r="D100" s="8" t="str">
        <f t="array" ref="D100">IFERROR(XLOOKUP(C100, 'リスト'!$E:$E, 'リスト'!$F:$F, ""), "")</f>
        <v/>
      </c>
      <c r="E100" s="8"/>
      <c r="F100" s="8" t="str">
        <f t="array" ref="F100">IFERROR(XLOOKUP(C100, 'リスト'!$E:$E, 'リスト'!$O:$O, ""), "")</f>
        <v/>
      </c>
      <c r="G100" s="8" t="str">
        <f t="array" ref="G100">IFERROR(XLOOKUP(C100, 'リスト'!$E:$E, 'リスト'!$P:$P, ""), "")</f>
        <v/>
      </c>
      <c r="H100" s="586" t="str">
        <f>IFERROR(__xludf.DUMMYFUNCTION("""COMPUTED_VALUE"""),"◇掲載終了前+UP_関西 A")</f>
        <v>◇掲載終了前+UP_関西 A</v>
      </c>
      <c r="I100" s="8">
        <f t="array" ref="I100">IFERROR(XLOOKUP(H100, 'リスト'!$E:$E, 'リスト'!$F:$F, ""), "")</f>
        <v>1</v>
      </c>
      <c r="J100" s="8"/>
      <c r="K100" s="8" t="str">
        <f t="array" ref="K100">IFERROR(XLOOKUP(H100, 'リスト'!$E:$E, 'リスト'!$O:$O, ""), "")</f>
        <v>平</v>
      </c>
      <c r="L100" s="8" t="str">
        <f t="array" ref="L100">IFERROR(XLOOKUP(H100, 'リスト'!$E:$E, 'リスト'!$P:$P, ""), "")</f>
        <v>内</v>
      </c>
      <c r="M100" s="586"/>
      <c r="N100" s="8" t="str">
        <f t="array" ref="N100">IFERROR(XLOOKUP(M100, 'リスト'!$E:$E, 'リスト'!$F:$F, ""), "")</f>
        <v/>
      </c>
      <c r="O100" s="8"/>
      <c r="P100" s="8" t="str">
        <f t="array" ref="P100">IFERROR(XLOOKUP(M100, 'リスト'!$E:$E, 'リスト'!$O:$O, ""), "")</f>
        <v/>
      </c>
      <c r="Q100" s="8" t="str">
        <f t="array" ref="Q100">IFERROR(XLOOKUP(M100, 'リスト'!$E:$E, 'リスト'!$P:$P, ""), "")</f>
        <v/>
      </c>
      <c r="R100" s="586"/>
      <c r="S100" s="8" t="str">
        <f t="array" ref="S100">IFERROR(XLOOKUP(R100, 'リスト'!$E:$E, 'リスト'!$F:$F, ""), "")</f>
        <v/>
      </c>
      <c r="T100" s="8"/>
      <c r="U100" s="8" t="str">
        <f t="array" ref="U100">IFERROR(XLOOKUP(R100, 'リスト'!$E:$E, 'リスト'!$O:$O, ""), "")</f>
        <v/>
      </c>
      <c r="V100" s="8" t="str">
        <f t="array" ref="V100">IFERROR(XLOOKUP(R100, 'リスト'!$E:$E, 'リスト'!$P:$P, ""), "")</f>
        <v/>
      </c>
      <c r="W100" s="586"/>
      <c r="X100" s="8" t="str">
        <f t="array" ref="X100">IFERROR(XLOOKUP(W100, 'リスト'!$E:$E, 'リスト'!$F:$F, ""), "")</f>
        <v/>
      </c>
      <c r="Y100" s="8"/>
      <c r="Z100" s="8" t="str">
        <f t="array" ref="Z100">IFERROR(XLOOKUP(W100, 'リスト'!$E:$E, 'リスト'!$O:$O, ""), "")</f>
        <v/>
      </c>
      <c r="AA100" s="8" t="str">
        <f t="array" ref="AA100">IFERROR(XLOOKUP(W100, 'リスト'!$E:$E, 'リスト'!$P:$P, ""), "")</f>
        <v/>
      </c>
      <c r="AB100" s="586"/>
      <c r="AC100" s="8" t="str">
        <f t="array" ref="AC100">IFERROR(XLOOKUP(AB100, 'リスト'!$E:$E, 'リスト'!$F:$F, ""), "")</f>
        <v/>
      </c>
      <c r="AD100" s="8"/>
      <c r="AE100" s="8" t="str">
        <f t="array" ref="AE100">IFERROR(XLOOKUP(AB100, 'リスト'!$E:$E, 'リスト'!$O:$O, ""), "")</f>
        <v/>
      </c>
      <c r="AF100" s="8" t="str">
        <f t="array" ref="AF100">IFERROR(XLOOKUP(AB100, 'リスト'!$E:$E, 'リスト'!$P:$P, ""), "")</f>
        <v/>
      </c>
      <c r="AG100" s="586"/>
      <c r="AH100" s="8" t="str">
        <f t="array" ref="AH100">IFERROR(XLOOKUP(AG100, 'リスト'!$E:$E, 'リスト'!$F:$F, ""), "")</f>
        <v/>
      </c>
      <c r="AI100" s="8"/>
      <c r="AJ100" s="8" t="str">
        <f t="array" ref="AJ100">IFERROR(XLOOKUP(AG100, 'リスト'!$E:$E, 'リスト'!$O:$O, ""), "")</f>
        <v/>
      </c>
      <c r="AK100" s="8" t="str">
        <f t="array" ref="AK100">IFERROR(XLOOKUP(AG100, 'リスト'!$E:$E, 'リスト'!$P:$P, ""), "")</f>
        <v/>
      </c>
    </row>
    <row r="101" ht="17.25" customHeight="1">
      <c r="A101" s="587"/>
      <c r="B101" s="588"/>
      <c r="C101" s="589"/>
      <c r="D101" s="8" t="str">
        <f t="array" ref="D101">IFERROR(XLOOKUP(C101, 'リスト'!$E:$E, 'リスト'!$F:$F, ""), "")</f>
        <v/>
      </c>
      <c r="E101" s="8"/>
      <c r="F101" s="8" t="str">
        <f t="array" ref="F101">IFERROR(XLOOKUP(C101, 'リスト'!$E:$E, 'リスト'!$O:$O, ""), "")</f>
        <v/>
      </c>
      <c r="G101" s="8" t="str">
        <f t="array" ref="G101">IFERROR(XLOOKUP(C101, 'リスト'!$E:$E, 'リスト'!$P:$P, ""), "")</f>
        <v/>
      </c>
      <c r="H101" s="589" t="str">
        <f>IFERROR(__xludf.DUMMYFUNCTION("""COMPUTED_VALUE"""),"関西単独求人メルマガ_A")</f>
        <v>関西単独求人メルマガ_A</v>
      </c>
      <c r="I101" s="8">
        <f t="array" ref="I101">IFERROR(XLOOKUP(H101, 'リスト'!$E:$E, 'リスト'!$F:$F, ""), "")</f>
        <v>0.4</v>
      </c>
      <c r="J101" s="8"/>
      <c r="K101" s="8" t="str">
        <f t="array" ref="K101">IFERROR(XLOOKUP(H101, 'リスト'!$E:$E, 'リスト'!$O:$O, ""), "")</f>
        <v>武</v>
      </c>
      <c r="L101" s="8" t="str">
        <f t="array" ref="L101">IFERROR(XLOOKUP(H101, 'リスト'!$E:$E, 'リスト'!$P:$P, ""), "")</f>
        <v>部</v>
      </c>
      <c r="M101" s="589"/>
      <c r="N101" s="8" t="str">
        <f t="array" ref="N101">IFERROR(XLOOKUP(M101, 'リスト'!$E:$E, 'リスト'!$F:$F, ""), "")</f>
        <v/>
      </c>
      <c r="O101" s="8"/>
      <c r="P101" s="8" t="str">
        <f t="array" ref="P101">IFERROR(XLOOKUP(M101, 'リスト'!$E:$E, 'リスト'!$O:$O, ""), "")</f>
        <v/>
      </c>
      <c r="Q101" s="8" t="str">
        <f t="array" ref="Q101">IFERROR(XLOOKUP(M101, 'リスト'!$E:$E, 'リスト'!$P:$P, ""), "")</f>
        <v/>
      </c>
      <c r="R101" s="589"/>
      <c r="S101" s="8" t="str">
        <f t="array" ref="S101">IFERROR(XLOOKUP(R101, 'リスト'!$E:$E, 'リスト'!$F:$F, ""), "")</f>
        <v/>
      </c>
      <c r="T101" s="8"/>
      <c r="U101" s="8" t="str">
        <f t="array" ref="U101">IFERROR(XLOOKUP(R101, 'リスト'!$E:$E, 'リスト'!$O:$O, ""), "")</f>
        <v/>
      </c>
      <c r="V101" s="8" t="str">
        <f t="array" ref="V101">IFERROR(XLOOKUP(R101, 'リスト'!$E:$E, 'リスト'!$P:$P, ""), "")</f>
        <v/>
      </c>
      <c r="W101" s="589"/>
      <c r="X101" s="8" t="str">
        <f t="array" ref="X101">IFERROR(XLOOKUP(W101, 'リスト'!$E:$E, 'リスト'!$F:$F, ""), "")</f>
        <v/>
      </c>
      <c r="Y101" s="8"/>
      <c r="Z101" s="8" t="str">
        <f t="array" ref="Z101">IFERROR(XLOOKUP(W101, 'リスト'!$E:$E, 'リスト'!$O:$O, ""), "")</f>
        <v/>
      </c>
      <c r="AA101" s="8" t="str">
        <f t="array" ref="AA101">IFERROR(XLOOKUP(W101, 'リスト'!$E:$E, 'リスト'!$P:$P, ""), "")</f>
        <v/>
      </c>
      <c r="AB101" s="589"/>
      <c r="AC101" s="8" t="str">
        <f t="array" ref="AC101">IFERROR(XLOOKUP(AB101, 'リスト'!$E:$E, 'リスト'!$F:$F, ""), "")</f>
        <v/>
      </c>
      <c r="AD101" s="8"/>
      <c r="AE101" s="8" t="str">
        <f t="array" ref="AE101">IFERROR(XLOOKUP(AB101, 'リスト'!$E:$E, 'リスト'!$O:$O, ""), "")</f>
        <v/>
      </c>
      <c r="AF101" s="8" t="str">
        <f t="array" ref="AF101">IFERROR(XLOOKUP(AB101, 'リスト'!$E:$E, 'リスト'!$P:$P, ""), "")</f>
        <v/>
      </c>
      <c r="AG101" s="589"/>
      <c r="AH101" s="8" t="str">
        <f t="array" ref="AH101">IFERROR(XLOOKUP(AG101, 'リスト'!$E:$E, 'リスト'!$F:$F, ""), "")</f>
        <v/>
      </c>
      <c r="AI101" s="8"/>
      <c r="AJ101" s="8" t="str">
        <f t="array" ref="AJ101">IFERROR(XLOOKUP(AG101, 'リスト'!$E:$E, 'リスト'!$O:$O, ""), "")</f>
        <v/>
      </c>
      <c r="AK101" s="8" t="str">
        <f t="array" ref="AK101">IFERROR(XLOOKUP(AG101, 'リスト'!$E:$E, 'リスト'!$P:$P, ""), "")</f>
        <v/>
      </c>
    </row>
    <row r="102" ht="17.25" customHeight="1">
      <c r="A102" s="587"/>
      <c r="B102" s="588"/>
      <c r="C102" s="590"/>
      <c r="D102" s="8" t="str">
        <f t="array" ref="D102">IFERROR(XLOOKUP(C102, 'リスト'!$E:$E, 'リスト'!$F:$F, ""), "")</f>
        <v/>
      </c>
      <c r="E102" s="8"/>
      <c r="F102" s="8" t="str">
        <f t="array" ref="F102">IFERROR(XLOOKUP(C102, 'リスト'!$E:$E, 'リスト'!$O:$O, ""), "")</f>
        <v/>
      </c>
      <c r="G102" s="8" t="str">
        <f t="array" ref="G102">IFERROR(XLOOKUP(C102, 'リスト'!$E:$E, 'リスト'!$P:$P, ""), "")</f>
        <v/>
      </c>
      <c r="H102" s="590"/>
      <c r="I102" s="8" t="str">
        <f t="array" ref="I102">IFERROR(XLOOKUP(H102, 'リスト'!$E:$E, 'リスト'!$F:$F, ""), "")</f>
        <v/>
      </c>
      <c r="J102" s="8"/>
      <c r="K102" s="8" t="str">
        <f t="array" ref="K102">IFERROR(XLOOKUP(H102, 'リスト'!$E:$E, 'リスト'!$O:$O, ""), "")</f>
        <v/>
      </c>
      <c r="L102" s="8" t="str">
        <f t="array" ref="L102">IFERROR(XLOOKUP(H102, 'リスト'!$E:$E, 'リスト'!$P:$P, ""), "")</f>
        <v/>
      </c>
      <c r="M102" s="590"/>
      <c r="N102" s="8" t="str">
        <f t="array" ref="N102">IFERROR(XLOOKUP(M102, 'リスト'!$E:$E, 'リスト'!$F:$F, ""), "")</f>
        <v/>
      </c>
      <c r="O102" s="8"/>
      <c r="P102" s="8" t="str">
        <f t="array" ref="P102">IFERROR(XLOOKUP(M102, 'リスト'!$E:$E, 'リスト'!$O:$O, ""), "")</f>
        <v/>
      </c>
      <c r="Q102" s="8" t="str">
        <f t="array" ref="Q102">IFERROR(XLOOKUP(M102, 'リスト'!$E:$E, 'リスト'!$P:$P, ""), "")</f>
        <v/>
      </c>
      <c r="R102" s="590"/>
      <c r="S102" s="8" t="str">
        <f t="array" ref="S102">IFERROR(XLOOKUP(R102, 'リスト'!$E:$E, 'リスト'!$F:$F, ""), "")</f>
        <v/>
      </c>
      <c r="T102" s="8"/>
      <c r="U102" s="8" t="str">
        <f t="array" ref="U102">IFERROR(XLOOKUP(R102, 'リスト'!$E:$E, 'リスト'!$O:$O, ""), "")</f>
        <v/>
      </c>
      <c r="V102" s="8" t="str">
        <f t="array" ref="V102">IFERROR(XLOOKUP(R102, 'リスト'!$E:$E, 'リスト'!$P:$P, ""), "")</f>
        <v/>
      </c>
      <c r="W102" s="590"/>
      <c r="X102" s="8" t="str">
        <f t="array" ref="X102">IFERROR(XLOOKUP(W102, 'リスト'!$E:$E, 'リスト'!$F:$F, ""), "")</f>
        <v/>
      </c>
      <c r="Y102" s="8"/>
      <c r="Z102" s="8" t="str">
        <f t="array" ref="Z102">IFERROR(XLOOKUP(W102, 'リスト'!$E:$E, 'リスト'!$O:$O, ""), "")</f>
        <v/>
      </c>
      <c r="AA102" s="8" t="str">
        <f t="array" ref="AA102">IFERROR(XLOOKUP(W102, 'リスト'!$E:$E, 'リスト'!$P:$P, ""), "")</f>
        <v/>
      </c>
      <c r="AB102" s="590"/>
      <c r="AC102" s="8" t="str">
        <f t="array" ref="AC102">IFERROR(XLOOKUP(AB102, 'リスト'!$E:$E, 'リスト'!$F:$F, ""), "")</f>
        <v/>
      </c>
      <c r="AD102" s="8"/>
      <c r="AE102" s="8" t="str">
        <f t="array" ref="AE102">IFERROR(XLOOKUP(AB102, 'リスト'!$E:$E, 'リスト'!$O:$O, ""), "")</f>
        <v/>
      </c>
      <c r="AF102" s="8" t="str">
        <f t="array" ref="AF102">IFERROR(XLOOKUP(AB102, 'リスト'!$E:$E, 'リスト'!$P:$P, ""), "")</f>
        <v/>
      </c>
      <c r="AG102" s="590"/>
      <c r="AH102" s="8" t="str">
        <f t="array" ref="AH102">IFERROR(XLOOKUP(AG102, 'リスト'!$E:$E, 'リスト'!$F:$F, ""), "")</f>
        <v/>
      </c>
      <c r="AI102" s="8"/>
      <c r="AJ102" s="8" t="str">
        <f t="array" ref="AJ102">IFERROR(XLOOKUP(AG102, 'リスト'!$E:$E, 'リスト'!$O:$O, ""), "")</f>
        <v/>
      </c>
      <c r="AK102" s="8" t="str">
        <f t="array" ref="AK102">IFERROR(XLOOKUP(AG102, 'リスト'!$E:$E, 'リスト'!$P:$P, ""), "")</f>
        <v/>
      </c>
    </row>
    <row r="103" ht="17.25" customHeight="1">
      <c r="A103" s="587"/>
      <c r="B103" s="588"/>
      <c r="C103" s="590"/>
      <c r="D103" s="8" t="str">
        <f t="array" ref="D103">IFERROR(XLOOKUP(C103, 'リスト'!$E:$E, 'リスト'!$F:$F, ""), "")</f>
        <v/>
      </c>
      <c r="E103" s="8"/>
      <c r="F103" s="8" t="str">
        <f t="array" ref="F103">IFERROR(XLOOKUP(C103, 'リスト'!$E:$E, 'リスト'!$O:$O, ""), "")</f>
        <v/>
      </c>
      <c r="G103" s="8" t="str">
        <f t="array" ref="G103">IFERROR(XLOOKUP(C103, 'リスト'!$E:$E, 'リスト'!$P:$P, ""), "")</f>
        <v/>
      </c>
      <c r="H103" s="590"/>
      <c r="I103" s="8" t="str">
        <f t="array" ref="I103">IFERROR(XLOOKUP(H103, 'リスト'!$E:$E, 'リスト'!$F:$F, ""), "")</f>
        <v/>
      </c>
      <c r="J103" s="8"/>
      <c r="K103" s="8" t="str">
        <f t="array" ref="K103">IFERROR(XLOOKUP(H103, 'リスト'!$E:$E, 'リスト'!$O:$O, ""), "")</f>
        <v/>
      </c>
      <c r="L103" s="8" t="str">
        <f t="array" ref="L103">IFERROR(XLOOKUP(H103, 'リスト'!$E:$E, 'リスト'!$P:$P, ""), "")</f>
        <v/>
      </c>
      <c r="M103" s="590"/>
      <c r="N103" s="8" t="str">
        <f t="array" ref="N103">IFERROR(XLOOKUP(M103, 'リスト'!$E:$E, 'リスト'!$F:$F, ""), "")</f>
        <v/>
      </c>
      <c r="O103" s="8"/>
      <c r="P103" s="8" t="str">
        <f t="array" ref="P103">IFERROR(XLOOKUP(M103, 'リスト'!$E:$E, 'リスト'!$O:$O, ""), "")</f>
        <v/>
      </c>
      <c r="Q103" s="8" t="str">
        <f t="array" ref="Q103">IFERROR(XLOOKUP(M103, 'リスト'!$E:$E, 'リスト'!$P:$P, ""), "")</f>
        <v/>
      </c>
      <c r="R103" s="590"/>
      <c r="S103" s="8" t="str">
        <f t="array" ref="S103">IFERROR(XLOOKUP(R103, 'リスト'!$E:$E, 'リスト'!$F:$F, ""), "")</f>
        <v/>
      </c>
      <c r="T103" s="8"/>
      <c r="U103" s="8" t="str">
        <f t="array" ref="U103">IFERROR(XLOOKUP(R103, 'リスト'!$E:$E, 'リスト'!$O:$O, ""), "")</f>
        <v/>
      </c>
      <c r="V103" s="8" t="str">
        <f t="array" ref="V103">IFERROR(XLOOKUP(R103, 'リスト'!$E:$E, 'リスト'!$P:$P, ""), "")</f>
        <v/>
      </c>
      <c r="W103" s="590"/>
      <c r="X103" s="8" t="str">
        <f t="array" ref="X103">IFERROR(XLOOKUP(W103, 'リスト'!$E:$E, 'リスト'!$F:$F, ""), "")</f>
        <v/>
      </c>
      <c r="Y103" s="8"/>
      <c r="Z103" s="8" t="str">
        <f t="array" ref="Z103">IFERROR(XLOOKUP(W103, 'リスト'!$E:$E, 'リスト'!$O:$O, ""), "")</f>
        <v/>
      </c>
      <c r="AA103" s="8" t="str">
        <f t="array" ref="AA103">IFERROR(XLOOKUP(W103, 'リスト'!$E:$E, 'リスト'!$P:$P, ""), "")</f>
        <v/>
      </c>
      <c r="AB103" s="590"/>
      <c r="AC103" s="8" t="str">
        <f t="array" ref="AC103">IFERROR(XLOOKUP(AB103, 'リスト'!$E:$E, 'リスト'!$F:$F, ""), "")</f>
        <v/>
      </c>
      <c r="AD103" s="8"/>
      <c r="AE103" s="8" t="str">
        <f t="array" ref="AE103">IFERROR(XLOOKUP(AB103, 'リスト'!$E:$E, 'リスト'!$O:$O, ""), "")</f>
        <v/>
      </c>
      <c r="AF103" s="8" t="str">
        <f t="array" ref="AF103">IFERROR(XLOOKUP(AB103, 'リスト'!$E:$E, 'リスト'!$P:$P, ""), "")</f>
        <v/>
      </c>
      <c r="AG103" s="590"/>
      <c r="AH103" s="8" t="str">
        <f t="array" ref="AH103">IFERROR(XLOOKUP(AG103, 'リスト'!$E:$E, 'リスト'!$F:$F, ""), "")</f>
        <v/>
      </c>
      <c r="AI103" s="8"/>
      <c r="AJ103" s="8" t="str">
        <f t="array" ref="AJ103">IFERROR(XLOOKUP(AG103, 'リスト'!$E:$E, 'リスト'!$O:$O, ""), "")</f>
        <v/>
      </c>
      <c r="AK103" s="8" t="str">
        <f t="array" ref="AK103">IFERROR(XLOOKUP(AG103, 'リスト'!$E:$E, 'リスト'!$P:$P, ""), "")</f>
        <v/>
      </c>
    </row>
    <row r="104" ht="17.25" customHeight="1">
      <c r="A104" s="587"/>
      <c r="B104" s="588"/>
      <c r="C104" s="590"/>
      <c r="D104" s="8" t="str">
        <f t="array" ref="D104">IFERROR(XLOOKUP(C104, 'リスト'!$E:$E, 'リスト'!$F:$F, ""), "")</f>
        <v/>
      </c>
      <c r="E104" s="8"/>
      <c r="F104" s="8" t="str">
        <f t="array" ref="F104">IFERROR(XLOOKUP(C104, 'リスト'!$E:$E, 'リスト'!$O:$O, ""), "")</f>
        <v/>
      </c>
      <c r="G104" s="8" t="str">
        <f t="array" ref="G104">IFERROR(XLOOKUP(C104, 'リスト'!$E:$E, 'リスト'!$P:$P, ""), "")</f>
        <v/>
      </c>
      <c r="H104" s="590"/>
      <c r="I104" s="8" t="str">
        <f t="array" ref="I104">IFERROR(XLOOKUP(H104, 'リスト'!$E:$E, 'リスト'!$F:$F, ""), "")</f>
        <v/>
      </c>
      <c r="J104" s="8"/>
      <c r="K104" s="8" t="str">
        <f t="array" ref="K104">IFERROR(XLOOKUP(H104, 'リスト'!$E:$E, 'リスト'!$O:$O, ""), "")</f>
        <v/>
      </c>
      <c r="L104" s="8" t="str">
        <f t="array" ref="L104">IFERROR(XLOOKUP(H104, 'リスト'!$E:$E, 'リスト'!$P:$P, ""), "")</f>
        <v/>
      </c>
      <c r="M104" s="590"/>
      <c r="N104" s="8" t="str">
        <f t="array" ref="N104">IFERROR(XLOOKUP(M104, 'リスト'!$E:$E, 'リスト'!$F:$F, ""), "")</f>
        <v/>
      </c>
      <c r="O104" s="8"/>
      <c r="P104" s="8" t="str">
        <f t="array" ref="P104">IFERROR(XLOOKUP(M104, 'リスト'!$E:$E, 'リスト'!$O:$O, ""), "")</f>
        <v/>
      </c>
      <c r="Q104" s="8" t="str">
        <f t="array" ref="Q104">IFERROR(XLOOKUP(M104, 'リスト'!$E:$E, 'リスト'!$P:$P, ""), "")</f>
        <v/>
      </c>
      <c r="R104" s="590"/>
      <c r="S104" s="8" t="str">
        <f t="array" ref="S104">IFERROR(XLOOKUP(R104, 'リスト'!$E:$E, 'リスト'!$F:$F, ""), "")</f>
        <v/>
      </c>
      <c r="T104" s="8"/>
      <c r="U104" s="8" t="str">
        <f t="array" ref="U104">IFERROR(XLOOKUP(R104, 'リスト'!$E:$E, 'リスト'!$O:$O, ""), "")</f>
        <v/>
      </c>
      <c r="V104" s="8" t="str">
        <f t="array" ref="V104">IFERROR(XLOOKUP(R104, 'リスト'!$E:$E, 'リスト'!$P:$P, ""), "")</f>
        <v/>
      </c>
      <c r="W104" s="590"/>
      <c r="X104" s="8" t="str">
        <f t="array" ref="X104">IFERROR(XLOOKUP(W104, 'リスト'!$E:$E, 'リスト'!$F:$F, ""), "")</f>
        <v/>
      </c>
      <c r="Y104" s="8"/>
      <c r="Z104" s="8" t="str">
        <f t="array" ref="Z104">IFERROR(XLOOKUP(W104, 'リスト'!$E:$E, 'リスト'!$O:$O, ""), "")</f>
        <v/>
      </c>
      <c r="AA104" s="8" t="str">
        <f t="array" ref="AA104">IFERROR(XLOOKUP(W104, 'リスト'!$E:$E, 'リスト'!$P:$P, ""), "")</f>
        <v/>
      </c>
      <c r="AB104" s="590"/>
      <c r="AC104" s="8" t="str">
        <f t="array" ref="AC104">IFERROR(XLOOKUP(AB104, 'リスト'!$E:$E, 'リスト'!$F:$F, ""), "")</f>
        <v/>
      </c>
      <c r="AD104" s="8"/>
      <c r="AE104" s="8" t="str">
        <f t="array" ref="AE104">IFERROR(XLOOKUP(AB104, 'リスト'!$E:$E, 'リスト'!$O:$O, ""), "")</f>
        <v/>
      </c>
      <c r="AF104" s="8" t="str">
        <f t="array" ref="AF104">IFERROR(XLOOKUP(AB104, 'リスト'!$E:$E, 'リスト'!$P:$P, ""), "")</f>
        <v/>
      </c>
      <c r="AG104" s="590"/>
      <c r="AH104" s="8" t="str">
        <f t="array" ref="AH104">IFERROR(XLOOKUP(AG104, 'リスト'!$E:$E, 'リスト'!$F:$F, ""), "")</f>
        <v/>
      </c>
      <c r="AI104" s="8"/>
      <c r="AJ104" s="8" t="str">
        <f t="array" ref="AJ104">IFERROR(XLOOKUP(AG104, 'リスト'!$E:$E, 'リスト'!$O:$O, ""), "")</f>
        <v/>
      </c>
      <c r="AK104" s="8" t="str">
        <f t="array" ref="AK104">IFERROR(XLOOKUP(AG104, 'リスト'!$E:$E, 'リスト'!$P:$P, ""), "")</f>
        <v/>
      </c>
    </row>
    <row r="105" ht="17.25" customHeight="1">
      <c r="A105" s="587"/>
      <c r="B105" s="588"/>
      <c r="C105" s="590"/>
      <c r="D105" s="8" t="str">
        <f t="array" ref="D105">IFERROR(XLOOKUP(C105, 'リスト'!$E:$E, 'リスト'!$F:$F, ""), "")</f>
        <v/>
      </c>
      <c r="E105" s="8"/>
      <c r="F105" s="8" t="str">
        <f t="array" ref="F105">IFERROR(XLOOKUP(C105, 'リスト'!$E:$E, 'リスト'!$O:$O, ""), "")</f>
        <v/>
      </c>
      <c r="G105" s="8" t="str">
        <f t="array" ref="G105">IFERROR(XLOOKUP(C105, 'リスト'!$E:$E, 'リスト'!$P:$P, ""), "")</f>
        <v/>
      </c>
      <c r="H105" s="590"/>
      <c r="I105" s="8" t="str">
        <f t="array" ref="I105">IFERROR(XLOOKUP(H105, 'リスト'!$E:$E, 'リスト'!$F:$F, ""), "")</f>
        <v/>
      </c>
      <c r="J105" s="8"/>
      <c r="K105" s="8" t="str">
        <f t="array" ref="K105">IFERROR(XLOOKUP(H105, 'リスト'!$E:$E, 'リスト'!$O:$O, ""), "")</f>
        <v/>
      </c>
      <c r="L105" s="8" t="str">
        <f t="array" ref="L105">IFERROR(XLOOKUP(H105, 'リスト'!$E:$E, 'リスト'!$P:$P, ""), "")</f>
        <v/>
      </c>
      <c r="M105" s="590"/>
      <c r="N105" s="8" t="str">
        <f t="array" ref="N105">IFERROR(XLOOKUP(M105, 'リスト'!$E:$E, 'リスト'!$F:$F, ""), "")</f>
        <v/>
      </c>
      <c r="O105" s="8"/>
      <c r="P105" s="8" t="str">
        <f t="array" ref="P105">IFERROR(XLOOKUP(M105, 'リスト'!$E:$E, 'リスト'!$O:$O, ""), "")</f>
        <v/>
      </c>
      <c r="Q105" s="8" t="str">
        <f t="array" ref="Q105">IFERROR(XLOOKUP(M105, 'リスト'!$E:$E, 'リスト'!$P:$P, ""), "")</f>
        <v/>
      </c>
      <c r="R105" s="590"/>
      <c r="S105" s="8" t="str">
        <f t="array" ref="S105">IFERROR(XLOOKUP(R105, 'リスト'!$E:$E, 'リスト'!$F:$F, ""), "")</f>
        <v/>
      </c>
      <c r="T105" s="8"/>
      <c r="U105" s="8" t="str">
        <f t="array" ref="U105">IFERROR(XLOOKUP(R105, 'リスト'!$E:$E, 'リスト'!$O:$O, ""), "")</f>
        <v/>
      </c>
      <c r="V105" s="8" t="str">
        <f t="array" ref="V105">IFERROR(XLOOKUP(R105, 'リスト'!$E:$E, 'リスト'!$P:$P, ""), "")</f>
        <v/>
      </c>
      <c r="W105" s="590"/>
      <c r="X105" s="8" t="str">
        <f t="array" ref="X105">IFERROR(XLOOKUP(W105, 'リスト'!$E:$E, 'リスト'!$F:$F, ""), "")</f>
        <v/>
      </c>
      <c r="Y105" s="8"/>
      <c r="Z105" s="8" t="str">
        <f t="array" ref="Z105">IFERROR(XLOOKUP(W105, 'リスト'!$E:$E, 'リスト'!$O:$O, ""), "")</f>
        <v/>
      </c>
      <c r="AA105" s="8" t="str">
        <f t="array" ref="AA105">IFERROR(XLOOKUP(W105, 'リスト'!$E:$E, 'リスト'!$P:$P, ""), "")</f>
        <v/>
      </c>
      <c r="AB105" s="590"/>
      <c r="AC105" s="8" t="str">
        <f t="array" ref="AC105">IFERROR(XLOOKUP(AB105, 'リスト'!$E:$E, 'リスト'!$F:$F, ""), "")</f>
        <v/>
      </c>
      <c r="AD105" s="8"/>
      <c r="AE105" s="8" t="str">
        <f t="array" ref="AE105">IFERROR(XLOOKUP(AB105, 'リスト'!$E:$E, 'リスト'!$O:$O, ""), "")</f>
        <v/>
      </c>
      <c r="AF105" s="8" t="str">
        <f t="array" ref="AF105">IFERROR(XLOOKUP(AB105, 'リスト'!$E:$E, 'リスト'!$P:$P, ""), "")</f>
        <v/>
      </c>
      <c r="AG105" s="590"/>
      <c r="AH105" s="8" t="str">
        <f t="array" ref="AH105">IFERROR(XLOOKUP(AG105, 'リスト'!$E:$E, 'リスト'!$F:$F, ""), "")</f>
        <v/>
      </c>
      <c r="AI105" s="8"/>
      <c r="AJ105" s="8" t="str">
        <f t="array" ref="AJ105">IFERROR(XLOOKUP(AG105, 'リスト'!$E:$E, 'リスト'!$O:$O, ""), "")</f>
        <v/>
      </c>
      <c r="AK105" s="8" t="str">
        <f t="array" ref="AK105">IFERROR(XLOOKUP(AG105, 'リスト'!$E:$E, 'リスト'!$P:$P, ""), "")</f>
        <v/>
      </c>
    </row>
    <row r="106" ht="17.25" customHeight="1">
      <c r="A106" s="587"/>
      <c r="B106" s="592"/>
      <c r="C106" s="590"/>
      <c r="D106" s="8" t="str">
        <f t="array" ref="D106">IFERROR(XLOOKUP(C106, '新規'!$E:$E, '新規'!$F:$F, ""), "")</f>
        <v/>
      </c>
      <c r="E106" s="8"/>
      <c r="F106" s="8" t="str">
        <f t="array" ref="F106">IFERROR(XLOOKUP(C106, '新規'!$E:$E, '新規'!$O:$O, ""), "")</f>
        <v/>
      </c>
      <c r="G106" s="8" t="str">
        <f t="array" ref="G106">IFERROR(XLOOKUP(C106, '新規'!$E:$E, '新規'!$P:$P, ""), "")</f>
        <v/>
      </c>
      <c r="H106" s="590"/>
      <c r="I106" s="8" t="str">
        <f t="array" ref="I106">IFERROR(XLOOKUP(H106, '新規'!$E:$E, '新規'!$F:$F, ""), "")</f>
        <v/>
      </c>
      <c r="J106" s="8"/>
      <c r="K106" s="8" t="str">
        <f t="array" ref="K106">IFERROR(XLOOKUP(H106, '新規'!$E:$E, '新規'!$O:$O, ""), "")</f>
        <v/>
      </c>
      <c r="L106" s="8" t="str">
        <f t="array" ref="L106">IFERROR(XLOOKUP(H106, '新規'!$E:$E, '新規'!$P:$P, ""), "")</f>
        <v/>
      </c>
      <c r="M106" s="590"/>
      <c r="N106" s="8" t="str">
        <f t="array" ref="N106">IFERROR(XLOOKUP(M106, '新規'!$E:$E, '新規'!$F:$F, ""), "")</f>
        <v/>
      </c>
      <c r="O106" s="8"/>
      <c r="P106" s="8" t="str">
        <f t="array" ref="P106">IFERROR(XLOOKUP(M106, '新規'!$E:$E, '新規'!$O:$O, ""), "")</f>
        <v/>
      </c>
      <c r="Q106" s="8" t="str">
        <f t="array" ref="Q106">IFERROR(XLOOKUP(M106, '新規'!$E:$E, '新規'!$P:$P, ""), "")</f>
        <v/>
      </c>
      <c r="R106" s="590"/>
      <c r="S106" s="8" t="str">
        <f t="array" ref="S106">IFERROR(XLOOKUP(R106, '新規'!$E:$E, '新規'!$F:$F, ""), "")</f>
        <v/>
      </c>
      <c r="T106" s="8"/>
      <c r="U106" s="8" t="str">
        <f t="array" ref="U106">IFERROR(XLOOKUP(R106, '新規'!$E:$E, '新規'!$O:$O, ""), "")</f>
        <v/>
      </c>
      <c r="V106" s="8" t="str">
        <f t="array" ref="V106">IFERROR(XLOOKUP(R106, '新規'!$E:$E, '新規'!$P:$P, ""), "")</f>
        <v/>
      </c>
      <c r="W106" s="590"/>
      <c r="X106" s="8" t="str">
        <f t="array" ref="X106">IFERROR(XLOOKUP(W106, '新規'!$E:$E, '新規'!$F:$F, ""), "")</f>
        <v/>
      </c>
      <c r="Y106" s="8"/>
      <c r="Z106" s="8" t="str">
        <f t="array" ref="Z106">IFERROR(XLOOKUP(W106, '新規'!$E:$E, '新規'!$O:$O, ""), "")</f>
        <v/>
      </c>
      <c r="AA106" s="8" t="str">
        <f t="array" ref="AA106">IFERROR(XLOOKUP(W106, '新規'!$E:$E, '新規'!$P:$P, ""), "")</f>
        <v/>
      </c>
      <c r="AB106" s="590"/>
      <c r="AC106" s="8" t="str">
        <f t="array" ref="AC106">IFERROR(XLOOKUP(AB106, '新規'!$E:$E, '新規'!$F:$F, ""), "")</f>
        <v/>
      </c>
      <c r="AD106" s="8"/>
      <c r="AE106" s="8" t="str">
        <f t="array" ref="AE106">IFERROR(XLOOKUP(AB106, '新規'!$E:$E, '新規'!$O:$O, ""), "")</f>
        <v/>
      </c>
      <c r="AF106" s="8" t="str">
        <f t="array" ref="AF106">IFERROR(XLOOKUP(AB106, '新規'!$E:$E, '新規'!$P:$P, ""), "")</f>
        <v/>
      </c>
      <c r="AG106" s="590"/>
      <c r="AH106" s="8" t="str">
        <f t="array" ref="AH106">IFERROR(XLOOKUP(AG106, '新規'!$E:$E, '新規'!$F:$F, ""), "")</f>
        <v/>
      </c>
      <c r="AI106" s="8"/>
      <c r="AJ106" s="8" t="str">
        <f t="array" ref="AJ106">IFERROR(XLOOKUP(AG106, '新規'!$E:$E, '新規'!$O:$O, ""), "")</f>
        <v/>
      </c>
      <c r="AK106" s="8" t="str">
        <f t="array" ref="AK106">IFERROR(XLOOKUP(AG106, '新規'!$E:$E, '新規'!$P:$P, ""), "")</f>
        <v/>
      </c>
    </row>
    <row r="107" ht="17.25" customHeight="1">
      <c r="A107" s="587"/>
      <c r="B107" s="585" t="s">
        <v>78</v>
      </c>
      <c r="C107" s="590" t="str">
        <f>IFERROR(__xludf.DUMMYFUNCTION("IFERROR(FILTER('新規'!$E$3:$E$170, ('新規'!$B$3:$B$170=LOOKUP(2,1/($A$3:$A107&lt;&gt;""""),$A$3:$A107))*(('新規'!$A$3:$A$170=C$1)+(('新規'!$G$3:$G$170=""毎月配信"")*(TEXT('新規'!$A$3:$A$170,""ddd"")=TEXT(C$1, ""ddd""))))), """")"),"")</f>
        <v/>
      </c>
      <c r="D107" s="8" t="str">
        <f t="array" ref="D107">IFERROR(XLOOKUP(C107, '新規'!$E:$E, '新規'!$F:$F, ""), "")</f>
        <v/>
      </c>
      <c r="E107" s="8"/>
      <c r="F107" s="8" t="str">
        <f>IFERROR(__xludf.DUMMYFUNCTION("IF(C107="""","""",IFERROR(INDEX(FILTER('新規'!$O$3:$O$670, '新規'!$E$3:$E$670=C107),1),""""))"),"")</f>
        <v/>
      </c>
      <c r="G107" s="8" t="str">
        <f>IFERROR(__xludf.DUMMYFUNCTION("IF(C107="""","""",IFERROR(INDEX(FILTER('新規'!$P$3:$P$670, '新規'!$E$3:$E$670=C107),1),""""))"),"")</f>
        <v/>
      </c>
      <c r="H107" s="590" t="str">
        <f>IFERROR(__xludf.DUMMYFUNCTION("IFERROR(FILTER('新規'!$E$3:$E$170, ('新規'!$B$3:$B$170=LOOKUP(2,1/($A$3:$A107&lt;&gt;""""),$A$3:$A107))*(('新規'!$A$3:$A$170=H$1)+(('新規'!$G$3:$G$170=""毎月配信"")*(TEXT('新規'!$A$3:$A$170,""ddd"")=TEXT(H$1, ""ddd""))))), """")"),"")</f>
        <v/>
      </c>
      <c r="I107" s="8" t="str">
        <f t="array" ref="I107">IFERROR(XLOOKUP(H107, '新規'!$E:$E, '新規'!$F:$F, ""), "")</f>
        <v/>
      </c>
      <c r="J107" s="8"/>
      <c r="K107" s="8" t="str">
        <f>IFERROR(__xludf.DUMMYFUNCTION("IF(H107="""","""",IFERROR(INDEX(FILTER('新規'!$O$3:$O$670, '新規'!$E$3:$E$670=H107),1),""""))"),"")</f>
        <v/>
      </c>
      <c r="L107" s="8" t="str">
        <f>IFERROR(__xludf.DUMMYFUNCTION("IF(H107="""","""",IFERROR(INDEX(FILTER('新規'!$P$3:$P$670, '新規'!$E$3:$E$670=H107),1),""""))"),"")</f>
        <v/>
      </c>
      <c r="M107" s="590" t="str">
        <f>IFERROR(__xludf.DUMMYFUNCTION("IFERROR(FILTER('新規'!$E$3:$E$170, ('新規'!$B$3:$B$170=LOOKUP(2,1/($A$3:$A107&lt;&gt;""""),$A$3:$A107))*(('新規'!$A$3:$A$170=M$1)+(('新規'!$G$3:$G$170=""毎月配信"")*(TEXT('新規'!$A$3:$A$170,""ddd"")=TEXT(M$1, ""ddd""))))), """")"),"")</f>
        <v/>
      </c>
      <c r="N107" s="8" t="str">
        <f t="array" ref="N107">IFERROR(XLOOKUP(M107, '新規'!$E:$E, '新規'!$F:$F, ""), "")</f>
        <v/>
      </c>
      <c r="O107" s="8"/>
      <c r="P107" s="8" t="str">
        <f>IFERROR(__xludf.DUMMYFUNCTION("IF(M107="""","""",IFERROR(INDEX(FILTER('新規'!$O$3:$O$670, '新規'!$E$3:$E$670=M107),1),""""))"),"")</f>
        <v/>
      </c>
      <c r="Q107" s="8" t="str">
        <f>IFERROR(__xludf.DUMMYFUNCTION("IF(M107="""","""",IFERROR(INDEX(FILTER('新規'!$P$3:$P$670, '新規'!$E$3:$E$670=M107),1),""""))"),"")</f>
        <v/>
      </c>
      <c r="R107" s="590" t="str">
        <f>IFERROR(__xludf.DUMMYFUNCTION("IFERROR(FILTER('新規'!$E$3:$E$170, ('新規'!$B$3:$B$170=LOOKUP(2,1/($A$3:$A107&lt;&gt;""""),$A$3:$A107))*(('新規'!$A$3:$A$170=R$1)+(('新規'!$G$3:$G$170=""毎月配信"")*(TEXT('新規'!$A$3:$A$170,""ddd"")=TEXT(R$1, ""ddd""))))), """")"),"")</f>
        <v/>
      </c>
      <c r="S107" s="8" t="str">
        <f t="array" ref="S107">IFERROR(XLOOKUP(R107, '新規'!$E:$E, '新規'!$F:$F, ""), "")</f>
        <v/>
      </c>
      <c r="T107" s="8"/>
      <c r="U107" s="8" t="str">
        <f>IFERROR(__xludf.DUMMYFUNCTION("IF(R107="""","""",IFERROR(INDEX(FILTER('新規'!$O$3:$O$670, '新規'!$E$3:$E$670=R107),1),""""))"),"")</f>
        <v/>
      </c>
      <c r="V107" s="8" t="str">
        <f>IFERROR(__xludf.DUMMYFUNCTION("IF(R107="""","""",IFERROR(INDEX(FILTER('新規'!$P$3:$P$670, '新規'!$E$3:$E$670=R107),1),""""))"),"")</f>
        <v/>
      </c>
      <c r="W107" s="590" t="str">
        <f>IFERROR(__xludf.DUMMYFUNCTION("IFERROR(FILTER('新規'!$E$3:$E$170, ('新規'!$B$3:$B$170=LOOKUP(2,1/($A$3:$A107&lt;&gt;""""),$A$3:$A107))*(('新規'!$A$3:$A$170=W$1)+(('新規'!$G$3:$G$170=""毎月配信"")*(TEXT('新規'!$A$3:$A$170,""ddd"")=TEXT(W$1, ""ddd""))))), """")"),"")</f>
        <v/>
      </c>
      <c r="X107" s="8" t="str">
        <f t="array" ref="X107">IFERROR(XLOOKUP(W107, '新規'!$E:$E, '新規'!$F:$F, ""), "")</f>
        <v/>
      </c>
      <c r="Y107" s="8"/>
      <c r="Z107" s="8" t="str">
        <f>IFERROR(__xludf.DUMMYFUNCTION("IF(W107="""","""",IFERROR(INDEX(FILTER('新規'!$O$3:$O$670, '新規'!$E$3:$E$670=W107),1),""""))"),"")</f>
        <v/>
      </c>
      <c r="AA107" s="8" t="str">
        <f>IFERROR(__xludf.DUMMYFUNCTION("IF(W107="""","""",IFERROR(INDEX(FILTER('新規'!$P$3:$P$670, '新規'!$E$3:$E$670=W107),1),""""))"),"")</f>
        <v/>
      </c>
      <c r="AB107" s="590" t="str">
        <f>IFERROR(__xludf.DUMMYFUNCTION("IFERROR(FILTER('新規'!$E$3:$E$170, ('新規'!$B$3:$B$170=LOOKUP(2,1/($A$3:$A107&lt;&gt;""""),$A$3:$A107))*(('新規'!$A$3:$A$170=AB$1)+(('新規'!$G$3:$G$170=""毎月配信"")*(TEXT('新規'!$A$3:$A$170,""ddd"")=TEXT(AB$1, ""ddd""))))), """")"),"")</f>
        <v/>
      </c>
      <c r="AC107" s="8" t="str">
        <f t="array" ref="AC107">IFERROR(XLOOKUP(AB107, '新規'!$E:$E, '新規'!$F:$F, ""), "")</f>
        <v/>
      </c>
      <c r="AD107" s="8"/>
      <c r="AE107" s="8" t="str">
        <f>IFERROR(__xludf.DUMMYFUNCTION("IF(AB107="""","""",IFERROR(INDEX(FILTER('新規'!$O$3:$O$670, '新規'!$E$3:$E$670=AB107),1),""""))"),"")</f>
        <v/>
      </c>
      <c r="AF107" s="8" t="str">
        <f>IFERROR(__xludf.DUMMYFUNCTION("IF(AB107="""","""",IFERROR(INDEX(FILTER('新規'!$P$3:$P$670, '新規'!$E$3:$E$670=AB107),1),""""))"),"")</f>
        <v/>
      </c>
      <c r="AG107" s="590" t="str">
        <f>IFERROR(__xludf.DUMMYFUNCTION("IFERROR(FILTER('新規'!$E$3:$E$170, ('新規'!$B$3:$B$170=LOOKUP(2,1/($A$3:$A107&lt;&gt;""""),$A$3:$A107))*(('新規'!$A$3:$A$170=AG$1)+(('新規'!$G$3:$G$170=""毎月配信"")*(TEXT('新規'!$A$3:$A$170,""ddd"")=TEXT(AG$1, ""ddd""))))), """")"),"")</f>
        <v/>
      </c>
      <c r="AH107" s="8" t="str">
        <f t="array" ref="AH107">IFERROR(XLOOKUP(AG107, '新規'!$E:$E, '新規'!$F:$F, ""), "")</f>
        <v/>
      </c>
      <c r="AI107" s="8"/>
      <c r="AJ107" s="8" t="str">
        <f>IFERROR(__xludf.DUMMYFUNCTION("IF(AG107="""","""",IFERROR(INDEX(FILTER('新規'!$O$3:$O$670, '新規'!$E$3:$E$670=AG107),1),""""))"),"")</f>
        <v/>
      </c>
      <c r="AK107" s="8" t="str">
        <f>IFERROR(__xludf.DUMMYFUNCTION("IF(AG107="""","""",IFERROR(INDEX(FILTER('新規'!$P$3:$P$670, '新規'!$E$3:$E$670=AG107),1),""""))"),"")</f>
        <v/>
      </c>
    </row>
    <row r="108" ht="17.25" customHeight="1">
      <c r="A108" s="587"/>
      <c r="B108" s="588"/>
      <c r="C108" s="590"/>
      <c r="D108" s="8" t="str">
        <f t="array" ref="D108">IFERROR(XLOOKUP(C108, '新規'!$E:$E, '新規'!$F:$F, ""), "")</f>
        <v/>
      </c>
      <c r="E108" s="8"/>
      <c r="F108" s="8" t="str">
        <f t="array" ref="F108">IFERROR(XLOOKUP(C108, '新規'!$E:$E, '新規'!$O:$O, ""), "")</f>
        <v/>
      </c>
      <c r="G108" s="8" t="str">
        <f t="array" ref="G108">IFERROR(XLOOKUP(C108, '新規'!$E:$E, '新規'!$P:$P, ""), "")</f>
        <v/>
      </c>
      <c r="H108" s="590"/>
      <c r="I108" s="8" t="str">
        <f t="array" ref="I108">IFERROR(XLOOKUP(H108, '新規'!$E:$E, '新規'!$F:$F, ""), "")</f>
        <v/>
      </c>
      <c r="J108" s="8"/>
      <c r="K108" s="8" t="str">
        <f t="array" ref="K108">IFERROR(XLOOKUP(H108, '新規'!$E:$E, '新規'!$O:$O, ""), "")</f>
        <v/>
      </c>
      <c r="L108" s="8" t="str">
        <f t="array" ref="L108">IFERROR(XLOOKUP(H108, '新規'!$E:$E, '新規'!$P:$P, ""), "")</f>
        <v/>
      </c>
      <c r="M108" s="590"/>
      <c r="N108" s="8" t="str">
        <f t="array" ref="N108">IFERROR(XLOOKUP(M108, '新規'!$E:$E, '新規'!$F:$F, ""), "")</f>
        <v/>
      </c>
      <c r="O108" s="8"/>
      <c r="P108" s="8" t="str">
        <f t="array" ref="P108">IFERROR(XLOOKUP(M108, '新規'!$E:$E, '新規'!$O:$O, ""), "")</f>
        <v/>
      </c>
      <c r="Q108" s="8" t="str">
        <f t="array" ref="Q108">IFERROR(XLOOKUP(M108, '新規'!$E:$E, '新規'!$P:$P, ""), "")</f>
        <v/>
      </c>
      <c r="R108" s="590"/>
      <c r="S108" s="8" t="str">
        <f t="array" ref="S108">IFERROR(XLOOKUP(R108, '新規'!$E:$E, '新規'!$F:$F, ""), "")</f>
        <v/>
      </c>
      <c r="T108" s="8"/>
      <c r="U108" s="8" t="str">
        <f t="array" ref="U108">IFERROR(XLOOKUP(R108, '新規'!$E:$E, '新規'!$O:$O, ""), "")</f>
        <v/>
      </c>
      <c r="V108" s="8" t="str">
        <f t="array" ref="V108">IFERROR(XLOOKUP(R108, '新規'!$E:$E, '新規'!$P:$P, ""), "")</f>
        <v/>
      </c>
      <c r="W108" s="590"/>
      <c r="X108" s="8" t="str">
        <f t="array" ref="X108">IFERROR(XLOOKUP(W108, '新規'!$E:$E, '新規'!$F:$F, ""), "")</f>
        <v/>
      </c>
      <c r="Y108" s="8"/>
      <c r="Z108" s="8" t="str">
        <f t="array" ref="Z108">IFERROR(XLOOKUP(W108, '新規'!$E:$E, '新規'!$O:$O, ""), "")</f>
        <v/>
      </c>
      <c r="AA108" s="8" t="str">
        <f t="array" ref="AA108">IFERROR(XLOOKUP(W108, '新規'!$E:$E, '新規'!$P:$P, ""), "")</f>
        <v/>
      </c>
      <c r="AB108" s="590"/>
      <c r="AC108" s="8" t="str">
        <f t="array" ref="AC108">IFERROR(XLOOKUP(AB108, '新規'!$E:$E, '新規'!$F:$F, ""), "")</f>
        <v/>
      </c>
      <c r="AD108" s="8"/>
      <c r="AE108" s="8" t="str">
        <f t="array" ref="AE108">IFERROR(XLOOKUP(AB108, '新規'!$E:$E, '新規'!$O:$O, ""), "")</f>
        <v/>
      </c>
      <c r="AF108" s="8" t="str">
        <f t="array" ref="AF108">IFERROR(XLOOKUP(AB108, '新規'!$E:$E, '新規'!$P:$P, ""), "")</f>
        <v/>
      </c>
      <c r="AG108" s="590"/>
      <c r="AH108" s="8" t="str">
        <f t="array" ref="AH108">IFERROR(XLOOKUP(AG108, '新規'!$E:$E, '新規'!$F:$F, ""), "")</f>
        <v/>
      </c>
      <c r="AI108" s="8"/>
      <c r="AJ108" s="8" t="str">
        <f t="array" ref="AJ108">IFERROR(XLOOKUP(AG108, '新規'!$E:$E, '新規'!$O:$O, ""), "")</f>
        <v/>
      </c>
      <c r="AK108" s="8" t="str">
        <f t="array" ref="AK108">IFERROR(XLOOKUP(AG108, '新規'!$E:$E, '新規'!$P:$P, ""), "")</f>
        <v/>
      </c>
    </row>
    <row r="109" ht="17.25" customHeight="1">
      <c r="A109" s="587"/>
      <c r="B109" s="588"/>
      <c r="C109" s="590"/>
      <c r="D109" s="8" t="str">
        <f t="array" ref="D109">IFERROR(XLOOKUP(C109, '新規'!$E:$E, '新規'!$F:$F, ""), "")</f>
        <v/>
      </c>
      <c r="E109" s="8"/>
      <c r="F109" s="8" t="str">
        <f t="array" ref="F109">IFERROR(XLOOKUP(C109, '新規'!$E:$E, '新規'!$O:$O, ""), "")</f>
        <v/>
      </c>
      <c r="G109" s="8" t="str">
        <f t="array" ref="G109">IFERROR(XLOOKUP(C109, '新規'!$E:$E, '新規'!$P:$P, ""), "")</f>
        <v/>
      </c>
      <c r="H109" s="590"/>
      <c r="I109" s="8" t="str">
        <f t="array" ref="I109">IFERROR(XLOOKUP(H109, '新規'!$E:$E, '新規'!$F:$F, ""), "")</f>
        <v/>
      </c>
      <c r="J109" s="8"/>
      <c r="K109" s="8" t="str">
        <f t="array" ref="K109">IFERROR(XLOOKUP(H109, '新規'!$E:$E, '新規'!$O:$O, ""), "")</f>
        <v/>
      </c>
      <c r="L109" s="8" t="str">
        <f t="array" ref="L109">IFERROR(XLOOKUP(H109, '新規'!$E:$E, '新規'!$P:$P, ""), "")</f>
        <v/>
      </c>
      <c r="M109" s="590"/>
      <c r="N109" s="8" t="str">
        <f t="array" ref="N109">IFERROR(XLOOKUP(M109, '新規'!$E:$E, '新規'!$F:$F, ""), "")</f>
        <v/>
      </c>
      <c r="O109" s="8"/>
      <c r="P109" s="8" t="str">
        <f t="array" ref="P109">IFERROR(XLOOKUP(M109, '新規'!$E:$E, '新規'!$O:$O, ""), "")</f>
        <v/>
      </c>
      <c r="Q109" s="8" t="str">
        <f t="array" ref="Q109">IFERROR(XLOOKUP(M109, '新規'!$E:$E, '新規'!$P:$P, ""), "")</f>
        <v/>
      </c>
      <c r="R109" s="590"/>
      <c r="S109" s="8" t="str">
        <f t="array" ref="S109">IFERROR(XLOOKUP(R109, '新規'!$E:$E, '新規'!$F:$F, ""), "")</f>
        <v/>
      </c>
      <c r="T109" s="8"/>
      <c r="U109" s="8" t="str">
        <f t="array" ref="U109">IFERROR(XLOOKUP(R109, '新規'!$E:$E, '新規'!$O:$O, ""), "")</f>
        <v/>
      </c>
      <c r="V109" s="8" t="str">
        <f t="array" ref="V109">IFERROR(XLOOKUP(R109, '新規'!$E:$E, '新規'!$P:$P, ""), "")</f>
        <v/>
      </c>
      <c r="W109" s="590"/>
      <c r="X109" s="8" t="str">
        <f t="array" ref="X109">IFERROR(XLOOKUP(W109, '新規'!$E:$E, '新規'!$F:$F, ""), "")</f>
        <v/>
      </c>
      <c r="Y109" s="8"/>
      <c r="Z109" s="8" t="str">
        <f t="array" ref="Z109">IFERROR(XLOOKUP(W109, '新規'!$E:$E, '新規'!$O:$O, ""), "")</f>
        <v/>
      </c>
      <c r="AA109" s="8" t="str">
        <f t="array" ref="AA109">IFERROR(XLOOKUP(W109, '新規'!$E:$E, '新規'!$P:$P, ""), "")</f>
        <v/>
      </c>
      <c r="AB109" s="590"/>
      <c r="AC109" s="8" t="str">
        <f t="array" ref="AC109">IFERROR(XLOOKUP(AB109, '新規'!$E:$E, '新規'!$F:$F, ""), "")</f>
        <v/>
      </c>
      <c r="AD109" s="8"/>
      <c r="AE109" s="8" t="str">
        <f t="array" ref="AE109">IFERROR(XLOOKUP(AB109, '新規'!$E:$E, '新規'!$O:$O, ""), "")</f>
        <v/>
      </c>
      <c r="AF109" s="8" t="str">
        <f t="array" ref="AF109">IFERROR(XLOOKUP(AB109, '新規'!$E:$E, '新規'!$P:$P, ""), "")</f>
        <v/>
      </c>
      <c r="AG109" s="590"/>
      <c r="AH109" s="8" t="str">
        <f t="array" ref="AH109">IFERROR(XLOOKUP(AG109, '新規'!$E:$E, '新規'!$F:$F, ""), "")</f>
        <v/>
      </c>
      <c r="AI109" s="8"/>
      <c r="AJ109" s="8" t="str">
        <f t="array" ref="AJ109">IFERROR(XLOOKUP(AG109, '新規'!$E:$E, '新規'!$O:$O, ""), "")</f>
        <v/>
      </c>
      <c r="AK109" s="8" t="str">
        <f t="array" ref="AK109">IFERROR(XLOOKUP(AG109, '新規'!$E:$E, '新規'!$P:$P, ""), "")</f>
        <v/>
      </c>
    </row>
    <row r="110" ht="17.25" customHeight="1">
      <c r="A110" s="587"/>
      <c r="B110" s="588"/>
      <c r="C110" s="590"/>
      <c r="D110" s="8" t="str">
        <f t="array" ref="D110">IFERROR(XLOOKUP(C110, '新規'!$E:$E, '新規'!$F:$F, ""), "")</f>
        <v/>
      </c>
      <c r="E110" s="8"/>
      <c r="F110" s="8" t="str">
        <f t="array" ref="F110">IFERROR(XLOOKUP(C110, '新規'!$E:$E, '新規'!$O:$O, ""), "")</f>
        <v/>
      </c>
      <c r="G110" s="8" t="str">
        <f t="array" ref="G110">IFERROR(XLOOKUP(C110, '新規'!$E:$E, '新規'!$P:$P, ""), "")</f>
        <v/>
      </c>
      <c r="H110" s="590"/>
      <c r="I110" s="8" t="str">
        <f t="array" ref="I110">IFERROR(XLOOKUP(H110, '新規'!$E:$E, '新規'!$F:$F, ""), "")</f>
        <v/>
      </c>
      <c r="J110" s="8"/>
      <c r="K110" s="8" t="str">
        <f t="array" ref="K110">IFERROR(XLOOKUP(H110, '新規'!$E:$E, '新規'!$O:$O, ""), "")</f>
        <v/>
      </c>
      <c r="L110" s="8" t="str">
        <f t="array" ref="L110">IFERROR(XLOOKUP(H110, '新規'!$E:$E, '新規'!$P:$P, ""), "")</f>
        <v/>
      </c>
      <c r="M110" s="590"/>
      <c r="N110" s="8" t="str">
        <f t="array" ref="N110">IFERROR(XLOOKUP(M110, '新規'!$E:$E, '新規'!$F:$F, ""), "")</f>
        <v/>
      </c>
      <c r="O110" s="8"/>
      <c r="P110" s="8" t="str">
        <f t="array" ref="P110">IFERROR(XLOOKUP(M110, '新規'!$E:$E, '新規'!$O:$O, ""), "")</f>
        <v/>
      </c>
      <c r="Q110" s="8" t="str">
        <f t="array" ref="Q110">IFERROR(XLOOKUP(M110, '新規'!$E:$E, '新規'!$P:$P, ""), "")</f>
        <v/>
      </c>
      <c r="R110" s="590"/>
      <c r="S110" s="8" t="str">
        <f t="array" ref="S110">IFERROR(XLOOKUP(R110, '新規'!$E:$E, '新規'!$F:$F, ""), "")</f>
        <v/>
      </c>
      <c r="T110" s="8"/>
      <c r="U110" s="8" t="str">
        <f t="array" ref="U110">IFERROR(XLOOKUP(R110, '新規'!$E:$E, '新規'!$O:$O, ""), "")</f>
        <v/>
      </c>
      <c r="V110" s="8" t="str">
        <f t="array" ref="V110">IFERROR(XLOOKUP(R110, '新規'!$E:$E, '新規'!$P:$P, ""), "")</f>
        <v/>
      </c>
      <c r="W110" s="590"/>
      <c r="X110" s="8" t="str">
        <f t="array" ref="X110">IFERROR(XLOOKUP(W110, '新規'!$E:$E, '新規'!$F:$F, ""), "")</f>
        <v/>
      </c>
      <c r="Y110" s="8"/>
      <c r="Z110" s="8" t="str">
        <f t="array" ref="Z110">IFERROR(XLOOKUP(W110, '新規'!$E:$E, '新規'!$O:$O, ""), "")</f>
        <v/>
      </c>
      <c r="AA110" s="8" t="str">
        <f t="array" ref="AA110">IFERROR(XLOOKUP(W110, '新規'!$E:$E, '新規'!$P:$P, ""), "")</f>
        <v/>
      </c>
      <c r="AB110" s="590"/>
      <c r="AC110" s="8" t="str">
        <f t="array" ref="AC110">IFERROR(XLOOKUP(AB110, '新規'!$E:$E, '新規'!$F:$F, ""), "")</f>
        <v/>
      </c>
      <c r="AD110" s="8"/>
      <c r="AE110" s="8" t="str">
        <f t="array" ref="AE110">IFERROR(XLOOKUP(AB110, '新規'!$E:$E, '新規'!$O:$O, ""), "")</f>
        <v/>
      </c>
      <c r="AF110" s="8" t="str">
        <f t="array" ref="AF110">IFERROR(XLOOKUP(AB110, '新規'!$E:$E, '新規'!$P:$P, ""), "")</f>
        <v/>
      </c>
      <c r="AG110" s="590"/>
      <c r="AH110" s="8" t="str">
        <f t="array" ref="AH110">IFERROR(XLOOKUP(AG110, '新規'!$E:$E, '新規'!$F:$F, ""), "")</f>
        <v/>
      </c>
      <c r="AI110" s="8"/>
      <c r="AJ110" s="8" t="str">
        <f t="array" ref="AJ110">IFERROR(XLOOKUP(AG110, '新規'!$E:$E, '新規'!$O:$O, ""), "")</f>
        <v/>
      </c>
      <c r="AK110" s="8" t="str">
        <f t="array" ref="AK110">IFERROR(XLOOKUP(AG110, '新規'!$E:$E, '新規'!$P:$P, ""), "")</f>
        <v/>
      </c>
    </row>
    <row r="111" ht="17.25" customHeight="1">
      <c r="A111" s="587"/>
      <c r="B111" s="592"/>
      <c r="C111" s="590"/>
      <c r="D111" s="593" t="str">
        <f>IFERROR(__xludf.DUMMYFUNCTION("IF(C111="""","""",IFERROR(INDEX(FILTER('特殊配信マスタ'!$F$3:$F$16,('特殊配信マスタ'!$A$3:$A$16=CHOOSE(WEEKDAY(C$1),""日"",""月"",""火"",""水"",""木"",""金"",""土""))*('特殊配信マスタ'!$B$3:$B$16=A$3)*('特殊配信マスタ'!$R$3:$R$16=MOD(INT((C$1-'特殊配信マスタ'!$A$1)/7),3)+1)),1),""""))"),"")</f>
        <v/>
      </c>
      <c r="E111" s="590"/>
      <c r="F111" s="593" t="str">
        <f>IFERROR(__xludf.DUMMYFUNCTION("IF(C111="""","""",IFERROR(INDEX(FILTER('特殊配信マスタ'!$O$3:$O$16,('特殊配信マスタ'!$A$3:$A$16=CHOOSE(WEEKDAY(C$1),""日"",""月"",""火"",""水"",""木"",""金"",""土""))*('特殊配信マスタ'!$B$3:$B$16=A$3)*('特殊配信マスタ'!$R$3:$R$16=MOD(INT((C$1-'特殊配信マスタ'!$A$1)/7),3)+1)),1),""""))"),"")</f>
        <v/>
      </c>
      <c r="G111" s="593" t="str">
        <f>IFERROR(__xludf.DUMMYFUNCTION("IF(C111="""","""",IFERROR(INDEX(FILTER('特殊配信マスタ'!$P$3:$P$16,('特殊配信マスタ'!$A$3:$A$16=CHOOSE(WEEKDAY(C$1),""日"",""月"",""火"",""水"",""木"",""金"",""土""))*('特殊配信マスタ'!$B$3:$B$16=A$3)*('特殊配信マスタ'!$R$3:$R$16=MOD(INT((C$1-'特殊配信マスタ'!$A$1)/7),3)+1)),1),""""))"),"")</f>
        <v/>
      </c>
      <c r="H111" s="590"/>
      <c r="I111" s="593" t="str">
        <f>IFERROR(__xludf.DUMMYFUNCTION("IF(H111="""","""",IFERROR(INDEX(FILTER('特殊配信マスタ'!$F$3:$F$16,('特殊配信マスタ'!$A$3:$A$16=CHOOSE(WEEKDAY(H$1),""日"",""月"",""火"",""水"",""木"",""金"",""土""))*('特殊配信マスタ'!$B$3:$B$16=F$3)*('特殊配信マスタ'!$R$3:$R$16=MOD(INT((H$1-'特殊配信マスタ'!$A$1)/7),3)+1)),1),""""))"),"")</f>
        <v/>
      </c>
      <c r="J111" s="590"/>
      <c r="K111" s="593" t="str">
        <f>IFERROR(__xludf.DUMMYFUNCTION("IF(H111="""","""",IFERROR(INDEX(FILTER('特殊配信マスタ'!$O$3:$O$16,('特殊配信マスタ'!$A$3:$A$16=CHOOSE(WEEKDAY(H$1),""日"",""月"",""火"",""水"",""木"",""金"",""土""))*('特殊配信マスタ'!$B$3:$B$16=F$3)*('特殊配信マスタ'!$R$3:$R$16=MOD(INT((H$1-'特殊配信マスタ'!$A$1)/7),3)+1)),1),""""))"),"")</f>
        <v/>
      </c>
      <c r="L111" s="593" t="str">
        <f>IFERROR(__xludf.DUMMYFUNCTION("IF(H111="""","""",IFERROR(INDEX(FILTER('特殊配信マスタ'!$P$3:$P$16,('特殊配信マスタ'!$A$3:$A$16=CHOOSE(WEEKDAY(H$1),""日"",""月"",""火"",""水"",""木"",""金"",""土""))*('特殊配信マスタ'!$B$3:$B$16=F$3)*('特殊配信マスタ'!$R$3:$R$16=MOD(INT((H$1-'特殊配信マスタ'!$A$1)/7),3)+1)),1),""""))"),"")</f>
        <v/>
      </c>
      <c r="M111" s="590"/>
      <c r="N111" s="593" t="str">
        <f>IFERROR(__xludf.DUMMYFUNCTION("IF(M111="""","""",IFERROR(INDEX(FILTER('特殊配信マスタ'!$F$3:$F$16,('特殊配信マスタ'!$A$3:$A$16=CHOOSE(WEEKDAY(M$1),""日"",""月"",""火"",""水"",""木"",""金"",""土""))*('特殊配信マスタ'!$B$3:$B$16=K$3)*('特殊配信マスタ'!$R$3:$R$16=MOD(INT((M$1-'特殊配信マスタ'!$A$1)/7),3)+1)),1),""""))"),"")</f>
        <v/>
      </c>
      <c r="O111" s="590"/>
      <c r="P111" s="593" t="str">
        <f>IFERROR(__xludf.DUMMYFUNCTION("IF(M111="""","""",IFERROR(INDEX(FILTER('特殊配信マスタ'!$O$3:$O$16,('特殊配信マスタ'!$A$3:$A$16=CHOOSE(WEEKDAY(M$1),""日"",""月"",""火"",""水"",""木"",""金"",""土""))*('特殊配信マスタ'!$B$3:$B$16=K$3)*('特殊配信マスタ'!$R$3:$R$16=MOD(INT((M$1-'特殊配信マスタ'!$A$1)/7),3)+1)),1),""""))"),"")</f>
        <v/>
      </c>
      <c r="Q111" s="593" t="str">
        <f>IFERROR(__xludf.DUMMYFUNCTION("IF(M111="""","""",IFERROR(INDEX(FILTER('特殊配信マスタ'!$P$3:$P$16,('特殊配信マスタ'!$A$3:$A$16=CHOOSE(WEEKDAY(M$1),""日"",""月"",""火"",""水"",""木"",""金"",""土""))*('特殊配信マスタ'!$B$3:$B$16=K$3)*('特殊配信マスタ'!$R$3:$R$16=MOD(INT((M$1-'特殊配信マスタ'!$A$1)/7),3)+1)),1),""""))"),"")</f>
        <v/>
      </c>
      <c r="R111" s="590"/>
      <c r="S111" s="593" t="str">
        <f>IFERROR(__xludf.DUMMYFUNCTION("IF(R111="""","""",IFERROR(INDEX(FILTER('特殊配信マスタ'!$F$3:$F$16,('特殊配信マスタ'!$A$3:$A$16=CHOOSE(WEEKDAY(R$1),""日"",""月"",""火"",""水"",""木"",""金"",""土""))*('特殊配信マスタ'!$B$3:$B$16=P$3)*('特殊配信マスタ'!$R$3:$R$16=MOD(INT((R$1-'特殊配信マスタ'!$A$1)/7),3)+1)),1),""""))"),"")</f>
        <v/>
      </c>
      <c r="T111" s="590"/>
      <c r="U111" s="593" t="str">
        <f>IFERROR(__xludf.DUMMYFUNCTION("IF(R111="""","""",IFERROR(INDEX(FILTER('特殊配信マスタ'!$O$3:$O$16,('特殊配信マスタ'!$A$3:$A$16=CHOOSE(WEEKDAY(R$1),""日"",""月"",""火"",""水"",""木"",""金"",""土""))*('特殊配信マスタ'!$B$3:$B$16=P$3)*('特殊配信マスタ'!$R$3:$R$16=MOD(INT((R$1-'特殊配信マスタ'!$A$1)/7),3)+1)),1),""""))"),"")</f>
        <v/>
      </c>
      <c r="V111" s="593" t="str">
        <f>IFERROR(__xludf.DUMMYFUNCTION("IF(R111="""","""",IFERROR(INDEX(FILTER('特殊配信マスタ'!$P$3:$P$16,('特殊配信マスタ'!$A$3:$A$16=CHOOSE(WEEKDAY(R$1),""日"",""月"",""火"",""水"",""木"",""金"",""土""))*('特殊配信マスタ'!$B$3:$B$16=P$3)*('特殊配信マスタ'!$R$3:$R$16=MOD(INT((R$1-'特殊配信マスタ'!$A$1)/7),3)+1)),1),""""))"),"")</f>
        <v/>
      </c>
      <c r="W111" s="590"/>
      <c r="X111" s="593" t="str">
        <f>IFERROR(__xludf.DUMMYFUNCTION("IF(W111="""","""",IFERROR(INDEX(FILTER('特殊配信マスタ'!$F$3:$F$16,('特殊配信マスタ'!$A$3:$A$16=CHOOSE(WEEKDAY(W$1),""日"",""月"",""火"",""水"",""木"",""金"",""土""))*('特殊配信マスタ'!$B$3:$B$16=U$3)*('特殊配信マスタ'!$R$3:$R$16=MOD(INT((W$1-'特殊配信マスタ'!$A$1)/7),3)+1)),1),""""))"),"")</f>
        <v/>
      </c>
      <c r="Y111" s="590"/>
      <c r="Z111" s="593" t="str">
        <f>IFERROR(__xludf.DUMMYFUNCTION("IF(W111="""","""",IFERROR(INDEX(FILTER('特殊配信マスタ'!$O$3:$O$16,('特殊配信マスタ'!$A$3:$A$16=CHOOSE(WEEKDAY(W$1),""日"",""月"",""火"",""水"",""木"",""金"",""土""))*('特殊配信マスタ'!$B$3:$B$16=U$3)*('特殊配信マスタ'!$R$3:$R$16=MOD(INT((W$1-'特殊配信マスタ'!$A$1)/7),3)+1)),1),""""))"),"")</f>
        <v/>
      </c>
      <c r="AA111" s="593" t="str">
        <f>IFERROR(__xludf.DUMMYFUNCTION("IF(W111="""","""",IFERROR(INDEX(FILTER('特殊配信マスタ'!$P$3:$P$16,('特殊配信マスタ'!$A$3:$A$16=CHOOSE(WEEKDAY(W$1),""日"",""月"",""火"",""水"",""木"",""金"",""土""))*('特殊配信マスタ'!$B$3:$B$16=U$3)*('特殊配信マスタ'!$R$3:$R$16=MOD(INT((W$1-'特殊配信マスタ'!$A$1)/7),3)+1)),1),""""))"),"")</f>
        <v/>
      </c>
      <c r="AB111" s="590"/>
      <c r="AC111" s="593" t="str">
        <f>IFERROR(__xludf.DUMMYFUNCTION("IF(AB111="""","""",IFERROR(INDEX(FILTER('特殊配信マスタ'!$F$3:$F$16,('特殊配信マスタ'!$A$3:$A$16=CHOOSE(WEEKDAY(AB$1),""日"",""月"",""火"",""水"",""木"",""金"",""土""))*('特殊配信マスタ'!$B$3:$B$16=Z$3)*('特殊配信マスタ'!$R$3:$R$16=MOD(INT((AB$1-'特殊配信マスタ'!$A$1)/7),3)+1)),1),""""))"),"")</f>
        <v/>
      </c>
      <c r="AD111" s="590"/>
      <c r="AE111" s="593" t="str">
        <f>IFERROR(__xludf.DUMMYFUNCTION("IF(AB111="""","""",IFERROR(INDEX(FILTER('特殊配信マスタ'!$O$3:$O$16,('特殊配信マスタ'!$A$3:$A$16=CHOOSE(WEEKDAY(AB$1),""日"",""月"",""火"",""水"",""木"",""金"",""土""))*('特殊配信マスタ'!$B$3:$B$16=Z$3)*('特殊配信マスタ'!$R$3:$R$16=MOD(INT((AB$1-'特殊配信マスタ'!$A$1)/7),3)+1)),1),""""))"),"")</f>
        <v/>
      </c>
      <c r="AF111" s="593" t="str">
        <f>IFERROR(__xludf.DUMMYFUNCTION("IF(AB111="""","""",IFERROR(INDEX(FILTER('特殊配信マスタ'!$P$3:$P$16,('特殊配信マスタ'!$A$3:$A$16=CHOOSE(WEEKDAY(AB$1),""日"",""月"",""火"",""水"",""木"",""金"",""土""))*('特殊配信マスタ'!$B$3:$B$16=Z$3)*('特殊配信マスタ'!$R$3:$R$16=MOD(INT((AB$1-'特殊配信マスタ'!$A$1)/7),3)+1)),1),""""))"),"")</f>
        <v/>
      </c>
      <c r="AG111" s="590"/>
      <c r="AH111" s="593" t="str">
        <f>IFERROR(__xludf.DUMMYFUNCTION("IF(AG111="""","""",IFERROR(INDEX(FILTER('特殊配信マスタ'!$F$3:$F$16,('特殊配信マスタ'!$A$3:$A$16=CHOOSE(WEEKDAY(AG$1),""日"",""月"",""火"",""水"",""木"",""金"",""土""))*('特殊配信マスタ'!$B$3:$B$16=AE$3)*('特殊配信マスタ'!$R$3:$R$16=MOD(INT((AG$1-'特殊配信マスタ'!$A$1)/7),3)+1)),1),""""))"),"")</f>
        <v/>
      </c>
      <c r="AI111" s="590"/>
      <c r="AJ111" s="593" t="str">
        <f>IFERROR(__xludf.DUMMYFUNCTION("IF(AG111="""","""",IFERROR(INDEX(FILTER('特殊配信マスタ'!$O$3:$O$16,('特殊配信マスタ'!$A$3:$A$16=CHOOSE(WEEKDAY(AG$1),""日"",""月"",""火"",""水"",""木"",""金"",""土""))*('特殊配信マスタ'!$B$3:$B$16=AE$3)*('特殊配信マスタ'!$R$3:$R$16=MOD(INT((AG$1-'特殊配信マスタ'!$A$1)/7),3)+1)),1),""""))"),"")</f>
        <v/>
      </c>
      <c r="AK111" s="593" t="str">
        <f>IFERROR(__xludf.DUMMYFUNCTION("IF(AG111="""","""",IFERROR(INDEX(FILTER('特殊配信マスタ'!$P$3:$P$16,('特殊配信マスタ'!$A$3:$A$16=CHOOSE(WEEKDAY(AG$1),""日"",""月"",""火"",""水"",""木"",""金"",""土""))*('特殊配信マスタ'!$B$3:$B$16=AE$3)*('特殊配信マスタ'!$R$3:$R$16=MOD(INT((AG$1-'特殊配信マスタ'!$A$1)/7),3)+1)),1),""""))"),"")</f>
        <v/>
      </c>
    </row>
    <row r="112" ht="17.25" customHeight="1">
      <c r="A112" s="587"/>
      <c r="B112" s="585" t="s">
        <v>1451</v>
      </c>
      <c r="C112" s="590" t="str">
        <f>IFERROR(__xludf.DUMMYFUNCTION("IFERROR(INDEX(FILTER('特殊配信マスタ'!$E$3:$E$16, (TEXT('特殊配信マスタ'!$A$3:$A$16,""ddd"")=TEXT(C$1,""ddd""))*(IFERROR(VALUE('特殊配信マスタ'!$B$3:$B$16),0)=VALUE(LOOKUP(2,1/($A$3:$A112&lt;&gt;""""),$A$3:$A112)))*('特殊配信マスタ'!$Q$3:$Q$16&lt;&gt;TRUE)), 1), """")"),"")</f>
        <v/>
      </c>
      <c r="D112" s="593" t="str">
        <f>IFERROR(__xludf.DUMMYFUNCTION("IF(C112="""","""",IFERROR(INDEX(FILTER('特殊配信マスタ'!$F$3:$F$16,('特殊配信マスタ'!$A$3:$A$16=CHOOSE(WEEKDAY(C$1),""日"",""月"",""火"",""水"",""木"",""金"",""土""))*('特殊配信マスタ'!$B$3:$B$16=A$3)*('特殊配信マスタ'!$R$3:$R$16=MOD(INT((C$1-'特殊配信マスタ'!$A$1)/7),3)+1)),1),""""))"),"")</f>
        <v/>
      </c>
      <c r="E112" s="590"/>
      <c r="F112" s="593" t="str">
        <f>IFERROR(__xludf.DUMMYFUNCTION("IF(C112="""","""",IFERROR(INDEX(FILTER('特殊配信マスタ'!$O$3:$O$16, '特殊配信マスタ'!$E$3:$E$16=C112),1),""""))"),"")</f>
        <v/>
      </c>
      <c r="G112" s="593" t="str">
        <f>IFERROR(__xludf.DUMMYFUNCTION("IF(C112="""","""",IFERROR(INDEX(FILTER('特殊配信マスタ'!$P$3:$P$16, '特殊配信マスタ'!$E$3:$E$16=C112),1),""""))"),"")</f>
        <v/>
      </c>
      <c r="H112" s="590" t="str">
        <f>IFERROR(__xludf.DUMMYFUNCTION("IFERROR(INDEX(FILTER('特殊配信マスタ'!$E$3:$E$16, (TEXT('特殊配信マスタ'!$A$3:$A$16,""ddd"")=TEXT(H$1,""ddd""))*(IFERROR(VALUE('特殊配信マスタ'!$B$3:$B$16),0)=VALUE(LOOKUP(2,1/($A$3:$A112&lt;&gt;""""),$A$3:$A112)))*('特殊配信マスタ'!$Q$3:$Q$16&lt;&gt;TRUE)), 1), """")"),"")</f>
        <v/>
      </c>
      <c r="I112" s="593" t="str">
        <f>IFERROR(__xludf.DUMMYFUNCTION("IF(H112="""","""",IFERROR(INDEX(FILTER('特殊配信マスタ'!$F$3:$F$16,('特殊配信マスタ'!$A$3:$A$16=CHOOSE(WEEKDAY(H$1),""日"",""月"",""火"",""水"",""木"",""金"",""土""))*('特殊配信マスタ'!$B$3:$B$16=F$3)*('特殊配信マスタ'!$R$3:$R$16=MOD(INT((H$1-'特殊配信マスタ'!$A$1)/7),3)+1)),1),""""))"),"")</f>
        <v/>
      </c>
      <c r="J112" s="590"/>
      <c r="K112" s="593" t="str">
        <f>IFERROR(__xludf.DUMMYFUNCTION("IF(H112="""","""",IFERROR(INDEX(FILTER('特殊配信マスタ'!$O$3:$O$16, '特殊配信マスタ'!$E$3:$E$16=H112),1),""""))"),"")</f>
        <v/>
      </c>
      <c r="L112" s="593" t="str">
        <f>IFERROR(__xludf.DUMMYFUNCTION("IF(H112="""","""",IFERROR(INDEX(FILTER('特殊配信マスタ'!$P$3:$P$16, '特殊配信マスタ'!$E$3:$E$16=H112),1),""""))"),"")</f>
        <v/>
      </c>
      <c r="M112" s="590" t="str">
        <f>IFERROR(__xludf.DUMMYFUNCTION("IFERROR(INDEX(FILTER('特殊配信マスタ'!$E$3:$E$16, (TEXT('特殊配信マスタ'!$A$3:$A$16,""ddd"")=TEXT(M$1,""ddd""))*(IFERROR(VALUE('特殊配信マスタ'!$B$3:$B$16),0)=VALUE(LOOKUP(2,1/($A$3:$A112&lt;&gt;""""),$A$3:$A112)))*('特殊配信マスタ'!$Q$3:$Q$16&lt;&gt;TRUE)), 1), """")"),"")</f>
        <v/>
      </c>
      <c r="N112" s="593" t="str">
        <f>IFERROR(__xludf.DUMMYFUNCTION("IF(M112="""","""",IFERROR(INDEX(FILTER('特殊配信マスタ'!$F$3:$F$16,('特殊配信マスタ'!$A$3:$A$16=CHOOSE(WEEKDAY(M$1),""日"",""月"",""火"",""水"",""木"",""金"",""土""))*('特殊配信マスタ'!$B$3:$B$16=K$3)*('特殊配信マスタ'!$R$3:$R$16=MOD(INT((M$1-'特殊配信マスタ'!$A$1)/7),3)+1)),1),""""))"),"")</f>
        <v/>
      </c>
      <c r="O112" s="590"/>
      <c r="P112" s="593" t="str">
        <f>IFERROR(__xludf.DUMMYFUNCTION("IF(M112="""","""",IFERROR(INDEX(FILTER('特殊配信マスタ'!$O$3:$O$16, '特殊配信マスタ'!$E$3:$E$16=M112),1),""""))"),"")</f>
        <v/>
      </c>
      <c r="Q112" s="593" t="str">
        <f>IFERROR(__xludf.DUMMYFUNCTION("IF(M112="""","""",IFERROR(INDEX(FILTER('特殊配信マスタ'!$P$3:$P$16, '特殊配信マスタ'!$E$3:$E$16=M112),1),""""))"),"")</f>
        <v/>
      </c>
      <c r="R112" s="590" t="str">
        <f>IFERROR(__xludf.DUMMYFUNCTION("IFERROR(INDEX(FILTER('特殊配信マスタ'!$E$3:$E$16, (TEXT('特殊配信マスタ'!$A$3:$A$16,""ddd"")=TEXT(R$1,""ddd""))*(IFERROR(VALUE('特殊配信マスタ'!$B$3:$B$16),0)=VALUE(LOOKUP(2,1/($A$3:$A112&lt;&gt;""""),$A$3:$A112)))*('特殊配信マスタ'!$Q$3:$Q$16&lt;&gt;TRUE)), 1), """")"),"")</f>
        <v/>
      </c>
      <c r="S112" s="593" t="str">
        <f>IFERROR(__xludf.DUMMYFUNCTION("IF(R112="""","""",IFERROR(INDEX(FILTER('特殊配信マスタ'!$F$3:$F$16,('特殊配信マスタ'!$A$3:$A$16=CHOOSE(WEEKDAY(R$1),""日"",""月"",""火"",""水"",""木"",""金"",""土""))*('特殊配信マスタ'!$B$3:$B$16=P$3)*('特殊配信マスタ'!$R$3:$R$16=MOD(INT((R$1-'特殊配信マスタ'!$A$1)/7),3)+1)),1),""""))"),"")</f>
        <v/>
      </c>
      <c r="T112" s="590"/>
      <c r="U112" s="593" t="str">
        <f>IFERROR(__xludf.DUMMYFUNCTION("IF(R112="""","""",IFERROR(INDEX(FILTER('特殊配信マスタ'!$O$3:$O$16, '特殊配信マスタ'!$E$3:$E$16=R112),1),""""))"),"")</f>
        <v/>
      </c>
      <c r="V112" s="593" t="str">
        <f>IFERROR(__xludf.DUMMYFUNCTION("IF(R112="""","""",IFERROR(INDEX(FILTER('特殊配信マスタ'!$P$3:$P$16, '特殊配信マスタ'!$E$3:$E$16=R112),1),""""))"),"")</f>
        <v/>
      </c>
      <c r="W112" s="590" t="str">
        <f>IFERROR(__xludf.DUMMYFUNCTION("IFERROR(INDEX(FILTER('特殊配信マスタ'!$E$3:$E$16, (TEXT('特殊配信マスタ'!$A$3:$A$16,""ddd"")=TEXT(W$1,""ddd""))*(IFERROR(VALUE('特殊配信マスタ'!$B$3:$B$16),0)=VALUE(LOOKUP(2,1/($A$3:$A112&lt;&gt;""""),$A$3:$A112)))*('特殊配信マスタ'!$Q$3:$Q$16&lt;&gt;TRUE)), 1), """")"),"")</f>
        <v/>
      </c>
      <c r="X112" s="593" t="str">
        <f>IFERROR(__xludf.DUMMYFUNCTION("IF(W112="""","""",IFERROR(INDEX(FILTER('特殊配信マスタ'!$F$3:$F$16,('特殊配信マスタ'!$A$3:$A$16=CHOOSE(WEEKDAY(W$1),""日"",""月"",""火"",""水"",""木"",""金"",""土""))*('特殊配信マスタ'!$B$3:$B$16=U$3)*('特殊配信マスタ'!$R$3:$R$16=MOD(INT((W$1-'特殊配信マスタ'!$A$1)/7),3)+1)),1),""""))"),"")</f>
        <v/>
      </c>
      <c r="Y112" s="590"/>
      <c r="Z112" s="593" t="str">
        <f>IFERROR(__xludf.DUMMYFUNCTION("IF(W112="""","""",IFERROR(INDEX(FILTER('特殊配信マスタ'!$O$3:$O$16, '特殊配信マスタ'!$E$3:$E$16=W112),1),""""))"),"")</f>
        <v/>
      </c>
      <c r="AA112" s="593" t="str">
        <f>IFERROR(__xludf.DUMMYFUNCTION("IF(W112="""","""",IFERROR(INDEX(FILTER('特殊配信マスタ'!$P$3:$P$16, '特殊配信マスタ'!$E$3:$E$16=W112),1),""""))"),"")</f>
        <v/>
      </c>
      <c r="AB112" s="590" t="str">
        <f>IFERROR(__xludf.DUMMYFUNCTION("IFERROR(INDEX(FILTER('特殊配信マスタ'!$E$3:$E$16, (TEXT('特殊配信マスタ'!$A$3:$A$16,""ddd"")=TEXT(AB$1,""ddd""))*(IFERROR(VALUE('特殊配信マスタ'!$B$3:$B$16),0)=VALUE(LOOKUP(2,1/($A$3:$A112&lt;&gt;""""),$A$3:$A112)))*('特殊配信マスタ'!$Q$3:$Q$16&lt;&gt;TRUE)), 1), """")"),"")</f>
        <v/>
      </c>
      <c r="AC112" s="593" t="str">
        <f>IFERROR(__xludf.DUMMYFUNCTION("IF(AB112="""","""",IFERROR(INDEX(FILTER('特殊配信マスタ'!$F$3:$F$16,('特殊配信マスタ'!$A$3:$A$16=CHOOSE(WEEKDAY(AB$1),""日"",""月"",""火"",""水"",""木"",""金"",""土""))*('特殊配信マスタ'!$B$3:$B$16=Z$3)*('特殊配信マスタ'!$R$3:$R$16=MOD(INT((AB$1-'特殊配信マスタ'!$A$1)/7),3)+1)),1),""""))"),"")</f>
        <v/>
      </c>
      <c r="AD112" s="590"/>
      <c r="AE112" s="593" t="str">
        <f>IFERROR(__xludf.DUMMYFUNCTION("IF(AB112="""","""",IFERROR(INDEX(FILTER('特殊配信マスタ'!$O$3:$O$16, '特殊配信マスタ'!$E$3:$E$16=AB112),1),""""))"),"")</f>
        <v/>
      </c>
      <c r="AF112" s="593" t="str">
        <f>IFERROR(__xludf.DUMMYFUNCTION("IF(AB112="""","""",IFERROR(INDEX(FILTER('特殊配信マスタ'!$P$3:$P$16, '特殊配信マスタ'!$E$3:$E$16=AB112),1),""""))"),"")</f>
        <v/>
      </c>
      <c r="AG112" s="590" t="str">
        <f>IFERROR(__xludf.DUMMYFUNCTION("IFERROR(INDEX(FILTER('特殊配信マスタ'!$E$3:$E$16, (TEXT('特殊配信マスタ'!$A$3:$A$16,""ddd"")=TEXT(AG$1,""ddd""))*(IFERROR(VALUE('特殊配信マスタ'!$B$3:$B$16),0)=VALUE(LOOKUP(2,1/($A$3:$A112&lt;&gt;""""),$A$3:$A112)))*('特殊配信マスタ'!$Q$3:$Q$16&lt;&gt;TRUE)), 1), """")"),"")</f>
        <v/>
      </c>
      <c r="AH112" s="593" t="str">
        <f>IFERROR(__xludf.DUMMYFUNCTION("IF(AG112="""","""",IFERROR(INDEX(FILTER('特殊配信マスタ'!$F$3:$F$16,('特殊配信マスタ'!$A$3:$A$16=CHOOSE(WEEKDAY(AG$1),""日"",""月"",""火"",""水"",""木"",""金"",""土""))*('特殊配信マスタ'!$B$3:$B$16=AE$3)*('特殊配信マスタ'!$R$3:$R$16=MOD(INT((AG$1-'特殊配信マスタ'!$A$1)/7),3)+1)),1),""""))"),"")</f>
        <v/>
      </c>
      <c r="AI112" s="590"/>
      <c r="AJ112" s="593" t="str">
        <f>IFERROR(__xludf.DUMMYFUNCTION("IF(AG112="""","""",IFERROR(INDEX(FILTER('特殊配信マスタ'!$O$3:$O$16, '特殊配信マスタ'!$E$3:$E$16=AG112),1),""""))"),"")</f>
        <v/>
      </c>
      <c r="AK112" s="593" t="str">
        <f>IFERROR(__xludf.DUMMYFUNCTION("IF(AG112="""","""",IFERROR(INDEX(FILTER('特殊配信マスタ'!$P$3:$P$16, '特殊配信マスタ'!$E$3:$E$16=AG112),1),""""))"),"")</f>
        <v/>
      </c>
    </row>
    <row r="113" ht="17.25" customHeight="1">
      <c r="A113" s="587"/>
      <c r="B113" s="588"/>
      <c r="C113" s="590" t="str">
        <f>IFERROR(__xludf.DUMMYFUNCTION("IFERROR(INDEX(FILTER('特殊配信マスタ'!$E$3:$E$16, (TEXT('特殊配信マスタ'!$A$3:$A$16,""ddd"")=TEXT(C$1,""ddd""))*(IFERROR(VALUE('特殊配信マスタ'!$B$3:$B$16),0)=VALUE(LOOKUP(2,1/($A$3:$A113&lt;&gt;""""),$A$3:$A113)))*('特殊配信マスタ'!$Q$3:$Q$16&lt;&gt;TRUE)), 2), """")"),"")</f>
        <v/>
      </c>
      <c r="D113" s="593" t="str">
        <f>IFERROR(__xludf.DUMMYFUNCTION("IF(C113="""","""",IFERROR(INDEX(FILTER('特殊配信マスタ'!$F$3:$F$16,('特殊配信マスタ'!$A$3:$A$16=CHOOSE(WEEKDAY(C$1),""日"",""月"",""火"",""水"",""木"",""金"",""土""))*('特殊配信マスタ'!$B$3:$B$16=A$3)*('特殊配信マスタ'!$R$3:$R$16=MOD(INT((C$1-'特殊配信マスタ'!$A$1)/7),3)+1)),1),""""))"),"")</f>
        <v/>
      </c>
      <c r="E113" s="590"/>
      <c r="F113" s="593" t="str">
        <f>IFERROR(__xludf.DUMMYFUNCTION("IF(C113="""","""",IFERROR(INDEX(FILTER('特殊配信マスタ'!$O$3:$O$16, '特殊配信マスタ'!$E$3:$E$16=C113),1),""""))"),"")</f>
        <v/>
      </c>
      <c r="G113" s="593" t="str">
        <f>IFERROR(__xludf.DUMMYFUNCTION("IF(C113="""","""",IFERROR(INDEX(FILTER('特殊配信マスタ'!$P$3:$P$16, '特殊配信マスタ'!$E$3:$E$16=C113),1),""""))"),"")</f>
        <v/>
      </c>
      <c r="H113" s="590" t="str">
        <f>IFERROR(__xludf.DUMMYFUNCTION("IFERROR(INDEX(FILTER('特殊配信マスタ'!$E$3:$E$16, (TEXT('特殊配信マスタ'!$A$3:$A$16,""ddd"")=TEXT(H$1,""ddd""))*(IFERROR(VALUE('特殊配信マスタ'!$B$3:$B$16),0)=VALUE(LOOKUP(2,1/($A$3:$A113&lt;&gt;""""),$A$3:$A113)))*('特殊配信マスタ'!$Q$3:$Q$16&lt;&gt;TRUE)), 2), """")"),"")</f>
        <v/>
      </c>
      <c r="I113" s="593" t="str">
        <f>IFERROR(__xludf.DUMMYFUNCTION("IF(H113="""","""",IFERROR(INDEX(FILTER('特殊配信マスタ'!$F$3:$F$16,('特殊配信マスタ'!$A$3:$A$16=CHOOSE(WEEKDAY(H$1),""日"",""月"",""火"",""水"",""木"",""金"",""土""))*('特殊配信マスタ'!$B$3:$B$16=F$3)*('特殊配信マスタ'!$R$3:$R$16=MOD(INT((H$1-'特殊配信マスタ'!$A$1)/7),3)+1)),1),""""))"),"")</f>
        <v/>
      </c>
      <c r="J113" s="590"/>
      <c r="K113" s="593" t="str">
        <f>IFERROR(__xludf.DUMMYFUNCTION("IF(H113="""","""",IFERROR(INDEX(FILTER('特殊配信マスタ'!$O$3:$O$16, '特殊配信マスタ'!$E$3:$E$16=H113),1),""""))"),"")</f>
        <v/>
      </c>
      <c r="L113" s="593" t="str">
        <f>IFERROR(__xludf.DUMMYFUNCTION("IF(H113="""","""",IFERROR(INDEX(FILTER('特殊配信マスタ'!$P$3:$P$16, '特殊配信マスタ'!$E$3:$E$16=H113),1),""""))"),"")</f>
        <v/>
      </c>
      <c r="M113" s="590" t="str">
        <f>IFERROR(__xludf.DUMMYFUNCTION("IFERROR(INDEX(FILTER('特殊配信マスタ'!$E$3:$E$16, (TEXT('特殊配信マスタ'!$A$3:$A$16,""ddd"")=TEXT(M$1,""ddd""))*(IFERROR(VALUE('特殊配信マスタ'!$B$3:$B$16),0)=VALUE(LOOKUP(2,1/($A$3:$A113&lt;&gt;""""),$A$3:$A113)))*('特殊配信マスタ'!$Q$3:$Q$16&lt;&gt;TRUE)), 2), """")"),"")</f>
        <v/>
      </c>
      <c r="N113" s="593" t="str">
        <f>IFERROR(__xludf.DUMMYFUNCTION("IF(M113="""","""",IFERROR(INDEX(FILTER('特殊配信マスタ'!$F$3:$F$16,('特殊配信マスタ'!$A$3:$A$16=CHOOSE(WEEKDAY(M$1),""日"",""月"",""火"",""水"",""木"",""金"",""土""))*('特殊配信マスタ'!$B$3:$B$16=K$3)*('特殊配信マスタ'!$R$3:$R$16=MOD(INT((M$1-'特殊配信マスタ'!$A$1)/7),3)+1)),1),""""))"),"")</f>
        <v/>
      </c>
      <c r="O113" s="590"/>
      <c r="P113" s="593" t="str">
        <f>IFERROR(__xludf.DUMMYFUNCTION("IF(M113="""","""",IFERROR(INDEX(FILTER('特殊配信マスタ'!$O$3:$O$16, '特殊配信マスタ'!$E$3:$E$16=M113),1),""""))"),"")</f>
        <v/>
      </c>
      <c r="Q113" s="593" t="str">
        <f>IFERROR(__xludf.DUMMYFUNCTION("IF(M113="""","""",IFERROR(INDEX(FILTER('特殊配信マスタ'!$P$3:$P$16, '特殊配信マスタ'!$E$3:$E$16=M113),1),""""))"),"")</f>
        <v/>
      </c>
      <c r="R113" s="590" t="str">
        <f>IFERROR(__xludf.DUMMYFUNCTION("IFERROR(INDEX(FILTER('特殊配信マスタ'!$E$3:$E$16, (TEXT('特殊配信マスタ'!$A$3:$A$16,""ddd"")=TEXT(R$1,""ddd""))*(IFERROR(VALUE('特殊配信マスタ'!$B$3:$B$16),0)=VALUE(LOOKUP(2,1/($A$3:$A113&lt;&gt;""""),$A$3:$A113)))*('特殊配信マスタ'!$Q$3:$Q$16&lt;&gt;TRUE)), 2), """")"),"")</f>
        <v/>
      </c>
      <c r="S113" s="593" t="str">
        <f>IFERROR(__xludf.DUMMYFUNCTION("IF(R113="""","""",IFERROR(INDEX(FILTER('特殊配信マスタ'!$F$3:$F$16,('特殊配信マスタ'!$A$3:$A$16=CHOOSE(WEEKDAY(R$1),""日"",""月"",""火"",""水"",""木"",""金"",""土""))*('特殊配信マスタ'!$B$3:$B$16=P$3)*('特殊配信マスタ'!$R$3:$R$16=MOD(INT((R$1-'特殊配信マスタ'!$A$1)/7),3)+1)),1),""""))"),"")</f>
        <v/>
      </c>
      <c r="T113" s="590"/>
      <c r="U113" s="593" t="str">
        <f>IFERROR(__xludf.DUMMYFUNCTION("IF(R113="""","""",IFERROR(INDEX(FILTER('特殊配信マスタ'!$O$3:$O$16, '特殊配信マスタ'!$E$3:$E$16=R113),1),""""))"),"")</f>
        <v/>
      </c>
      <c r="V113" s="593" t="str">
        <f>IFERROR(__xludf.DUMMYFUNCTION("IF(R113="""","""",IFERROR(INDEX(FILTER('特殊配信マスタ'!$P$3:$P$16, '特殊配信マスタ'!$E$3:$E$16=R113),1),""""))"),"")</f>
        <v/>
      </c>
      <c r="W113" s="590" t="str">
        <f>IFERROR(__xludf.DUMMYFUNCTION("IFERROR(INDEX(FILTER('特殊配信マスタ'!$E$3:$E$16, (TEXT('特殊配信マスタ'!$A$3:$A$16,""ddd"")=TEXT(W$1,""ddd""))*(IFERROR(VALUE('特殊配信マスタ'!$B$3:$B$16),0)=VALUE(LOOKUP(2,1/($A$3:$A113&lt;&gt;""""),$A$3:$A113)))*('特殊配信マスタ'!$Q$3:$Q$16&lt;&gt;TRUE)), 2), """")"),"")</f>
        <v/>
      </c>
      <c r="X113" s="593" t="str">
        <f>IFERROR(__xludf.DUMMYFUNCTION("IF(W113="""","""",IFERROR(INDEX(FILTER('特殊配信マスタ'!$F$3:$F$16,('特殊配信マスタ'!$A$3:$A$16=CHOOSE(WEEKDAY(W$1),""日"",""月"",""火"",""水"",""木"",""金"",""土""))*('特殊配信マスタ'!$B$3:$B$16=U$3)*('特殊配信マスタ'!$R$3:$R$16=MOD(INT((W$1-'特殊配信マスタ'!$A$1)/7),3)+1)),1),""""))"),"")</f>
        <v/>
      </c>
      <c r="Y113" s="590"/>
      <c r="Z113" s="593" t="str">
        <f>IFERROR(__xludf.DUMMYFUNCTION("IF(W113="""","""",IFERROR(INDEX(FILTER('特殊配信マスタ'!$O$3:$O$16, '特殊配信マスタ'!$E$3:$E$16=W113),1),""""))"),"")</f>
        <v/>
      </c>
      <c r="AA113" s="593" t="str">
        <f>IFERROR(__xludf.DUMMYFUNCTION("IF(W113="""","""",IFERROR(INDEX(FILTER('特殊配信マスタ'!$P$3:$P$16, '特殊配信マスタ'!$E$3:$E$16=W113),1),""""))"),"")</f>
        <v/>
      </c>
      <c r="AB113" s="590" t="str">
        <f>IFERROR(__xludf.DUMMYFUNCTION("IFERROR(INDEX(FILTER('特殊配信マスタ'!$E$3:$E$16, (TEXT('特殊配信マスタ'!$A$3:$A$16,""ddd"")=TEXT(AB$1,""ddd""))*(IFERROR(VALUE('特殊配信マスタ'!$B$3:$B$16),0)=VALUE(LOOKUP(2,1/($A$3:$A113&lt;&gt;""""),$A$3:$A113)))*('特殊配信マスタ'!$Q$3:$Q$16&lt;&gt;TRUE)), 2), """")"),"")</f>
        <v/>
      </c>
      <c r="AC113" s="593" t="str">
        <f>IFERROR(__xludf.DUMMYFUNCTION("IF(AB113="""","""",IFERROR(INDEX(FILTER('特殊配信マスタ'!$F$3:$F$16,('特殊配信マスタ'!$A$3:$A$16=CHOOSE(WEEKDAY(AB$1),""日"",""月"",""火"",""水"",""木"",""金"",""土""))*('特殊配信マスタ'!$B$3:$B$16=Z$3)*('特殊配信マスタ'!$R$3:$R$16=MOD(INT((AB$1-'特殊配信マスタ'!$A$1)/7),3)+1)),1),""""))"),"")</f>
        <v/>
      </c>
      <c r="AD113" s="590"/>
      <c r="AE113" s="593" t="str">
        <f>IFERROR(__xludf.DUMMYFUNCTION("IF(AB113="""","""",IFERROR(INDEX(FILTER('特殊配信マスタ'!$O$3:$O$16, '特殊配信マスタ'!$E$3:$E$16=AB113),1),""""))"),"")</f>
        <v/>
      </c>
      <c r="AF113" s="593" t="str">
        <f>IFERROR(__xludf.DUMMYFUNCTION("IF(AB113="""","""",IFERROR(INDEX(FILTER('特殊配信マスタ'!$P$3:$P$16, '特殊配信マスタ'!$E$3:$E$16=AB113),1),""""))"),"")</f>
        <v/>
      </c>
      <c r="AG113" s="590" t="str">
        <f>IFERROR(__xludf.DUMMYFUNCTION("IFERROR(INDEX(FILTER('特殊配信マスタ'!$E$3:$E$16, (TEXT('特殊配信マスタ'!$A$3:$A$16,""ddd"")=TEXT(AG$1,""ddd""))*(IFERROR(VALUE('特殊配信マスタ'!$B$3:$B$16),0)=VALUE(LOOKUP(2,1/($A$3:$A113&lt;&gt;""""),$A$3:$A113)))*('特殊配信マスタ'!$Q$3:$Q$16&lt;&gt;TRUE)), 2), """")"),"")</f>
        <v/>
      </c>
      <c r="AH113" s="593" t="str">
        <f>IFERROR(__xludf.DUMMYFUNCTION("IF(AG113="""","""",IFERROR(INDEX(FILTER('特殊配信マスタ'!$F$3:$F$16,('特殊配信マスタ'!$A$3:$A$16=CHOOSE(WEEKDAY(AG$1),""日"",""月"",""火"",""水"",""木"",""金"",""土""))*('特殊配信マスタ'!$B$3:$B$16=AE$3)*('特殊配信マスタ'!$R$3:$R$16=MOD(INT((AG$1-'特殊配信マスタ'!$A$1)/7),3)+1)),1),""""))"),"")</f>
        <v/>
      </c>
      <c r="AI113" s="590"/>
      <c r="AJ113" s="593" t="str">
        <f>IFERROR(__xludf.DUMMYFUNCTION("IF(AG113="""","""",IFERROR(INDEX(FILTER('特殊配信マスタ'!$O$3:$O$16, '特殊配信マスタ'!$E$3:$E$16=AG113),1),""""))"),"")</f>
        <v/>
      </c>
      <c r="AK113" s="593" t="str">
        <f>IFERROR(__xludf.DUMMYFUNCTION("IF(AG113="""","""",IFERROR(INDEX(FILTER('特殊配信マスタ'!$P$3:$P$16, '特殊配信マスタ'!$E$3:$E$16=AG113),1),""""))"),"")</f>
        <v/>
      </c>
    </row>
    <row r="114" ht="17.25" customHeight="1">
      <c r="A114" s="587"/>
      <c r="B114" s="588"/>
      <c r="C114" s="590" t="str">
        <f>IFERROR(__xludf.DUMMYFUNCTION("IFERROR(INDEX(FILTER('特殊配信マスタ'!$E$3:$E$16, (TEXT('特殊配信マスタ'!$A$3:$A$16,""ddd"")=TEXT(C$1,""ddd""))*(IFERROR(VALUE('特殊配信マスタ'!$B$3:$B$16),0)=VALUE(LOOKUP(2,1/($A$3:$A114&lt;&gt;""""),$A$3:$A114)))*('特殊配信マスタ'!$Q$3:$Q$16&lt;&gt;TRUE)), 3), """")"),"")</f>
        <v/>
      </c>
      <c r="D114" s="593"/>
      <c r="E114" s="590"/>
      <c r="F114" s="593" t="str">
        <f>IFERROR(__xludf.DUMMYFUNCTION("IF(C114="""","""",IFERROR(INDEX(FILTER('特殊配信マスタ'!$O$3:$O$16, '特殊配信マスタ'!$E$3:$E$16=C114),1),""""))"),"")</f>
        <v/>
      </c>
      <c r="G114" s="593" t="str">
        <f>IFERROR(__xludf.DUMMYFUNCTION("IF(C114="""","""",IFERROR(INDEX(FILTER('特殊配信マスタ'!$P$3:$P$16, '特殊配信マスタ'!$E$3:$E$16=C114),1),""""))"),"")</f>
        <v/>
      </c>
      <c r="H114" s="590" t="str">
        <f>IFERROR(__xludf.DUMMYFUNCTION("IFERROR(INDEX(FILTER('特殊配信マスタ'!$E$3:$E$16, (TEXT('特殊配信マスタ'!$A$3:$A$16,""ddd"")=TEXT(H$1,""ddd""))*(IFERROR(VALUE('特殊配信マスタ'!$B$3:$B$16),0)=VALUE(LOOKUP(2,1/($A$3:$A114&lt;&gt;""""),$A$3:$A114)))*('特殊配信マスタ'!$Q$3:$Q$16&lt;&gt;TRUE)), 3), """")"),"")</f>
        <v/>
      </c>
      <c r="I114" s="593"/>
      <c r="J114" s="590"/>
      <c r="K114" s="593" t="str">
        <f>IFERROR(__xludf.DUMMYFUNCTION("IF(H114="""","""",IFERROR(INDEX(FILTER('特殊配信マスタ'!$O$3:$O$16, '特殊配信マスタ'!$E$3:$E$16=H114),1),""""))"),"")</f>
        <v/>
      </c>
      <c r="L114" s="593" t="str">
        <f>IFERROR(__xludf.DUMMYFUNCTION("IF(H114="""","""",IFERROR(INDEX(FILTER('特殊配信マスタ'!$P$3:$P$16, '特殊配信マスタ'!$E$3:$E$16=H114),1),""""))"),"")</f>
        <v/>
      </c>
      <c r="M114" s="590" t="str">
        <f>IFERROR(__xludf.DUMMYFUNCTION("IFERROR(INDEX(FILTER('特殊配信マスタ'!$E$3:$E$16, (TEXT('特殊配信マスタ'!$A$3:$A$16,""ddd"")=TEXT(M$1,""ddd""))*(IFERROR(VALUE('特殊配信マスタ'!$B$3:$B$16),0)=VALUE(LOOKUP(2,1/($A$3:$A114&lt;&gt;""""),$A$3:$A114)))*('特殊配信マスタ'!$Q$3:$Q$16&lt;&gt;TRUE)), 3), """")"),"")</f>
        <v/>
      </c>
      <c r="N114" s="593"/>
      <c r="O114" s="590"/>
      <c r="P114" s="593" t="str">
        <f>IFERROR(__xludf.DUMMYFUNCTION("IF(M114="""","""",IFERROR(INDEX(FILTER('特殊配信マスタ'!$O$3:$O$16, '特殊配信マスタ'!$E$3:$E$16=M114),1),""""))"),"")</f>
        <v/>
      </c>
      <c r="Q114" s="593" t="str">
        <f>IFERROR(__xludf.DUMMYFUNCTION("IF(M114="""","""",IFERROR(INDEX(FILTER('特殊配信マスタ'!$P$3:$P$16, '特殊配信マスタ'!$E$3:$E$16=M114),1),""""))"),"")</f>
        <v/>
      </c>
      <c r="R114" s="590" t="str">
        <f>IFERROR(__xludf.DUMMYFUNCTION("IFERROR(INDEX(FILTER('特殊配信マスタ'!$E$3:$E$16, (TEXT('特殊配信マスタ'!$A$3:$A$16,""ddd"")=TEXT(R$1,""ddd""))*(IFERROR(VALUE('特殊配信マスタ'!$B$3:$B$16),0)=VALUE(LOOKUP(2,1/($A$3:$A114&lt;&gt;""""),$A$3:$A114)))*('特殊配信マスタ'!$Q$3:$Q$16&lt;&gt;TRUE)), 3), """")"),"")</f>
        <v/>
      </c>
      <c r="S114" s="593"/>
      <c r="T114" s="590"/>
      <c r="U114" s="593" t="str">
        <f>IFERROR(__xludf.DUMMYFUNCTION("IF(R114="""","""",IFERROR(INDEX(FILTER('特殊配信マスタ'!$O$3:$O$16, '特殊配信マスタ'!$E$3:$E$16=R114),1),""""))"),"")</f>
        <v/>
      </c>
      <c r="V114" s="593" t="str">
        <f>IFERROR(__xludf.DUMMYFUNCTION("IF(R114="""","""",IFERROR(INDEX(FILTER('特殊配信マスタ'!$P$3:$P$16, '特殊配信マスタ'!$E$3:$E$16=R114),1),""""))"),"")</f>
        <v/>
      </c>
      <c r="W114" s="590" t="str">
        <f>IFERROR(__xludf.DUMMYFUNCTION("IFERROR(INDEX(FILTER('特殊配信マスタ'!$E$3:$E$16, (TEXT('特殊配信マスタ'!$A$3:$A$16,""ddd"")=TEXT(W$1,""ddd""))*(IFERROR(VALUE('特殊配信マスタ'!$B$3:$B$16),0)=VALUE(LOOKUP(2,1/($A$3:$A114&lt;&gt;""""),$A$3:$A114)))*('特殊配信マスタ'!$Q$3:$Q$16&lt;&gt;TRUE)), 3), """")"),"")</f>
        <v/>
      </c>
      <c r="X114" s="593"/>
      <c r="Y114" s="590"/>
      <c r="Z114" s="593" t="str">
        <f>IFERROR(__xludf.DUMMYFUNCTION("IF(W114="""","""",IFERROR(INDEX(FILTER('特殊配信マスタ'!$O$3:$O$16, '特殊配信マスタ'!$E$3:$E$16=W114),1),""""))"),"")</f>
        <v/>
      </c>
      <c r="AA114" s="593" t="str">
        <f>IFERROR(__xludf.DUMMYFUNCTION("IF(W114="""","""",IFERROR(INDEX(FILTER('特殊配信マスタ'!$P$3:$P$16, '特殊配信マスタ'!$E$3:$E$16=W114),1),""""))"),"")</f>
        <v/>
      </c>
      <c r="AB114" s="590" t="str">
        <f>IFERROR(__xludf.DUMMYFUNCTION("IFERROR(INDEX(FILTER('特殊配信マスタ'!$E$3:$E$16, (TEXT('特殊配信マスタ'!$A$3:$A$16,""ddd"")=TEXT(AB$1,""ddd""))*(IFERROR(VALUE('特殊配信マスタ'!$B$3:$B$16),0)=VALUE(LOOKUP(2,1/($A$3:$A114&lt;&gt;""""),$A$3:$A114)))*('特殊配信マスタ'!$Q$3:$Q$16&lt;&gt;TRUE)), 3), """")"),"")</f>
        <v/>
      </c>
      <c r="AC114" s="593"/>
      <c r="AD114" s="590"/>
      <c r="AE114" s="593" t="str">
        <f>IFERROR(__xludf.DUMMYFUNCTION("IF(AB114="""","""",IFERROR(INDEX(FILTER('特殊配信マスタ'!$O$3:$O$16, '特殊配信マスタ'!$E$3:$E$16=AB114),1),""""))"),"")</f>
        <v/>
      </c>
      <c r="AF114" s="593" t="str">
        <f>IFERROR(__xludf.DUMMYFUNCTION("IF(AB114="""","""",IFERROR(INDEX(FILTER('特殊配信マスタ'!$P$3:$P$16, '特殊配信マスタ'!$E$3:$E$16=AB114),1),""""))"),"")</f>
        <v/>
      </c>
      <c r="AG114" s="590" t="str">
        <f>IFERROR(__xludf.DUMMYFUNCTION("IFERROR(INDEX(FILTER('特殊配信マスタ'!$E$3:$E$16, (TEXT('特殊配信マスタ'!$A$3:$A$16,""ddd"")=TEXT(AG$1,""ddd""))*(IFERROR(VALUE('特殊配信マスタ'!$B$3:$B$16),0)=VALUE(LOOKUP(2,1/($A$3:$A114&lt;&gt;""""),$A$3:$A114)))*('特殊配信マスタ'!$Q$3:$Q$16&lt;&gt;TRUE)), 3), """")"),"")</f>
        <v/>
      </c>
      <c r="AH114" s="593"/>
      <c r="AI114" s="590"/>
      <c r="AJ114" s="593" t="str">
        <f>IFERROR(__xludf.DUMMYFUNCTION("IF(AG114="""","""",IFERROR(INDEX(FILTER('特殊配信マスタ'!$O$3:$O$16, '特殊配信マスタ'!$E$3:$E$16=AG114),1),""""))"),"")</f>
        <v/>
      </c>
      <c r="AK114" s="593" t="str">
        <f>IFERROR(__xludf.DUMMYFUNCTION("IF(AG114="""","""",IFERROR(INDEX(FILTER('特殊配信マスタ'!$P$3:$P$16, '特殊配信マスタ'!$E$3:$E$16=AG114),1),""""))"),"")</f>
        <v/>
      </c>
    </row>
    <row r="115" ht="17.25" customHeight="1">
      <c r="A115" s="587"/>
      <c r="B115" s="588"/>
      <c r="C115" s="590" t="str">
        <f>IFERROR(__xludf.DUMMYFUNCTION("IFERROR(INDEX(FILTER('特殊配信マスタ'!$E$3:$E$16, (TEXT('特殊配信マスタ'!$A$3:$A$16,""ddd"")=TEXT(C$1,""ddd""))*(IFERROR(VALUE('特殊配信マスタ'!$B$3:$B$16),0)=VALUE(LOOKUP(2,1/($A$3:$A115&lt;&gt;""""),$A$3:$A115)))*('特殊配信マスタ'!$Q$3:$Q$16&lt;&gt;TRUE)), 4), """")"),"")</f>
        <v/>
      </c>
      <c r="D115" s="593" t="str">
        <f>IFERROR(__xludf.DUMMYFUNCTION("IF(C115="""","""",IFERROR(INDEX(FILTER('特殊配信マスタ'!$F$3:$F$16,('特殊配信マスタ'!$A$3:$A$16=CHOOSE(WEEKDAY(C$1),""日"",""月"",""火"",""水"",""木"",""金"",""土""))*('特殊配信マスタ'!$B$3:$B$16=A$3)*('特殊配信マスタ'!$R$3:$R$16=MOD(INT((C$1-'特殊配信マスタ'!$A$1)/7),3)+1)),1),""""))"),"")</f>
        <v/>
      </c>
      <c r="E115" s="590"/>
      <c r="F115" s="593" t="str">
        <f>IFERROR(__xludf.DUMMYFUNCTION("IF(C115="""","""",IFERROR(INDEX(FILTER('特殊配信マスタ'!$O$3:$O$16, '特殊配信マスタ'!$E$3:$E$16=C115),1),""""))"),"")</f>
        <v/>
      </c>
      <c r="G115" s="593" t="str">
        <f>IFERROR(__xludf.DUMMYFUNCTION("IF(C115="""","""",IFERROR(INDEX(FILTER('特殊配信マスタ'!$P$3:$P$16, '特殊配信マスタ'!$E$3:$E$16=C115),1),""""))"),"")</f>
        <v/>
      </c>
      <c r="H115" s="590" t="str">
        <f>IFERROR(__xludf.DUMMYFUNCTION("IFERROR(INDEX(FILTER('特殊配信マスタ'!$E$3:$E$16, (TEXT('特殊配信マスタ'!$A$3:$A$16,""ddd"")=TEXT(H$1,""ddd""))*(IFERROR(VALUE('特殊配信マスタ'!$B$3:$B$16),0)=VALUE(LOOKUP(2,1/($A$3:$A115&lt;&gt;""""),$A$3:$A115)))*('特殊配信マスタ'!$Q$3:$Q$16&lt;&gt;TRUE)), 4), """")"),"")</f>
        <v/>
      </c>
      <c r="I115" s="593" t="str">
        <f>IFERROR(__xludf.DUMMYFUNCTION("IF(H115="""","""",IFERROR(INDEX(FILTER('特殊配信マスタ'!$F$3:$F$16,('特殊配信マスタ'!$A$3:$A$16=CHOOSE(WEEKDAY(H$1),""日"",""月"",""火"",""水"",""木"",""金"",""土""))*('特殊配信マスタ'!$B$3:$B$16=F$3)*('特殊配信マスタ'!$R$3:$R$16=MOD(INT((H$1-'特殊配信マスタ'!$A$1)/7),3)+1)),1),""""))"),"")</f>
        <v/>
      </c>
      <c r="J115" s="590"/>
      <c r="K115" s="593" t="str">
        <f>IFERROR(__xludf.DUMMYFUNCTION("IF(H115="""","""",IFERROR(INDEX(FILTER('特殊配信マスタ'!$O$3:$O$16, '特殊配信マスタ'!$E$3:$E$16=H115),1),""""))"),"")</f>
        <v/>
      </c>
      <c r="L115" s="593" t="str">
        <f>IFERROR(__xludf.DUMMYFUNCTION("IF(H115="""","""",IFERROR(INDEX(FILTER('特殊配信マスタ'!$P$3:$P$16, '特殊配信マスタ'!$E$3:$E$16=H115),1),""""))"),"")</f>
        <v/>
      </c>
      <c r="M115" s="590" t="str">
        <f>IFERROR(__xludf.DUMMYFUNCTION("IFERROR(INDEX(FILTER('特殊配信マスタ'!$E$3:$E$16, (TEXT('特殊配信マスタ'!$A$3:$A$16,""ddd"")=TEXT(M$1,""ddd""))*(IFERROR(VALUE('特殊配信マスタ'!$B$3:$B$16),0)=VALUE(LOOKUP(2,1/($A$3:$A115&lt;&gt;""""),$A$3:$A115)))*('特殊配信マスタ'!$Q$3:$Q$16&lt;&gt;TRUE)), 4), """")"),"")</f>
        <v/>
      </c>
      <c r="N115" s="593" t="str">
        <f>IFERROR(__xludf.DUMMYFUNCTION("IF(M115="""","""",IFERROR(INDEX(FILTER('特殊配信マスタ'!$F$3:$F$16,('特殊配信マスタ'!$A$3:$A$16=CHOOSE(WEEKDAY(M$1),""日"",""月"",""火"",""水"",""木"",""金"",""土""))*('特殊配信マスタ'!$B$3:$B$16=K$3)*('特殊配信マスタ'!$R$3:$R$16=MOD(INT((M$1-'特殊配信マスタ'!$A$1)/7),3)+1)),1),""""))"),"")</f>
        <v/>
      </c>
      <c r="O115" s="590"/>
      <c r="P115" s="593" t="str">
        <f>IFERROR(__xludf.DUMMYFUNCTION("IF(M115="""","""",IFERROR(INDEX(FILTER('特殊配信マスタ'!$O$3:$O$16, '特殊配信マスタ'!$E$3:$E$16=M115),1),""""))"),"")</f>
        <v/>
      </c>
      <c r="Q115" s="593" t="str">
        <f>IFERROR(__xludf.DUMMYFUNCTION("IF(M115="""","""",IFERROR(INDEX(FILTER('特殊配信マスタ'!$P$3:$P$16, '特殊配信マスタ'!$E$3:$E$16=M115),1),""""))"),"")</f>
        <v/>
      </c>
      <c r="R115" s="590" t="str">
        <f>IFERROR(__xludf.DUMMYFUNCTION("IFERROR(INDEX(FILTER('特殊配信マスタ'!$E$3:$E$16, (TEXT('特殊配信マスタ'!$A$3:$A$16,""ddd"")=TEXT(R$1,""ddd""))*(IFERROR(VALUE('特殊配信マスタ'!$B$3:$B$16),0)=VALUE(LOOKUP(2,1/($A$3:$A115&lt;&gt;""""),$A$3:$A115)))*('特殊配信マスタ'!$Q$3:$Q$16&lt;&gt;TRUE)), 4), """")"),"")</f>
        <v/>
      </c>
      <c r="S115" s="593" t="str">
        <f>IFERROR(__xludf.DUMMYFUNCTION("IF(R115="""","""",IFERROR(INDEX(FILTER('特殊配信マスタ'!$F$3:$F$16,('特殊配信マスタ'!$A$3:$A$16=CHOOSE(WEEKDAY(R$1),""日"",""月"",""火"",""水"",""木"",""金"",""土""))*('特殊配信マスタ'!$B$3:$B$16=P$3)*('特殊配信マスタ'!$R$3:$R$16=MOD(INT((R$1-'特殊配信マスタ'!$A$1)/7),3)+1)),1),""""))"),"")</f>
        <v/>
      </c>
      <c r="T115" s="590"/>
      <c r="U115" s="593" t="str">
        <f>IFERROR(__xludf.DUMMYFUNCTION("IF(R115="""","""",IFERROR(INDEX(FILTER('特殊配信マスタ'!$O$3:$O$16, '特殊配信マスタ'!$E$3:$E$16=R115),1),""""))"),"")</f>
        <v/>
      </c>
      <c r="V115" s="593" t="str">
        <f>IFERROR(__xludf.DUMMYFUNCTION("IF(R115="""","""",IFERROR(INDEX(FILTER('特殊配信マスタ'!$P$3:$P$16, '特殊配信マスタ'!$E$3:$E$16=R115),1),""""))"),"")</f>
        <v/>
      </c>
      <c r="W115" s="590" t="str">
        <f>IFERROR(__xludf.DUMMYFUNCTION("IFERROR(INDEX(FILTER('特殊配信マスタ'!$E$3:$E$16, (TEXT('特殊配信マスタ'!$A$3:$A$16,""ddd"")=TEXT(W$1,""ddd""))*(IFERROR(VALUE('特殊配信マスタ'!$B$3:$B$16),0)=VALUE(LOOKUP(2,1/($A$3:$A115&lt;&gt;""""),$A$3:$A115)))*('特殊配信マスタ'!$Q$3:$Q$16&lt;&gt;TRUE)), 4), """")"),"")</f>
        <v/>
      </c>
      <c r="X115" s="593" t="str">
        <f>IFERROR(__xludf.DUMMYFUNCTION("IF(W115="""","""",IFERROR(INDEX(FILTER('特殊配信マスタ'!$F$3:$F$16,('特殊配信マスタ'!$A$3:$A$16=CHOOSE(WEEKDAY(W$1),""日"",""月"",""火"",""水"",""木"",""金"",""土""))*('特殊配信マスタ'!$B$3:$B$16=U$3)*('特殊配信マスタ'!$R$3:$R$16=MOD(INT((W$1-'特殊配信マスタ'!$A$1)/7),3)+1)),1),""""))"),"")</f>
        <v/>
      </c>
      <c r="Y115" s="590"/>
      <c r="Z115" s="593" t="str">
        <f>IFERROR(__xludf.DUMMYFUNCTION("IF(W115="""","""",IFERROR(INDEX(FILTER('特殊配信マスタ'!$O$3:$O$16, '特殊配信マスタ'!$E$3:$E$16=W115),1),""""))"),"")</f>
        <v/>
      </c>
      <c r="AA115" s="593" t="str">
        <f>IFERROR(__xludf.DUMMYFUNCTION("IF(W115="""","""",IFERROR(INDEX(FILTER('特殊配信マスタ'!$P$3:$P$16, '特殊配信マスタ'!$E$3:$E$16=W115),1),""""))"),"")</f>
        <v/>
      </c>
      <c r="AB115" s="590" t="str">
        <f>IFERROR(__xludf.DUMMYFUNCTION("IFERROR(INDEX(FILTER('特殊配信マスタ'!$E$3:$E$16, (TEXT('特殊配信マスタ'!$A$3:$A$16,""ddd"")=TEXT(AB$1,""ddd""))*(IFERROR(VALUE('特殊配信マスタ'!$B$3:$B$16),0)=VALUE(LOOKUP(2,1/($A$3:$A115&lt;&gt;""""),$A$3:$A115)))*('特殊配信マスタ'!$Q$3:$Q$16&lt;&gt;TRUE)), 4), """")"),"")</f>
        <v/>
      </c>
      <c r="AC115" s="593" t="str">
        <f>IFERROR(__xludf.DUMMYFUNCTION("IF(AB115="""","""",IFERROR(INDEX(FILTER('特殊配信マスタ'!$F$3:$F$16,('特殊配信マスタ'!$A$3:$A$16=CHOOSE(WEEKDAY(AB$1),""日"",""月"",""火"",""水"",""木"",""金"",""土""))*('特殊配信マスタ'!$B$3:$B$16=Z$3)*('特殊配信マスタ'!$R$3:$R$16=MOD(INT((AB$1-'特殊配信マスタ'!$A$1)/7),3)+1)),1),""""))"),"")</f>
        <v/>
      </c>
      <c r="AD115" s="590"/>
      <c r="AE115" s="593" t="str">
        <f>IFERROR(__xludf.DUMMYFUNCTION("IF(AB115="""","""",IFERROR(INDEX(FILTER('特殊配信マスタ'!$O$3:$O$16, '特殊配信マスタ'!$E$3:$E$16=AB115),1),""""))"),"")</f>
        <v/>
      </c>
      <c r="AF115" s="593" t="str">
        <f>IFERROR(__xludf.DUMMYFUNCTION("IF(AB115="""","""",IFERROR(INDEX(FILTER('特殊配信マスタ'!$P$3:$P$16, '特殊配信マスタ'!$E$3:$E$16=AB115),1),""""))"),"")</f>
        <v/>
      </c>
      <c r="AG115" s="590" t="str">
        <f>IFERROR(__xludf.DUMMYFUNCTION("IFERROR(INDEX(FILTER('特殊配信マスタ'!$E$3:$E$16, (TEXT('特殊配信マスタ'!$A$3:$A$16,""ddd"")=TEXT(AG$1,""ddd""))*(IFERROR(VALUE('特殊配信マスタ'!$B$3:$B$16),0)=VALUE(LOOKUP(2,1/($A$3:$A115&lt;&gt;""""),$A$3:$A115)))*('特殊配信マスタ'!$Q$3:$Q$16&lt;&gt;TRUE)), 4), """")"),"")</f>
        <v/>
      </c>
      <c r="AH115" s="593" t="str">
        <f>IFERROR(__xludf.DUMMYFUNCTION("IF(AG115="""","""",IFERROR(INDEX(FILTER('特殊配信マスタ'!$F$3:$F$16,('特殊配信マスタ'!$A$3:$A$16=CHOOSE(WEEKDAY(AG$1),""日"",""月"",""火"",""水"",""木"",""金"",""土""))*('特殊配信マスタ'!$B$3:$B$16=AE$3)*('特殊配信マスタ'!$R$3:$R$16=MOD(INT((AG$1-'特殊配信マスタ'!$A$1)/7),3)+1)),1),""""))"),"")</f>
        <v/>
      </c>
      <c r="AI115" s="590"/>
      <c r="AJ115" s="593" t="str">
        <f>IFERROR(__xludf.DUMMYFUNCTION("IF(AG115="""","""",IFERROR(INDEX(FILTER('特殊配信マスタ'!$O$3:$O$16, '特殊配信マスタ'!$E$3:$E$16=AG115),1),""""))"),"")</f>
        <v/>
      </c>
      <c r="AK115" s="593" t="str">
        <f>IFERROR(__xludf.DUMMYFUNCTION("IF(AG115="""","""",IFERROR(INDEX(FILTER('特殊配信マスタ'!$P$3:$P$16, '特殊配信マスタ'!$E$3:$E$16=AG115),1),""""))"),"")</f>
        <v/>
      </c>
    </row>
    <row r="116" ht="17.25" customHeight="1">
      <c r="A116" s="599"/>
      <c r="B116" s="592"/>
      <c r="C116" s="590" t="str">
        <f>IFERROR(__xludf.DUMMYFUNCTION("IFERROR(INDEX(FILTER('特殊配信マスタ'!$E$3:$E$16, (TEXT('特殊配信マスタ'!$A$3:$A$16,""ddd"")=TEXT(C$1,""ddd""))*(IFERROR(VALUE('特殊配信マスタ'!$B$3:$B$16),0)=VALUE(LOOKUP(2,1/($A$3:$A116&lt;&gt;""""),$A$3:$A116)))*('特殊配信マスタ'!$Q$3:$Q$16&lt;&gt;TRUE)), 5), """")"),"")</f>
        <v/>
      </c>
      <c r="D116" s="593" t="str">
        <f>IFERROR(__xludf.DUMMYFUNCTION("IF(C116="""","""",IFERROR(INDEX(FILTER('特殊配信マスタ'!$F$3:$F$16,('特殊配信マスタ'!$A$3:$A$16=CHOOSE(WEEKDAY(C$1),""日"",""月"",""火"",""水"",""木"",""金"",""土""))*('特殊配信マスタ'!$B$3:$B$16=A$3)*('特殊配信マスタ'!$R$3:$R$16=MOD(INT((C$1-'特殊配信マスタ'!$A$1)/7),3)+1)),1),""""))"),"")</f>
        <v/>
      </c>
      <c r="E116" s="590"/>
      <c r="F116" s="593" t="str">
        <f>IFERROR(__xludf.DUMMYFUNCTION("IF(C116="""","""",IFERROR(INDEX(FILTER('特殊配信マスタ'!$O$3:$O$16, '特殊配信マスタ'!$E$3:$E$16=C116),1),""""))"),"")</f>
        <v/>
      </c>
      <c r="G116" s="593" t="str">
        <f>IFERROR(__xludf.DUMMYFUNCTION("IF(C116="""","""",IFERROR(INDEX(FILTER('特殊配信マスタ'!$P$3:$P$16, '特殊配信マスタ'!$E$3:$E$16=C116),1),""""))"),"")</f>
        <v/>
      </c>
      <c r="H116" s="590" t="str">
        <f>IFERROR(__xludf.DUMMYFUNCTION("IFERROR(INDEX(FILTER('特殊配信マスタ'!$E$3:$E$16, (TEXT('特殊配信マスタ'!$A$3:$A$16,""ddd"")=TEXT(H$1,""ddd""))*(IFERROR(VALUE('特殊配信マスタ'!$B$3:$B$16),0)=VALUE(LOOKUP(2,1/($A$3:$A116&lt;&gt;""""),$A$3:$A116)))*('特殊配信マスタ'!$Q$3:$Q$16&lt;&gt;TRUE)), 5), """")"),"")</f>
        <v/>
      </c>
      <c r="I116" s="593" t="str">
        <f>IFERROR(__xludf.DUMMYFUNCTION("IF(H116="""","""",IFERROR(INDEX(FILTER('特殊配信マスタ'!$F$3:$F$16,('特殊配信マスタ'!$A$3:$A$16=CHOOSE(WEEKDAY(H$1),""日"",""月"",""火"",""水"",""木"",""金"",""土""))*('特殊配信マスタ'!$B$3:$B$16=F$3)*('特殊配信マスタ'!$R$3:$R$16=MOD(INT((H$1-'特殊配信マスタ'!$A$1)/7),3)+1)),1),""""))"),"")</f>
        <v/>
      </c>
      <c r="J116" s="590"/>
      <c r="K116" s="593" t="str">
        <f>IFERROR(__xludf.DUMMYFUNCTION("IF(H116="""","""",IFERROR(INDEX(FILTER('特殊配信マスタ'!$O$3:$O$16, '特殊配信マスタ'!$E$3:$E$16=H116),1),""""))"),"")</f>
        <v/>
      </c>
      <c r="L116" s="593" t="str">
        <f>IFERROR(__xludf.DUMMYFUNCTION("IF(H116="""","""",IFERROR(INDEX(FILTER('特殊配信マスタ'!$P$3:$P$16, '特殊配信マスタ'!$E$3:$E$16=H116),1),""""))"),"")</f>
        <v/>
      </c>
      <c r="M116" s="590" t="str">
        <f>IFERROR(__xludf.DUMMYFUNCTION("IFERROR(INDEX(FILTER('特殊配信マスタ'!$E$3:$E$16, (TEXT('特殊配信マスタ'!$A$3:$A$16,""ddd"")=TEXT(M$1,""ddd""))*(IFERROR(VALUE('特殊配信マスタ'!$B$3:$B$16),0)=VALUE(LOOKUP(2,1/($A$3:$A116&lt;&gt;""""),$A$3:$A116)))*('特殊配信マスタ'!$Q$3:$Q$16&lt;&gt;TRUE)), 5), """")"),"")</f>
        <v/>
      </c>
      <c r="N116" s="593" t="str">
        <f>IFERROR(__xludf.DUMMYFUNCTION("IF(M116="""","""",IFERROR(INDEX(FILTER('特殊配信マスタ'!$F$3:$F$16,('特殊配信マスタ'!$A$3:$A$16=CHOOSE(WEEKDAY(M$1),""日"",""月"",""火"",""水"",""木"",""金"",""土""))*('特殊配信マスタ'!$B$3:$B$16=K$3)*('特殊配信マスタ'!$R$3:$R$16=MOD(INT((M$1-'特殊配信マスタ'!$A$1)/7),3)+1)),1),""""))"),"")</f>
        <v/>
      </c>
      <c r="O116" s="590"/>
      <c r="P116" s="593" t="str">
        <f>IFERROR(__xludf.DUMMYFUNCTION("IF(M116="""","""",IFERROR(INDEX(FILTER('特殊配信マスタ'!$O$3:$O$16, '特殊配信マスタ'!$E$3:$E$16=M116),1),""""))"),"")</f>
        <v/>
      </c>
      <c r="Q116" s="593" t="str">
        <f>IFERROR(__xludf.DUMMYFUNCTION("IF(M116="""","""",IFERROR(INDEX(FILTER('特殊配信マスタ'!$P$3:$P$16, '特殊配信マスタ'!$E$3:$E$16=M116),1),""""))"),"")</f>
        <v/>
      </c>
      <c r="R116" s="590" t="str">
        <f>IFERROR(__xludf.DUMMYFUNCTION("IFERROR(INDEX(FILTER('特殊配信マスタ'!$E$3:$E$16, (TEXT('特殊配信マスタ'!$A$3:$A$16,""ddd"")=TEXT(R$1,""ddd""))*(IFERROR(VALUE('特殊配信マスタ'!$B$3:$B$16),0)=VALUE(LOOKUP(2,1/($A$3:$A116&lt;&gt;""""),$A$3:$A116)))*('特殊配信マスタ'!$Q$3:$Q$16&lt;&gt;TRUE)), 5), """")"),"")</f>
        <v/>
      </c>
      <c r="S116" s="593" t="str">
        <f>IFERROR(__xludf.DUMMYFUNCTION("IF(R116="""","""",IFERROR(INDEX(FILTER('特殊配信マスタ'!$F$3:$F$16,('特殊配信マスタ'!$A$3:$A$16=CHOOSE(WEEKDAY(R$1),""日"",""月"",""火"",""水"",""木"",""金"",""土""))*('特殊配信マスタ'!$B$3:$B$16=P$3)*('特殊配信マスタ'!$R$3:$R$16=MOD(INT((R$1-'特殊配信マスタ'!$A$1)/7),3)+1)),1),""""))"),"")</f>
        <v/>
      </c>
      <c r="T116" s="590"/>
      <c r="U116" s="593" t="str">
        <f>IFERROR(__xludf.DUMMYFUNCTION("IF(R116="""","""",IFERROR(INDEX(FILTER('特殊配信マスタ'!$O$3:$O$16, '特殊配信マスタ'!$E$3:$E$16=R116),1),""""))"),"")</f>
        <v/>
      </c>
      <c r="V116" s="593" t="str">
        <f>IFERROR(__xludf.DUMMYFUNCTION("IF(R116="""","""",IFERROR(INDEX(FILTER('特殊配信マスタ'!$P$3:$P$16, '特殊配信マスタ'!$E$3:$E$16=R116),1),""""))"),"")</f>
        <v/>
      </c>
      <c r="W116" s="590" t="str">
        <f>IFERROR(__xludf.DUMMYFUNCTION("IFERROR(INDEX(FILTER('特殊配信マスタ'!$E$3:$E$16, (TEXT('特殊配信マスタ'!$A$3:$A$16,""ddd"")=TEXT(W$1,""ddd""))*(IFERROR(VALUE('特殊配信マスタ'!$B$3:$B$16),0)=VALUE(LOOKUP(2,1/($A$3:$A116&lt;&gt;""""),$A$3:$A116)))*('特殊配信マスタ'!$Q$3:$Q$16&lt;&gt;TRUE)), 5), """")"),"")</f>
        <v/>
      </c>
      <c r="X116" s="593" t="str">
        <f>IFERROR(__xludf.DUMMYFUNCTION("IF(W116="""","""",IFERROR(INDEX(FILTER('特殊配信マスタ'!$F$3:$F$16,('特殊配信マスタ'!$A$3:$A$16=CHOOSE(WEEKDAY(W$1),""日"",""月"",""火"",""水"",""木"",""金"",""土""))*('特殊配信マスタ'!$B$3:$B$16=U$3)*('特殊配信マスタ'!$R$3:$R$16=MOD(INT((W$1-'特殊配信マスタ'!$A$1)/7),3)+1)),1),""""))"),"")</f>
        <v/>
      </c>
      <c r="Y116" s="590"/>
      <c r="Z116" s="593" t="str">
        <f>IFERROR(__xludf.DUMMYFUNCTION("IF(W116="""","""",IFERROR(INDEX(FILTER('特殊配信マスタ'!$O$3:$O$16, '特殊配信マスタ'!$E$3:$E$16=W116),1),""""))"),"")</f>
        <v/>
      </c>
      <c r="AA116" s="593" t="str">
        <f>IFERROR(__xludf.DUMMYFUNCTION("IF(W116="""","""",IFERROR(INDEX(FILTER('特殊配信マスタ'!$P$3:$P$16, '特殊配信マスタ'!$E$3:$E$16=W116),1),""""))"),"")</f>
        <v/>
      </c>
      <c r="AB116" s="590" t="str">
        <f>IFERROR(__xludf.DUMMYFUNCTION("IFERROR(INDEX(FILTER('特殊配信マスタ'!$E$3:$E$16, (TEXT('特殊配信マスタ'!$A$3:$A$16,""ddd"")=TEXT(AB$1,""ddd""))*(IFERROR(VALUE('特殊配信マスタ'!$B$3:$B$16),0)=VALUE(LOOKUP(2,1/($A$3:$A116&lt;&gt;""""),$A$3:$A116)))*('特殊配信マスタ'!$Q$3:$Q$16&lt;&gt;TRUE)), 5), """")"),"")</f>
        <v/>
      </c>
      <c r="AC116" s="593" t="str">
        <f>IFERROR(__xludf.DUMMYFUNCTION("IF(AB116="""","""",IFERROR(INDEX(FILTER('特殊配信マスタ'!$F$3:$F$16,('特殊配信マスタ'!$A$3:$A$16=CHOOSE(WEEKDAY(AB$1),""日"",""月"",""火"",""水"",""木"",""金"",""土""))*('特殊配信マスタ'!$B$3:$B$16=Z$3)*('特殊配信マスタ'!$R$3:$R$16=MOD(INT((AB$1-'特殊配信マスタ'!$A$1)/7),3)+1)),1),""""))"),"")</f>
        <v/>
      </c>
      <c r="AD116" s="590"/>
      <c r="AE116" s="593" t="str">
        <f>IFERROR(__xludf.DUMMYFUNCTION("IF(AB116="""","""",IFERROR(INDEX(FILTER('特殊配信マスタ'!$O$3:$O$16, '特殊配信マスタ'!$E$3:$E$16=AB116),1),""""))"),"")</f>
        <v/>
      </c>
      <c r="AF116" s="593" t="str">
        <f>IFERROR(__xludf.DUMMYFUNCTION("IF(AB116="""","""",IFERROR(INDEX(FILTER('特殊配信マスタ'!$P$3:$P$16, '特殊配信マスタ'!$E$3:$E$16=AB116),1),""""))"),"")</f>
        <v/>
      </c>
      <c r="AG116" s="590" t="str">
        <f>IFERROR(__xludf.DUMMYFUNCTION("IFERROR(INDEX(FILTER('特殊配信マスタ'!$E$3:$E$16, (TEXT('特殊配信マスタ'!$A$3:$A$16,""ddd"")=TEXT(AG$1,""ddd""))*(IFERROR(VALUE('特殊配信マスタ'!$B$3:$B$16),0)=VALUE(LOOKUP(2,1/($A$3:$A116&lt;&gt;""""),$A$3:$A116)))*('特殊配信マスタ'!$Q$3:$Q$16&lt;&gt;TRUE)), 5), """")"),"")</f>
        <v/>
      </c>
      <c r="AH116" s="593" t="str">
        <f>IFERROR(__xludf.DUMMYFUNCTION("IF(AG116="""","""",IFERROR(INDEX(FILTER('特殊配信マスタ'!$F$3:$F$16,('特殊配信マスタ'!$A$3:$A$16=CHOOSE(WEEKDAY(AG$1),""日"",""月"",""火"",""水"",""木"",""金"",""土""))*('特殊配信マスタ'!$B$3:$B$16=AE$3)*('特殊配信マスタ'!$R$3:$R$16=MOD(INT((AG$1-'特殊配信マスタ'!$A$1)/7),3)+1)),1),""""))"),"")</f>
        <v/>
      </c>
      <c r="AI116" s="590"/>
      <c r="AJ116" s="593" t="str">
        <f>IFERROR(__xludf.DUMMYFUNCTION("IF(AG116="""","""",IFERROR(INDEX(FILTER('特殊配信マスタ'!$O$3:$O$16, '特殊配信マスタ'!$E$3:$E$16=AG116),1),""""))"),"")</f>
        <v/>
      </c>
      <c r="AK116" s="593" t="str">
        <f>IFERROR(__xludf.DUMMYFUNCTION("IF(AG116="""","""",IFERROR(INDEX(FILTER('特殊配信マスタ'!$P$3:$P$16, '特殊配信マスタ'!$E$3:$E$16=AG116),1),""""))"),"")</f>
        <v/>
      </c>
    </row>
    <row r="117" ht="17.25" customHeight="1">
      <c r="A117" s="584">
        <f>A98+1</f>
        <v>14</v>
      </c>
      <c r="B117" s="585" t="s">
        <v>1450</v>
      </c>
      <c r="C117" s="586" t="str">
        <f>IFERROR(__xludf.DUMMYFUNCTION("IFERROR(FILTER('リスト'!$E$4:$E$349, (TEXT('リスト'!$A$4:$A$349,""ddd"")=TEXT(C$1, ""ddd""))*('リスト'!$B$4:$B$349=LOOKUP(2,1/($A$3:$A117&lt;&gt;""""),$A$3:$A117))*(('リスト'!$G$4:$G$349=""毎週配信"")+('リスト'!$G$4:$G$349=$A$1))), """")"),"福祉事務")</f>
        <v>福祉事務</v>
      </c>
      <c r="D117" s="8">
        <f t="array" ref="D117">IFERROR(XLOOKUP(C117, 'リスト'!$E:$E, 'リスト'!$F:$F, ""), "")</f>
        <v>1.2</v>
      </c>
      <c r="E117" s="8">
        <f>SUM(D117:D135)</f>
        <v>4.2</v>
      </c>
      <c r="F117" s="8" t="str">
        <f>IFERROR(__xludf.DUMMYFUNCTION("IF(C117="""","""",IFERROR(INDEX(FILTER('リスト'!$O$4:$O$349, 'リスト'!$E$4:$E$349=C117),1),""""))"),"R")</f>
        <v>R</v>
      </c>
      <c r="G117" s="8" t="str">
        <f>IFERROR(__xludf.DUMMYFUNCTION("IF(C117="""","""",IFERROR(INDEX(FILTER('リスト'!$P$4:$P$349, 'リスト'!$E$4:$E$349=C117),1),""""))"),"")</f>
        <v/>
      </c>
      <c r="H117" s="586" t="str">
        <f>IFERROR(__xludf.DUMMYFUNCTION("IFERROR(FILTER('リスト'!$E$4:$E$349, (TEXT('リスト'!$A$4:$A$349,""ddd"")=TEXT(H$1, ""ddd""))*('リスト'!$B$4:$B$349=LOOKUP(2,1/($A$3:$A117&lt;&gt;""""),$A$3:$A117))*(('リスト'!$G$4:$G$349=""毎週配信"")+('リスト'!$G$4:$G$349=$A$1))), """")"),"")</f>
        <v/>
      </c>
      <c r="I117" s="8" t="str">
        <f t="array" ref="I117">IFERROR(XLOOKUP(H117, 'リスト'!$E:$E, 'リスト'!$F:$F, ""), "")</f>
        <v/>
      </c>
      <c r="J117" s="8">
        <f>SUM(I117:I135)</f>
        <v>0</v>
      </c>
      <c r="K117" s="8" t="str">
        <f>IFERROR(__xludf.DUMMYFUNCTION("IF(H117="""","""",IFERROR(INDEX(FILTER('リスト'!$O$4:$O$349, 'リスト'!$E$4:$E$349=H117),1),""""))"),"")</f>
        <v/>
      </c>
      <c r="L117" s="8" t="str">
        <f>IFERROR(__xludf.DUMMYFUNCTION("IF(H117="""","""",IFERROR(INDEX(FILTER('リスト'!$P$4:$P$349, 'リスト'!$E$4:$E$349=H117),1),""""))"),"")</f>
        <v/>
      </c>
      <c r="M117" s="586" t="str">
        <f>IFERROR(__xludf.DUMMYFUNCTION("IFERROR(FILTER('リスト'!$E$4:$E$349, (TEXT('リスト'!$A$4:$A$349,""ddd"")=TEXT(M$1, ""ddd""))*('リスト'!$B$4:$B$349=LOOKUP(2,1/($A$3:$A117&lt;&gt;""""),$A$3:$A117))*(('リスト'!$G$4:$G$349=""毎週配信"")+('リスト'!$G$4:$G$349=$A$1))), """")"),"リモートワーク A_35歳以上")</f>
        <v>リモートワーク A_35歳以上</v>
      </c>
      <c r="N117" s="8">
        <f t="array" ref="N117">IFERROR(XLOOKUP(M117, 'リスト'!$E:$E, 'リスト'!$F:$F, ""), "")</f>
        <v>1.1</v>
      </c>
      <c r="O117" s="8">
        <f>SUM(N117:N135)</f>
        <v>2.3</v>
      </c>
      <c r="P117" s="8" t="str">
        <f>IFERROR(__xludf.DUMMYFUNCTION("IF(M117="""","""",IFERROR(INDEX(FILTER('リスト'!$O$4:$O$349, 'リスト'!$E$4:$E$349=M117),1),""""))"),"R")</f>
        <v>R</v>
      </c>
      <c r="Q117" s="8" t="str">
        <f>IFERROR(__xludf.DUMMYFUNCTION("IF(M117="""","""",IFERROR(INDEX(FILTER('リスト'!$P$4:$P$349, 'リスト'!$E$4:$E$349=M117),1),""""))"),"")</f>
        <v/>
      </c>
      <c r="R117" s="586" t="str">
        <f>IFERROR(__xludf.DUMMYFUNCTION("IFERROR(FILTER('リスト'!$E$4:$E$349, (TEXT('リスト'!$A$4:$A$349,""ddd"")=TEXT(R$1, ""ddd""))*('リスト'!$B$4:$B$349=LOOKUP(2,1/($A$3:$A117&lt;&gt;""""),$A$3:$A117))*(('リスト'!$G$4:$G$349=""毎週配信"")+('リスト'!$G$4:$G$349=$A$1))), """")"),"フルリモート_全国")</f>
        <v>フルリモート_全国</v>
      </c>
      <c r="S117" s="8">
        <f t="array" ref="S117">IFERROR(XLOOKUP(R117, 'リスト'!$E:$E, 'リスト'!$F:$F, ""), "")</f>
        <v>3.7</v>
      </c>
      <c r="T117" s="8">
        <f>SUM(S117:S135)</f>
        <v>3.7</v>
      </c>
      <c r="U117" s="8" t="str">
        <f>IFERROR(__xludf.DUMMYFUNCTION("IF(R117="""","""",IFERROR(INDEX(FILTER('リスト'!$O$4:$O$349, 'リスト'!$E$4:$E$349=R117),1),""""))"),"R")</f>
        <v>R</v>
      </c>
      <c r="V117" s="8" t="str">
        <f>IFERROR(__xludf.DUMMYFUNCTION("IF(R117="""","""",IFERROR(INDEX(FILTER('リスト'!$P$4:$P$349, 'リスト'!$E$4:$E$349=R117),1),""""))"),"")</f>
        <v/>
      </c>
      <c r="W117" s="586" t="str">
        <f>IFERROR(__xludf.DUMMYFUNCTION("IFERROR(FILTER('リスト'!$E$4:$E$349, (TEXT('リスト'!$A$4:$A$349,""ddd"")=TEXT(W$1, ""ddd""))*('リスト'!$B$4:$B$349=LOOKUP(2,1/($A$3:$A117&lt;&gt;""""),$A$3:$A117))*(('リスト'!$G$4:$G$349=""毎週配信"")+('リスト'!$G$4:$G$349=$A$1))), """")"),"☆横浜")</f>
        <v>☆横浜</v>
      </c>
      <c r="X117" s="8">
        <f t="array" ref="X117">IFERROR(XLOOKUP(W117, 'リスト'!$E:$E, 'リスト'!$F:$F, ""), "")</f>
        <v>4</v>
      </c>
      <c r="Y117" s="8">
        <f>SUM(X117:X135)</f>
        <v>4</v>
      </c>
      <c r="Z117" s="8" t="str">
        <f>IFERROR(__xludf.DUMMYFUNCTION("IF(W117="""","""",IFERROR(INDEX(FILTER('リスト'!$O$4:$O$349, 'リスト'!$E$4:$E$349=W117),1),""""))"),"平")</f>
        <v>平</v>
      </c>
      <c r="AA117" s="8" t="str">
        <f>IFERROR(__xludf.DUMMYFUNCTION("IF(W117="""","""",IFERROR(INDEX(FILTER('リスト'!$P$4:$P$349, 'リスト'!$E$4:$E$349=W117),1),""""))"),"荒")</f>
        <v>荒</v>
      </c>
      <c r="AB117" s="586" t="str">
        <f>IFERROR(__xludf.DUMMYFUNCTION("IFERROR(FILTER('リスト'!$E$4:$E$349, (TEXT('リスト'!$A$4:$A$349,""ddd"")=TEXT(AB$1, ""ddd""))*('リスト'!$B$4:$B$349=LOOKUP(2,1/($A$3:$A117&lt;&gt;""""),$A$3:$A117))*(('リスト'!$G$4:$G$349=""毎週配信"")+('リスト'!$G$4:$G$349=$A$1))), """")"),"")</f>
        <v/>
      </c>
      <c r="AC117" s="8" t="str">
        <f t="array" ref="AC117">IFERROR(XLOOKUP(AB117, 'リスト'!$E:$E, 'リスト'!$F:$F, ""), "")</f>
        <v/>
      </c>
      <c r="AD117" s="8">
        <f>SUM(AC117:AC135)</f>
        <v>0</v>
      </c>
      <c r="AE117" s="8" t="str">
        <f>IFERROR(__xludf.DUMMYFUNCTION("IF(AB117="""","""",IFERROR(INDEX(FILTER('リスト'!$O$4:$O$349, 'リスト'!$E$4:$E$349=AB117),1),""""))"),"")</f>
        <v/>
      </c>
      <c r="AF117" s="8" t="str">
        <f>IFERROR(__xludf.DUMMYFUNCTION("IF(AB117="""","""",IFERROR(INDEX(FILTER('リスト'!$P$4:$P$349, 'リスト'!$E$4:$E$349=AB117),1),""""))"),"")</f>
        <v/>
      </c>
      <c r="AG117" s="586" t="str">
        <f>IFERROR(__xludf.DUMMYFUNCTION("IFERROR(FILTER('リスト'!$E$4:$E$349, (TEXT('リスト'!$A$4:$A$349,""ddd"")=TEXT(AG$1, ""ddd""))*('リスト'!$B$4:$B$349=LOOKUP(2,1/($A$3:$A117&lt;&gt;""""),$A$3:$A117))*(('リスト'!$G$4:$G$349=""毎週配信"")+('リスト'!$G$4:$G$349=$A$1))), """")"),"☆関西")</f>
        <v>☆関西</v>
      </c>
      <c r="AH117" s="8">
        <f t="array" ref="AH117">IFERROR(XLOOKUP(AG117, 'リスト'!$E:$E, 'リスト'!$F:$F, ""), "")</f>
        <v>1.4</v>
      </c>
      <c r="AI117" s="8">
        <f>SUM(AH117:AH135)</f>
        <v>6.2</v>
      </c>
      <c r="AJ117" s="8" t="str">
        <f>IFERROR(__xludf.DUMMYFUNCTION("IF(AG117="""","""",IFERROR(INDEX(FILTER('リスト'!$O$4:$O$349, 'リスト'!$E$4:$E$349=AG117),1),""""))"),"平")</f>
        <v>平</v>
      </c>
      <c r="AK117" s="8" t="str">
        <f>IFERROR(__xludf.DUMMYFUNCTION("IF(AG117="""","""",IFERROR(INDEX(FILTER('リスト'!$P$4:$P$349, 'リスト'!$E$4:$E$349=AG117),1),""""))"),"荒")</f>
        <v>荒</v>
      </c>
    </row>
    <row r="118" ht="17.25" customHeight="1">
      <c r="A118" s="587"/>
      <c r="B118" s="588"/>
      <c r="C118" s="586" t="str">
        <f>IFERROR(__xludf.DUMMYFUNCTION("""COMPUTED_VALUE"""),"福祉事務_35歳以上")</f>
        <v>福祉事務_35歳以上</v>
      </c>
      <c r="D118" s="8">
        <f t="array" ref="D118">IFERROR(XLOOKUP(C118, 'リスト'!$E:$E, 'リスト'!$F:$F, ""), "")</f>
        <v>1</v>
      </c>
      <c r="E118" s="8"/>
      <c r="F118" s="8" t="str">
        <f t="array" ref="F118">IFERROR(XLOOKUP(C118, 'リスト'!$E:$E, 'リスト'!$O:$O, ""), "")</f>
        <v>R</v>
      </c>
      <c r="G118" s="8" t="str">
        <f t="array" ref="G118">IFERROR(XLOOKUP(C118, 'リスト'!$E:$E, 'リスト'!$P:$P, ""), "")</f>
        <v/>
      </c>
      <c r="H118" s="586"/>
      <c r="I118" s="8" t="str">
        <f t="array" ref="I118">IFERROR(XLOOKUP(H118, 'リスト'!$E:$E, 'リスト'!$F:$F, ""), "")</f>
        <v/>
      </c>
      <c r="J118" s="8"/>
      <c r="K118" s="8" t="str">
        <f t="array" ref="K118">IFERROR(XLOOKUP(H118, 'リスト'!$E:$E, 'リスト'!$O:$O, ""), "")</f>
        <v/>
      </c>
      <c r="L118" s="8" t="str">
        <f t="array" ref="L118">IFERROR(XLOOKUP(H118, 'リスト'!$E:$E, 'リスト'!$P:$P, ""), "")</f>
        <v/>
      </c>
      <c r="M118" s="586" t="str">
        <f>IFERROR(__xludf.DUMMYFUNCTION("""COMPUTED_VALUE"""),"関西‗リモート×フレックス")</f>
        <v>関西‗リモート×フレックス</v>
      </c>
      <c r="N118" s="8">
        <f t="array" ref="N118">IFERROR(XLOOKUP(M118, 'リスト'!$E:$E, 'リスト'!$F:$F, ""), "")</f>
        <v>1.2</v>
      </c>
      <c r="O118" s="8"/>
      <c r="P118" s="8" t="str">
        <f t="array" ref="P118">IFERROR(XLOOKUP(M118, 'リスト'!$E:$E, 'リスト'!$O:$O, ""), "")</f>
        <v>部</v>
      </c>
      <c r="Q118" s="8" t="str">
        <f t="array" ref="Q118">IFERROR(XLOOKUP(M118, 'リスト'!$E:$E, 'リスト'!$P:$P, ""), "")</f>
        <v>武</v>
      </c>
      <c r="R118" s="586"/>
      <c r="S118" s="8" t="str">
        <f t="array" ref="S118">IFERROR(XLOOKUP(R118, 'リスト'!$E:$E, 'リスト'!$F:$F, ""), "")</f>
        <v/>
      </c>
      <c r="T118" s="8"/>
      <c r="U118" s="8" t="str">
        <f t="array" ref="U118">IFERROR(XLOOKUP(R118, 'リスト'!$E:$E, 'リスト'!$O:$O, ""), "")</f>
        <v/>
      </c>
      <c r="V118" s="8" t="str">
        <f t="array" ref="V118">IFERROR(XLOOKUP(R118, 'リスト'!$E:$E, 'リスト'!$P:$P, ""), "")</f>
        <v/>
      </c>
      <c r="W118" s="586"/>
      <c r="X118" s="8" t="str">
        <f t="array" ref="X118">IFERROR(XLOOKUP(W118, 'リスト'!$E:$E, 'リスト'!$F:$F, ""), "")</f>
        <v/>
      </c>
      <c r="Y118" s="8"/>
      <c r="Z118" s="8" t="str">
        <f t="array" ref="Z118">IFERROR(XLOOKUP(W118, 'リスト'!$E:$E, 'リスト'!$O:$O, ""), "")</f>
        <v/>
      </c>
      <c r="AA118" s="8" t="str">
        <f t="array" ref="AA118">IFERROR(XLOOKUP(W118, 'リスト'!$E:$E, 'リスト'!$P:$P, ""), "")</f>
        <v/>
      </c>
      <c r="AB118" s="586"/>
      <c r="AC118" s="8" t="str">
        <f t="array" ref="AC118">IFERROR(XLOOKUP(AB118, 'リスト'!$E:$E, 'リスト'!$F:$F, ""), "")</f>
        <v/>
      </c>
      <c r="AD118" s="8"/>
      <c r="AE118" s="8" t="str">
        <f t="array" ref="AE118">IFERROR(XLOOKUP(AB118, 'リスト'!$E:$E, 'リスト'!$O:$O, ""), "")</f>
        <v/>
      </c>
      <c r="AF118" s="8" t="str">
        <f t="array" ref="AF118">IFERROR(XLOOKUP(AB118, 'リスト'!$E:$E, 'リスト'!$P:$P, ""), "")</f>
        <v/>
      </c>
      <c r="AG118" s="586" t="str">
        <f>IFERROR(__xludf.DUMMYFUNCTION("""COMPUTED_VALUE"""),"☆東海")</f>
        <v>☆東海</v>
      </c>
      <c r="AH118" s="8">
        <f t="array" ref="AH118">IFERROR(XLOOKUP(AG118, 'リスト'!$E:$E, 'リスト'!$F:$F, ""), "")</f>
        <v>0.5</v>
      </c>
      <c r="AI118" s="8"/>
      <c r="AJ118" s="8" t="str">
        <f t="array" ref="AJ118">IFERROR(XLOOKUP(AG118, 'リスト'!$E:$E, 'リスト'!$O:$O, ""), "")</f>
        <v>平</v>
      </c>
      <c r="AK118" s="8" t="str">
        <f t="array" ref="AK118">IFERROR(XLOOKUP(AG118, 'リスト'!$E:$E, 'リスト'!$P:$P, ""), "")</f>
        <v>荒</v>
      </c>
    </row>
    <row r="119" ht="17.25" customHeight="1">
      <c r="A119" s="587"/>
      <c r="B119" s="588"/>
      <c r="C119" s="586" t="str">
        <f>IFERROR(__xludf.DUMMYFUNCTION("""COMPUTED_VALUE"""),"未経験向け急募求人_クリエイティブ")</f>
        <v>未経験向け急募求人_クリエイティブ</v>
      </c>
      <c r="D119" s="8">
        <f t="array" ref="D119">IFERROR(XLOOKUP(C119, 'リスト'!$E:$E, 'リスト'!$F:$F, ""), "")</f>
        <v>0.5</v>
      </c>
      <c r="E119" s="8"/>
      <c r="F119" s="8" t="str">
        <f t="array" ref="F119">IFERROR(XLOOKUP(C119, 'リスト'!$E:$E, 'リスト'!$O:$O, ""), "")</f>
        <v>R</v>
      </c>
      <c r="G119" s="8" t="str">
        <f t="array" ref="G119">IFERROR(XLOOKUP(C119, 'リスト'!$E:$E, 'リスト'!$P:$P, ""), "")</f>
        <v/>
      </c>
      <c r="H119" s="586"/>
      <c r="I119" s="8" t="str">
        <f t="array" ref="I119">IFERROR(XLOOKUP(H119, 'リスト'!$E:$E, 'リスト'!$F:$F, ""), "")</f>
        <v/>
      </c>
      <c r="J119" s="8"/>
      <c r="K119" s="8" t="str">
        <f t="array" ref="K119">IFERROR(XLOOKUP(H119, 'リスト'!$E:$E, 'リスト'!$O:$O, ""), "")</f>
        <v/>
      </c>
      <c r="L119" s="8" t="str">
        <f t="array" ref="L119">IFERROR(XLOOKUP(H119, 'リスト'!$E:$E, 'リスト'!$P:$P, ""), "")</f>
        <v/>
      </c>
      <c r="M119" s="586"/>
      <c r="N119" s="8" t="str">
        <f t="array" ref="N119">IFERROR(XLOOKUP(M119, 'リスト'!$E:$E, 'リスト'!$F:$F, ""), "")</f>
        <v/>
      </c>
      <c r="O119" s="8"/>
      <c r="P119" s="8" t="str">
        <f t="array" ref="P119">IFERROR(XLOOKUP(M119, 'リスト'!$E:$E, 'リスト'!$O:$O, ""), "")</f>
        <v/>
      </c>
      <c r="Q119" s="8" t="str">
        <f t="array" ref="Q119">IFERROR(XLOOKUP(M119, 'リスト'!$E:$E, 'リスト'!$P:$P, ""), "")</f>
        <v/>
      </c>
      <c r="R119" s="586"/>
      <c r="S119" s="8" t="str">
        <f t="array" ref="S119">IFERROR(XLOOKUP(R119, 'リスト'!$E:$E, 'リスト'!$F:$F, ""), "")</f>
        <v/>
      </c>
      <c r="T119" s="8"/>
      <c r="U119" s="8" t="str">
        <f t="array" ref="U119">IFERROR(XLOOKUP(R119, 'リスト'!$E:$E, 'リスト'!$O:$O, ""), "")</f>
        <v/>
      </c>
      <c r="V119" s="8" t="str">
        <f t="array" ref="V119">IFERROR(XLOOKUP(R119, 'リスト'!$E:$E, 'リスト'!$P:$P, ""), "")</f>
        <v/>
      </c>
      <c r="W119" s="586"/>
      <c r="X119" s="8" t="str">
        <f t="array" ref="X119">IFERROR(XLOOKUP(W119, 'リスト'!$E:$E, 'リスト'!$F:$F, ""), "")</f>
        <v/>
      </c>
      <c r="Y119" s="8"/>
      <c r="Z119" s="8" t="str">
        <f t="array" ref="Z119">IFERROR(XLOOKUP(W119, 'リスト'!$E:$E, 'リスト'!$O:$O, ""), "")</f>
        <v/>
      </c>
      <c r="AA119" s="8" t="str">
        <f t="array" ref="AA119">IFERROR(XLOOKUP(W119, 'リスト'!$E:$E, 'リスト'!$P:$P, ""), "")</f>
        <v/>
      </c>
      <c r="AB119" s="586"/>
      <c r="AC119" s="8" t="str">
        <f t="array" ref="AC119">IFERROR(XLOOKUP(AB119, 'リスト'!$E:$E, 'リスト'!$F:$F, ""), "")</f>
        <v/>
      </c>
      <c r="AD119" s="8"/>
      <c r="AE119" s="8" t="str">
        <f t="array" ref="AE119">IFERROR(XLOOKUP(AB119, 'リスト'!$E:$E, 'リスト'!$O:$O, ""), "")</f>
        <v/>
      </c>
      <c r="AF119" s="8" t="str">
        <f t="array" ref="AF119">IFERROR(XLOOKUP(AB119, 'リスト'!$E:$E, 'リスト'!$P:$P, ""), "")</f>
        <v/>
      </c>
      <c r="AG119" s="586" t="str">
        <f>IFERROR(__xludf.DUMMYFUNCTION("""COMPUTED_VALUE"""),"希望勤務地_埼玉")</f>
        <v>希望勤務地_埼玉</v>
      </c>
      <c r="AH119" s="8">
        <f t="array" ref="AH119">IFERROR(XLOOKUP(AG119, 'リスト'!$E:$E, 'リスト'!$F:$F, ""), "")</f>
        <v>0.7</v>
      </c>
      <c r="AI119" s="8"/>
      <c r="AJ119" s="8" t="str">
        <f t="array" ref="AJ119">IFERROR(XLOOKUP(AG119, 'リスト'!$E:$E, 'リスト'!$O:$O, ""), "")</f>
        <v>R</v>
      </c>
      <c r="AK119" s="8" t="str">
        <f t="array" ref="AK119">IFERROR(XLOOKUP(AG119, 'リスト'!$E:$E, 'リスト'!$P:$P, ""), "")</f>
        <v/>
      </c>
    </row>
    <row r="120" ht="17.25" customHeight="1">
      <c r="A120" s="587"/>
      <c r="B120" s="588"/>
      <c r="C120" s="589" t="str">
        <f>IFERROR(__xludf.DUMMYFUNCTION("""COMPUTED_VALUE"""),"未経験向け急募求人_営業")</f>
        <v>未経験向け急募求人_営業</v>
      </c>
      <c r="D120" s="8">
        <f t="array" ref="D120">IFERROR(XLOOKUP(C120, 'リスト'!$E:$E, 'リスト'!$F:$F, ""), "")</f>
        <v>0.5</v>
      </c>
      <c r="E120" s="8"/>
      <c r="F120" s="8" t="str">
        <f t="array" ref="F120">IFERROR(XLOOKUP(C120, 'リスト'!$E:$E, 'リスト'!$O:$O, ""), "")</f>
        <v>R</v>
      </c>
      <c r="G120" s="8" t="str">
        <f t="array" ref="G120">IFERROR(XLOOKUP(C120, 'リスト'!$E:$E, 'リスト'!$P:$P, ""), "")</f>
        <v/>
      </c>
      <c r="H120" s="589"/>
      <c r="I120" s="8" t="str">
        <f t="array" ref="I120">IFERROR(XLOOKUP(H120, 'リスト'!$E:$E, 'リスト'!$F:$F, ""), "")</f>
        <v/>
      </c>
      <c r="J120" s="8"/>
      <c r="K120" s="8" t="str">
        <f t="array" ref="K120">IFERROR(XLOOKUP(H120, 'リスト'!$E:$E, 'リスト'!$O:$O, ""), "")</f>
        <v/>
      </c>
      <c r="L120" s="8" t="str">
        <f t="array" ref="L120">IFERROR(XLOOKUP(H120, 'リスト'!$E:$E, 'リスト'!$P:$P, ""), "")</f>
        <v/>
      </c>
      <c r="M120" s="589"/>
      <c r="N120" s="8" t="str">
        <f t="array" ref="N120">IFERROR(XLOOKUP(M120, 'リスト'!$E:$E, 'リスト'!$F:$F, ""), "")</f>
        <v/>
      </c>
      <c r="O120" s="8"/>
      <c r="P120" s="8" t="str">
        <f t="array" ref="P120">IFERROR(XLOOKUP(M120, 'リスト'!$E:$E, 'リスト'!$O:$O, ""), "")</f>
        <v/>
      </c>
      <c r="Q120" s="8" t="str">
        <f t="array" ref="Q120">IFERROR(XLOOKUP(M120, 'リスト'!$E:$E, 'リスト'!$P:$P, ""), "")</f>
        <v/>
      </c>
      <c r="R120" s="589"/>
      <c r="S120" s="8" t="str">
        <f t="array" ref="S120">IFERROR(XLOOKUP(R120, 'リスト'!$E:$E, 'リスト'!$F:$F, ""), "")</f>
        <v/>
      </c>
      <c r="T120" s="8"/>
      <c r="U120" s="8" t="str">
        <f t="array" ref="U120">IFERROR(XLOOKUP(R120, 'リスト'!$E:$E, 'リスト'!$O:$O, ""), "")</f>
        <v/>
      </c>
      <c r="V120" s="8" t="str">
        <f t="array" ref="V120">IFERROR(XLOOKUP(R120, 'リスト'!$E:$E, 'リスト'!$P:$P, ""), "")</f>
        <v/>
      </c>
      <c r="W120" s="589"/>
      <c r="X120" s="8" t="str">
        <f t="array" ref="X120">IFERROR(XLOOKUP(W120, 'リスト'!$E:$E, 'リスト'!$F:$F, ""), "")</f>
        <v/>
      </c>
      <c r="Y120" s="8"/>
      <c r="Z120" s="8" t="str">
        <f t="array" ref="Z120">IFERROR(XLOOKUP(W120, 'リスト'!$E:$E, 'リスト'!$O:$O, ""), "")</f>
        <v/>
      </c>
      <c r="AA120" s="8" t="str">
        <f t="array" ref="AA120">IFERROR(XLOOKUP(W120, 'リスト'!$E:$E, 'リスト'!$P:$P, ""), "")</f>
        <v/>
      </c>
      <c r="AB120" s="589"/>
      <c r="AC120" s="8" t="str">
        <f t="array" ref="AC120">IFERROR(XLOOKUP(AB120, 'リスト'!$E:$E, 'リスト'!$F:$F, ""), "")</f>
        <v/>
      </c>
      <c r="AD120" s="8"/>
      <c r="AE120" s="8" t="str">
        <f t="array" ref="AE120">IFERROR(XLOOKUP(AB120, 'リスト'!$E:$E, 'リスト'!$O:$O, ""), "")</f>
        <v/>
      </c>
      <c r="AF120" s="8" t="str">
        <f t="array" ref="AF120">IFERROR(XLOOKUP(AB120, 'リスト'!$E:$E, 'リスト'!$P:$P, ""), "")</f>
        <v/>
      </c>
      <c r="AG120" s="589" t="str">
        <f>IFERROR(__xludf.DUMMYFUNCTION("""COMPUTED_VALUE"""),"希望勤務地_千葉")</f>
        <v>希望勤務地_千葉</v>
      </c>
      <c r="AH120" s="8">
        <f t="array" ref="AH120">IFERROR(XLOOKUP(AG120, 'リスト'!$E:$E, 'リスト'!$F:$F, ""), "")</f>
        <v>0.7</v>
      </c>
      <c r="AI120" s="8"/>
      <c r="AJ120" s="8" t="str">
        <f t="array" ref="AJ120">IFERROR(XLOOKUP(AG120, 'リスト'!$E:$E, 'リスト'!$O:$O, ""), "")</f>
        <v>R</v>
      </c>
      <c r="AK120" s="8" t="str">
        <f t="array" ref="AK120">IFERROR(XLOOKUP(AG120, 'リスト'!$E:$E, 'リスト'!$P:$P, ""), "")</f>
        <v/>
      </c>
    </row>
    <row r="121" ht="17.25" customHeight="1">
      <c r="A121" s="587"/>
      <c r="B121" s="588"/>
      <c r="C121" s="590" t="str">
        <f>IFERROR(__xludf.DUMMYFUNCTION("""COMPUTED_VALUE"""),"未経験向け急募求人_事務")</f>
        <v>未経験向け急募求人_事務</v>
      </c>
      <c r="D121" s="8">
        <f t="array" ref="D121">IFERROR(XLOOKUP(C121, 'リスト'!$E:$E, 'リスト'!$F:$F, ""), "")</f>
        <v>1</v>
      </c>
      <c r="E121" s="8"/>
      <c r="F121" s="8" t="str">
        <f t="array" ref="F121">IFERROR(XLOOKUP(C121, 'リスト'!$E:$E, 'リスト'!$O:$O, ""), "")</f>
        <v>R</v>
      </c>
      <c r="G121" s="8" t="str">
        <f t="array" ref="G121">IFERROR(XLOOKUP(C121, 'リスト'!$E:$E, 'リスト'!$P:$P, ""), "")</f>
        <v/>
      </c>
      <c r="H121" s="590"/>
      <c r="I121" s="8" t="str">
        <f t="array" ref="I121">IFERROR(XLOOKUP(H121, 'リスト'!$E:$E, 'リスト'!$F:$F, ""), "")</f>
        <v/>
      </c>
      <c r="J121" s="8"/>
      <c r="K121" s="8" t="str">
        <f t="array" ref="K121">IFERROR(XLOOKUP(H121, 'リスト'!$E:$E, 'リスト'!$O:$O, ""), "")</f>
        <v/>
      </c>
      <c r="L121" s="8" t="str">
        <f t="array" ref="L121">IFERROR(XLOOKUP(H121, 'リスト'!$E:$E, 'リスト'!$P:$P, ""), "")</f>
        <v/>
      </c>
      <c r="M121" s="590"/>
      <c r="N121" s="8" t="str">
        <f t="array" ref="N121">IFERROR(XLOOKUP(M121, 'リスト'!$E:$E, 'リスト'!$F:$F, ""), "")</f>
        <v/>
      </c>
      <c r="O121" s="8"/>
      <c r="P121" s="8" t="str">
        <f t="array" ref="P121">IFERROR(XLOOKUP(M121, 'リスト'!$E:$E, 'リスト'!$O:$O, ""), "")</f>
        <v/>
      </c>
      <c r="Q121" s="8" t="str">
        <f t="array" ref="Q121">IFERROR(XLOOKUP(M121, 'リスト'!$E:$E, 'リスト'!$P:$P, ""), "")</f>
        <v/>
      </c>
      <c r="R121" s="590"/>
      <c r="S121" s="8" t="str">
        <f t="array" ref="S121">IFERROR(XLOOKUP(R121, 'リスト'!$E:$E, 'リスト'!$F:$F, ""), "")</f>
        <v/>
      </c>
      <c r="T121" s="8"/>
      <c r="U121" s="8" t="str">
        <f t="array" ref="U121">IFERROR(XLOOKUP(R121, 'リスト'!$E:$E, 'リスト'!$O:$O, ""), "")</f>
        <v/>
      </c>
      <c r="V121" s="8" t="str">
        <f t="array" ref="V121">IFERROR(XLOOKUP(R121, 'リスト'!$E:$E, 'リスト'!$P:$P, ""), "")</f>
        <v/>
      </c>
      <c r="W121" s="590"/>
      <c r="X121" s="8" t="str">
        <f t="array" ref="X121">IFERROR(XLOOKUP(W121, 'リスト'!$E:$E, 'リスト'!$F:$F, ""), "")</f>
        <v/>
      </c>
      <c r="Y121" s="8"/>
      <c r="Z121" s="8" t="str">
        <f t="array" ref="Z121">IFERROR(XLOOKUP(W121, 'リスト'!$E:$E, 'リスト'!$O:$O, ""), "")</f>
        <v/>
      </c>
      <c r="AA121" s="8" t="str">
        <f t="array" ref="AA121">IFERROR(XLOOKUP(W121, 'リスト'!$E:$E, 'リスト'!$P:$P, ""), "")</f>
        <v/>
      </c>
      <c r="AB121" s="590"/>
      <c r="AC121" s="8" t="str">
        <f t="array" ref="AC121">IFERROR(XLOOKUP(AB121, 'リスト'!$E:$E, 'リスト'!$F:$F, ""), "")</f>
        <v/>
      </c>
      <c r="AD121" s="8"/>
      <c r="AE121" s="8" t="str">
        <f t="array" ref="AE121">IFERROR(XLOOKUP(AB121, 'リスト'!$E:$E, 'リスト'!$O:$O, ""), "")</f>
        <v/>
      </c>
      <c r="AF121" s="8" t="str">
        <f t="array" ref="AF121">IFERROR(XLOOKUP(AB121, 'リスト'!$E:$E, 'リスト'!$P:$P, ""), "")</f>
        <v/>
      </c>
      <c r="AG121" s="590" t="str">
        <f>IFERROR(__xludf.DUMMYFUNCTION("""COMPUTED_VALUE"""),"希望勤務地_東京")</f>
        <v>希望勤務地_東京</v>
      </c>
      <c r="AH121" s="8">
        <f t="array" ref="AH121">IFERROR(XLOOKUP(AG121, 'リスト'!$E:$E, 'リスト'!$F:$F, ""), "")</f>
        <v>1.9</v>
      </c>
      <c r="AI121" s="8"/>
      <c r="AJ121" s="8" t="str">
        <f t="array" ref="AJ121">IFERROR(XLOOKUP(AG121, 'リスト'!$E:$E, 'リスト'!$O:$O, ""), "")</f>
        <v>R</v>
      </c>
      <c r="AK121" s="8" t="str">
        <f t="array" ref="AK121">IFERROR(XLOOKUP(AG121, 'リスト'!$E:$E, 'リスト'!$P:$P, ""), "")</f>
        <v/>
      </c>
    </row>
    <row r="122" ht="17.25" customHeight="1">
      <c r="A122" s="587"/>
      <c r="B122" s="588"/>
      <c r="C122" s="590"/>
      <c r="D122" s="8" t="str">
        <f t="array" ref="D122">IFERROR(XLOOKUP(C122, 'リスト'!$E:$E, 'リスト'!$F:$F, ""), "")</f>
        <v/>
      </c>
      <c r="E122" s="8"/>
      <c r="F122" s="8" t="str">
        <f t="array" ref="F122">IFERROR(XLOOKUP(C122, 'リスト'!$E:$E, 'リスト'!$O:$O, ""), "")</f>
        <v/>
      </c>
      <c r="G122" s="8" t="str">
        <f t="array" ref="G122">IFERROR(XLOOKUP(C122, 'リスト'!$E:$E, 'リスト'!$P:$P, ""), "")</f>
        <v/>
      </c>
      <c r="H122" s="590"/>
      <c r="I122" s="8" t="str">
        <f t="array" ref="I122">IFERROR(XLOOKUP(H122, 'リスト'!$E:$E, 'リスト'!$F:$F, ""), "")</f>
        <v/>
      </c>
      <c r="J122" s="8"/>
      <c r="K122" s="8" t="str">
        <f t="array" ref="K122">IFERROR(XLOOKUP(H122, 'リスト'!$E:$E, 'リスト'!$O:$O, ""), "")</f>
        <v/>
      </c>
      <c r="L122" s="8" t="str">
        <f t="array" ref="L122">IFERROR(XLOOKUP(H122, 'リスト'!$E:$E, 'リスト'!$P:$P, ""), "")</f>
        <v/>
      </c>
      <c r="M122" s="590"/>
      <c r="N122" s="8" t="str">
        <f t="array" ref="N122">IFERROR(XLOOKUP(M122, 'リスト'!$E:$E, 'リスト'!$F:$F, ""), "")</f>
        <v/>
      </c>
      <c r="O122" s="8"/>
      <c r="P122" s="8" t="str">
        <f t="array" ref="P122">IFERROR(XLOOKUP(M122, 'リスト'!$E:$E, 'リスト'!$O:$O, ""), "")</f>
        <v/>
      </c>
      <c r="Q122" s="8" t="str">
        <f t="array" ref="Q122">IFERROR(XLOOKUP(M122, 'リスト'!$E:$E, 'リスト'!$P:$P, ""), "")</f>
        <v/>
      </c>
      <c r="R122" s="590"/>
      <c r="S122" s="8" t="str">
        <f t="array" ref="S122">IFERROR(XLOOKUP(R122, 'リスト'!$E:$E, 'リスト'!$F:$F, ""), "")</f>
        <v/>
      </c>
      <c r="T122" s="8"/>
      <c r="U122" s="8" t="str">
        <f t="array" ref="U122">IFERROR(XLOOKUP(R122, 'リスト'!$E:$E, 'リスト'!$O:$O, ""), "")</f>
        <v/>
      </c>
      <c r="V122" s="8" t="str">
        <f t="array" ref="V122">IFERROR(XLOOKUP(R122, 'リスト'!$E:$E, 'リスト'!$P:$P, ""), "")</f>
        <v/>
      </c>
      <c r="W122" s="590"/>
      <c r="X122" s="8" t="str">
        <f t="array" ref="X122">IFERROR(XLOOKUP(W122, 'リスト'!$E:$E, 'リスト'!$F:$F, ""), "")</f>
        <v/>
      </c>
      <c r="Y122" s="8"/>
      <c r="Z122" s="8" t="str">
        <f t="array" ref="Z122">IFERROR(XLOOKUP(W122, 'リスト'!$E:$E, 'リスト'!$O:$O, ""), "")</f>
        <v/>
      </c>
      <c r="AA122" s="8" t="str">
        <f t="array" ref="AA122">IFERROR(XLOOKUP(W122, 'リスト'!$E:$E, 'リスト'!$P:$P, ""), "")</f>
        <v/>
      </c>
      <c r="AB122" s="590"/>
      <c r="AC122" s="8" t="str">
        <f t="array" ref="AC122">IFERROR(XLOOKUP(AB122, 'リスト'!$E:$E, 'リスト'!$F:$F, ""), "")</f>
        <v/>
      </c>
      <c r="AD122" s="8"/>
      <c r="AE122" s="8" t="str">
        <f t="array" ref="AE122">IFERROR(XLOOKUP(AB122, 'リスト'!$E:$E, 'リスト'!$O:$O, ""), "")</f>
        <v/>
      </c>
      <c r="AF122" s="8" t="str">
        <f t="array" ref="AF122">IFERROR(XLOOKUP(AB122, 'リスト'!$E:$E, 'リスト'!$P:$P, ""), "")</f>
        <v/>
      </c>
      <c r="AG122" s="590" t="str">
        <f>IFERROR(__xludf.DUMMYFUNCTION("""COMPUTED_VALUE"""),"大手・上場企業×事務")</f>
        <v>大手・上場企業×事務</v>
      </c>
      <c r="AH122" s="8">
        <f t="array" ref="AH122">IFERROR(XLOOKUP(AG122, 'リスト'!$E:$E, 'リスト'!$F:$F, ""), "")</f>
        <v>1</v>
      </c>
      <c r="AI122" s="8"/>
      <c r="AJ122" s="8" t="str">
        <f t="array" ref="AJ122">IFERROR(XLOOKUP(AG122, 'リスト'!$E:$E, 'リスト'!$O:$O, ""), "")</f>
        <v>R</v>
      </c>
      <c r="AK122" s="8" t="str">
        <f t="array" ref="AK122">IFERROR(XLOOKUP(AG122, 'リスト'!$E:$E, 'リスト'!$P:$P, ""), "")</f>
        <v/>
      </c>
    </row>
    <row r="123" ht="17.25" customHeight="1">
      <c r="A123" s="587"/>
      <c r="B123" s="588"/>
      <c r="C123" s="590"/>
      <c r="D123" s="8" t="str">
        <f t="array" ref="D123">IFERROR(XLOOKUP(C123, 'リスト'!$E:$E, 'リスト'!$F:$F, ""), "")</f>
        <v/>
      </c>
      <c r="E123" s="8"/>
      <c r="F123" s="8" t="str">
        <f t="array" ref="F123">IFERROR(XLOOKUP(C123, 'リスト'!$E:$E, 'リスト'!$O:$O, ""), "")</f>
        <v/>
      </c>
      <c r="G123" s="8" t="str">
        <f t="array" ref="G123">IFERROR(XLOOKUP(C123, 'リスト'!$E:$E, 'リスト'!$P:$P, ""), "")</f>
        <v/>
      </c>
      <c r="H123" s="590"/>
      <c r="I123" s="8" t="str">
        <f t="array" ref="I123">IFERROR(XLOOKUP(H123, 'リスト'!$E:$E, 'リスト'!$F:$F, ""), "")</f>
        <v/>
      </c>
      <c r="J123" s="8"/>
      <c r="K123" s="8" t="str">
        <f t="array" ref="K123">IFERROR(XLOOKUP(H123, 'リスト'!$E:$E, 'リスト'!$O:$O, ""), "")</f>
        <v/>
      </c>
      <c r="L123" s="8" t="str">
        <f t="array" ref="L123">IFERROR(XLOOKUP(H123, 'リスト'!$E:$E, 'リスト'!$P:$P, ""), "")</f>
        <v/>
      </c>
      <c r="M123" s="590"/>
      <c r="N123" s="8" t="str">
        <f t="array" ref="N123">IFERROR(XLOOKUP(M123, 'リスト'!$E:$E, 'リスト'!$F:$F, ""), "")</f>
        <v/>
      </c>
      <c r="O123" s="8"/>
      <c r="P123" s="8" t="str">
        <f t="array" ref="P123">IFERROR(XLOOKUP(M123, 'リスト'!$E:$E, 'リスト'!$O:$O, ""), "")</f>
        <v/>
      </c>
      <c r="Q123" s="8" t="str">
        <f t="array" ref="Q123">IFERROR(XLOOKUP(M123, 'リスト'!$E:$E, 'リスト'!$P:$P, ""), "")</f>
        <v/>
      </c>
      <c r="R123" s="590"/>
      <c r="S123" s="8" t="str">
        <f t="array" ref="S123">IFERROR(XLOOKUP(R123, 'リスト'!$E:$E, 'リスト'!$F:$F, ""), "")</f>
        <v/>
      </c>
      <c r="T123" s="8"/>
      <c r="U123" s="8" t="str">
        <f t="array" ref="U123">IFERROR(XLOOKUP(R123, 'リスト'!$E:$E, 'リスト'!$O:$O, ""), "")</f>
        <v/>
      </c>
      <c r="V123" s="8" t="str">
        <f t="array" ref="V123">IFERROR(XLOOKUP(R123, 'リスト'!$E:$E, 'リスト'!$P:$P, ""), "")</f>
        <v/>
      </c>
      <c r="W123" s="590"/>
      <c r="X123" s="8" t="str">
        <f t="array" ref="X123">IFERROR(XLOOKUP(W123, 'リスト'!$E:$E, 'リスト'!$F:$F, ""), "")</f>
        <v/>
      </c>
      <c r="Y123" s="8"/>
      <c r="Z123" s="8" t="str">
        <f t="array" ref="Z123">IFERROR(XLOOKUP(W123, 'リスト'!$E:$E, 'リスト'!$O:$O, ""), "")</f>
        <v/>
      </c>
      <c r="AA123" s="8" t="str">
        <f t="array" ref="AA123">IFERROR(XLOOKUP(W123, 'リスト'!$E:$E, 'リスト'!$P:$P, ""), "")</f>
        <v/>
      </c>
      <c r="AB123" s="590"/>
      <c r="AC123" s="8" t="str">
        <f t="array" ref="AC123">IFERROR(XLOOKUP(AB123, 'リスト'!$E:$E, 'リスト'!$F:$F, ""), "")</f>
        <v/>
      </c>
      <c r="AD123" s="8"/>
      <c r="AE123" s="8" t="str">
        <f t="array" ref="AE123">IFERROR(XLOOKUP(AB123, 'リスト'!$E:$E, 'リスト'!$O:$O, ""), "")</f>
        <v/>
      </c>
      <c r="AF123" s="8" t="str">
        <f t="array" ref="AF123">IFERROR(XLOOKUP(AB123, 'リスト'!$E:$E, 'リスト'!$P:$P, ""), "")</f>
        <v/>
      </c>
      <c r="AG123" s="590"/>
      <c r="AH123" s="8" t="str">
        <f t="array" ref="AH123">IFERROR(XLOOKUP(AG123, 'リスト'!$E:$E, 'リスト'!$F:$F, ""), "")</f>
        <v/>
      </c>
      <c r="AI123" s="8"/>
      <c r="AJ123" s="8" t="str">
        <f t="array" ref="AJ123">IFERROR(XLOOKUP(AG123, 'リスト'!$E:$E, 'リスト'!$O:$O, ""), "")</f>
        <v/>
      </c>
      <c r="AK123" s="8" t="str">
        <f t="array" ref="AK123">IFERROR(XLOOKUP(AG123, 'リスト'!$E:$E, 'リスト'!$P:$P, ""), "")</f>
        <v/>
      </c>
    </row>
    <row r="124" ht="17.25" customHeight="1">
      <c r="A124" s="587"/>
      <c r="B124" s="588"/>
      <c r="C124" s="590"/>
      <c r="D124" s="8" t="str">
        <f t="array" ref="D124">IFERROR(XLOOKUP(C124, 'リスト'!$E:$E, 'リスト'!$F:$F, ""), "")</f>
        <v/>
      </c>
      <c r="E124" s="8"/>
      <c r="F124" s="8" t="str">
        <f t="array" ref="F124">IFERROR(XLOOKUP(C124, 'リスト'!$E:$E, 'リスト'!$O:$O, ""), "")</f>
        <v/>
      </c>
      <c r="G124" s="8" t="str">
        <f t="array" ref="G124">IFERROR(XLOOKUP(C124, 'リスト'!$E:$E, 'リスト'!$P:$P, ""), "")</f>
        <v/>
      </c>
      <c r="H124" s="590"/>
      <c r="I124" s="8" t="str">
        <f t="array" ref="I124">IFERROR(XLOOKUP(H124, 'リスト'!$E:$E, 'リスト'!$F:$F, ""), "")</f>
        <v/>
      </c>
      <c r="J124" s="8"/>
      <c r="K124" s="8" t="str">
        <f t="array" ref="K124">IFERROR(XLOOKUP(H124, 'リスト'!$E:$E, 'リスト'!$O:$O, ""), "")</f>
        <v/>
      </c>
      <c r="L124" s="8" t="str">
        <f t="array" ref="L124">IFERROR(XLOOKUP(H124, 'リスト'!$E:$E, 'リスト'!$P:$P, ""), "")</f>
        <v/>
      </c>
      <c r="M124" s="590"/>
      <c r="N124" s="8" t="str">
        <f t="array" ref="N124">IFERROR(XLOOKUP(M124, 'リスト'!$E:$E, 'リスト'!$F:$F, ""), "")</f>
        <v/>
      </c>
      <c r="O124" s="8"/>
      <c r="P124" s="8" t="str">
        <f t="array" ref="P124">IFERROR(XLOOKUP(M124, 'リスト'!$E:$E, 'リスト'!$O:$O, ""), "")</f>
        <v/>
      </c>
      <c r="Q124" s="8" t="str">
        <f t="array" ref="Q124">IFERROR(XLOOKUP(M124, 'リスト'!$E:$E, 'リスト'!$P:$P, ""), "")</f>
        <v/>
      </c>
      <c r="R124" s="590"/>
      <c r="S124" s="8" t="str">
        <f t="array" ref="S124">IFERROR(XLOOKUP(R124, 'リスト'!$E:$E, 'リスト'!$F:$F, ""), "")</f>
        <v/>
      </c>
      <c r="T124" s="8"/>
      <c r="U124" s="8" t="str">
        <f t="array" ref="U124">IFERROR(XLOOKUP(R124, 'リスト'!$E:$E, 'リスト'!$O:$O, ""), "")</f>
        <v/>
      </c>
      <c r="V124" s="8" t="str">
        <f t="array" ref="V124">IFERROR(XLOOKUP(R124, 'リスト'!$E:$E, 'リスト'!$P:$P, ""), "")</f>
        <v/>
      </c>
      <c r="W124" s="590"/>
      <c r="X124" s="8" t="str">
        <f t="array" ref="X124">IFERROR(XLOOKUP(W124, 'リスト'!$E:$E, 'リスト'!$F:$F, ""), "")</f>
        <v/>
      </c>
      <c r="Y124" s="8"/>
      <c r="Z124" s="8" t="str">
        <f t="array" ref="Z124">IFERROR(XLOOKUP(W124, 'リスト'!$E:$E, 'リスト'!$O:$O, ""), "")</f>
        <v/>
      </c>
      <c r="AA124" s="8" t="str">
        <f t="array" ref="AA124">IFERROR(XLOOKUP(W124, 'リスト'!$E:$E, 'リスト'!$P:$P, ""), "")</f>
        <v/>
      </c>
      <c r="AB124" s="590"/>
      <c r="AC124" s="8" t="str">
        <f t="array" ref="AC124">IFERROR(XLOOKUP(AB124, 'リスト'!$E:$E, 'リスト'!$F:$F, ""), "")</f>
        <v/>
      </c>
      <c r="AD124" s="8"/>
      <c r="AE124" s="8" t="str">
        <f t="array" ref="AE124">IFERROR(XLOOKUP(AB124, 'リスト'!$E:$E, 'リスト'!$O:$O, ""), "")</f>
        <v/>
      </c>
      <c r="AF124" s="8" t="str">
        <f t="array" ref="AF124">IFERROR(XLOOKUP(AB124, 'リスト'!$E:$E, 'リスト'!$P:$P, ""), "")</f>
        <v/>
      </c>
      <c r="AG124" s="590"/>
      <c r="AH124" s="8" t="str">
        <f t="array" ref="AH124">IFERROR(XLOOKUP(AG124, 'リスト'!$E:$E, 'リスト'!$F:$F, ""), "")</f>
        <v/>
      </c>
      <c r="AI124" s="8"/>
      <c r="AJ124" s="8" t="str">
        <f t="array" ref="AJ124">IFERROR(XLOOKUP(AG124, 'リスト'!$E:$E, 'リスト'!$O:$O, ""), "")</f>
        <v/>
      </c>
      <c r="AK124" s="8" t="str">
        <f t="array" ref="AK124">IFERROR(XLOOKUP(AG124, 'リスト'!$E:$E, 'リスト'!$P:$P, ""), "")</f>
        <v/>
      </c>
    </row>
    <row r="125" ht="17.25" customHeight="1">
      <c r="A125" s="587"/>
      <c r="B125" s="592"/>
      <c r="C125" s="590"/>
      <c r="D125" s="8" t="str">
        <f t="array" ref="D125">IFERROR(XLOOKUP(C125, '新規'!$E:$E, '新規'!$F:$F, ""), "")</f>
        <v/>
      </c>
      <c r="E125" s="8"/>
      <c r="F125" s="8" t="str">
        <f t="array" ref="F125">IFERROR(XLOOKUP(C125, '新規'!$E:$E, '新規'!$O:$O, ""), "")</f>
        <v/>
      </c>
      <c r="G125" s="8" t="str">
        <f t="array" ref="G125">IFERROR(XLOOKUP(C125, '新規'!$E:$E, '新規'!$P:$P, ""), "")</f>
        <v/>
      </c>
      <c r="H125" s="590"/>
      <c r="I125" s="8" t="str">
        <f t="array" ref="I125">IFERROR(XLOOKUP(H125, '新規'!$E:$E, '新規'!$F:$F, ""), "")</f>
        <v/>
      </c>
      <c r="J125" s="8"/>
      <c r="K125" s="8" t="str">
        <f t="array" ref="K125">IFERROR(XLOOKUP(H125, '新規'!$E:$E, '新規'!$O:$O, ""), "")</f>
        <v/>
      </c>
      <c r="L125" s="8" t="str">
        <f t="array" ref="L125">IFERROR(XLOOKUP(H125, '新規'!$E:$E, '新規'!$P:$P, ""), "")</f>
        <v/>
      </c>
      <c r="M125" s="590"/>
      <c r="N125" s="8" t="str">
        <f t="array" ref="N125">IFERROR(XLOOKUP(M125, '新規'!$E:$E, '新規'!$F:$F, ""), "")</f>
        <v/>
      </c>
      <c r="O125" s="8"/>
      <c r="P125" s="8" t="str">
        <f t="array" ref="P125">IFERROR(XLOOKUP(M125, '新規'!$E:$E, '新規'!$O:$O, ""), "")</f>
        <v/>
      </c>
      <c r="Q125" s="8" t="str">
        <f t="array" ref="Q125">IFERROR(XLOOKUP(M125, '新規'!$E:$E, '新規'!$P:$P, ""), "")</f>
        <v/>
      </c>
      <c r="R125" s="590"/>
      <c r="S125" s="8" t="str">
        <f t="array" ref="S125">IFERROR(XLOOKUP(R125, '新規'!$E:$E, '新規'!$F:$F, ""), "")</f>
        <v/>
      </c>
      <c r="T125" s="8"/>
      <c r="U125" s="8" t="str">
        <f t="array" ref="U125">IFERROR(XLOOKUP(R125, '新規'!$E:$E, '新規'!$O:$O, ""), "")</f>
        <v/>
      </c>
      <c r="V125" s="8" t="str">
        <f t="array" ref="V125">IFERROR(XLOOKUP(R125, '新規'!$E:$E, '新規'!$P:$P, ""), "")</f>
        <v/>
      </c>
      <c r="W125" s="590"/>
      <c r="X125" s="8" t="str">
        <f t="array" ref="X125">IFERROR(XLOOKUP(W125, '新規'!$E:$E, '新規'!$F:$F, ""), "")</f>
        <v/>
      </c>
      <c r="Y125" s="8"/>
      <c r="Z125" s="8" t="str">
        <f t="array" ref="Z125">IFERROR(XLOOKUP(W125, '新規'!$E:$E, '新規'!$O:$O, ""), "")</f>
        <v/>
      </c>
      <c r="AA125" s="8" t="str">
        <f t="array" ref="AA125">IFERROR(XLOOKUP(W125, '新規'!$E:$E, '新規'!$P:$P, ""), "")</f>
        <v/>
      </c>
      <c r="AB125" s="590"/>
      <c r="AC125" s="8" t="str">
        <f t="array" ref="AC125">IFERROR(XLOOKUP(AB125, '新規'!$E:$E, '新規'!$F:$F, ""), "")</f>
        <v/>
      </c>
      <c r="AD125" s="8"/>
      <c r="AE125" s="8" t="str">
        <f t="array" ref="AE125">IFERROR(XLOOKUP(AB125, '新規'!$E:$E, '新規'!$O:$O, ""), "")</f>
        <v/>
      </c>
      <c r="AF125" s="8" t="str">
        <f t="array" ref="AF125">IFERROR(XLOOKUP(AB125, '新規'!$E:$E, '新規'!$P:$P, ""), "")</f>
        <v/>
      </c>
      <c r="AG125" s="590"/>
      <c r="AH125" s="8" t="str">
        <f t="array" ref="AH125">IFERROR(XLOOKUP(AG125, '新規'!$E:$E, '新規'!$F:$F, ""), "")</f>
        <v/>
      </c>
      <c r="AI125" s="8"/>
      <c r="AJ125" s="8" t="str">
        <f t="array" ref="AJ125">IFERROR(XLOOKUP(AG125, '新規'!$E:$E, '新規'!$O:$O, ""), "")</f>
        <v/>
      </c>
      <c r="AK125" s="8" t="str">
        <f t="array" ref="AK125">IFERROR(XLOOKUP(AG125, '新規'!$E:$E, '新規'!$P:$P, ""), "")</f>
        <v/>
      </c>
    </row>
    <row r="126" ht="17.25" customHeight="1">
      <c r="A126" s="587"/>
      <c r="B126" s="585" t="s">
        <v>78</v>
      </c>
      <c r="C126" s="590" t="str">
        <f>IFERROR(__xludf.DUMMYFUNCTION("IFERROR(FILTER('新規'!$E$3:$E$170, ('新規'!$B$3:$B$170=LOOKUP(2,1/($A$3:$A126&lt;&gt;""""),$A$3:$A126))*(('新規'!$A$3:$A$170=C$1)+(('新規'!$G$3:$G$170=""毎月配信"")*(TEXT('新規'!$A$3:$A$170,""ddd"")=TEXT(C$1, ""ddd""))))), """")"),"")</f>
        <v/>
      </c>
      <c r="D126" s="8" t="str">
        <f t="array" ref="D126">IFERROR(XLOOKUP(C126, '新規'!$E:$E, '新規'!$F:$F, ""), "")</f>
        <v/>
      </c>
      <c r="E126" s="8"/>
      <c r="F126" s="8" t="str">
        <f>IFERROR(__xludf.DUMMYFUNCTION("IF(C126="""","""",IFERROR(INDEX(FILTER('新規'!$O$3:$O$670, '新規'!$E$3:$E$670=C126),1),""""))"),"")</f>
        <v/>
      </c>
      <c r="G126" s="8" t="str">
        <f>IFERROR(__xludf.DUMMYFUNCTION("IF(C126="""","""",IFERROR(INDEX(FILTER('新規'!$P$3:$P$670, '新規'!$E$3:$E$670=C126),1),""""))"),"")</f>
        <v/>
      </c>
      <c r="H126" s="590" t="str">
        <f>IFERROR(__xludf.DUMMYFUNCTION("IFERROR(FILTER('新規'!$E$3:$E$170, ('新規'!$B$3:$B$170=LOOKUP(2,1/($A$3:$A126&lt;&gt;""""),$A$3:$A126))*(('新規'!$A$3:$A$170=H$1)+(('新規'!$G$3:$G$170=""毎月配信"")*(TEXT('新規'!$A$3:$A$170,""ddd"")=TEXT(H$1, ""ddd""))))), """")"),"")</f>
        <v/>
      </c>
      <c r="I126" s="8" t="str">
        <f t="array" ref="I126">IFERROR(XLOOKUP(H126, '新規'!$E:$E, '新規'!$F:$F, ""), "")</f>
        <v/>
      </c>
      <c r="J126" s="8"/>
      <c r="K126" s="8" t="str">
        <f>IFERROR(__xludf.DUMMYFUNCTION("IF(H126="""","""",IFERROR(INDEX(FILTER('新規'!$O$3:$O$670, '新規'!$E$3:$E$670=H126),1),""""))"),"")</f>
        <v/>
      </c>
      <c r="L126" s="8" t="str">
        <f>IFERROR(__xludf.DUMMYFUNCTION("IF(H126="""","""",IFERROR(INDEX(FILTER('新規'!$P$3:$P$670, '新規'!$E$3:$E$670=H126),1),""""))"),"")</f>
        <v/>
      </c>
      <c r="M126" s="590" t="str">
        <f>IFERROR(__xludf.DUMMYFUNCTION("IFERROR(FILTER('新規'!$E$3:$E$170, ('新規'!$B$3:$B$170=LOOKUP(2,1/($A$3:$A126&lt;&gt;""""),$A$3:$A126))*(('新規'!$A$3:$A$170=M$1)+(('新規'!$G$3:$G$170=""毎月配信"")*(TEXT('新規'!$A$3:$A$170,""ddd"")=TEXT(M$1, ""ddd""))))), """")"),"")</f>
        <v/>
      </c>
      <c r="N126" s="8" t="str">
        <f t="array" ref="N126">IFERROR(XLOOKUP(M126, '新規'!$E:$E, '新規'!$F:$F, ""), "")</f>
        <v/>
      </c>
      <c r="O126" s="8"/>
      <c r="P126" s="8" t="str">
        <f>IFERROR(__xludf.DUMMYFUNCTION("IF(M126="""","""",IFERROR(INDEX(FILTER('新規'!$O$3:$O$670, '新規'!$E$3:$E$670=M126),1),""""))"),"")</f>
        <v/>
      </c>
      <c r="Q126" s="8" t="str">
        <f>IFERROR(__xludf.DUMMYFUNCTION("IF(M126="""","""",IFERROR(INDEX(FILTER('新規'!$P$3:$P$670, '新規'!$E$3:$E$670=M126),1),""""))"),"")</f>
        <v/>
      </c>
      <c r="R126" s="590" t="str">
        <f>IFERROR(__xludf.DUMMYFUNCTION("IFERROR(FILTER('新規'!$E$3:$E$170, ('新規'!$B$3:$B$170=LOOKUP(2,1/($A$3:$A126&lt;&gt;""""),$A$3:$A126))*(('新規'!$A$3:$A$170=R$1)+(('新規'!$G$3:$G$170=""毎月配信"")*(TEXT('新規'!$A$3:$A$170,""ddd"")=TEXT(R$1, ""ddd""))))), """")"),"")</f>
        <v/>
      </c>
      <c r="S126" s="8" t="str">
        <f t="array" ref="S126">IFERROR(XLOOKUP(R126, '新規'!$E:$E, '新規'!$F:$F, ""), "")</f>
        <v/>
      </c>
      <c r="T126" s="8"/>
      <c r="U126" s="8" t="str">
        <f>IFERROR(__xludf.DUMMYFUNCTION("IF(R126="""","""",IFERROR(INDEX(FILTER('新規'!$O$3:$O$670, '新規'!$E$3:$E$670=R126),1),""""))"),"")</f>
        <v/>
      </c>
      <c r="V126" s="8" t="str">
        <f>IFERROR(__xludf.DUMMYFUNCTION("IF(R126="""","""",IFERROR(INDEX(FILTER('新規'!$P$3:$P$670, '新規'!$E$3:$E$670=R126),1),""""))"),"")</f>
        <v/>
      </c>
      <c r="W126" s="590" t="str">
        <f>IFERROR(__xludf.DUMMYFUNCTION("IFERROR(FILTER('新規'!$E$3:$E$170, ('新規'!$B$3:$B$170=LOOKUP(2,1/($A$3:$A126&lt;&gt;""""),$A$3:$A126))*(('新規'!$A$3:$A$170=W$1)+(('新規'!$G$3:$G$170=""毎月配信"")*(TEXT('新規'!$A$3:$A$170,""ddd"")=TEXT(W$1, ""ddd""))))), """")"),"")</f>
        <v/>
      </c>
      <c r="X126" s="8" t="str">
        <f t="array" ref="X126">IFERROR(XLOOKUP(W126, '新規'!$E:$E, '新規'!$F:$F, ""), "")</f>
        <v/>
      </c>
      <c r="Y126" s="8"/>
      <c r="Z126" s="8" t="str">
        <f>IFERROR(__xludf.DUMMYFUNCTION("IF(W126="""","""",IFERROR(INDEX(FILTER('新規'!$O$3:$O$670, '新規'!$E$3:$E$670=W126),1),""""))"),"")</f>
        <v/>
      </c>
      <c r="AA126" s="8" t="str">
        <f>IFERROR(__xludf.DUMMYFUNCTION("IF(W126="""","""",IFERROR(INDEX(FILTER('新規'!$P$3:$P$670, '新規'!$E$3:$E$670=W126),1),""""))"),"")</f>
        <v/>
      </c>
      <c r="AB126" s="590" t="str">
        <f>IFERROR(__xludf.DUMMYFUNCTION("IFERROR(FILTER('新規'!$E$3:$E$170, ('新規'!$B$3:$B$170=LOOKUP(2,1/($A$3:$A126&lt;&gt;""""),$A$3:$A126))*(('新規'!$A$3:$A$170=AB$1)+(('新規'!$G$3:$G$170=""毎月配信"")*(TEXT('新規'!$A$3:$A$170,""ddd"")=TEXT(AB$1, ""ddd""))))), """")"),"")</f>
        <v/>
      </c>
      <c r="AC126" s="8" t="str">
        <f t="array" ref="AC126">IFERROR(XLOOKUP(AB126, '新規'!$E:$E, '新規'!$F:$F, ""), "")</f>
        <v/>
      </c>
      <c r="AD126" s="8"/>
      <c r="AE126" s="8" t="str">
        <f>IFERROR(__xludf.DUMMYFUNCTION("IF(AB126="""","""",IFERROR(INDEX(FILTER('新規'!$O$3:$O$670, '新規'!$E$3:$E$670=AB126),1),""""))"),"")</f>
        <v/>
      </c>
      <c r="AF126" s="8" t="str">
        <f>IFERROR(__xludf.DUMMYFUNCTION("IF(AB126="""","""",IFERROR(INDEX(FILTER('新規'!$P$3:$P$670, '新規'!$E$3:$E$670=AB126),1),""""))"),"")</f>
        <v/>
      </c>
      <c r="AG126" s="590" t="str">
        <f>IFERROR(__xludf.DUMMYFUNCTION("IFERROR(FILTER('新規'!$E$3:$E$170, ('新規'!$B$3:$B$170=LOOKUP(2,1/($A$3:$A126&lt;&gt;""""),$A$3:$A126))*(('新規'!$A$3:$A$170=AG$1)+(('新規'!$G$3:$G$170=""毎月配信"")*(TEXT('新規'!$A$3:$A$170,""ddd"")=TEXT(AG$1, ""ddd""))))), """")"),"")</f>
        <v/>
      </c>
      <c r="AH126" s="8" t="str">
        <f t="array" ref="AH126">IFERROR(XLOOKUP(AG126, '新規'!$E:$E, '新規'!$F:$F, ""), "")</f>
        <v/>
      </c>
      <c r="AI126" s="8"/>
      <c r="AJ126" s="8" t="str">
        <f>IFERROR(__xludf.DUMMYFUNCTION("IF(AG126="""","""",IFERROR(INDEX(FILTER('新規'!$O$3:$O$670, '新規'!$E$3:$E$670=AG126),1),""""))"),"")</f>
        <v/>
      </c>
      <c r="AK126" s="8" t="str">
        <f>IFERROR(__xludf.DUMMYFUNCTION("IF(AG126="""","""",IFERROR(INDEX(FILTER('新規'!$P$3:$P$670, '新規'!$E$3:$E$670=AG126),1),""""))"),"")</f>
        <v/>
      </c>
    </row>
    <row r="127" ht="17.25" customHeight="1">
      <c r="A127" s="587"/>
      <c r="B127" s="588"/>
      <c r="C127" s="590"/>
      <c r="D127" s="8" t="str">
        <f t="array" ref="D127">IFERROR(XLOOKUP(C127, '新規'!$E:$E, '新規'!$F:$F, ""), "")</f>
        <v/>
      </c>
      <c r="E127" s="8"/>
      <c r="F127" s="8" t="str">
        <f t="array" ref="F127">IFERROR(XLOOKUP(C127, '新規'!$E:$E, '新規'!$O:$O, ""), "")</f>
        <v/>
      </c>
      <c r="G127" s="8" t="str">
        <f t="array" ref="G127">IFERROR(XLOOKUP(C127, '新規'!$E:$E, '新規'!$P:$P, ""), "")</f>
        <v/>
      </c>
      <c r="H127" s="590"/>
      <c r="I127" s="8" t="str">
        <f t="array" ref="I127">IFERROR(XLOOKUP(H127, '新規'!$E:$E, '新規'!$F:$F, ""), "")</f>
        <v/>
      </c>
      <c r="J127" s="8"/>
      <c r="K127" s="8" t="str">
        <f t="array" ref="K127">IFERROR(XLOOKUP(H127, '新規'!$E:$E, '新規'!$O:$O, ""), "")</f>
        <v/>
      </c>
      <c r="L127" s="8" t="str">
        <f t="array" ref="L127">IFERROR(XLOOKUP(H127, '新規'!$E:$E, '新規'!$P:$P, ""), "")</f>
        <v/>
      </c>
      <c r="M127" s="590"/>
      <c r="N127" s="8" t="str">
        <f t="array" ref="N127">IFERROR(XLOOKUP(M127, '新規'!$E:$E, '新規'!$F:$F, ""), "")</f>
        <v/>
      </c>
      <c r="O127" s="8"/>
      <c r="P127" s="8" t="str">
        <f t="array" ref="P127">IFERROR(XLOOKUP(M127, '新規'!$E:$E, '新規'!$O:$O, ""), "")</f>
        <v/>
      </c>
      <c r="Q127" s="8" t="str">
        <f t="array" ref="Q127">IFERROR(XLOOKUP(M127, '新規'!$E:$E, '新規'!$P:$P, ""), "")</f>
        <v/>
      </c>
      <c r="R127" s="590"/>
      <c r="S127" s="8" t="str">
        <f t="array" ref="S127">IFERROR(XLOOKUP(R127, '新規'!$E:$E, '新規'!$F:$F, ""), "")</f>
        <v/>
      </c>
      <c r="T127" s="8"/>
      <c r="U127" s="8" t="str">
        <f t="array" ref="U127">IFERROR(XLOOKUP(R127, '新規'!$E:$E, '新規'!$O:$O, ""), "")</f>
        <v/>
      </c>
      <c r="V127" s="8" t="str">
        <f t="array" ref="V127">IFERROR(XLOOKUP(R127, '新規'!$E:$E, '新規'!$P:$P, ""), "")</f>
        <v/>
      </c>
      <c r="W127" s="590"/>
      <c r="X127" s="8" t="str">
        <f t="array" ref="X127">IFERROR(XLOOKUP(W127, '新規'!$E:$E, '新規'!$F:$F, ""), "")</f>
        <v/>
      </c>
      <c r="Y127" s="8"/>
      <c r="Z127" s="8" t="str">
        <f t="array" ref="Z127">IFERROR(XLOOKUP(W127, '新規'!$E:$E, '新規'!$O:$O, ""), "")</f>
        <v/>
      </c>
      <c r="AA127" s="8" t="str">
        <f t="array" ref="AA127">IFERROR(XLOOKUP(W127, '新規'!$E:$E, '新規'!$P:$P, ""), "")</f>
        <v/>
      </c>
      <c r="AB127" s="590"/>
      <c r="AC127" s="8" t="str">
        <f t="array" ref="AC127">IFERROR(XLOOKUP(AB127, '新規'!$E:$E, '新規'!$F:$F, ""), "")</f>
        <v/>
      </c>
      <c r="AD127" s="8"/>
      <c r="AE127" s="8" t="str">
        <f t="array" ref="AE127">IFERROR(XLOOKUP(AB127, '新規'!$E:$E, '新規'!$O:$O, ""), "")</f>
        <v/>
      </c>
      <c r="AF127" s="8" t="str">
        <f t="array" ref="AF127">IFERROR(XLOOKUP(AB127, '新規'!$E:$E, '新規'!$P:$P, ""), "")</f>
        <v/>
      </c>
      <c r="AG127" s="590"/>
      <c r="AH127" s="8" t="str">
        <f t="array" ref="AH127">IFERROR(XLOOKUP(AG127, '新規'!$E:$E, '新規'!$F:$F, ""), "")</f>
        <v/>
      </c>
      <c r="AI127" s="8"/>
      <c r="AJ127" s="8" t="str">
        <f t="array" ref="AJ127">IFERROR(XLOOKUP(AG127, '新規'!$E:$E, '新規'!$O:$O, ""), "")</f>
        <v/>
      </c>
      <c r="AK127" s="8" t="str">
        <f t="array" ref="AK127">IFERROR(XLOOKUP(AG127, '新規'!$E:$E, '新規'!$P:$P, ""), "")</f>
        <v/>
      </c>
    </row>
    <row r="128" ht="17.25" customHeight="1">
      <c r="A128" s="587"/>
      <c r="B128" s="588"/>
      <c r="C128" s="590"/>
      <c r="D128" s="8" t="str">
        <f t="array" ref="D128">IFERROR(XLOOKUP(C128, '新規'!$E:$E, '新規'!$F:$F, ""), "")</f>
        <v/>
      </c>
      <c r="E128" s="8"/>
      <c r="F128" s="8" t="str">
        <f t="array" ref="F128">IFERROR(XLOOKUP(C128, '新規'!$E:$E, '新規'!$O:$O, ""), "")</f>
        <v/>
      </c>
      <c r="G128" s="8" t="str">
        <f t="array" ref="G128">IFERROR(XLOOKUP(C128, '新規'!$E:$E, '新規'!$P:$P, ""), "")</f>
        <v/>
      </c>
      <c r="H128" s="590"/>
      <c r="I128" s="8" t="str">
        <f t="array" ref="I128">IFERROR(XLOOKUP(H128, '新規'!$E:$E, '新規'!$F:$F, ""), "")</f>
        <v/>
      </c>
      <c r="J128" s="8"/>
      <c r="K128" s="8" t="str">
        <f t="array" ref="K128">IFERROR(XLOOKUP(H128, '新規'!$E:$E, '新規'!$O:$O, ""), "")</f>
        <v/>
      </c>
      <c r="L128" s="8" t="str">
        <f t="array" ref="L128">IFERROR(XLOOKUP(H128, '新規'!$E:$E, '新規'!$P:$P, ""), "")</f>
        <v/>
      </c>
      <c r="M128" s="590"/>
      <c r="N128" s="8" t="str">
        <f t="array" ref="N128">IFERROR(XLOOKUP(M128, '新規'!$E:$E, '新規'!$F:$F, ""), "")</f>
        <v/>
      </c>
      <c r="O128" s="8"/>
      <c r="P128" s="8" t="str">
        <f t="array" ref="P128">IFERROR(XLOOKUP(M128, '新規'!$E:$E, '新規'!$O:$O, ""), "")</f>
        <v/>
      </c>
      <c r="Q128" s="8" t="str">
        <f t="array" ref="Q128">IFERROR(XLOOKUP(M128, '新規'!$E:$E, '新規'!$P:$P, ""), "")</f>
        <v/>
      </c>
      <c r="R128" s="590"/>
      <c r="S128" s="8" t="str">
        <f t="array" ref="S128">IFERROR(XLOOKUP(R128, '新規'!$E:$E, '新規'!$F:$F, ""), "")</f>
        <v/>
      </c>
      <c r="T128" s="8"/>
      <c r="U128" s="8" t="str">
        <f t="array" ref="U128">IFERROR(XLOOKUP(R128, '新規'!$E:$E, '新規'!$O:$O, ""), "")</f>
        <v/>
      </c>
      <c r="V128" s="8" t="str">
        <f t="array" ref="V128">IFERROR(XLOOKUP(R128, '新規'!$E:$E, '新規'!$P:$P, ""), "")</f>
        <v/>
      </c>
      <c r="W128" s="590"/>
      <c r="X128" s="8" t="str">
        <f t="array" ref="X128">IFERROR(XLOOKUP(W128, '新規'!$E:$E, '新規'!$F:$F, ""), "")</f>
        <v/>
      </c>
      <c r="Y128" s="8"/>
      <c r="Z128" s="8" t="str">
        <f t="array" ref="Z128">IFERROR(XLOOKUP(W128, '新規'!$E:$E, '新規'!$O:$O, ""), "")</f>
        <v/>
      </c>
      <c r="AA128" s="8" t="str">
        <f t="array" ref="AA128">IFERROR(XLOOKUP(W128, '新規'!$E:$E, '新規'!$P:$P, ""), "")</f>
        <v/>
      </c>
      <c r="AB128" s="590"/>
      <c r="AC128" s="8" t="str">
        <f t="array" ref="AC128">IFERROR(XLOOKUP(AB128, '新規'!$E:$E, '新規'!$F:$F, ""), "")</f>
        <v/>
      </c>
      <c r="AD128" s="8"/>
      <c r="AE128" s="8" t="str">
        <f t="array" ref="AE128">IFERROR(XLOOKUP(AB128, '新規'!$E:$E, '新規'!$O:$O, ""), "")</f>
        <v/>
      </c>
      <c r="AF128" s="8" t="str">
        <f t="array" ref="AF128">IFERROR(XLOOKUP(AB128, '新規'!$E:$E, '新規'!$P:$P, ""), "")</f>
        <v/>
      </c>
      <c r="AG128" s="590"/>
      <c r="AH128" s="8" t="str">
        <f t="array" ref="AH128">IFERROR(XLOOKUP(AG128, '新規'!$E:$E, '新規'!$F:$F, ""), "")</f>
        <v/>
      </c>
      <c r="AI128" s="8"/>
      <c r="AJ128" s="8" t="str">
        <f t="array" ref="AJ128">IFERROR(XLOOKUP(AG128, '新規'!$E:$E, '新規'!$O:$O, ""), "")</f>
        <v/>
      </c>
      <c r="AK128" s="8" t="str">
        <f t="array" ref="AK128">IFERROR(XLOOKUP(AG128, '新規'!$E:$E, '新規'!$P:$P, ""), "")</f>
        <v/>
      </c>
    </row>
    <row r="129" ht="17.25" customHeight="1">
      <c r="A129" s="587"/>
      <c r="B129" s="588"/>
      <c r="C129" s="590"/>
      <c r="D129" s="8" t="str">
        <f t="array" ref="D129">IFERROR(XLOOKUP(C129, '新規'!$E:$E, '新規'!$F:$F, ""), "")</f>
        <v/>
      </c>
      <c r="E129" s="8"/>
      <c r="F129" s="8" t="str">
        <f t="array" ref="F129">IFERROR(XLOOKUP(C129, '新規'!$E:$E, '新規'!$O:$O, ""), "")</f>
        <v/>
      </c>
      <c r="G129" s="8" t="str">
        <f t="array" ref="G129">IFERROR(XLOOKUP(C129, '新規'!$E:$E, '新規'!$P:$P, ""), "")</f>
        <v/>
      </c>
      <c r="H129" s="590"/>
      <c r="I129" s="8" t="str">
        <f t="array" ref="I129">IFERROR(XLOOKUP(H129, '新規'!$E:$E, '新規'!$F:$F, ""), "")</f>
        <v/>
      </c>
      <c r="J129" s="8"/>
      <c r="K129" s="8" t="str">
        <f t="array" ref="K129">IFERROR(XLOOKUP(H129, '新規'!$E:$E, '新規'!$O:$O, ""), "")</f>
        <v/>
      </c>
      <c r="L129" s="8" t="str">
        <f t="array" ref="L129">IFERROR(XLOOKUP(H129, '新規'!$E:$E, '新規'!$P:$P, ""), "")</f>
        <v/>
      </c>
      <c r="M129" s="590"/>
      <c r="N129" s="8" t="str">
        <f t="array" ref="N129">IFERROR(XLOOKUP(M129, '新規'!$E:$E, '新規'!$F:$F, ""), "")</f>
        <v/>
      </c>
      <c r="O129" s="8"/>
      <c r="P129" s="8" t="str">
        <f t="array" ref="P129">IFERROR(XLOOKUP(M129, '新規'!$E:$E, '新規'!$O:$O, ""), "")</f>
        <v/>
      </c>
      <c r="Q129" s="8" t="str">
        <f t="array" ref="Q129">IFERROR(XLOOKUP(M129, '新規'!$E:$E, '新規'!$P:$P, ""), "")</f>
        <v/>
      </c>
      <c r="R129" s="590"/>
      <c r="S129" s="8" t="str">
        <f t="array" ref="S129">IFERROR(XLOOKUP(R129, '新規'!$E:$E, '新規'!$F:$F, ""), "")</f>
        <v/>
      </c>
      <c r="T129" s="8"/>
      <c r="U129" s="8" t="str">
        <f t="array" ref="U129">IFERROR(XLOOKUP(R129, '新規'!$E:$E, '新規'!$O:$O, ""), "")</f>
        <v/>
      </c>
      <c r="V129" s="8" t="str">
        <f t="array" ref="V129">IFERROR(XLOOKUP(R129, '新規'!$E:$E, '新規'!$P:$P, ""), "")</f>
        <v/>
      </c>
      <c r="W129" s="590"/>
      <c r="X129" s="8" t="str">
        <f t="array" ref="X129">IFERROR(XLOOKUP(W129, '新規'!$E:$E, '新規'!$F:$F, ""), "")</f>
        <v/>
      </c>
      <c r="Y129" s="8"/>
      <c r="Z129" s="8" t="str">
        <f t="array" ref="Z129">IFERROR(XLOOKUP(W129, '新規'!$E:$E, '新規'!$O:$O, ""), "")</f>
        <v/>
      </c>
      <c r="AA129" s="8" t="str">
        <f t="array" ref="AA129">IFERROR(XLOOKUP(W129, '新規'!$E:$E, '新規'!$P:$P, ""), "")</f>
        <v/>
      </c>
      <c r="AB129" s="590"/>
      <c r="AC129" s="8" t="str">
        <f t="array" ref="AC129">IFERROR(XLOOKUP(AB129, '新規'!$E:$E, '新規'!$F:$F, ""), "")</f>
        <v/>
      </c>
      <c r="AD129" s="8"/>
      <c r="AE129" s="8" t="str">
        <f t="array" ref="AE129">IFERROR(XLOOKUP(AB129, '新規'!$E:$E, '新規'!$O:$O, ""), "")</f>
        <v/>
      </c>
      <c r="AF129" s="8" t="str">
        <f t="array" ref="AF129">IFERROR(XLOOKUP(AB129, '新規'!$E:$E, '新規'!$P:$P, ""), "")</f>
        <v/>
      </c>
      <c r="AG129" s="590"/>
      <c r="AH129" s="8" t="str">
        <f t="array" ref="AH129">IFERROR(XLOOKUP(AG129, '新規'!$E:$E, '新規'!$F:$F, ""), "")</f>
        <v/>
      </c>
      <c r="AI129" s="8"/>
      <c r="AJ129" s="8" t="str">
        <f t="array" ref="AJ129">IFERROR(XLOOKUP(AG129, '新規'!$E:$E, '新規'!$O:$O, ""), "")</f>
        <v/>
      </c>
      <c r="AK129" s="8" t="str">
        <f t="array" ref="AK129">IFERROR(XLOOKUP(AG129, '新規'!$E:$E, '新規'!$P:$P, ""), "")</f>
        <v/>
      </c>
    </row>
    <row r="130" ht="17.25" customHeight="1">
      <c r="A130" s="587"/>
      <c r="B130" s="592"/>
      <c r="C130" s="590"/>
      <c r="D130" s="593" t="str">
        <f>IFERROR(__xludf.DUMMYFUNCTION("IF(C130="""","""",IFERROR(INDEX(FILTER('特殊配信マスタ'!$F$3:$F$16,('特殊配信マスタ'!$A$3:$A$16=CHOOSE(WEEKDAY(C$1),""日"",""月"",""火"",""水"",""木"",""金"",""土""))*('特殊配信マスタ'!$B$3:$B$16=A$3)*('特殊配信マスタ'!$R$3:$R$16=MOD(INT((C$1-'特殊配信マスタ'!$A$1)/7),3)+1)),1),""""))"),"")</f>
        <v/>
      </c>
      <c r="E130" s="590"/>
      <c r="F130" s="593" t="str">
        <f>IFERROR(__xludf.DUMMYFUNCTION("IF(C130="""","""",IFERROR(INDEX(FILTER('特殊配信マスタ'!$O$3:$O$16,('特殊配信マスタ'!$A$3:$A$16=CHOOSE(WEEKDAY(C$1),""日"",""月"",""火"",""水"",""木"",""金"",""土""))*('特殊配信マスタ'!$B$3:$B$16=A$3)*('特殊配信マスタ'!$R$3:$R$16=MOD(INT((C$1-'特殊配信マスタ'!$A$1)/7),3)+1)),1),""""))"),"")</f>
        <v/>
      </c>
      <c r="G130" s="593" t="str">
        <f>IFERROR(__xludf.DUMMYFUNCTION("IF(C130="""","""",IFERROR(INDEX(FILTER('特殊配信マスタ'!$P$3:$P$16,('特殊配信マスタ'!$A$3:$A$16=CHOOSE(WEEKDAY(C$1),""日"",""月"",""火"",""水"",""木"",""金"",""土""))*('特殊配信マスタ'!$B$3:$B$16=A$3)*('特殊配信マスタ'!$R$3:$R$16=MOD(INT((C$1-'特殊配信マスタ'!$A$1)/7),3)+1)),1),""""))"),"")</f>
        <v/>
      </c>
      <c r="H130" s="590"/>
      <c r="I130" s="593" t="str">
        <f>IFERROR(__xludf.DUMMYFUNCTION("IF(H130="""","""",IFERROR(INDEX(FILTER('特殊配信マスタ'!$F$3:$F$16,('特殊配信マスタ'!$A$3:$A$16=CHOOSE(WEEKDAY(H$1),""日"",""月"",""火"",""水"",""木"",""金"",""土""))*('特殊配信マスタ'!$B$3:$B$16=F$3)*('特殊配信マスタ'!$R$3:$R$16=MOD(INT((H$1-'特殊配信マスタ'!$A$1)/7),3)+1)),1),""""))"),"")</f>
        <v/>
      </c>
      <c r="J130" s="590"/>
      <c r="K130" s="593" t="str">
        <f>IFERROR(__xludf.DUMMYFUNCTION("IF(H130="""","""",IFERROR(INDEX(FILTER('特殊配信マスタ'!$O$3:$O$16,('特殊配信マスタ'!$A$3:$A$16=CHOOSE(WEEKDAY(H$1),""日"",""月"",""火"",""水"",""木"",""金"",""土""))*('特殊配信マスタ'!$B$3:$B$16=F$3)*('特殊配信マスタ'!$R$3:$R$16=MOD(INT((H$1-'特殊配信マスタ'!$A$1)/7),3)+1)),1),""""))"),"")</f>
        <v/>
      </c>
      <c r="L130" s="593" t="str">
        <f>IFERROR(__xludf.DUMMYFUNCTION("IF(H130="""","""",IFERROR(INDEX(FILTER('特殊配信マスタ'!$P$3:$P$16,('特殊配信マスタ'!$A$3:$A$16=CHOOSE(WEEKDAY(H$1),""日"",""月"",""火"",""水"",""木"",""金"",""土""))*('特殊配信マスタ'!$B$3:$B$16=F$3)*('特殊配信マスタ'!$R$3:$R$16=MOD(INT((H$1-'特殊配信マスタ'!$A$1)/7),3)+1)),1),""""))"),"")</f>
        <v/>
      </c>
      <c r="M130" s="590"/>
      <c r="N130" s="593" t="str">
        <f>IFERROR(__xludf.DUMMYFUNCTION("IF(M130="""","""",IFERROR(INDEX(FILTER('特殊配信マスタ'!$F$3:$F$16,('特殊配信マスタ'!$A$3:$A$16=CHOOSE(WEEKDAY(M$1),""日"",""月"",""火"",""水"",""木"",""金"",""土""))*('特殊配信マスタ'!$B$3:$B$16=K$3)*('特殊配信マスタ'!$R$3:$R$16=MOD(INT((M$1-'特殊配信マスタ'!$A$1)/7),3)+1)),1),""""))"),"")</f>
        <v/>
      </c>
      <c r="O130" s="590"/>
      <c r="P130" s="593" t="str">
        <f>IFERROR(__xludf.DUMMYFUNCTION("IF(M130="""","""",IFERROR(INDEX(FILTER('特殊配信マスタ'!$O$3:$O$16,('特殊配信マスタ'!$A$3:$A$16=CHOOSE(WEEKDAY(M$1),""日"",""月"",""火"",""水"",""木"",""金"",""土""))*('特殊配信マスタ'!$B$3:$B$16=K$3)*('特殊配信マスタ'!$R$3:$R$16=MOD(INT((M$1-'特殊配信マスタ'!$A$1)/7),3)+1)),1),""""))"),"")</f>
        <v/>
      </c>
      <c r="Q130" s="593" t="str">
        <f>IFERROR(__xludf.DUMMYFUNCTION("IF(M130="""","""",IFERROR(INDEX(FILTER('特殊配信マスタ'!$P$3:$P$16,('特殊配信マスタ'!$A$3:$A$16=CHOOSE(WEEKDAY(M$1),""日"",""月"",""火"",""水"",""木"",""金"",""土""))*('特殊配信マスタ'!$B$3:$B$16=K$3)*('特殊配信マスタ'!$R$3:$R$16=MOD(INT((M$1-'特殊配信マスタ'!$A$1)/7),3)+1)),1),""""))"),"")</f>
        <v/>
      </c>
      <c r="R130" s="590"/>
      <c r="S130" s="593" t="str">
        <f>IFERROR(__xludf.DUMMYFUNCTION("IF(R130="""","""",IFERROR(INDEX(FILTER('特殊配信マスタ'!$F$3:$F$16,('特殊配信マスタ'!$A$3:$A$16=CHOOSE(WEEKDAY(R$1),""日"",""月"",""火"",""水"",""木"",""金"",""土""))*('特殊配信マスタ'!$B$3:$B$16=P$3)*('特殊配信マスタ'!$R$3:$R$16=MOD(INT((R$1-'特殊配信マスタ'!$A$1)/7),3)+1)),1),""""))"),"")</f>
        <v/>
      </c>
      <c r="T130" s="590"/>
      <c r="U130" s="593" t="str">
        <f>IFERROR(__xludf.DUMMYFUNCTION("IF(R130="""","""",IFERROR(INDEX(FILTER('特殊配信マスタ'!$O$3:$O$16,('特殊配信マスタ'!$A$3:$A$16=CHOOSE(WEEKDAY(R$1),""日"",""月"",""火"",""水"",""木"",""金"",""土""))*('特殊配信マスタ'!$B$3:$B$16=P$3)*('特殊配信マスタ'!$R$3:$R$16=MOD(INT((R$1-'特殊配信マスタ'!$A$1)/7),3)+1)),1),""""))"),"")</f>
        <v/>
      </c>
      <c r="V130" s="593" t="str">
        <f>IFERROR(__xludf.DUMMYFUNCTION("IF(R130="""","""",IFERROR(INDEX(FILTER('特殊配信マスタ'!$P$3:$P$16,('特殊配信マスタ'!$A$3:$A$16=CHOOSE(WEEKDAY(R$1),""日"",""月"",""火"",""水"",""木"",""金"",""土""))*('特殊配信マスタ'!$B$3:$B$16=P$3)*('特殊配信マスタ'!$R$3:$R$16=MOD(INT((R$1-'特殊配信マスタ'!$A$1)/7),3)+1)),1),""""))"),"")</f>
        <v/>
      </c>
      <c r="W130" s="590"/>
      <c r="X130" s="593" t="str">
        <f>IFERROR(__xludf.DUMMYFUNCTION("IF(W130="""","""",IFERROR(INDEX(FILTER('特殊配信マスタ'!$F$3:$F$16,('特殊配信マスタ'!$A$3:$A$16=CHOOSE(WEEKDAY(W$1),""日"",""月"",""火"",""水"",""木"",""金"",""土""))*('特殊配信マスタ'!$B$3:$B$16=U$3)*('特殊配信マスタ'!$R$3:$R$16=MOD(INT((W$1-'特殊配信マスタ'!$A$1)/7),3)+1)),1),""""))"),"")</f>
        <v/>
      </c>
      <c r="Y130" s="590"/>
      <c r="Z130" s="593" t="str">
        <f>IFERROR(__xludf.DUMMYFUNCTION("IF(W130="""","""",IFERROR(INDEX(FILTER('特殊配信マスタ'!$O$3:$O$16,('特殊配信マスタ'!$A$3:$A$16=CHOOSE(WEEKDAY(W$1),""日"",""月"",""火"",""水"",""木"",""金"",""土""))*('特殊配信マスタ'!$B$3:$B$16=U$3)*('特殊配信マスタ'!$R$3:$R$16=MOD(INT((W$1-'特殊配信マスタ'!$A$1)/7),3)+1)),1),""""))"),"")</f>
        <v/>
      </c>
      <c r="AA130" s="593" t="str">
        <f>IFERROR(__xludf.DUMMYFUNCTION("IF(W130="""","""",IFERROR(INDEX(FILTER('特殊配信マスタ'!$P$3:$P$16,('特殊配信マスタ'!$A$3:$A$16=CHOOSE(WEEKDAY(W$1),""日"",""月"",""火"",""水"",""木"",""金"",""土""))*('特殊配信マスタ'!$B$3:$B$16=U$3)*('特殊配信マスタ'!$R$3:$R$16=MOD(INT((W$1-'特殊配信マスタ'!$A$1)/7),3)+1)),1),""""))"),"")</f>
        <v/>
      </c>
      <c r="AB130" s="590"/>
      <c r="AC130" s="593" t="str">
        <f>IFERROR(__xludf.DUMMYFUNCTION("IF(AB130="""","""",IFERROR(INDEX(FILTER('特殊配信マスタ'!$F$3:$F$16,('特殊配信マスタ'!$A$3:$A$16=CHOOSE(WEEKDAY(AB$1),""日"",""月"",""火"",""水"",""木"",""金"",""土""))*('特殊配信マスタ'!$B$3:$B$16=Z$3)*('特殊配信マスタ'!$R$3:$R$16=MOD(INT((AB$1-'特殊配信マスタ'!$A$1)/7),3)+1)),1),""""))"),"")</f>
        <v/>
      </c>
      <c r="AD130" s="590"/>
      <c r="AE130" s="593" t="str">
        <f>IFERROR(__xludf.DUMMYFUNCTION("IF(AB130="""","""",IFERROR(INDEX(FILTER('特殊配信マスタ'!$O$3:$O$16,('特殊配信マスタ'!$A$3:$A$16=CHOOSE(WEEKDAY(AB$1),""日"",""月"",""火"",""水"",""木"",""金"",""土""))*('特殊配信マスタ'!$B$3:$B$16=Z$3)*('特殊配信マスタ'!$R$3:$R$16=MOD(INT((AB$1-'特殊配信マスタ'!$A$1)/7),3)+1)),1),""""))"),"")</f>
        <v/>
      </c>
      <c r="AF130" s="593" t="str">
        <f>IFERROR(__xludf.DUMMYFUNCTION("IF(AB130="""","""",IFERROR(INDEX(FILTER('特殊配信マスタ'!$P$3:$P$16,('特殊配信マスタ'!$A$3:$A$16=CHOOSE(WEEKDAY(AB$1),""日"",""月"",""火"",""水"",""木"",""金"",""土""))*('特殊配信マスタ'!$B$3:$B$16=Z$3)*('特殊配信マスタ'!$R$3:$R$16=MOD(INT((AB$1-'特殊配信マスタ'!$A$1)/7),3)+1)),1),""""))"),"")</f>
        <v/>
      </c>
      <c r="AG130" s="590"/>
      <c r="AH130" s="593" t="str">
        <f>IFERROR(__xludf.DUMMYFUNCTION("IF(AG130="""","""",IFERROR(INDEX(FILTER('特殊配信マスタ'!$F$3:$F$16,('特殊配信マスタ'!$A$3:$A$16=CHOOSE(WEEKDAY(AG$1),""日"",""月"",""火"",""水"",""木"",""金"",""土""))*('特殊配信マスタ'!$B$3:$B$16=AE$3)*('特殊配信マスタ'!$R$3:$R$16=MOD(INT((AG$1-'特殊配信マスタ'!$A$1)/7),3)+1)),1),""""))"),"")</f>
        <v/>
      </c>
      <c r="AI130" s="590"/>
      <c r="AJ130" s="593" t="str">
        <f>IFERROR(__xludf.DUMMYFUNCTION("IF(AG130="""","""",IFERROR(INDEX(FILTER('特殊配信マスタ'!$O$3:$O$16,('特殊配信マスタ'!$A$3:$A$16=CHOOSE(WEEKDAY(AG$1),""日"",""月"",""火"",""水"",""木"",""金"",""土""))*('特殊配信マスタ'!$B$3:$B$16=AE$3)*('特殊配信マスタ'!$R$3:$R$16=MOD(INT((AG$1-'特殊配信マスタ'!$A$1)/7),3)+1)),1),""""))"),"")</f>
        <v/>
      </c>
      <c r="AK130" s="593" t="str">
        <f>IFERROR(__xludf.DUMMYFUNCTION("IF(AG130="""","""",IFERROR(INDEX(FILTER('特殊配信マスタ'!$P$3:$P$16,('特殊配信マスタ'!$A$3:$A$16=CHOOSE(WEEKDAY(AG$1),""日"",""月"",""火"",""水"",""木"",""金"",""土""))*('特殊配信マスタ'!$B$3:$B$16=AE$3)*('特殊配信マスタ'!$R$3:$R$16=MOD(INT((AG$1-'特殊配信マスタ'!$A$1)/7),3)+1)),1),""""))"),"")</f>
        <v/>
      </c>
    </row>
    <row r="131" ht="17.25" customHeight="1">
      <c r="A131" s="587"/>
      <c r="B131" s="585" t="s">
        <v>1451</v>
      </c>
      <c r="C131" s="590" t="str">
        <f>IFERROR(__xludf.DUMMYFUNCTION("IFERROR(INDEX(FILTER('特殊配信マスタ'!$E$3:$E$16, (TEXT('特殊配信マスタ'!$A$3:$A$16,""ddd"")=TEXT(C$1,""ddd""))*(IFERROR(VALUE('特殊配信マスタ'!$B$3:$B$16),0)=VALUE(LOOKUP(2,1/($A$3:$A131&lt;&gt;""""),$A$3:$A131)))*('特殊配信マスタ'!$Q$3:$Q$16&lt;&gt;TRUE)), 1), """")"),"")</f>
        <v/>
      </c>
      <c r="D131" s="593" t="str">
        <f>IFERROR(__xludf.DUMMYFUNCTION("IF(C131="""","""",IFERROR(INDEX(FILTER('特殊配信マスタ'!$F$3:$F$16,('特殊配信マスタ'!$A$3:$A$16=CHOOSE(WEEKDAY(C$1),""日"",""月"",""火"",""水"",""木"",""金"",""土""))*('特殊配信マスタ'!$B$3:$B$16=A$3)*('特殊配信マスタ'!$R$3:$R$16=MOD(INT((C$1-'特殊配信マスタ'!$A$1)/7),3)+1)),1),""""))"),"")</f>
        <v/>
      </c>
      <c r="E131" s="590"/>
      <c r="F131" s="593" t="str">
        <f>IFERROR(__xludf.DUMMYFUNCTION("IF(C131="""","""",IFERROR(INDEX(FILTER('特殊配信マスタ'!$O$3:$O$16, '特殊配信マスタ'!$E$3:$E$16=C131),1),""""))"),"")</f>
        <v/>
      </c>
      <c r="G131" s="593" t="str">
        <f>IFERROR(__xludf.DUMMYFUNCTION("IF(C131="""","""",IFERROR(INDEX(FILTER('特殊配信マスタ'!$P$3:$P$16, '特殊配信マスタ'!$E$3:$E$16=C131),1),""""))"),"")</f>
        <v/>
      </c>
      <c r="H131" s="590" t="str">
        <f>IFERROR(__xludf.DUMMYFUNCTION("IFERROR(INDEX(FILTER('特殊配信マスタ'!$E$3:$E$16, (TEXT('特殊配信マスタ'!$A$3:$A$16,""ddd"")=TEXT(H$1,""ddd""))*(IFERROR(VALUE('特殊配信マスタ'!$B$3:$B$16),0)=VALUE(LOOKUP(2,1/($A$3:$A131&lt;&gt;""""),$A$3:$A131)))*('特殊配信マスタ'!$Q$3:$Q$16&lt;&gt;TRUE)), 1), """")"),"")</f>
        <v/>
      </c>
      <c r="I131" s="593" t="str">
        <f>IFERROR(__xludf.DUMMYFUNCTION("IF(H131="""","""",IFERROR(INDEX(FILTER('特殊配信マスタ'!$F$3:$F$16,('特殊配信マスタ'!$A$3:$A$16=CHOOSE(WEEKDAY(H$1),""日"",""月"",""火"",""水"",""木"",""金"",""土""))*('特殊配信マスタ'!$B$3:$B$16=F$3)*('特殊配信マスタ'!$R$3:$R$16=MOD(INT((H$1-'特殊配信マスタ'!$A$1)/7),3)+1)),1),""""))"),"")</f>
        <v/>
      </c>
      <c r="J131" s="590"/>
      <c r="K131" s="593" t="str">
        <f>IFERROR(__xludf.DUMMYFUNCTION("IF(H131="""","""",IFERROR(INDEX(FILTER('特殊配信マスタ'!$O$3:$O$16, '特殊配信マスタ'!$E$3:$E$16=H131),1),""""))"),"")</f>
        <v/>
      </c>
      <c r="L131" s="593" t="str">
        <f>IFERROR(__xludf.DUMMYFUNCTION("IF(H131="""","""",IFERROR(INDEX(FILTER('特殊配信マスタ'!$P$3:$P$16, '特殊配信マスタ'!$E$3:$E$16=H131),1),""""))"),"")</f>
        <v/>
      </c>
      <c r="M131" s="590" t="str">
        <f>IFERROR(__xludf.DUMMYFUNCTION("IFERROR(INDEX(FILTER('特殊配信マスタ'!$E$3:$E$16, (TEXT('特殊配信マスタ'!$A$3:$A$16,""ddd"")=TEXT(M$1,""ddd""))*(IFERROR(VALUE('特殊配信マスタ'!$B$3:$B$16),0)=VALUE(LOOKUP(2,1/($A$3:$A131&lt;&gt;""""),$A$3:$A131)))*('特殊配信マスタ'!$Q$3:$Q$16&lt;&gt;TRUE)), 1), """")"),"")</f>
        <v/>
      </c>
      <c r="N131" s="593" t="str">
        <f>IFERROR(__xludf.DUMMYFUNCTION("IF(M131="""","""",IFERROR(INDEX(FILTER('特殊配信マスタ'!$F$3:$F$16,('特殊配信マスタ'!$A$3:$A$16=CHOOSE(WEEKDAY(M$1),""日"",""月"",""火"",""水"",""木"",""金"",""土""))*('特殊配信マスタ'!$B$3:$B$16=K$3)*('特殊配信マスタ'!$R$3:$R$16=MOD(INT((M$1-'特殊配信マスタ'!$A$1)/7),3)+1)),1),""""))"),"")</f>
        <v/>
      </c>
      <c r="O131" s="590"/>
      <c r="P131" s="593" t="str">
        <f>IFERROR(__xludf.DUMMYFUNCTION("IF(M131="""","""",IFERROR(INDEX(FILTER('特殊配信マスタ'!$O$3:$O$16, '特殊配信マスタ'!$E$3:$E$16=M131),1),""""))"),"")</f>
        <v/>
      </c>
      <c r="Q131" s="593" t="str">
        <f>IFERROR(__xludf.DUMMYFUNCTION("IF(M131="""","""",IFERROR(INDEX(FILTER('特殊配信マスタ'!$P$3:$P$16, '特殊配信マスタ'!$E$3:$E$16=M131),1),""""))"),"")</f>
        <v/>
      </c>
      <c r="R131" s="590" t="str">
        <f>IFERROR(__xludf.DUMMYFUNCTION("IFERROR(INDEX(FILTER('特殊配信マスタ'!$E$3:$E$16, (TEXT('特殊配信マスタ'!$A$3:$A$16,""ddd"")=TEXT(R$1,""ddd""))*(IFERROR(VALUE('特殊配信マスタ'!$B$3:$B$16),0)=VALUE(LOOKUP(2,1/($A$3:$A131&lt;&gt;""""),$A$3:$A131)))*('特殊配信マスタ'!$Q$3:$Q$16&lt;&gt;TRUE)), 1), """")"),"")</f>
        <v/>
      </c>
      <c r="S131" s="593" t="str">
        <f>IFERROR(__xludf.DUMMYFUNCTION("IF(R131="""","""",IFERROR(INDEX(FILTER('特殊配信マスタ'!$F$3:$F$16,('特殊配信マスタ'!$A$3:$A$16=CHOOSE(WEEKDAY(R$1),""日"",""月"",""火"",""水"",""木"",""金"",""土""))*('特殊配信マスタ'!$B$3:$B$16=P$3)*('特殊配信マスタ'!$R$3:$R$16=MOD(INT((R$1-'特殊配信マスタ'!$A$1)/7),3)+1)),1),""""))"),"")</f>
        <v/>
      </c>
      <c r="T131" s="590"/>
      <c r="U131" s="593" t="str">
        <f>IFERROR(__xludf.DUMMYFUNCTION("IF(R131="""","""",IFERROR(INDEX(FILTER('特殊配信マスタ'!$O$3:$O$16, '特殊配信マスタ'!$E$3:$E$16=R131),1),""""))"),"")</f>
        <v/>
      </c>
      <c r="V131" s="593" t="str">
        <f>IFERROR(__xludf.DUMMYFUNCTION("IF(R131="""","""",IFERROR(INDEX(FILTER('特殊配信マスタ'!$P$3:$P$16, '特殊配信マスタ'!$E$3:$E$16=R131),1),""""))"),"")</f>
        <v/>
      </c>
      <c r="W131" s="590" t="str">
        <f>IFERROR(__xludf.DUMMYFUNCTION("IFERROR(INDEX(FILTER('特殊配信マスタ'!$E$3:$E$16, (TEXT('特殊配信マスタ'!$A$3:$A$16,""ddd"")=TEXT(W$1,""ddd""))*(IFERROR(VALUE('特殊配信マスタ'!$B$3:$B$16),0)=VALUE(LOOKUP(2,1/($A$3:$A131&lt;&gt;""""),$A$3:$A131)))*('特殊配信マスタ'!$Q$3:$Q$16&lt;&gt;TRUE)), 1), """")"),"")</f>
        <v/>
      </c>
      <c r="X131" s="593" t="str">
        <f>IFERROR(__xludf.DUMMYFUNCTION("IF(W131="""","""",IFERROR(INDEX(FILTER('特殊配信マスタ'!$F$3:$F$16,('特殊配信マスタ'!$A$3:$A$16=CHOOSE(WEEKDAY(W$1),""日"",""月"",""火"",""水"",""木"",""金"",""土""))*('特殊配信マスタ'!$B$3:$B$16=U$3)*('特殊配信マスタ'!$R$3:$R$16=MOD(INT((W$1-'特殊配信マスタ'!$A$1)/7),3)+1)),1),""""))"),"")</f>
        <v/>
      </c>
      <c r="Y131" s="590"/>
      <c r="Z131" s="593" t="str">
        <f>IFERROR(__xludf.DUMMYFUNCTION("IF(W131="""","""",IFERROR(INDEX(FILTER('特殊配信マスタ'!$O$3:$O$16, '特殊配信マスタ'!$E$3:$E$16=W131),1),""""))"),"")</f>
        <v/>
      </c>
      <c r="AA131" s="593" t="str">
        <f>IFERROR(__xludf.DUMMYFUNCTION("IF(W131="""","""",IFERROR(INDEX(FILTER('特殊配信マスタ'!$P$3:$P$16, '特殊配信マスタ'!$E$3:$E$16=W131),1),""""))"),"")</f>
        <v/>
      </c>
      <c r="AB131" s="590" t="str">
        <f>IFERROR(__xludf.DUMMYFUNCTION("IFERROR(INDEX(FILTER('特殊配信マスタ'!$E$3:$E$16, (TEXT('特殊配信マスタ'!$A$3:$A$16,""ddd"")=TEXT(AB$1,""ddd""))*(IFERROR(VALUE('特殊配信マスタ'!$B$3:$B$16),0)=VALUE(LOOKUP(2,1/($A$3:$A131&lt;&gt;""""),$A$3:$A131)))*('特殊配信マスタ'!$Q$3:$Q$16&lt;&gt;TRUE)), 1), """")"),"")</f>
        <v/>
      </c>
      <c r="AC131" s="593" t="str">
        <f>IFERROR(__xludf.DUMMYFUNCTION("IF(AB131="""","""",IFERROR(INDEX(FILTER('特殊配信マスタ'!$F$3:$F$16,('特殊配信マスタ'!$A$3:$A$16=CHOOSE(WEEKDAY(AB$1),""日"",""月"",""火"",""水"",""木"",""金"",""土""))*('特殊配信マスタ'!$B$3:$B$16=Z$3)*('特殊配信マスタ'!$R$3:$R$16=MOD(INT((AB$1-'特殊配信マスタ'!$A$1)/7),3)+1)),1),""""))"),"")</f>
        <v/>
      </c>
      <c r="AD131" s="590"/>
      <c r="AE131" s="593" t="str">
        <f>IFERROR(__xludf.DUMMYFUNCTION("IF(AB131="""","""",IFERROR(INDEX(FILTER('特殊配信マスタ'!$O$3:$O$16, '特殊配信マスタ'!$E$3:$E$16=AB131),1),""""))"),"")</f>
        <v/>
      </c>
      <c r="AF131" s="593" t="str">
        <f>IFERROR(__xludf.DUMMYFUNCTION("IF(AB131="""","""",IFERROR(INDEX(FILTER('特殊配信マスタ'!$P$3:$P$16, '特殊配信マスタ'!$E$3:$E$16=AB131),1),""""))"),"")</f>
        <v/>
      </c>
      <c r="AG131" s="590" t="str">
        <f>IFERROR(__xludf.DUMMYFUNCTION("IFERROR(INDEX(FILTER('特殊配信マスタ'!$E$3:$E$16, (TEXT('特殊配信マスタ'!$A$3:$A$16,""ddd"")=TEXT(AG$1,""ddd""))*(IFERROR(VALUE('特殊配信マスタ'!$B$3:$B$16),0)=VALUE(LOOKUP(2,1/($A$3:$A131&lt;&gt;""""),$A$3:$A131)))*('特殊配信マスタ'!$Q$3:$Q$16&lt;&gt;TRUE)), 1), """")"),"")</f>
        <v/>
      </c>
      <c r="AH131" s="593" t="str">
        <f>IFERROR(__xludf.DUMMYFUNCTION("IF(AG131="""","""",IFERROR(INDEX(FILTER('特殊配信マスタ'!$F$3:$F$16,('特殊配信マスタ'!$A$3:$A$16=CHOOSE(WEEKDAY(AG$1),""日"",""月"",""火"",""水"",""木"",""金"",""土""))*('特殊配信マスタ'!$B$3:$B$16=AE$3)*('特殊配信マスタ'!$R$3:$R$16=MOD(INT((AG$1-'特殊配信マスタ'!$A$1)/7),3)+1)),1),""""))"),"")</f>
        <v/>
      </c>
      <c r="AI131" s="590"/>
      <c r="AJ131" s="593" t="str">
        <f>IFERROR(__xludf.DUMMYFUNCTION("IF(AG131="""","""",IFERROR(INDEX(FILTER('特殊配信マスタ'!$O$3:$O$16, '特殊配信マスタ'!$E$3:$E$16=AG131),1),""""))"),"")</f>
        <v/>
      </c>
      <c r="AK131" s="593" t="str">
        <f>IFERROR(__xludf.DUMMYFUNCTION("IF(AG131="""","""",IFERROR(INDEX(FILTER('特殊配信マスタ'!$P$3:$P$16, '特殊配信マスタ'!$E$3:$E$16=AG131),1),""""))"),"")</f>
        <v/>
      </c>
    </row>
    <row r="132" ht="17.25" customHeight="1">
      <c r="A132" s="587"/>
      <c r="B132" s="588"/>
      <c r="C132" s="590" t="str">
        <f>IFERROR(__xludf.DUMMYFUNCTION("IFERROR(INDEX(FILTER('特殊配信マスタ'!$E$3:$E$16, (TEXT('特殊配信マスタ'!$A$3:$A$16,""ddd"")=TEXT(C$1,""ddd""))*(IFERROR(VALUE('特殊配信マスタ'!$B$3:$B$16),0)=VALUE(LOOKUP(2,1/($A$3:$A132&lt;&gt;""""),$A$3:$A132)))*('特殊配信マスタ'!$Q$3:$Q$16&lt;&gt;TRUE)), 2), """")"),"")</f>
        <v/>
      </c>
      <c r="D132" s="593" t="str">
        <f>IFERROR(__xludf.DUMMYFUNCTION("IF(C132="""","""",IFERROR(INDEX(FILTER('特殊配信マスタ'!$F$3:$F$16,('特殊配信マスタ'!$A$3:$A$16=CHOOSE(WEEKDAY(C$1),""日"",""月"",""火"",""水"",""木"",""金"",""土""))*('特殊配信マスタ'!$B$3:$B$16=A$3)*('特殊配信マスタ'!$R$3:$R$16=MOD(INT((C$1-'特殊配信マスタ'!$A$1)/7),3)+1)),1),""""))"),"")</f>
        <v/>
      </c>
      <c r="E132" s="590"/>
      <c r="F132" s="593" t="str">
        <f>IFERROR(__xludf.DUMMYFUNCTION("IF(C132="""","""",IFERROR(INDEX(FILTER('特殊配信マスタ'!$O$3:$O$16, '特殊配信マスタ'!$E$3:$E$16=C132),1),""""))"),"")</f>
        <v/>
      </c>
      <c r="G132" s="593" t="str">
        <f>IFERROR(__xludf.DUMMYFUNCTION("IF(C132="""","""",IFERROR(INDEX(FILTER('特殊配信マスタ'!$P$3:$P$16, '特殊配信マスタ'!$E$3:$E$16=C132),1),""""))"),"")</f>
        <v/>
      </c>
      <c r="H132" s="590" t="str">
        <f>IFERROR(__xludf.DUMMYFUNCTION("IFERROR(INDEX(FILTER('特殊配信マスタ'!$E$3:$E$16, (TEXT('特殊配信マスタ'!$A$3:$A$16,""ddd"")=TEXT(H$1,""ddd""))*(IFERROR(VALUE('特殊配信マスタ'!$B$3:$B$16),0)=VALUE(LOOKUP(2,1/($A$3:$A132&lt;&gt;""""),$A$3:$A132)))*('特殊配信マスタ'!$Q$3:$Q$16&lt;&gt;TRUE)), 2), """")"),"")</f>
        <v/>
      </c>
      <c r="I132" s="593" t="str">
        <f>IFERROR(__xludf.DUMMYFUNCTION("IF(H132="""","""",IFERROR(INDEX(FILTER('特殊配信マスタ'!$F$3:$F$16,('特殊配信マスタ'!$A$3:$A$16=CHOOSE(WEEKDAY(H$1),""日"",""月"",""火"",""水"",""木"",""金"",""土""))*('特殊配信マスタ'!$B$3:$B$16=F$3)*('特殊配信マスタ'!$R$3:$R$16=MOD(INT((H$1-'特殊配信マスタ'!$A$1)/7),3)+1)),1),""""))"),"")</f>
        <v/>
      </c>
      <c r="J132" s="590"/>
      <c r="K132" s="593" t="str">
        <f>IFERROR(__xludf.DUMMYFUNCTION("IF(H132="""","""",IFERROR(INDEX(FILTER('特殊配信マスタ'!$O$3:$O$16, '特殊配信マスタ'!$E$3:$E$16=H132),1),""""))"),"")</f>
        <v/>
      </c>
      <c r="L132" s="593" t="str">
        <f>IFERROR(__xludf.DUMMYFUNCTION("IF(H132="""","""",IFERROR(INDEX(FILTER('特殊配信マスタ'!$P$3:$P$16, '特殊配信マスタ'!$E$3:$E$16=H132),1),""""))"),"")</f>
        <v/>
      </c>
      <c r="M132" s="590" t="str">
        <f>IFERROR(__xludf.DUMMYFUNCTION("IFERROR(INDEX(FILTER('特殊配信マスタ'!$E$3:$E$16, (TEXT('特殊配信マスタ'!$A$3:$A$16,""ddd"")=TEXT(M$1,""ddd""))*(IFERROR(VALUE('特殊配信マスタ'!$B$3:$B$16),0)=VALUE(LOOKUP(2,1/($A$3:$A132&lt;&gt;""""),$A$3:$A132)))*('特殊配信マスタ'!$Q$3:$Q$16&lt;&gt;TRUE)), 2), """")"),"")</f>
        <v/>
      </c>
      <c r="N132" s="593" t="str">
        <f>IFERROR(__xludf.DUMMYFUNCTION("IF(M132="""","""",IFERROR(INDEX(FILTER('特殊配信マスタ'!$F$3:$F$16,('特殊配信マスタ'!$A$3:$A$16=CHOOSE(WEEKDAY(M$1),""日"",""月"",""火"",""水"",""木"",""金"",""土""))*('特殊配信マスタ'!$B$3:$B$16=K$3)*('特殊配信マスタ'!$R$3:$R$16=MOD(INT((M$1-'特殊配信マスタ'!$A$1)/7),3)+1)),1),""""))"),"")</f>
        <v/>
      </c>
      <c r="O132" s="590"/>
      <c r="P132" s="593" t="str">
        <f>IFERROR(__xludf.DUMMYFUNCTION("IF(M132="""","""",IFERROR(INDEX(FILTER('特殊配信マスタ'!$O$3:$O$16, '特殊配信マスタ'!$E$3:$E$16=M132),1),""""))"),"")</f>
        <v/>
      </c>
      <c r="Q132" s="593" t="str">
        <f>IFERROR(__xludf.DUMMYFUNCTION("IF(M132="""","""",IFERROR(INDEX(FILTER('特殊配信マスタ'!$P$3:$P$16, '特殊配信マスタ'!$E$3:$E$16=M132),1),""""))"),"")</f>
        <v/>
      </c>
      <c r="R132" s="590" t="str">
        <f>IFERROR(__xludf.DUMMYFUNCTION("IFERROR(INDEX(FILTER('特殊配信マスタ'!$E$3:$E$16, (TEXT('特殊配信マスタ'!$A$3:$A$16,""ddd"")=TEXT(R$1,""ddd""))*(IFERROR(VALUE('特殊配信マスタ'!$B$3:$B$16),0)=VALUE(LOOKUP(2,1/($A$3:$A132&lt;&gt;""""),$A$3:$A132)))*('特殊配信マスタ'!$Q$3:$Q$16&lt;&gt;TRUE)), 2), """")"),"")</f>
        <v/>
      </c>
      <c r="S132" s="593" t="str">
        <f>IFERROR(__xludf.DUMMYFUNCTION("IF(R132="""","""",IFERROR(INDEX(FILTER('特殊配信マスタ'!$F$3:$F$16,('特殊配信マスタ'!$A$3:$A$16=CHOOSE(WEEKDAY(R$1),""日"",""月"",""火"",""水"",""木"",""金"",""土""))*('特殊配信マスタ'!$B$3:$B$16=P$3)*('特殊配信マスタ'!$R$3:$R$16=MOD(INT((R$1-'特殊配信マスタ'!$A$1)/7),3)+1)),1),""""))"),"")</f>
        <v/>
      </c>
      <c r="T132" s="590"/>
      <c r="U132" s="593" t="str">
        <f>IFERROR(__xludf.DUMMYFUNCTION("IF(R132="""","""",IFERROR(INDEX(FILTER('特殊配信マスタ'!$O$3:$O$16, '特殊配信マスタ'!$E$3:$E$16=R132),1),""""))"),"")</f>
        <v/>
      </c>
      <c r="V132" s="593" t="str">
        <f>IFERROR(__xludf.DUMMYFUNCTION("IF(R132="""","""",IFERROR(INDEX(FILTER('特殊配信マスタ'!$P$3:$P$16, '特殊配信マスタ'!$E$3:$E$16=R132),1),""""))"),"")</f>
        <v/>
      </c>
      <c r="W132" s="590" t="str">
        <f>IFERROR(__xludf.DUMMYFUNCTION("IFERROR(INDEX(FILTER('特殊配信マスタ'!$E$3:$E$16, (TEXT('特殊配信マスタ'!$A$3:$A$16,""ddd"")=TEXT(W$1,""ddd""))*(IFERROR(VALUE('特殊配信マスタ'!$B$3:$B$16),0)=VALUE(LOOKUP(2,1/($A$3:$A132&lt;&gt;""""),$A$3:$A132)))*('特殊配信マスタ'!$Q$3:$Q$16&lt;&gt;TRUE)), 2), """")"),"")</f>
        <v/>
      </c>
      <c r="X132" s="593" t="str">
        <f>IFERROR(__xludf.DUMMYFUNCTION("IF(W132="""","""",IFERROR(INDEX(FILTER('特殊配信マスタ'!$F$3:$F$16,('特殊配信マスタ'!$A$3:$A$16=CHOOSE(WEEKDAY(W$1),""日"",""月"",""火"",""水"",""木"",""金"",""土""))*('特殊配信マスタ'!$B$3:$B$16=U$3)*('特殊配信マスタ'!$R$3:$R$16=MOD(INT((W$1-'特殊配信マスタ'!$A$1)/7),3)+1)),1),""""))"),"")</f>
        <v/>
      </c>
      <c r="Y132" s="590"/>
      <c r="Z132" s="593" t="str">
        <f>IFERROR(__xludf.DUMMYFUNCTION("IF(W132="""","""",IFERROR(INDEX(FILTER('特殊配信マスタ'!$O$3:$O$16, '特殊配信マスタ'!$E$3:$E$16=W132),1),""""))"),"")</f>
        <v/>
      </c>
      <c r="AA132" s="593" t="str">
        <f>IFERROR(__xludf.DUMMYFUNCTION("IF(W132="""","""",IFERROR(INDEX(FILTER('特殊配信マスタ'!$P$3:$P$16, '特殊配信マスタ'!$E$3:$E$16=W132),1),""""))"),"")</f>
        <v/>
      </c>
      <c r="AB132" s="590" t="str">
        <f>IFERROR(__xludf.DUMMYFUNCTION("IFERROR(INDEX(FILTER('特殊配信マスタ'!$E$3:$E$16, (TEXT('特殊配信マスタ'!$A$3:$A$16,""ddd"")=TEXT(AB$1,""ddd""))*(IFERROR(VALUE('特殊配信マスタ'!$B$3:$B$16),0)=VALUE(LOOKUP(2,1/($A$3:$A132&lt;&gt;""""),$A$3:$A132)))*('特殊配信マスタ'!$Q$3:$Q$16&lt;&gt;TRUE)), 2), """")"),"")</f>
        <v/>
      </c>
      <c r="AC132" s="593" t="str">
        <f>IFERROR(__xludf.DUMMYFUNCTION("IF(AB132="""","""",IFERROR(INDEX(FILTER('特殊配信マスタ'!$F$3:$F$16,('特殊配信マスタ'!$A$3:$A$16=CHOOSE(WEEKDAY(AB$1),""日"",""月"",""火"",""水"",""木"",""金"",""土""))*('特殊配信マスタ'!$B$3:$B$16=Z$3)*('特殊配信マスタ'!$R$3:$R$16=MOD(INT((AB$1-'特殊配信マスタ'!$A$1)/7),3)+1)),1),""""))"),"")</f>
        <v/>
      </c>
      <c r="AD132" s="590"/>
      <c r="AE132" s="593" t="str">
        <f>IFERROR(__xludf.DUMMYFUNCTION("IF(AB132="""","""",IFERROR(INDEX(FILTER('特殊配信マスタ'!$O$3:$O$16, '特殊配信マスタ'!$E$3:$E$16=AB132),1),""""))"),"")</f>
        <v/>
      </c>
      <c r="AF132" s="593" t="str">
        <f>IFERROR(__xludf.DUMMYFUNCTION("IF(AB132="""","""",IFERROR(INDEX(FILTER('特殊配信マスタ'!$P$3:$P$16, '特殊配信マスタ'!$E$3:$E$16=AB132),1),""""))"),"")</f>
        <v/>
      </c>
      <c r="AG132" s="590" t="str">
        <f>IFERROR(__xludf.DUMMYFUNCTION("IFERROR(INDEX(FILTER('特殊配信マスタ'!$E$3:$E$16, (TEXT('特殊配信マスタ'!$A$3:$A$16,""ddd"")=TEXT(AG$1,""ddd""))*(IFERROR(VALUE('特殊配信マスタ'!$B$3:$B$16),0)=VALUE(LOOKUP(2,1/($A$3:$A132&lt;&gt;""""),$A$3:$A132)))*('特殊配信マスタ'!$Q$3:$Q$16&lt;&gt;TRUE)), 2), """")"),"")</f>
        <v/>
      </c>
      <c r="AH132" s="593" t="str">
        <f>IFERROR(__xludf.DUMMYFUNCTION("IF(AG132="""","""",IFERROR(INDEX(FILTER('特殊配信マスタ'!$F$3:$F$16,('特殊配信マスタ'!$A$3:$A$16=CHOOSE(WEEKDAY(AG$1),""日"",""月"",""火"",""水"",""木"",""金"",""土""))*('特殊配信マスタ'!$B$3:$B$16=AE$3)*('特殊配信マスタ'!$R$3:$R$16=MOD(INT((AG$1-'特殊配信マスタ'!$A$1)/7),3)+1)),1),""""))"),"")</f>
        <v/>
      </c>
      <c r="AI132" s="590"/>
      <c r="AJ132" s="593" t="str">
        <f>IFERROR(__xludf.DUMMYFUNCTION("IF(AG132="""","""",IFERROR(INDEX(FILTER('特殊配信マスタ'!$O$3:$O$16, '特殊配信マスタ'!$E$3:$E$16=AG132),1),""""))"),"")</f>
        <v/>
      </c>
      <c r="AK132" s="593" t="str">
        <f>IFERROR(__xludf.DUMMYFUNCTION("IF(AG132="""","""",IFERROR(INDEX(FILTER('特殊配信マスタ'!$P$3:$P$16, '特殊配信マスタ'!$E$3:$E$16=AG132),1),""""))"),"")</f>
        <v/>
      </c>
    </row>
    <row r="133" ht="17.25" customHeight="1">
      <c r="A133" s="587"/>
      <c r="B133" s="588"/>
      <c r="C133" s="590" t="str">
        <f>IFERROR(__xludf.DUMMYFUNCTION("IFERROR(INDEX(FILTER('特殊配信マスタ'!$E$3:$E$16, (TEXT('特殊配信マスタ'!$A$3:$A$16,""ddd"")=TEXT(C$1,""ddd""))*(IFERROR(VALUE('特殊配信マスタ'!$B$3:$B$16),0)=VALUE(LOOKUP(2,1/($A$3:$A133&lt;&gt;""""),$A$3:$A133)))*('特殊配信マスタ'!$Q$3:$Q$16&lt;&gt;TRUE)), 3), """")"),"")</f>
        <v/>
      </c>
      <c r="D133" s="593"/>
      <c r="E133" s="590"/>
      <c r="F133" s="593" t="str">
        <f>IFERROR(__xludf.DUMMYFUNCTION("IF(C133="""","""",IFERROR(INDEX(FILTER('特殊配信マスタ'!$O$3:$O$16, '特殊配信マスタ'!$E$3:$E$16=C133),1),""""))"),"")</f>
        <v/>
      </c>
      <c r="G133" s="593" t="str">
        <f>IFERROR(__xludf.DUMMYFUNCTION("IF(C133="""","""",IFERROR(INDEX(FILTER('特殊配信マスタ'!$P$3:$P$16, '特殊配信マスタ'!$E$3:$E$16=C133),1),""""))"),"")</f>
        <v/>
      </c>
      <c r="H133" s="590" t="str">
        <f>IFERROR(__xludf.DUMMYFUNCTION("IFERROR(INDEX(FILTER('特殊配信マスタ'!$E$3:$E$16, (TEXT('特殊配信マスタ'!$A$3:$A$16,""ddd"")=TEXT(H$1,""ddd""))*(IFERROR(VALUE('特殊配信マスタ'!$B$3:$B$16),0)=VALUE(LOOKUP(2,1/($A$3:$A133&lt;&gt;""""),$A$3:$A133)))*('特殊配信マスタ'!$Q$3:$Q$16&lt;&gt;TRUE)), 3), """")"),"")</f>
        <v/>
      </c>
      <c r="I133" s="593"/>
      <c r="J133" s="590"/>
      <c r="K133" s="593" t="str">
        <f>IFERROR(__xludf.DUMMYFUNCTION("IF(H133="""","""",IFERROR(INDEX(FILTER('特殊配信マスタ'!$O$3:$O$16, '特殊配信マスタ'!$E$3:$E$16=H133),1),""""))"),"")</f>
        <v/>
      </c>
      <c r="L133" s="593" t="str">
        <f>IFERROR(__xludf.DUMMYFUNCTION("IF(H133="""","""",IFERROR(INDEX(FILTER('特殊配信マスタ'!$P$3:$P$16, '特殊配信マスタ'!$E$3:$E$16=H133),1),""""))"),"")</f>
        <v/>
      </c>
      <c r="M133" s="590" t="str">
        <f>IFERROR(__xludf.DUMMYFUNCTION("IFERROR(INDEX(FILTER('特殊配信マスタ'!$E$3:$E$16, (TEXT('特殊配信マスタ'!$A$3:$A$16,""ddd"")=TEXT(M$1,""ddd""))*(IFERROR(VALUE('特殊配信マスタ'!$B$3:$B$16),0)=VALUE(LOOKUP(2,1/($A$3:$A133&lt;&gt;""""),$A$3:$A133)))*('特殊配信マスタ'!$Q$3:$Q$16&lt;&gt;TRUE)), 3), """")"),"")</f>
        <v/>
      </c>
      <c r="N133" s="593"/>
      <c r="O133" s="590"/>
      <c r="P133" s="593" t="str">
        <f>IFERROR(__xludf.DUMMYFUNCTION("IF(M133="""","""",IFERROR(INDEX(FILTER('特殊配信マスタ'!$O$3:$O$16, '特殊配信マスタ'!$E$3:$E$16=M133),1),""""))"),"")</f>
        <v/>
      </c>
      <c r="Q133" s="593" t="str">
        <f>IFERROR(__xludf.DUMMYFUNCTION("IF(M133="""","""",IFERROR(INDEX(FILTER('特殊配信マスタ'!$P$3:$P$16, '特殊配信マスタ'!$E$3:$E$16=M133),1),""""))"),"")</f>
        <v/>
      </c>
      <c r="R133" s="590" t="str">
        <f>IFERROR(__xludf.DUMMYFUNCTION("IFERROR(INDEX(FILTER('特殊配信マスタ'!$E$3:$E$16, (TEXT('特殊配信マスタ'!$A$3:$A$16,""ddd"")=TEXT(R$1,""ddd""))*(IFERROR(VALUE('特殊配信マスタ'!$B$3:$B$16),0)=VALUE(LOOKUP(2,1/($A$3:$A133&lt;&gt;""""),$A$3:$A133)))*('特殊配信マスタ'!$Q$3:$Q$16&lt;&gt;TRUE)), 3), """")"),"")</f>
        <v/>
      </c>
      <c r="S133" s="593"/>
      <c r="T133" s="590"/>
      <c r="U133" s="593" t="str">
        <f>IFERROR(__xludf.DUMMYFUNCTION("IF(R133="""","""",IFERROR(INDEX(FILTER('特殊配信マスタ'!$O$3:$O$16, '特殊配信マスタ'!$E$3:$E$16=R133),1),""""))"),"")</f>
        <v/>
      </c>
      <c r="V133" s="593" t="str">
        <f>IFERROR(__xludf.DUMMYFUNCTION("IF(R133="""","""",IFERROR(INDEX(FILTER('特殊配信マスタ'!$P$3:$P$16, '特殊配信マスタ'!$E$3:$E$16=R133),1),""""))"),"")</f>
        <v/>
      </c>
      <c r="W133" s="590" t="str">
        <f>IFERROR(__xludf.DUMMYFUNCTION("IFERROR(INDEX(FILTER('特殊配信マスタ'!$E$3:$E$16, (TEXT('特殊配信マスタ'!$A$3:$A$16,""ddd"")=TEXT(W$1,""ddd""))*(IFERROR(VALUE('特殊配信マスタ'!$B$3:$B$16),0)=VALUE(LOOKUP(2,1/($A$3:$A133&lt;&gt;""""),$A$3:$A133)))*('特殊配信マスタ'!$Q$3:$Q$16&lt;&gt;TRUE)), 3), """")"),"")</f>
        <v/>
      </c>
      <c r="X133" s="593"/>
      <c r="Y133" s="590"/>
      <c r="Z133" s="593" t="str">
        <f>IFERROR(__xludf.DUMMYFUNCTION("IF(W133="""","""",IFERROR(INDEX(FILTER('特殊配信マスタ'!$O$3:$O$16, '特殊配信マスタ'!$E$3:$E$16=W133),1),""""))"),"")</f>
        <v/>
      </c>
      <c r="AA133" s="593" t="str">
        <f>IFERROR(__xludf.DUMMYFUNCTION("IF(W133="""","""",IFERROR(INDEX(FILTER('特殊配信マスタ'!$P$3:$P$16, '特殊配信マスタ'!$E$3:$E$16=W133),1),""""))"),"")</f>
        <v/>
      </c>
      <c r="AB133" s="590" t="str">
        <f>IFERROR(__xludf.DUMMYFUNCTION("IFERROR(INDEX(FILTER('特殊配信マスタ'!$E$3:$E$16, (TEXT('特殊配信マスタ'!$A$3:$A$16,""ddd"")=TEXT(AB$1,""ddd""))*(IFERROR(VALUE('特殊配信マスタ'!$B$3:$B$16),0)=VALUE(LOOKUP(2,1/($A$3:$A133&lt;&gt;""""),$A$3:$A133)))*('特殊配信マスタ'!$Q$3:$Q$16&lt;&gt;TRUE)), 3), """")"),"")</f>
        <v/>
      </c>
      <c r="AC133" s="593"/>
      <c r="AD133" s="590"/>
      <c r="AE133" s="593" t="str">
        <f>IFERROR(__xludf.DUMMYFUNCTION("IF(AB133="""","""",IFERROR(INDEX(FILTER('特殊配信マスタ'!$O$3:$O$16, '特殊配信マスタ'!$E$3:$E$16=AB133),1),""""))"),"")</f>
        <v/>
      </c>
      <c r="AF133" s="593" t="str">
        <f>IFERROR(__xludf.DUMMYFUNCTION("IF(AB133="""","""",IFERROR(INDEX(FILTER('特殊配信マスタ'!$P$3:$P$16, '特殊配信マスタ'!$E$3:$E$16=AB133),1),""""))"),"")</f>
        <v/>
      </c>
      <c r="AG133" s="590" t="str">
        <f>IFERROR(__xludf.DUMMYFUNCTION("IFERROR(INDEX(FILTER('特殊配信マスタ'!$E$3:$E$16, (TEXT('特殊配信マスタ'!$A$3:$A$16,""ddd"")=TEXT(AG$1,""ddd""))*(IFERROR(VALUE('特殊配信マスタ'!$B$3:$B$16),0)=VALUE(LOOKUP(2,1/($A$3:$A133&lt;&gt;""""),$A$3:$A133)))*('特殊配信マスタ'!$Q$3:$Q$16&lt;&gt;TRUE)), 3), """")"),"")</f>
        <v/>
      </c>
      <c r="AH133" s="593"/>
      <c r="AI133" s="590"/>
      <c r="AJ133" s="593" t="str">
        <f>IFERROR(__xludf.DUMMYFUNCTION("IF(AG133="""","""",IFERROR(INDEX(FILTER('特殊配信マスタ'!$O$3:$O$16, '特殊配信マスタ'!$E$3:$E$16=AG133),1),""""))"),"")</f>
        <v/>
      </c>
      <c r="AK133" s="593" t="str">
        <f>IFERROR(__xludf.DUMMYFUNCTION("IF(AG133="""","""",IFERROR(INDEX(FILTER('特殊配信マスタ'!$P$3:$P$16, '特殊配信マスタ'!$E$3:$E$16=AG133),1),""""))"),"")</f>
        <v/>
      </c>
    </row>
    <row r="134" ht="17.25" customHeight="1">
      <c r="A134" s="587"/>
      <c r="B134" s="588"/>
      <c r="C134" s="590" t="str">
        <f>IFERROR(__xludf.DUMMYFUNCTION("IFERROR(INDEX(FILTER('特殊配信マスタ'!$E$3:$E$16, (TEXT('特殊配信マスタ'!$A$3:$A$16,""ddd"")=TEXT(C$1,""ddd""))*(IFERROR(VALUE('特殊配信マスタ'!$B$3:$B$16),0)=VALUE(LOOKUP(2,1/($A$3:$A134&lt;&gt;""""),$A$3:$A134)))*('特殊配信マスタ'!$Q$3:$Q$16&lt;&gt;TRUE)), 4), """")"),"")</f>
        <v/>
      </c>
      <c r="D134" s="593" t="str">
        <f>IFERROR(__xludf.DUMMYFUNCTION("IF(C134="""","""",IFERROR(INDEX(FILTER('特殊配信マスタ'!$F$3:$F$16,('特殊配信マスタ'!$A$3:$A$16=CHOOSE(WEEKDAY(C$1),""日"",""月"",""火"",""水"",""木"",""金"",""土""))*('特殊配信マスタ'!$B$3:$B$16=A$3)*('特殊配信マスタ'!$R$3:$R$16=MOD(INT((C$1-'特殊配信マスタ'!$A$1)/7),3)+1)),1),""""))"),"")</f>
        <v/>
      </c>
      <c r="E134" s="590"/>
      <c r="F134" s="593" t="str">
        <f>IFERROR(__xludf.DUMMYFUNCTION("IF(C134="""","""",IFERROR(INDEX(FILTER('特殊配信マスタ'!$O$3:$O$16, '特殊配信マスタ'!$E$3:$E$16=C134),1),""""))"),"")</f>
        <v/>
      </c>
      <c r="G134" s="593" t="str">
        <f>IFERROR(__xludf.DUMMYFUNCTION("IF(C134="""","""",IFERROR(INDEX(FILTER('特殊配信マスタ'!$P$3:$P$16, '特殊配信マスタ'!$E$3:$E$16=C134),1),""""))"),"")</f>
        <v/>
      </c>
      <c r="H134" s="590" t="str">
        <f>IFERROR(__xludf.DUMMYFUNCTION("IFERROR(INDEX(FILTER('特殊配信マスタ'!$E$3:$E$16, (TEXT('特殊配信マスタ'!$A$3:$A$16,""ddd"")=TEXT(H$1,""ddd""))*(IFERROR(VALUE('特殊配信マスタ'!$B$3:$B$16),0)=VALUE(LOOKUP(2,1/($A$3:$A134&lt;&gt;""""),$A$3:$A134)))*('特殊配信マスタ'!$Q$3:$Q$16&lt;&gt;TRUE)), 4), """")"),"")</f>
        <v/>
      </c>
      <c r="I134" s="593" t="str">
        <f>IFERROR(__xludf.DUMMYFUNCTION("IF(H134="""","""",IFERROR(INDEX(FILTER('特殊配信マスタ'!$F$3:$F$16,('特殊配信マスタ'!$A$3:$A$16=CHOOSE(WEEKDAY(H$1),""日"",""月"",""火"",""水"",""木"",""金"",""土""))*('特殊配信マスタ'!$B$3:$B$16=F$3)*('特殊配信マスタ'!$R$3:$R$16=MOD(INT((H$1-'特殊配信マスタ'!$A$1)/7),3)+1)),1),""""))"),"")</f>
        <v/>
      </c>
      <c r="J134" s="590"/>
      <c r="K134" s="593" t="str">
        <f>IFERROR(__xludf.DUMMYFUNCTION("IF(H134="""","""",IFERROR(INDEX(FILTER('特殊配信マスタ'!$O$3:$O$16, '特殊配信マスタ'!$E$3:$E$16=H134),1),""""))"),"")</f>
        <v/>
      </c>
      <c r="L134" s="593" t="str">
        <f>IFERROR(__xludf.DUMMYFUNCTION("IF(H134="""","""",IFERROR(INDEX(FILTER('特殊配信マスタ'!$P$3:$P$16, '特殊配信マスタ'!$E$3:$E$16=H134),1),""""))"),"")</f>
        <v/>
      </c>
      <c r="M134" s="590" t="str">
        <f>IFERROR(__xludf.DUMMYFUNCTION("IFERROR(INDEX(FILTER('特殊配信マスタ'!$E$3:$E$16, (TEXT('特殊配信マスタ'!$A$3:$A$16,""ddd"")=TEXT(M$1,""ddd""))*(IFERROR(VALUE('特殊配信マスタ'!$B$3:$B$16),0)=VALUE(LOOKUP(2,1/($A$3:$A134&lt;&gt;""""),$A$3:$A134)))*('特殊配信マスタ'!$Q$3:$Q$16&lt;&gt;TRUE)), 4), """")"),"")</f>
        <v/>
      </c>
      <c r="N134" s="593" t="str">
        <f>IFERROR(__xludf.DUMMYFUNCTION("IF(M134="""","""",IFERROR(INDEX(FILTER('特殊配信マスタ'!$F$3:$F$16,('特殊配信マスタ'!$A$3:$A$16=CHOOSE(WEEKDAY(M$1),""日"",""月"",""火"",""水"",""木"",""金"",""土""))*('特殊配信マスタ'!$B$3:$B$16=K$3)*('特殊配信マスタ'!$R$3:$R$16=MOD(INT((M$1-'特殊配信マスタ'!$A$1)/7),3)+1)),1),""""))"),"")</f>
        <v/>
      </c>
      <c r="O134" s="590"/>
      <c r="P134" s="593" t="str">
        <f>IFERROR(__xludf.DUMMYFUNCTION("IF(M134="""","""",IFERROR(INDEX(FILTER('特殊配信マスタ'!$O$3:$O$16, '特殊配信マスタ'!$E$3:$E$16=M134),1),""""))"),"")</f>
        <v/>
      </c>
      <c r="Q134" s="593" t="str">
        <f>IFERROR(__xludf.DUMMYFUNCTION("IF(M134="""","""",IFERROR(INDEX(FILTER('特殊配信マスタ'!$P$3:$P$16, '特殊配信マスタ'!$E$3:$E$16=M134),1),""""))"),"")</f>
        <v/>
      </c>
      <c r="R134" s="590" t="str">
        <f>IFERROR(__xludf.DUMMYFUNCTION("IFERROR(INDEX(FILTER('特殊配信マスタ'!$E$3:$E$16, (TEXT('特殊配信マスタ'!$A$3:$A$16,""ddd"")=TEXT(R$1,""ddd""))*(IFERROR(VALUE('特殊配信マスタ'!$B$3:$B$16),0)=VALUE(LOOKUP(2,1/($A$3:$A134&lt;&gt;""""),$A$3:$A134)))*('特殊配信マスタ'!$Q$3:$Q$16&lt;&gt;TRUE)), 4), """")"),"")</f>
        <v/>
      </c>
      <c r="S134" s="593" t="str">
        <f>IFERROR(__xludf.DUMMYFUNCTION("IF(R134="""","""",IFERROR(INDEX(FILTER('特殊配信マスタ'!$F$3:$F$16,('特殊配信マスタ'!$A$3:$A$16=CHOOSE(WEEKDAY(R$1),""日"",""月"",""火"",""水"",""木"",""金"",""土""))*('特殊配信マスタ'!$B$3:$B$16=P$3)*('特殊配信マスタ'!$R$3:$R$16=MOD(INT((R$1-'特殊配信マスタ'!$A$1)/7),3)+1)),1),""""))"),"")</f>
        <v/>
      </c>
      <c r="T134" s="590"/>
      <c r="U134" s="593" t="str">
        <f>IFERROR(__xludf.DUMMYFUNCTION("IF(R134="""","""",IFERROR(INDEX(FILTER('特殊配信マスタ'!$O$3:$O$16, '特殊配信マスタ'!$E$3:$E$16=R134),1),""""))"),"")</f>
        <v/>
      </c>
      <c r="V134" s="593" t="str">
        <f>IFERROR(__xludf.DUMMYFUNCTION("IF(R134="""","""",IFERROR(INDEX(FILTER('特殊配信マスタ'!$P$3:$P$16, '特殊配信マスタ'!$E$3:$E$16=R134),1),""""))"),"")</f>
        <v/>
      </c>
      <c r="W134" s="590" t="str">
        <f>IFERROR(__xludf.DUMMYFUNCTION("IFERROR(INDEX(FILTER('特殊配信マスタ'!$E$3:$E$16, (TEXT('特殊配信マスタ'!$A$3:$A$16,""ddd"")=TEXT(W$1,""ddd""))*(IFERROR(VALUE('特殊配信マスタ'!$B$3:$B$16),0)=VALUE(LOOKUP(2,1/($A$3:$A134&lt;&gt;""""),$A$3:$A134)))*('特殊配信マスタ'!$Q$3:$Q$16&lt;&gt;TRUE)), 4), """")"),"")</f>
        <v/>
      </c>
      <c r="X134" s="593" t="str">
        <f>IFERROR(__xludf.DUMMYFUNCTION("IF(W134="""","""",IFERROR(INDEX(FILTER('特殊配信マスタ'!$F$3:$F$16,('特殊配信マスタ'!$A$3:$A$16=CHOOSE(WEEKDAY(W$1),""日"",""月"",""火"",""水"",""木"",""金"",""土""))*('特殊配信マスタ'!$B$3:$B$16=U$3)*('特殊配信マスタ'!$R$3:$R$16=MOD(INT((W$1-'特殊配信マスタ'!$A$1)/7),3)+1)),1),""""))"),"")</f>
        <v/>
      </c>
      <c r="Y134" s="590"/>
      <c r="Z134" s="593" t="str">
        <f>IFERROR(__xludf.DUMMYFUNCTION("IF(W134="""","""",IFERROR(INDEX(FILTER('特殊配信マスタ'!$O$3:$O$16, '特殊配信マスタ'!$E$3:$E$16=W134),1),""""))"),"")</f>
        <v/>
      </c>
      <c r="AA134" s="593" t="str">
        <f>IFERROR(__xludf.DUMMYFUNCTION("IF(W134="""","""",IFERROR(INDEX(FILTER('特殊配信マスタ'!$P$3:$P$16, '特殊配信マスタ'!$E$3:$E$16=W134),1),""""))"),"")</f>
        <v/>
      </c>
      <c r="AB134" s="590" t="str">
        <f>IFERROR(__xludf.DUMMYFUNCTION("IFERROR(INDEX(FILTER('特殊配信マスタ'!$E$3:$E$16, (TEXT('特殊配信マスタ'!$A$3:$A$16,""ddd"")=TEXT(AB$1,""ddd""))*(IFERROR(VALUE('特殊配信マスタ'!$B$3:$B$16),0)=VALUE(LOOKUP(2,1/($A$3:$A134&lt;&gt;""""),$A$3:$A134)))*('特殊配信マスタ'!$Q$3:$Q$16&lt;&gt;TRUE)), 4), """")"),"")</f>
        <v/>
      </c>
      <c r="AC134" s="593" t="str">
        <f>IFERROR(__xludf.DUMMYFUNCTION("IF(AB134="""","""",IFERROR(INDEX(FILTER('特殊配信マスタ'!$F$3:$F$16,('特殊配信マスタ'!$A$3:$A$16=CHOOSE(WEEKDAY(AB$1),""日"",""月"",""火"",""水"",""木"",""金"",""土""))*('特殊配信マスタ'!$B$3:$B$16=Z$3)*('特殊配信マスタ'!$R$3:$R$16=MOD(INT((AB$1-'特殊配信マスタ'!$A$1)/7),3)+1)),1),""""))"),"")</f>
        <v/>
      </c>
      <c r="AD134" s="590"/>
      <c r="AE134" s="593" t="str">
        <f>IFERROR(__xludf.DUMMYFUNCTION("IF(AB134="""","""",IFERROR(INDEX(FILTER('特殊配信マスタ'!$O$3:$O$16, '特殊配信マスタ'!$E$3:$E$16=AB134),1),""""))"),"")</f>
        <v/>
      </c>
      <c r="AF134" s="593" t="str">
        <f>IFERROR(__xludf.DUMMYFUNCTION("IF(AB134="""","""",IFERROR(INDEX(FILTER('特殊配信マスタ'!$P$3:$P$16, '特殊配信マスタ'!$E$3:$E$16=AB134),1),""""))"),"")</f>
        <v/>
      </c>
      <c r="AG134" s="590" t="str">
        <f>IFERROR(__xludf.DUMMYFUNCTION("IFERROR(INDEX(FILTER('特殊配信マスタ'!$E$3:$E$16, (TEXT('特殊配信マスタ'!$A$3:$A$16,""ddd"")=TEXT(AG$1,""ddd""))*(IFERROR(VALUE('特殊配信マスタ'!$B$3:$B$16),0)=VALUE(LOOKUP(2,1/($A$3:$A134&lt;&gt;""""),$A$3:$A134)))*('特殊配信マスタ'!$Q$3:$Q$16&lt;&gt;TRUE)), 4), """")"),"")</f>
        <v/>
      </c>
      <c r="AH134" s="593" t="str">
        <f>IFERROR(__xludf.DUMMYFUNCTION("IF(AG134="""","""",IFERROR(INDEX(FILTER('特殊配信マスタ'!$F$3:$F$16,('特殊配信マスタ'!$A$3:$A$16=CHOOSE(WEEKDAY(AG$1),""日"",""月"",""火"",""水"",""木"",""金"",""土""))*('特殊配信マスタ'!$B$3:$B$16=AE$3)*('特殊配信マスタ'!$R$3:$R$16=MOD(INT((AG$1-'特殊配信マスタ'!$A$1)/7),3)+1)),1),""""))"),"")</f>
        <v/>
      </c>
      <c r="AI134" s="590"/>
      <c r="AJ134" s="593" t="str">
        <f>IFERROR(__xludf.DUMMYFUNCTION("IF(AG134="""","""",IFERROR(INDEX(FILTER('特殊配信マスタ'!$O$3:$O$16, '特殊配信マスタ'!$E$3:$E$16=AG134),1),""""))"),"")</f>
        <v/>
      </c>
      <c r="AK134" s="593" t="str">
        <f>IFERROR(__xludf.DUMMYFUNCTION("IF(AG134="""","""",IFERROR(INDEX(FILTER('特殊配信マスタ'!$P$3:$P$16, '特殊配信マスタ'!$E$3:$E$16=AG134),1),""""))"),"")</f>
        <v/>
      </c>
    </row>
    <row r="135" ht="17.25" customHeight="1">
      <c r="A135" s="599"/>
      <c r="B135" s="592"/>
      <c r="C135" s="590" t="str">
        <f>IFERROR(__xludf.DUMMYFUNCTION("IFERROR(INDEX(FILTER('特殊配信マスタ'!$E$3:$E$16, (TEXT('特殊配信マスタ'!$A$3:$A$16,""ddd"")=TEXT(C$1,""ddd""))*(IFERROR(VALUE('特殊配信マスタ'!$B$3:$B$16),0)=VALUE(LOOKUP(2,1/($A$3:$A135&lt;&gt;""""),$A$3:$A135)))*('特殊配信マスタ'!$Q$3:$Q$16&lt;&gt;TRUE)), 5), """")"),"")</f>
        <v/>
      </c>
      <c r="D135" s="593" t="str">
        <f>IFERROR(__xludf.DUMMYFUNCTION("IF(C135="""","""",IFERROR(INDEX(FILTER('特殊配信マスタ'!$F$3:$F$16,('特殊配信マスタ'!$A$3:$A$16=CHOOSE(WEEKDAY(C$1),""日"",""月"",""火"",""水"",""木"",""金"",""土""))*('特殊配信マスタ'!$B$3:$B$16=A$3)*('特殊配信マスタ'!$R$3:$R$16=MOD(INT((C$1-'特殊配信マスタ'!$A$1)/7),3)+1)),1),""""))"),"")</f>
        <v/>
      </c>
      <c r="E135" s="590"/>
      <c r="F135" s="593" t="str">
        <f>IFERROR(__xludf.DUMMYFUNCTION("IF(C135="""","""",IFERROR(INDEX(FILTER('特殊配信マスタ'!$O$3:$O$16, '特殊配信マスタ'!$E$3:$E$16=C135),1),""""))"),"")</f>
        <v/>
      </c>
      <c r="G135" s="593" t="str">
        <f>IFERROR(__xludf.DUMMYFUNCTION("IF(C135="""","""",IFERROR(INDEX(FILTER('特殊配信マスタ'!$P$3:$P$16, '特殊配信マスタ'!$E$3:$E$16=C135),1),""""))"),"")</f>
        <v/>
      </c>
      <c r="H135" s="590" t="str">
        <f>IFERROR(__xludf.DUMMYFUNCTION("IFERROR(INDEX(FILTER('特殊配信マスタ'!$E$3:$E$16, (TEXT('特殊配信マスタ'!$A$3:$A$16,""ddd"")=TEXT(H$1,""ddd""))*(IFERROR(VALUE('特殊配信マスタ'!$B$3:$B$16),0)=VALUE(LOOKUP(2,1/($A$3:$A135&lt;&gt;""""),$A$3:$A135)))*('特殊配信マスタ'!$Q$3:$Q$16&lt;&gt;TRUE)), 5), """")"),"")</f>
        <v/>
      </c>
      <c r="I135" s="593" t="str">
        <f>IFERROR(__xludf.DUMMYFUNCTION("IF(H135="""","""",IFERROR(INDEX(FILTER('特殊配信マスタ'!$F$3:$F$16,('特殊配信マスタ'!$A$3:$A$16=CHOOSE(WEEKDAY(H$1),""日"",""月"",""火"",""水"",""木"",""金"",""土""))*('特殊配信マスタ'!$B$3:$B$16=F$3)*('特殊配信マスタ'!$R$3:$R$16=MOD(INT((H$1-'特殊配信マスタ'!$A$1)/7),3)+1)),1),""""))"),"")</f>
        <v/>
      </c>
      <c r="J135" s="590"/>
      <c r="K135" s="593" t="str">
        <f>IFERROR(__xludf.DUMMYFUNCTION("IF(H135="""","""",IFERROR(INDEX(FILTER('特殊配信マスタ'!$O$3:$O$16, '特殊配信マスタ'!$E$3:$E$16=H135),1),""""))"),"")</f>
        <v/>
      </c>
      <c r="L135" s="593" t="str">
        <f>IFERROR(__xludf.DUMMYFUNCTION("IF(H135="""","""",IFERROR(INDEX(FILTER('特殊配信マスタ'!$P$3:$P$16, '特殊配信マスタ'!$E$3:$E$16=H135),1),""""))"),"")</f>
        <v/>
      </c>
      <c r="M135" s="590" t="str">
        <f>IFERROR(__xludf.DUMMYFUNCTION("IFERROR(INDEX(FILTER('特殊配信マスタ'!$E$3:$E$16, (TEXT('特殊配信マスタ'!$A$3:$A$16,""ddd"")=TEXT(M$1,""ddd""))*(IFERROR(VALUE('特殊配信マスタ'!$B$3:$B$16),0)=VALUE(LOOKUP(2,1/($A$3:$A135&lt;&gt;""""),$A$3:$A135)))*('特殊配信マスタ'!$Q$3:$Q$16&lt;&gt;TRUE)), 5), """")"),"")</f>
        <v/>
      </c>
      <c r="N135" s="593" t="str">
        <f>IFERROR(__xludf.DUMMYFUNCTION("IF(M135="""","""",IFERROR(INDEX(FILTER('特殊配信マスタ'!$F$3:$F$16,('特殊配信マスタ'!$A$3:$A$16=CHOOSE(WEEKDAY(M$1),""日"",""月"",""火"",""水"",""木"",""金"",""土""))*('特殊配信マスタ'!$B$3:$B$16=K$3)*('特殊配信マスタ'!$R$3:$R$16=MOD(INT((M$1-'特殊配信マスタ'!$A$1)/7),3)+1)),1),""""))"),"")</f>
        <v/>
      </c>
      <c r="O135" s="590"/>
      <c r="P135" s="593" t="str">
        <f>IFERROR(__xludf.DUMMYFUNCTION("IF(M135="""","""",IFERROR(INDEX(FILTER('特殊配信マスタ'!$O$3:$O$16, '特殊配信マスタ'!$E$3:$E$16=M135),1),""""))"),"")</f>
        <v/>
      </c>
      <c r="Q135" s="593" t="str">
        <f>IFERROR(__xludf.DUMMYFUNCTION("IF(M135="""","""",IFERROR(INDEX(FILTER('特殊配信マスタ'!$P$3:$P$16, '特殊配信マスタ'!$E$3:$E$16=M135),1),""""))"),"")</f>
        <v/>
      </c>
      <c r="R135" s="590" t="str">
        <f>IFERROR(__xludf.DUMMYFUNCTION("IFERROR(INDEX(FILTER('特殊配信マスタ'!$E$3:$E$16, (TEXT('特殊配信マスタ'!$A$3:$A$16,""ddd"")=TEXT(R$1,""ddd""))*(IFERROR(VALUE('特殊配信マスタ'!$B$3:$B$16),0)=VALUE(LOOKUP(2,1/($A$3:$A135&lt;&gt;""""),$A$3:$A135)))*('特殊配信マスタ'!$Q$3:$Q$16&lt;&gt;TRUE)), 5), """")"),"")</f>
        <v/>
      </c>
      <c r="S135" s="593" t="str">
        <f>IFERROR(__xludf.DUMMYFUNCTION("IF(R135="""","""",IFERROR(INDEX(FILTER('特殊配信マスタ'!$F$3:$F$16,('特殊配信マスタ'!$A$3:$A$16=CHOOSE(WEEKDAY(R$1),""日"",""月"",""火"",""水"",""木"",""金"",""土""))*('特殊配信マスタ'!$B$3:$B$16=P$3)*('特殊配信マスタ'!$R$3:$R$16=MOD(INT((R$1-'特殊配信マスタ'!$A$1)/7),3)+1)),1),""""))"),"")</f>
        <v/>
      </c>
      <c r="T135" s="590"/>
      <c r="U135" s="593" t="str">
        <f>IFERROR(__xludf.DUMMYFUNCTION("IF(R135="""","""",IFERROR(INDEX(FILTER('特殊配信マスタ'!$O$3:$O$16, '特殊配信マスタ'!$E$3:$E$16=R135),1),""""))"),"")</f>
        <v/>
      </c>
      <c r="V135" s="593" t="str">
        <f>IFERROR(__xludf.DUMMYFUNCTION("IF(R135="""","""",IFERROR(INDEX(FILTER('特殊配信マスタ'!$P$3:$P$16, '特殊配信マスタ'!$E$3:$E$16=R135),1),""""))"),"")</f>
        <v/>
      </c>
      <c r="W135" s="590" t="str">
        <f>IFERROR(__xludf.DUMMYFUNCTION("IFERROR(INDEX(FILTER('特殊配信マスタ'!$E$3:$E$16, (TEXT('特殊配信マスタ'!$A$3:$A$16,""ddd"")=TEXT(W$1,""ddd""))*(IFERROR(VALUE('特殊配信マスタ'!$B$3:$B$16),0)=VALUE(LOOKUP(2,1/($A$3:$A135&lt;&gt;""""),$A$3:$A135)))*('特殊配信マスタ'!$Q$3:$Q$16&lt;&gt;TRUE)), 5), """")"),"")</f>
        <v/>
      </c>
      <c r="X135" s="593" t="str">
        <f>IFERROR(__xludf.DUMMYFUNCTION("IF(W135="""","""",IFERROR(INDEX(FILTER('特殊配信マスタ'!$F$3:$F$16,('特殊配信マスタ'!$A$3:$A$16=CHOOSE(WEEKDAY(W$1),""日"",""月"",""火"",""水"",""木"",""金"",""土""))*('特殊配信マスタ'!$B$3:$B$16=U$3)*('特殊配信マスタ'!$R$3:$R$16=MOD(INT((W$1-'特殊配信マスタ'!$A$1)/7),3)+1)),1),""""))"),"")</f>
        <v/>
      </c>
      <c r="Y135" s="590"/>
      <c r="Z135" s="593" t="str">
        <f>IFERROR(__xludf.DUMMYFUNCTION("IF(W135="""","""",IFERROR(INDEX(FILTER('特殊配信マスタ'!$O$3:$O$16, '特殊配信マスタ'!$E$3:$E$16=W135),1),""""))"),"")</f>
        <v/>
      </c>
      <c r="AA135" s="593" t="str">
        <f>IFERROR(__xludf.DUMMYFUNCTION("IF(W135="""","""",IFERROR(INDEX(FILTER('特殊配信マスタ'!$P$3:$P$16, '特殊配信マスタ'!$E$3:$E$16=W135),1),""""))"),"")</f>
        <v/>
      </c>
      <c r="AB135" s="590" t="str">
        <f>IFERROR(__xludf.DUMMYFUNCTION("IFERROR(INDEX(FILTER('特殊配信マスタ'!$E$3:$E$16, (TEXT('特殊配信マスタ'!$A$3:$A$16,""ddd"")=TEXT(AB$1,""ddd""))*(IFERROR(VALUE('特殊配信マスタ'!$B$3:$B$16),0)=VALUE(LOOKUP(2,1/($A$3:$A135&lt;&gt;""""),$A$3:$A135)))*('特殊配信マスタ'!$Q$3:$Q$16&lt;&gt;TRUE)), 5), """")"),"")</f>
        <v/>
      </c>
      <c r="AC135" s="593" t="str">
        <f>IFERROR(__xludf.DUMMYFUNCTION("IF(AB135="""","""",IFERROR(INDEX(FILTER('特殊配信マスタ'!$F$3:$F$16,('特殊配信マスタ'!$A$3:$A$16=CHOOSE(WEEKDAY(AB$1),""日"",""月"",""火"",""水"",""木"",""金"",""土""))*('特殊配信マスタ'!$B$3:$B$16=Z$3)*('特殊配信マスタ'!$R$3:$R$16=MOD(INT((AB$1-'特殊配信マスタ'!$A$1)/7),3)+1)),1),""""))"),"")</f>
        <v/>
      </c>
      <c r="AD135" s="590"/>
      <c r="AE135" s="593" t="str">
        <f>IFERROR(__xludf.DUMMYFUNCTION("IF(AB135="""","""",IFERROR(INDEX(FILTER('特殊配信マスタ'!$O$3:$O$16, '特殊配信マスタ'!$E$3:$E$16=AB135),1),""""))"),"")</f>
        <v/>
      </c>
      <c r="AF135" s="593" t="str">
        <f>IFERROR(__xludf.DUMMYFUNCTION("IF(AB135="""","""",IFERROR(INDEX(FILTER('特殊配信マスタ'!$P$3:$P$16, '特殊配信マスタ'!$E$3:$E$16=AB135),1),""""))"),"")</f>
        <v/>
      </c>
      <c r="AG135" s="590" t="str">
        <f>IFERROR(__xludf.DUMMYFUNCTION("IFERROR(INDEX(FILTER('特殊配信マスタ'!$E$3:$E$16, (TEXT('特殊配信マスタ'!$A$3:$A$16,""ddd"")=TEXT(AG$1,""ddd""))*(IFERROR(VALUE('特殊配信マスタ'!$B$3:$B$16),0)=VALUE(LOOKUP(2,1/($A$3:$A135&lt;&gt;""""),$A$3:$A135)))*('特殊配信マスタ'!$Q$3:$Q$16&lt;&gt;TRUE)), 5), """")"),"")</f>
        <v/>
      </c>
      <c r="AH135" s="593" t="str">
        <f>IFERROR(__xludf.DUMMYFUNCTION("IF(AG135="""","""",IFERROR(INDEX(FILTER('特殊配信マスタ'!$F$3:$F$16,('特殊配信マスタ'!$A$3:$A$16=CHOOSE(WEEKDAY(AG$1),""日"",""月"",""火"",""水"",""木"",""金"",""土""))*('特殊配信マスタ'!$B$3:$B$16=AE$3)*('特殊配信マスタ'!$R$3:$R$16=MOD(INT((AG$1-'特殊配信マスタ'!$A$1)/7),3)+1)),1),""""))"),"")</f>
        <v/>
      </c>
      <c r="AI135" s="590"/>
      <c r="AJ135" s="593" t="str">
        <f>IFERROR(__xludf.DUMMYFUNCTION("IF(AG135="""","""",IFERROR(INDEX(FILTER('特殊配信マスタ'!$O$3:$O$16, '特殊配信マスタ'!$E$3:$E$16=AG135),1),""""))"),"")</f>
        <v/>
      </c>
      <c r="AK135" s="593" t="str">
        <f>IFERROR(__xludf.DUMMYFUNCTION("IF(AG135="""","""",IFERROR(INDEX(FILTER('特殊配信マスタ'!$P$3:$P$16, '特殊配信マスタ'!$E$3:$E$16=AG135),1),""""))"),"")</f>
        <v/>
      </c>
    </row>
    <row r="136" ht="17.25" customHeight="1">
      <c r="A136" s="584">
        <f>A117+1</f>
        <v>15</v>
      </c>
      <c r="B136" s="585" t="s">
        <v>1450</v>
      </c>
      <c r="C136" s="586" t="str">
        <f>IFERROR(__xludf.DUMMYFUNCTION("IFERROR(FILTER('リスト'!$E$4:$E$349, (TEXT('リスト'!$A$4:$A$349,""ddd"")=TEXT(C$1, ""ddd""))*('リスト'!$B$4:$B$349=LOOKUP(2,1/($A$3:$A136&lt;&gt;""""),$A$3:$A136))*(('リスト'!$G$4:$G$349=""毎週配信"")+('リスト'!$G$4:$G$349=$A$1))), """")"),"ECサイト運用_未経験")</f>
        <v>ECサイト運用_未経験</v>
      </c>
      <c r="D136" s="8">
        <f t="array" ref="D136">IFERROR(XLOOKUP(C136, 'リスト'!$E:$E, 'リスト'!$F:$F, ""), "")</f>
        <v>0.7</v>
      </c>
      <c r="E136" s="8">
        <f>SUM(D136:D154)</f>
        <v>2.3</v>
      </c>
      <c r="F136" s="8" t="str">
        <f>IFERROR(__xludf.DUMMYFUNCTION("IF(C136="""","""",IFERROR(INDEX(FILTER('リスト'!$O$4:$O$349, 'リスト'!$E$4:$E$349=C136),1),""""))"),"福")</f>
        <v>福</v>
      </c>
      <c r="G136" s="8" t="str">
        <f>IFERROR(__xludf.DUMMYFUNCTION("IF(C136="""","""",IFERROR(INDEX(FILTER('リスト'!$P$4:$P$349, 'リスト'!$E$4:$E$349=C136),1),""""))"),"部")</f>
        <v>部</v>
      </c>
      <c r="H136" s="586" t="str">
        <f>IFERROR(__xludf.DUMMYFUNCTION("IFERROR(FILTER('リスト'!$E$4:$E$349, (TEXT('リスト'!$A$4:$A$349,""ddd"")=TEXT(H$1, ""ddd""))*('リスト'!$B$4:$B$349=LOOKUP(2,1/($A$3:$A136&lt;&gt;""""),$A$3:$A136))*(('リスト'!$G$4:$G$349=""毎週配信"")+('リスト'!$G$4:$G$349=$A$1))), """")"),"営業（コールセンター）_希望")</f>
        <v>営業（コールセンター）_希望</v>
      </c>
      <c r="I136" s="8">
        <f t="array" ref="I136">IFERROR(XLOOKUP(H136, 'リスト'!$E:$E, 'リスト'!$F:$F, ""), "")</f>
        <v>0.2</v>
      </c>
      <c r="J136" s="8">
        <f>SUM(I136:I154)</f>
        <v>2.3</v>
      </c>
      <c r="K136" s="8" t="str">
        <f>IFERROR(__xludf.DUMMYFUNCTION("IF(H136="""","""",IFERROR(INDEX(FILTER('リスト'!$O$4:$O$349, 'リスト'!$E$4:$E$349=H136),1),""""))"),"R")</f>
        <v>R</v>
      </c>
      <c r="L136" s="8" t="str">
        <f>IFERROR(__xludf.DUMMYFUNCTION("IF(H136="""","""",IFERROR(INDEX(FILTER('リスト'!$P$4:$P$349, 'リスト'!$E$4:$E$349=H136),1),""""))"),"")</f>
        <v/>
      </c>
      <c r="M136" s="586" t="str">
        <f>IFERROR(__xludf.DUMMYFUNCTION("IFERROR(FILTER('リスト'!$E$4:$E$349, (TEXT('リスト'!$A$4:$A$349,""ddd"")=TEXT(M$1, ""ddd""))*('リスト'!$B$4:$B$349=LOOKUP(2,1/($A$3:$A136&lt;&gt;""""),$A$3:$A136))*(('リスト'!$G$4:$G$349=""毎週配信"")+('リスト'!$G$4:$G$349=$A$1))), """")"),"営業（マーケ）_希望")</f>
        <v>営業（マーケ）_希望</v>
      </c>
      <c r="N136" s="8">
        <f t="array" ref="N136">IFERROR(XLOOKUP(M136, 'リスト'!$E:$E, 'リスト'!$F:$F, ""), "")</f>
        <v>0.4</v>
      </c>
      <c r="O136" s="8">
        <f>SUM(N136:N154)</f>
        <v>0.8</v>
      </c>
      <c r="P136" s="8" t="str">
        <f>IFERROR(__xludf.DUMMYFUNCTION("IF(M136="""","""",IFERROR(INDEX(FILTER('リスト'!$O$4:$O$349, 'リスト'!$E$4:$E$349=M136),1),""""))"),"R")</f>
        <v>R</v>
      </c>
      <c r="Q136" s="8" t="str">
        <f>IFERROR(__xludf.DUMMYFUNCTION("IF(M136="""","""",IFERROR(INDEX(FILTER('リスト'!$P$4:$P$349, 'リスト'!$E$4:$E$349=M136),1),""""))"),"")</f>
        <v/>
      </c>
      <c r="R136" s="586" t="str">
        <f>IFERROR(__xludf.DUMMYFUNCTION("IFERROR(FILTER('リスト'!$E$4:$E$349, (TEXT('リスト'!$A$4:$A$349,""ddd"")=TEXT(R$1, ""ddd""))*('リスト'!$B$4:$B$349=LOOKUP(2,1/($A$3:$A136&lt;&gt;""""),$A$3:$A136))*(('リスト'!$G$4:$G$349=""毎週配信"")+('リスト'!$G$4:$G$349=$A$1))), """")"),"リモート手当あり")</f>
        <v>リモート手当あり</v>
      </c>
      <c r="S136" s="8">
        <f t="array" ref="S136">IFERROR(XLOOKUP(R136, 'リスト'!$E:$E, 'リスト'!$F:$F, ""), "")</f>
        <v>4.7</v>
      </c>
      <c r="T136" s="8">
        <f>SUM(S136:S154)</f>
        <v>5.5</v>
      </c>
      <c r="U136" s="8" t="str">
        <f>IFERROR(__xludf.DUMMYFUNCTION("IF(R136="""","""",IFERROR(INDEX(FILTER('リスト'!$O$4:$O$349, 'リスト'!$E$4:$E$349=R136),1),""""))"),"R")</f>
        <v>R</v>
      </c>
      <c r="V136" s="8" t="str">
        <f>IFERROR(__xludf.DUMMYFUNCTION("IF(R136="""","""",IFERROR(INDEX(FILTER('リスト'!$P$4:$P$349, 'リスト'!$E$4:$E$349=R136),1),""""))"),"")</f>
        <v/>
      </c>
      <c r="W136" s="586" t="str">
        <f>IFERROR(__xludf.DUMMYFUNCTION("IFERROR(FILTER('リスト'!$E$4:$E$349, (TEXT('リスト'!$A$4:$A$349,""ddd"")=TEXT(W$1, ""ddd""))*('リスト'!$B$4:$B$349=LOOKUP(2,1/($A$3:$A136&lt;&gt;""""),$A$3:$A136))*(('リスト'!$G$4:$G$349=""毎週配信"")+('リスト'!$G$4:$G$349=$A$1))), """")"),"事務（貿易事務）_希望")</f>
        <v>事務（貿易事務）_希望</v>
      </c>
      <c r="X136" s="8">
        <f t="array" ref="X136">IFERROR(XLOOKUP(W136, 'リスト'!$E:$E, 'リスト'!$F:$F, ""), "")</f>
        <v>0.4</v>
      </c>
      <c r="Y136" s="8">
        <f>SUM(X136:X154)</f>
        <v>0.7</v>
      </c>
      <c r="Z136" s="8" t="str">
        <f>IFERROR(__xludf.DUMMYFUNCTION("IF(W136="""","""",IFERROR(INDEX(FILTER('リスト'!$O$4:$O$349, 'リスト'!$E$4:$E$349=W136),1),""""))"),"R")</f>
        <v>R</v>
      </c>
      <c r="AA136" s="8" t="str">
        <f>IFERROR(__xludf.DUMMYFUNCTION("IF(W136="""","""",IFERROR(INDEX(FILTER('リスト'!$P$4:$P$349, 'リスト'!$E$4:$E$349=W136),1),""""))"),"")</f>
        <v/>
      </c>
      <c r="AB136" s="586" t="str">
        <f>IFERROR(__xludf.DUMMYFUNCTION("IFERROR(FILTER('リスト'!$E$4:$E$349, (TEXT('リスト'!$A$4:$A$349,""ddd"")=TEXT(AB$1, ""ddd""))*('リスト'!$B$4:$B$349=LOOKUP(2,1/($A$3:$A136&lt;&gt;""""),$A$3:$A136))*(('リスト'!$G$4:$G$349=""毎週配信"")+('リスト'!$G$4:$G$349=$A$1))), """")"),"")</f>
        <v/>
      </c>
      <c r="AC136" s="8" t="str">
        <f t="array" ref="AC136">IFERROR(XLOOKUP(AB136, 'リスト'!$E:$E, 'リスト'!$F:$F, ""), "")</f>
        <v/>
      </c>
      <c r="AD136" s="8">
        <f>SUM(AC136:AC154)</f>
        <v>0</v>
      </c>
      <c r="AE136" s="8" t="str">
        <f>IFERROR(__xludf.DUMMYFUNCTION("IF(AB136="""","""",IFERROR(INDEX(FILTER('リスト'!$O$4:$O$349, 'リスト'!$E$4:$E$349=AB136),1),""""))"),"")</f>
        <v/>
      </c>
      <c r="AF136" s="8" t="str">
        <f>IFERROR(__xludf.DUMMYFUNCTION("IF(AB136="""","""",IFERROR(INDEX(FILTER('リスト'!$P$4:$P$349, 'リスト'!$E$4:$E$349=AB136),1),""""))"),"")</f>
        <v/>
      </c>
      <c r="AG136" s="586" t="str">
        <f>IFERROR(__xludf.DUMMYFUNCTION("IFERROR(FILTER('リスト'!$E$4:$E$349, (TEXT('リスト'!$A$4:$A$349,""ddd"")=TEXT(AG$1, ""ddd""))*('リスト'!$B$4:$B$349=LOOKUP(2,1/($A$3:$A136&lt;&gt;""""),$A$3:$A136))*(('リスト'!$G$4:$G$349=""毎週配信"")+('リスト'!$G$4:$G$349=$A$1))), """")"),"ランキング_事務（医療事務）_希望")</f>
        <v>ランキング_事務（医療事務）_希望</v>
      </c>
      <c r="AH136" s="8">
        <f t="array" ref="AH136">IFERROR(XLOOKUP(AG136, 'リスト'!$E:$E, 'リスト'!$F:$F, ""), "")</f>
        <v>0.2</v>
      </c>
      <c r="AI136" s="8">
        <f>SUM(AH136:AH154)</f>
        <v>0.4</v>
      </c>
      <c r="AJ136" s="8" t="str">
        <f>IFERROR(__xludf.DUMMYFUNCTION("IF(AG136="""","""",IFERROR(INDEX(FILTER('リスト'!$O$4:$O$349, 'リスト'!$E$4:$E$349=AG136),1),""""))"),"R")</f>
        <v>R</v>
      </c>
      <c r="AK136" s="8" t="str">
        <f>IFERROR(__xludf.DUMMYFUNCTION("IF(AG136="""","""",IFERROR(INDEX(FILTER('リスト'!$P$4:$P$349, 'リスト'!$E$4:$E$349=AG136),1),""""))"),"")</f>
        <v/>
      </c>
    </row>
    <row r="137" ht="17.25" customHeight="1">
      <c r="A137" s="587"/>
      <c r="B137" s="588"/>
      <c r="C137" s="586" t="str">
        <f>IFERROR(__xludf.DUMMYFUNCTION("""COMPUTED_VALUE"""),"好条件×業務委託")</f>
        <v>好条件×業務委託</v>
      </c>
      <c r="D137" s="8">
        <f t="array" ref="D137">IFERROR(XLOOKUP(C137, 'リスト'!$E:$E, 'リスト'!$F:$F, ""), "")</f>
        <v>0.4</v>
      </c>
      <c r="E137" s="8"/>
      <c r="F137" s="8" t="str">
        <f t="array" ref="F137">IFERROR(XLOOKUP(C137, 'リスト'!$E:$E, 'リスト'!$O:$O, ""), "")</f>
        <v>部</v>
      </c>
      <c r="G137" s="8" t="str">
        <f t="array" ref="G137">IFERROR(XLOOKUP(C137, 'リスト'!$E:$E, 'リスト'!$P:$P, ""), "")</f>
        <v>武</v>
      </c>
      <c r="H137" s="586" t="str">
        <f>IFERROR(__xludf.DUMMYFUNCTION("""COMPUTED_VALUE"""),"事務（金融関連）_希望")</f>
        <v>事務（金融関連）_希望</v>
      </c>
      <c r="I137" s="8">
        <f t="array" ref="I137">IFERROR(XLOOKUP(H137, 'リスト'!$E:$E, 'リスト'!$F:$F, ""), "")</f>
        <v>0.3</v>
      </c>
      <c r="J137" s="8"/>
      <c r="K137" s="8" t="str">
        <f t="array" ref="K137">IFERROR(XLOOKUP(H137, 'リスト'!$E:$E, 'リスト'!$O:$O, ""), "")</f>
        <v>R</v>
      </c>
      <c r="L137" s="8" t="str">
        <f t="array" ref="L137">IFERROR(XLOOKUP(H137, 'リスト'!$E:$E, 'リスト'!$P:$P, ""), "")</f>
        <v/>
      </c>
      <c r="M137" s="586" t="str">
        <f>IFERROR(__xludf.DUMMYFUNCTION("""COMPUTED_VALUE"""),"事務（その他）_希望")</f>
        <v>事務（その他）_希望</v>
      </c>
      <c r="N137" s="8">
        <f t="array" ref="N137">IFERROR(XLOOKUP(M137, 'リスト'!$E:$E, 'リスト'!$F:$F, ""), "")</f>
        <v>0.4</v>
      </c>
      <c r="O137" s="8"/>
      <c r="P137" s="8" t="str">
        <f t="array" ref="P137">IFERROR(XLOOKUP(M137, 'リスト'!$E:$E, 'リスト'!$O:$O, ""), "")</f>
        <v>R</v>
      </c>
      <c r="Q137" s="8" t="str">
        <f t="array" ref="Q137">IFERROR(XLOOKUP(M137, 'リスト'!$E:$E, 'リスト'!$P:$P, ""), "")</f>
        <v/>
      </c>
      <c r="R137" s="586" t="str">
        <f>IFERROR(__xludf.DUMMYFUNCTION("""COMPUTED_VALUE"""),"営業（その他）_希望")</f>
        <v>営業（その他）_希望</v>
      </c>
      <c r="S137" s="8">
        <f t="array" ref="S137">IFERROR(XLOOKUP(R137, 'リスト'!$E:$E, 'リスト'!$F:$F, ""), "")</f>
        <v>0.3</v>
      </c>
      <c r="T137" s="8"/>
      <c r="U137" s="8" t="str">
        <f t="array" ref="U137">IFERROR(XLOOKUP(R137, 'リスト'!$E:$E, 'リスト'!$O:$O, ""), "")</f>
        <v>R</v>
      </c>
      <c r="V137" s="8" t="str">
        <f t="array" ref="V137">IFERROR(XLOOKUP(R137, 'リスト'!$E:$E, 'リスト'!$P:$P, ""), "")</f>
        <v/>
      </c>
      <c r="W137" s="586" t="str">
        <f>IFERROR(__xludf.DUMMYFUNCTION("""COMPUTED_VALUE"""),"販サ（フロント）_希望")</f>
        <v>販サ（フロント）_希望</v>
      </c>
      <c r="X137" s="8">
        <f t="array" ref="X137">IFERROR(XLOOKUP(W137, 'リスト'!$E:$E, 'リスト'!$F:$F, ""), "")</f>
        <v>0.3</v>
      </c>
      <c r="Y137" s="8"/>
      <c r="Z137" s="8" t="str">
        <f t="array" ref="Z137">IFERROR(XLOOKUP(W137, 'リスト'!$E:$E, 'リスト'!$O:$O, ""), "")</f>
        <v>R</v>
      </c>
      <c r="AA137" s="8" t="str">
        <f t="array" ref="AA137">IFERROR(XLOOKUP(W137, 'リスト'!$E:$E, 'リスト'!$P:$P, ""), "")</f>
        <v/>
      </c>
      <c r="AB137" s="586"/>
      <c r="AC137" s="8" t="str">
        <f t="array" ref="AC137">IFERROR(XLOOKUP(AB137, 'リスト'!$E:$E, 'リスト'!$F:$F, ""), "")</f>
        <v/>
      </c>
      <c r="AD137" s="8"/>
      <c r="AE137" s="8" t="str">
        <f t="array" ref="AE137">IFERROR(XLOOKUP(AB137, 'リスト'!$E:$E, 'リスト'!$O:$O, ""), "")</f>
        <v/>
      </c>
      <c r="AF137" s="8" t="str">
        <f t="array" ref="AF137">IFERROR(XLOOKUP(AB137, 'リスト'!$E:$E, 'リスト'!$P:$P, ""), "")</f>
        <v/>
      </c>
      <c r="AG137" s="586" t="str">
        <f>IFERROR(__xludf.DUMMYFUNCTION("""COMPUTED_VALUE"""),"営業（キャリアカウンセラー）_希望")</f>
        <v>営業（キャリアカウンセラー）_希望</v>
      </c>
      <c r="AH137" s="8">
        <f t="array" ref="AH137">IFERROR(XLOOKUP(AG137, 'リスト'!$E:$E, 'リスト'!$F:$F, ""), "")</f>
        <v>0.2</v>
      </c>
      <c r="AI137" s="8"/>
      <c r="AJ137" s="8" t="str">
        <f t="array" ref="AJ137">IFERROR(XLOOKUP(AG137, 'リスト'!$E:$E, 'リスト'!$O:$O, ""), "")</f>
        <v>R</v>
      </c>
      <c r="AK137" s="8" t="str">
        <f t="array" ref="AK137">IFERROR(XLOOKUP(AG137, 'リスト'!$E:$E, 'リスト'!$P:$P, ""), "")</f>
        <v/>
      </c>
    </row>
    <row r="138" ht="17.25" customHeight="1">
      <c r="A138" s="587"/>
      <c r="B138" s="588"/>
      <c r="C138" s="586" t="str">
        <f>IFERROR(__xludf.DUMMYFUNCTION("""COMPUTED_VALUE"""),"好条件×契約社員")</f>
        <v>好条件×契約社員</v>
      </c>
      <c r="D138" s="8">
        <f t="array" ref="D138">IFERROR(XLOOKUP(C138, 'リスト'!$E:$E, 'リスト'!$F:$F, ""), "")</f>
        <v>1.2</v>
      </c>
      <c r="E138" s="8"/>
      <c r="F138" s="8" t="str">
        <f t="array" ref="F138">IFERROR(XLOOKUP(C138, 'リスト'!$E:$E, 'リスト'!$O:$O, ""), "")</f>
        <v>R</v>
      </c>
      <c r="G138" s="8" t="str">
        <f t="array" ref="G138">IFERROR(XLOOKUP(C138, 'リスト'!$E:$E, 'リスト'!$P:$P, ""), "")</f>
        <v/>
      </c>
      <c r="H138" s="586" t="str">
        <f>IFERROR(__xludf.DUMMYFUNCTION("""COMPUTED_VALUE"""),"転職回数不問")</f>
        <v>転職回数不問</v>
      </c>
      <c r="I138" s="8">
        <f t="array" ref="I138">IFERROR(XLOOKUP(H138, 'リスト'!$E:$E, 'リスト'!$F:$F, ""), "")</f>
        <v>1.8</v>
      </c>
      <c r="J138" s="8"/>
      <c r="K138" s="8" t="str">
        <f t="array" ref="K138">IFERROR(XLOOKUP(H138, 'リスト'!$E:$E, 'リスト'!$O:$O, ""), "")</f>
        <v>R</v>
      </c>
      <c r="L138" s="8" t="str">
        <f t="array" ref="L138">IFERROR(XLOOKUP(H138, 'リスト'!$E:$E, 'リスト'!$P:$P, ""), "")</f>
        <v/>
      </c>
      <c r="M138" s="586"/>
      <c r="N138" s="8" t="str">
        <f t="array" ref="N138">IFERROR(XLOOKUP(M138, 'リスト'!$E:$E, 'リスト'!$F:$F, ""), "")</f>
        <v/>
      </c>
      <c r="O138" s="8"/>
      <c r="P138" s="8" t="str">
        <f t="array" ref="P138">IFERROR(XLOOKUP(M138, 'リスト'!$E:$E, 'リスト'!$O:$O, ""), "")</f>
        <v/>
      </c>
      <c r="Q138" s="8" t="str">
        <f t="array" ref="Q138">IFERROR(XLOOKUP(M138, 'リスト'!$E:$E, 'リスト'!$P:$P, ""), "")</f>
        <v/>
      </c>
      <c r="R138" s="586" t="str">
        <f>IFERROR(__xludf.DUMMYFUNCTION("""COMPUTED_VALUE"""),"事務（医療事務）_希望")</f>
        <v>事務（医療事務）_希望</v>
      </c>
      <c r="S138" s="8">
        <f t="array" ref="S138">IFERROR(XLOOKUP(R138, 'リスト'!$E:$E, 'リスト'!$F:$F, ""), "")</f>
        <v>0.5</v>
      </c>
      <c r="T138" s="8"/>
      <c r="U138" s="8" t="str">
        <f t="array" ref="U138">IFERROR(XLOOKUP(R138, 'リスト'!$E:$E, 'リスト'!$O:$O, ""), "")</f>
        <v>R</v>
      </c>
      <c r="V138" s="8" t="str">
        <f t="array" ref="V138">IFERROR(XLOOKUP(R138, 'リスト'!$E:$E, 'リスト'!$P:$P, ""), "")</f>
        <v/>
      </c>
      <c r="W138" s="586"/>
      <c r="X138" s="8" t="str">
        <f t="array" ref="X138">IFERROR(XLOOKUP(W138, 'リスト'!$E:$E, 'リスト'!$F:$F, ""), "")</f>
        <v/>
      </c>
      <c r="Y138" s="8"/>
      <c r="Z138" s="8" t="str">
        <f t="array" ref="Z138">IFERROR(XLOOKUP(W138, 'リスト'!$E:$E, 'リスト'!$O:$O, ""), "")</f>
        <v/>
      </c>
      <c r="AA138" s="8" t="str">
        <f t="array" ref="AA138">IFERROR(XLOOKUP(W138, 'リスト'!$E:$E, 'リスト'!$P:$P, ""), "")</f>
        <v/>
      </c>
      <c r="AB138" s="586"/>
      <c r="AC138" s="8" t="str">
        <f t="array" ref="AC138">IFERROR(XLOOKUP(AB138, 'リスト'!$E:$E, 'リスト'!$F:$F, ""), "")</f>
        <v/>
      </c>
      <c r="AD138" s="8"/>
      <c r="AE138" s="8" t="str">
        <f t="array" ref="AE138">IFERROR(XLOOKUP(AB138, 'リスト'!$E:$E, 'リスト'!$O:$O, ""), "")</f>
        <v/>
      </c>
      <c r="AF138" s="8" t="str">
        <f t="array" ref="AF138">IFERROR(XLOOKUP(AB138, 'リスト'!$E:$E, 'リスト'!$P:$P, ""), "")</f>
        <v/>
      </c>
      <c r="AG138" s="586"/>
      <c r="AH138" s="8" t="str">
        <f t="array" ref="AH138">IFERROR(XLOOKUP(AG138, 'リスト'!$E:$E, 'リスト'!$F:$F, ""), "")</f>
        <v/>
      </c>
      <c r="AI138" s="8"/>
      <c r="AJ138" s="8" t="str">
        <f t="array" ref="AJ138">IFERROR(XLOOKUP(AG138, 'リスト'!$E:$E, 'リスト'!$O:$O, ""), "")</f>
        <v/>
      </c>
      <c r="AK138" s="8" t="str">
        <f t="array" ref="AK138">IFERROR(XLOOKUP(AG138, 'リスト'!$E:$E, 'リスト'!$P:$P, ""), "")</f>
        <v/>
      </c>
    </row>
    <row r="139" ht="17.25" customHeight="1">
      <c r="A139" s="587"/>
      <c r="B139" s="588"/>
      <c r="C139" s="589"/>
      <c r="D139" s="8" t="str">
        <f t="array" ref="D139">IFERROR(XLOOKUP(C139, 'リスト'!$E:$E, 'リスト'!$F:$F, ""), "")</f>
        <v/>
      </c>
      <c r="E139" s="8"/>
      <c r="F139" s="8" t="str">
        <f t="array" ref="F139">IFERROR(XLOOKUP(C139, 'リスト'!$E:$E, 'リスト'!$O:$O, ""), "")</f>
        <v/>
      </c>
      <c r="G139" s="8" t="str">
        <f t="array" ref="G139">IFERROR(XLOOKUP(C139, 'リスト'!$E:$E, 'リスト'!$P:$P, ""), "")</f>
        <v/>
      </c>
      <c r="H139" s="589"/>
      <c r="I139" s="8" t="str">
        <f t="array" ref="I139">IFERROR(XLOOKUP(H139, 'リスト'!$E:$E, 'リスト'!$F:$F, ""), "")</f>
        <v/>
      </c>
      <c r="J139" s="8"/>
      <c r="K139" s="8" t="str">
        <f t="array" ref="K139">IFERROR(XLOOKUP(H139, 'リスト'!$E:$E, 'リスト'!$O:$O, ""), "")</f>
        <v/>
      </c>
      <c r="L139" s="8" t="str">
        <f t="array" ref="L139">IFERROR(XLOOKUP(H139, 'リスト'!$E:$E, 'リスト'!$P:$P, ""), "")</f>
        <v/>
      </c>
      <c r="M139" s="589"/>
      <c r="N139" s="8" t="str">
        <f t="array" ref="N139">IFERROR(XLOOKUP(M139, 'リスト'!$E:$E, 'リスト'!$F:$F, ""), "")</f>
        <v/>
      </c>
      <c r="O139" s="8"/>
      <c r="P139" s="8" t="str">
        <f t="array" ref="P139">IFERROR(XLOOKUP(M139, 'リスト'!$E:$E, 'リスト'!$O:$O, ""), "")</f>
        <v/>
      </c>
      <c r="Q139" s="8" t="str">
        <f t="array" ref="Q139">IFERROR(XLOOKUP(M139, 'リスト'!$E:$E, 'リスト'!$P:$P, ""), "")</f>
        <v/>
      </c>
      <c r="R139" s="589"/>
      <c r="S139" s="8" t="str">
        <f t="array" ref="S139">IFERROR(XLOOKUP(R139, 'リスト'!$E:$E, 'リスト'!$F:$F, ""), "")</f>
        <v/>
      </c>
      <c r="T139" s="8"/>
      <c r="U139" s="8" t="str">
        <f t="array" ref="U139">IFERROR(XLOOKUP(R139, 'リスト'!$E:$E, 'リスト'!$O:$O, ""), "")</f>
        <v/>
      </c>
      <c r="V139" s="8" t="str">
        <f t="array" ref="V139">IFERROR(XLOOKUP(R139, 'リスト'!$E:$E, 'リスト'!$P:$P, ""), "")</f>
        <v/>
      </c>
      <c r="W139" s="589"/>
      <c r="X139" s="8" t="str">
        <f t="array" ref="X139">IFERROR(XLOOKUP(W139, 'リスト'!$E:$E, 'リスト'!$F:$F, ""), "")</f>
        <v/>
      </c>
      <c r="Y139" s="8"/>
      <c r="Z139" s="8" t="str">
        <f t="array" ref="Z139">IFERROR(XLOOKUP(W139, 'リスト'!$E:$E, 'リスト'!$O:$O, ""), "")</f>
        <v/>
      </c>
      <c r="AA139" s="8" t="str">
        <f t="array" ref="AA139">IFERROR(XLOOKUP(W139, 'リスト'!$E:$E, 'リスト'!$P:$P, ""), "")</f>
        <v/>
      </c>
      <c r="AB139" s="589"/>
      <c r="AC139" s="8" t="str">
        <f t="array" ref="AC139">IFERROR(XLOOKUP(AB139, 'リスト'!$E:$E, 'リスト'!$F:$F, ""), "")</f>
        <v/>
      </c>
      <c r="AD139" s="8"/>
      <c r="AE139" s="8" t="str">
        <f t="array" ref="AE139">IFERROR(XLOOKUP(AB139, 'リスト'!$E:$E, 'リスト'!$O:$O, ""), "")</f>
        <v/>
      </c>
      <c r="AF139" s="8" t="str">
        <f t="array" ref="AF139">IFERROR(XLOOKUP(AB139, 'リスト'!$E:$E, 'リスト'!$P:$P, ""), "")</f>
        <v/>
      </c>
      <c r="AG139" s="589"/>
      <c r="AH139" s="8" t="str">
        <f t="array" ref="AH139">IFERROR(XLOOKUP(AG139, 'リスト'!$E:$E, 'リスト'!$F:$F, ""), "")</f>
        <v/>
      </c>
      <c r="AI139" s="8"/>
      <c r="AJ139" s="8" t="str">
        <f t="array" ref="AJ139">IFERROR(XLOOKUP(AG139, 'リスト'!$E:$E, 'リスト'!$O:$O, ""), "")</f>
        <v/>
      </c>
      <c r="AK139" s="8" t="str">
        <f t="array" ref="AK139">IFERROR(XLOOKUP(AG139, 'リスト'!$E:$E, 'リスト'!$P:$P, ""), "")</f>
        <v/>
      </c>
    </row>
    <row r="140" ht="17.25" customHeight="1">
      <c r="A140" s="587"/>
      <c r="B140" s="588"/>
      <c r="C140" s="590"/>
      <c r="D140" s="8" t="str">
        <f t="array" ref="D140">IFERROR(XLOOKUP(C140, 'リスト'!$E:$E, 'リスト'!$F:$F, ""), "")</f>
        <v/>
      </c>
      <c r="E140" s="8"/>
      <c r="F140" s="8" t="str">
        <f t="array" ref="F140">IFERROR(XLOOKUP(C140, 'リスト'!$E:$E, 'リスト'!$O:$O, ""), "")</f>
        <v/>
      </c>
      <c r="G140" s="8" t="str">
        <f t="array" ref="G140">IFERROR(XLOOKUP(C140, 'リスト'!$E:$E, 'リスト'!$P:$P, ""), "")</f>
        <v/>
      </c>
      <c r="H140" s="590"/>
      <c r="I140" s="8" t="str">
        <f t="array" ref="I140">IFERROR(XLOOKUP(H140, 'リスト'!$E:$E, 'リスト'!$F:$F, ""), "")</f>
        <v/>
      </c>
      <c r="J140" s="8"/>
      <c r="K140" s="8" t="str">
        <f t="array" ref="K140">IFERROR(XLOOKUP(H140, 'リスト'!$E:$E, 'リスト'!$O:$O, ""), "")</f>
        <v/>
      </c>
      <c r="L140" s="8" t="str">
        <f t="array" ref="L140">IFERROR(XLOOKUP(H140, 'リスト'!$E:$E, 'リスト'!$P:$P, ""), "")</f>
        <v/>
      </c>
      <c r="M140" s="590"/>
      <c r="N140" s="8" t="str">
        <f t="array" ref="N140">IFERROR(XLOOKUP(M140, 'リスト'!$E:$E, 'リスト'!$F:$F, ""), "")</f>
        <v/>
      </c>
      <c r="O140" s="8"/>
      <c r="P140" s="8" t="str">
        <f t="array" ref="P140">IFERROR(XLOOKUP(M140, 'リスト'!$E:$E, 'リスト'!$O:$O, ""), "")</f>
        <v/>
      </c>
      <c r="Q140" s="8" t="str">
        <f t="array" ref="Q140">IFERROR(XLOOKUP(M140, 'リスト'!$E:$E, 'リスト'!$P:$P, ""), "")</f>
        <v/>
      </c>
      <c r="R140" s="590"/>
      <c r="S140" s="8" t="str">
        <f t="array" ref="S140">IFERROR(XLOOKUP(R140, 'リスト'!$E:$E, 'リスト'!$F:$F, ""), "")</f>
        <v/>
      </c>
      <c r="T140" s="8"/>
      <c r="U140" s="8" t="str">
        <f t="array" ref="U140">IFERROR(XLOOKUP(R140, 'リスト'!$E:$E, 'リスト'!$O:$O, ""), "")</f>
        <v/>
      </c>
      <c r="V140" s="8" t="str">
        <f t="array" ref="V140">IFERROR(XLOOKUP(R140, 'リスト'!$E:$E, 'リスト'!$P:$P, ""), "")</f>
        <v/>
      </c>
      <c r="W140" s="590"/>
      <c r="X140" s="8" t="str">
        <f t="array" ref="X140">IFERROR(XLOOKUP(W140, 'リスト'!$E:$E, 'リスト'!$F:$F, ""), "")</f>
        <v/>
      </c>
      <c r="Y140" s="8"/>
      <c r="Z140" s="8" t="str">
        <f t="array" ref="Z140">IFERROR(XLOOKUP(W140, 'リスト'!$E:$E, 'リスト'!$O:$O, ""), "")</f>
        <v/>
      </c>
      <c r="AA140" s="8" t="str">
        <f t="array" ref="AA140">IFERROR(XLOOKUP(W140, 'リスト'!$E:$E, 'リスト'!$P:$P, ""), "")</f>
        <v/>
      </c>
      <c r="AB140" s="590"/>
      <c r="AC140" s="8" t="str">
        <f t="array" ref="AC140">IFERROR(XLOOKUP(AB140, 'リスト'!$E:$E, 'リスト'!$F:$F, ""), "")</f>
        <v/>
      </c>
      <c r="AD140" s="8"/>
      <c r="AE140" s="8" t="str">
        <f t="array" ref="AE140">IFERROR(XLOOKUP(AB140, 'リスト'!$E:$E, 'リスト'!$O:$O, ""), "")</f>
        <v/>
      </c>
      <c r="AF140" s="8" t="str">
        <f t="array" ref="AF140">IFERROR(XLOOKUP(AB140, 'リスト'!$E:$E, 'リスト'!$P:$P, ""), "")</f>
        <v/>
      </c>
      <c r="AG140" s="590"/>
      <c r="AH140" s="8" t="str">
        <f t="array" ref="AH140">IFERROR(XLOOKUP(AG140, 'リスト'!$E:$E, 'リスト'!$F:$F, ""), "")</f>
        <v/>
      </c>
      <c r="AI140" s="8"/>
      <c r="AJ140" s="8" t="str">
        <f t="array" ref="AJ140">IFERROR(XLOOKUP(AG140, 'リスト'!$E:$E, 'リスト'!$O:$O, ""), "")</f>
        <v/>
      </c>
      <c r="AK140" s="8" t="str">
        <f t="array" ref="AK140">IFERROR(XLOOKUP(AG140, 'リスト'!$E:$E, 'リスト'!$P:$P, ""), "")</f>
        <v/>
      </c>
    </row>
    <row r="141" ht="17.25" customHeight="1">
      <c r="A141" s="587"/>
      <c r="B141" s="588"/>
      <c r="C141" s="590"/>
      <c r="D141" s="8" t="str">
        <f t="array" ref="D141">IFERROR(XLOOKUP(C141, 'リスト'!$E:$E, 'リスト'!$F:$F, ""), "")</f>
        <v/>
      </c>
      <c r="E141" s="8"/>
      <c r="F141" s="8" t="str">
        <f t="array" ref="F141">IFERROR(XLOOKUP(C141, 'リスト'!$E:$E, 'リスト'!$O:$O, ""), "")</f>
        <v/>
      </c>
      <c r="G141" s="8" t="str">
        <f t="array" ref="G141">IFERROR(XLOOKUP(C141, 'リスト'!$E:$E, 'リスト'!$P:$P, ""), "")</f>
        <v/>
      </c>
      <c r="H141" s="590"/>
      <c r="I141" s="8" t="str">
        <f t="array" ref="I141">IFERROR(XLOOKUP(H141, 'リスト'!$E:$E, 'リスト'!$F:$F, ""), "")</f>
        <v/>
      </c>
      <c r="J141" s="8"/>
      <c r="K141" s="8" t="str">
        <f t="array" ref="K141">IFERROR(XLOOKUP(H141, 'リスト'!$E:$E, 'リスト'!$O:$O, ""), "")</f>
        <v/>
      </c>
      <c r="L141" s="8" t="str">
        <f t="array" ref="L141">IFERROR(XLOOKUP(H141, 'リスト'!$E:$E, 'リスト'!$P:$P, ""), "")</f>
        <v/>
      </c>
      <c r="M141" s="590"/>
      <c r="N141" s="8" t="str">
        <f t="array" ref="N141">IFERROR(XLOOKUP(M141, 'リスト'!$E:$E, 'リスト'!$F:$F, ""), "")</f>
        <v/>
      </c>
      <c r="O141" s="8"/>
      <c r="P141" s="8" t="str">
        <f t="array" ref="P141">IFERROR(XLOOKUP(M141, 'リスト'!$E:$E, 'リスト'!$O:$O, ""), "")</f>
        <v/>
      </c>
      <c r="Q141" s="8" t="str">
        <f t="array" ref="Q141">IFERROR(XLOOKUP(M141, 'リスト'!$E:$E, 'リスト'!$P:$P, ""), "")</f>
        <v/>
      </c>
      <c r="R141" s="590"/>
      <c r="S141" s="8" t="str">
        <f t="array" ref="S141">IFERROR(XLOOKUP(R141, 'リスト'!$E:$E, 'リスト'!$F:$F, ""), "")</f>
        <v/>
      </c>
      <c r="T141" s="8"/>
      <c r="U141" s="8" t="str">
        <f t="array" ref="U141">IFERROR(XLOOKUP(R141, 'リスト'!$E:$E, 'リスト'!$O:$O, ""), "")</f>
        <v/>
      </c>
      <c r="V141" s="8" t="str">
        <f t="array" ref="V141">IFERROR(XLOOKUP(R141, 'リスト'!$E:$E, 'リスト'!$P:$P, ""), "")</f>
        <v/>
      </c>
      <c r="W141" s="590"/>
      <c r="X141" s="8" t="str">
        <f t="array" ref="X141">IFERROR(XLOOKUP(W141, 'リスト'!$E:$E, 'リスト'!$F:$F, ""), "")</f>
        <v/>
      </c>
      <c r="Y141" s="8"/>
      <c r="Z141" s="8" t="str">
        <f t="array" ref="Z141">IFERROR(XLOOKUP(W141, 'リスト'!$E:$E, 'リスト'!$O:$O, ""), "")</f>
        <v/>
      </c>
      <c r="AA141" s="8" t="str">
        <f t="array" ref="AA141">IFERROR(XLOOKUP(W141, 'リスト'!$E:$E, 'リスト'!$P:$P, ""), "")</f>
        <v/>
      </c>
      <c r="AB141" s="590"/>
      <c r="AC141" s="8" t="str">
        <f t="array" ref="AC141">IFERROR(XLOOKUP(AB141, 'リスト'!$E:$E, 'リスト'!$F:$F, ""), "")</f>
        <v/>
      </c>
      <c r="AD141" s="8"/>
      <c r="AE141" s="8" t="str">
        <f t="array" ref="AE141">IFERROR(XLOOKUP(AB141, 'リスト'!$E:$E, 'リスト'!$O:$O, ""), "")</f>
        <v/>
      </c>
      <c r="AF141" s="8" t="str">
        <f t="array" ref="AF141">IFERROR(XLOOKUP(AB141, 'リスト'!$E:$E, 'リスト'!$P:$P, ""), "")</f>
        <v/>
      </c>
      <c r="AG141" s="590"/>
      <c r="AH141" s="8" t="str">
        <f t="array" ref="AH141">IFERROR(XLOOKUP(AG141, 'リスト'!$E:$E, 'リスト'!$F:$F, ""), "")</f>
        <v/>
      </c>
      <c r="AI141" s="8"/>
      <c r="AJ141" s="8" t="str">
        <f t="array" ref="AJ141">IFERROR(XLOOKUP(AG141, 'リスト'!$E:$E, 'リスト'!$O:$O, ""), "")</f>
        <v/>
      </c>
      <c r="AK141" s="8" t="str">
        <f t="array" ref="AK141">IFERROR(XLOOKUP(AG141, 'リスト'!$E:$E, 'リスト'!$P:$P, ""), "")</f>
        <v/>
      </c>
    </row>
    <row r="142" ht="17.25" customHeight="1">
      <c r="A142" s="587"/>
      <c r="B142" s="588"/>
      <c r="C142" s="590"/>
      <c r="D142" s="8" t="str">
        <f t="array" ref="D142">IFERROR(XLOOKUP(C142, 'リスト'!$E:$E, 'リスト'!$F:$F, ""), "")</f>
        <v/>
      </c>
      <c r="E142" s="8"/>
      <c r="F142" s="8" t="str">
        <f t="array" ref="F142">IFERROR(XLOOKUP(C142, 'リスト'!$E:$E, 'リスト'!$O:$O, ""), "")</f>
        <v/>
      </c>
      <c r="G142" s="8" t="str">
        <f t="array" ref="G142">IFERROR(XLOOKUP(C142, 'リスト'!$E:$E, 'リスト'!$P:$P, ""), "")</f>
        <v/>
      </c>
      <c r="H142" s="590"/>
      <c r="I142" s="8" t="str">
        <f t="array" ref="I142">IFERROR(XLOOKUP(H142, 'リスト'!$E:$E, 'リスト'!$F:$F, ""), "")</f>
        <v/>
      </c>
      <c r="J142" s="8"/>
      <c r="K142" s="8" t="str">
        <f t="array" ref="K142">IFERROR(XLOOKUP(H142, 'リスト'!$E:$E, 'リスト'!$O:$O, ""), "")</f>
        <v/>
      </c>
      <c r="L142" s="8" t="str">
        <f t="array" ref="L142">IFERROR(XLOOKUP(H142, 'リスト'!$E:$E, 'リスト'!$P:$P, ""), "")</f>
        <v/>
      </c>
      <c r="M142" s="590"/>
      <c r="N142" s="8" t="str">
        <f t="array" ref="N142">IFERROR(XLOOKUP(M142, 'リスト'!$E:$E, 'リスト'!$F:$F, ""), "")</f>
        <v/>
      </c>
      <c r="O142" s="8"/>
      <c r="P142" s="8" t="str">
        <f t="array" ref="P142">IFERROR(XLOOKUP(M142, 'リスト'!$E:$E, 'リスト'!$O:$O, ""), "")</f>
        <v/>
      </c>
      <c r="Q142" s="8" t="str">
        <f t="array" ref="Q142">IFERROR(XLOOKUP(M142, 'リスト'!$E:$E, 'リスト'!$P:$P, ""), "")</f>
        <v/>
      </c>
      <c r="R142" s="590"/>
      <c r="S142" s="8" t="str">
        <f t="array" ref="S142">IFERROR(XLOOKUP(R142, 'リスト'!$E:$E, 'リスト'!$F:$F, ""), "")</f>
        <v/>
      </c>
      <c r="T142" s="8"/>
      <c r="U142" s="8" t="str">
        <f t="array" ref="U142">IFERROR(XLOOKUP(R142, 'リスト'!$E:$E, 'リスト'!$O:$O, ""), "")</f>
        <v/>
      </c>
      <c r="V142" s="8" t="str">
        <f t="array" ref="V142">IFERROR(XLOOKUP(R142, 'リスト'!$E:$E, 'リスト'!$P:$P, ""), "")</f>
        <v/>
      </c>
      <c r="W142" s="590"/>
      <c r="X142" s="8" t="str">
        <f t="array" ref="X142">IFERROR(XLOOKUP(W142, 'リスト'!$E:$E, 'リスト'!$F:$F, ""), "")</f>
        <v/>
      </c>
      <c r="Y142" s="8"/>
      <c r="Z142" s="8" t="str">
        <f t="array" ref="Z142">IFERROR(XLOOKUP(W142, 'リスト'!$E:$E, 'リスト'!$O:$O, ""), "")</f>
        <v/>
      </c>
      <c r="AA142" s="8" t="str">
        <f t="array" ref="AA142">IFERROR(XLOOKUP(W142, 'リスト'!$E:$E, 'リスト'!$P:$P, ""), "")</f>
        <v/>
      </c>
      <c r="AB142" s="590"/>
      <c r="AC142" s="8" t="str">
        <f t="array" ref="AC142">IFERROR(XLOOKUP(AB142, 'リスト'!$E:$E, 'リスト'!$F:$F, ""), "")</f>
        <v/>
      </c>
      <c r="AD142" s="8"/>
      <c r="AE142" s="8" t="str">
        <f t="array" ref="AE142">IFERROR(XLOOKUP(AB142, 'リスト'!$E:$E, 'リスト'!$O:$O, ""), "")</f>
        <v/>
      </c>
      <c r="AF142" s="8" t="str">
        <f t="array" ref="AF142">IFERROR(XLOOKUP(AB142, 'リスト'!$E:$E, 'リスト'!$P:$P, ""), "")</f>
        <v/>
      </c>
      <c r="AG142" s="590"/>
      <c r="AH142" s="8" t="str">
        <f t="array" ref="AH142">IFERROR(XLOOKUP(AG142, 'リスト'!$E:$E, 'リスト'!$F:$F, ""), "")</f>
        <v/>
      </c>
      <c r="AI142" s="8"/>
      <c r="AJ142" s="8" t="str">
        <f t="array" ref="AJ142">IFERROR(XLOOKUP(AG142, 'リスト'!$E:$E, 'リスト'!$O:$O, ""), "")</f>
        <v/>
      </c>
      <c r="AK142" s="8" t="str">
        <f t="array" ref="AK142">IFERROR(XLOOKUP(AG142, 'リスト'!$E:$E, 'リスト'!$P:$P, ""), "")</f>
        <v/>
      </c>
    </row>
    <row r="143" ht="17.25" customHeight="1">
      <c r="A143" s="587"/>
      <c r="B143" s="588"/>
      <c r="C143" s="590"/>
      <c r="D143" s="8" t="str">
        <f t="array" ref="D143">IFERROR(XLOOKUP(C143, 'リスト'!$E:$E, 'リスト'!$F:$F, ""), "")</f>
        <v/>
      </c>
      <c r="E143" s="8"/>
      <c r="F143" s="8" t="str">
        <f t="array" ref="F143">IFERROR(XLOOKUP(C143, 'リスト'!$E:$E, 'リスト'!$O:$O, ""), "")</f>
        <v/>
      </c>
      <c r="G143" s="8" t="str">
        <f t="array" ref="G143">IFERROR(XLOOKUP(C143, 'リスト'!$E:$E, 'リスト'!$P:$P, ""), "")</f>
        <v/>
      </c>
      <c r="H143" s="590"/>
      <c r="I143" s="8" t="str">
        <f t="array" ref="I143">IFERROR(XLOOKUP(H143, 'リスト'!$E:$E, 'リスト'!$F:$F, ""), "")</f>
        <v/>
      </c>
      <c r="J143" s="8"/>
      <c r="K143" s="8" t="str">
        <f t="array" ref="K143">IFERROR(XLOOKUP(H143, 'リスト'!$E:$E, 'リスト'!$O:$O, ""), "")</f>
        <v/>
      </c>
      <c r="L143" s="8" t="str">
        <f t="array" ref="L143">IFERROR(XLOOKUP(H143, 'リスト'!$E:$E, 'リスト'!$P:$P, ""), "")</f>
        <v/>
      </c>
      <c r="M143" s="590"/>
      <c r="N143" s="8" t="str">
        <f t="array" ref="N143">IFERROR(XLOOKUP(M143, 'リスト'!$E:$E, 'リスト'!$F:$F, ""), "")</f>
        <v/>
      </c>
      <c r="O143" s="8"/>
      <c r="P143" s="8" t="str">
        <f t="array" ref="P143">IFERROR(XLOOKUP(M143, 'リスト'!$E:$E, 'リスト'!$O:$O, ""), "")</f>
        <v/>
      </c>
      <c r="Q143" s="8" t="str">
        <f t="array" ref="Q143">IFERROR(XLOOKUP(M143, 'リスト'!$E:$E, 'リスト'!$P:$P, ""), "")</f>
        <v/>
      </c>
      <c r="R143" s="590"/>
      <c r="S143" s="8" t="str">
        <f t="array" ref="S143">IFERROR(XLOOKUP(R143, 'リスト'!$E:$E, 'リスト'!$F:$F, ""), "")</f>
        <v/>
      </c>
      <c r="T143" s="8"/>
      <c r="U143" s="8" t="str">
        <f t="array" ref="U143">IFERROR(XLOOKUP(R143, 'リスト'!$E:$E, 'リスト'!$O:$O, ""), "")</f>
        <v/>
      </c>
      <c r="V143" s="8" t="str">
        <f t="array" ref="V143">IFERROR(XLOOKUP(R143, 'リスト'!$E:$E, 'リスト'!$P:$P, ""), "")</f>
        <v/>
      </c>
      <c r="W143" s="590"/>
      <c r="X143" s="8" t="str">
        <f t="array" ref="X143">IFERROR(XLOOKUP(W143, 'リスト'!$E:$E, 'リスト'!$F:$F, ""), "")</f>
        <v/>
      </c>
      <c r="Y143" s="8"/>
      <c r="Z143" s="8" t="str">
        <f t="array" ref="Z143">IFERROR(XLOOKUP(W143, 'リスト'!$E:$E, 'リスト'!$O:$O, ""), "")</f>
        <v/>
      </c>
      <c r="AA143" s="8" t="str">
        <f t="array" ref="AA143">IFERROR(XLOOKUP(W143, 'リスト'!$E:$E, 'リスト'!$P:$P, ""), "")</f>
        <v/>
      </c>
      <c r="AB143" s="590"/>
      <c r="AC143" s="8" t="str">
        <f t="array" ref="AC143">IFERROR(XLOOKUP(AB143, 'リスト'!$E:$E, 'リスト'!$F:$F, ""), "")</f>
        <v/>
      </c>
      <c r="AD143" s="8"/>
      <c r="AE143" s="8" t="str">
        <f t="array" ref="AE143">IFERROR(XLOOKUP(AB143, 'リスト'!$E:$E, 'リスト'!$O:$O, ""), "")</f>
        <v/>
      </c>
      <c r="AF143" s="8" t="str">
        <f t="array" ref="AF143">IFERROR(XLOOKUP(AB143, 'リスト'!$E:$E, 'リスト'!$P:$P, ""), "")</f>
        <v/>
      </c>
      <c r="AG143" s="590"/>
      <c r="AH143" s="8" t="str">
        <f t="array" ref="AH143">IFERROR(XLOOKUP(AG143, 'リスト'!$E:$E, 'リスト'!$F:$F, ""), "")</f>
        <v/>
      </c>
      <c r="AI143" s="8"/>
      <c r="AJ143" s="8" t="str">
        <f t="array" ref="AJ143">IFERROR(XLOOKUP(AG143, 'リスト'!$E:$E, 'リスト'!$O:$O, ""), "")</f>
        <v/>
      </c>
      <c r="AK143" s="8" t="str">
        <f t="array" ref="AK143">IFERROR(XLOOKUP(AG143, 'リスト'!$E:$E, 'リスト'!$P:$P, ""), "")</f>
        <v/>
      </c>
    </row>
    <row r="144" ht="17.25" customHeight="1">
      <c r="A144" s="587"/>
      <c r="B144" s="592"/>
      <c r="C144" s="590"/>
      <c r="D144" s="8" t="str">
        <f t="array" ref="D144">IFERROR(XLOOKUP(C144, '新規'!$E:$E, '新規'!$F:$F, ""), "")</f>
        <v/>
      </c>
      <c r="E144" s="8"/>
      <c r="F144" s="8" t="str">
        <f t="array" ref="F144">IFERROR(XLOOKUP(C144, '新規'!$E:$E, '新規'!$O:$O, ""), "")</f>
        <v/>
      </c>
      <c r="G144" s="8" t="str">
        <f t="array" ref="G144">IFERROR(XLOOKUP(C144, '新規'!$E:$E, '新規'!$P:$P, ""), "")</f>
        <v/>
      </c>
      <c r="H144" s="590"/>
      <c r="I144" s="8" t="str">
        <f t="array" ref="I144">IFERROR(XLOOKUP(H144, '新規'!$E:$E, '新規'!$F:$F, ""), "")</f>
        <v/>
      </c>
      <c r="J144" s="8"/>
      <c r="K144" s="8" t="str">
        <f t="array" ref="K144">IFERROR(XLOOKUP(H144, '新規'!$E:$E, '新規'!$O:$O, ""), "")</f>
        <v/>
      </c>
      <c r="L144" s="8" t="str">
        <f t="array" ref="L144">IFERROR(XLOOKUP(H144, '新規'!$E:$E, '新規'!$P:$P, ""), "")</f>
        <v/>
      </c>
      <c r="M144" s="590"/>
      <c r="N144" s="8" t="str">
        <f t="array" ref="N144">IFERROR(XLOOKUP(M144, '新規'!$E:$E, '新規'!$F:$F, ""), "")</f>
        <v/>
      </c>
      <c r="O144" s="8"/>
      <c r="P144" s="8" t="str">
        <f t="array" ref="P144">IFERROR(XLOOKUP(M144, '新規'!$E:$E, '新規'!$O:$O, ""), "")</f>
        <v/>
      </c>
      <c r="Q144" s="8" t="str">
        <f t="array" ref="Q144">IFERROR(XLOOKUP(M144, '新規'!$E:$E, '新規'!$P:$P, ""), "")</f>
        <v/>
      </c>
      <c r="R144" s="590"/>
      <c r="S144" s="8" t="str">
        <f t="array" ref="S144">IFERROR(XLOOKUP(R144, '新規'!$E:$E, '新規'!$F:$F, ""), "")</f>
        <v/>
      </c>
      <c r="T144" s="8"/>
      <c r="U144" s="8" t="str">
        <f t="array" ref="U144">IFERROR(XLOOKUP(R144, '新規'!$E:$E, '新規'!$O:$O, ""), "")</f>
        <v/>
      </c>
      <c r="V144" s="8" t="str">
        <f t="array" ref="V144">IFERROR(XLOOKUP(R144, '新規'!$E:$E, '新規'!$P:$P, ""), "")</f>
        <v/>
      </c>
      <c r="W144" s="590"/>
      <c r="X144" s="8" t="str">
        <f t="array" ref="X144">IFERROR(XLOOKUP(W144, '新規'!$E:$E, '新規'!$F:$F, ""), "")</f>
        <v/>
      </c>
      <c r="Y144" s="8"/>
      <c r="Z144" s="8" t="str">
        <f t="array" ref="Z144">IFERROR(XLOOKUP(W144, '新規'!$E:$E, '新規'!$O:$O, ""), "")</f>
        <v/>
      </c>
      <c r="AA144" s="8" t="str">
        <f t="array" ref="AA144">IFERROR(XLOOKUP(W144, '新規'!$E:$E, '新規'!$P:$P, ""), "")</f>
        <v/>
      </c>
      <c r="AB144" s="590"/>
      <c r="AC144" s="8" t="str">
        <f t="array" ref="AC144">IFERROR(XLOOKUP(AB144, '新規'!$E:$E, '新規'!$F:$F, ""), "")</f>
        <v/>
      </c>
      <c r="AD144" s="8"/>
      <c r="AE144" s="8" t="str">
        <f t="array" ref="AE144">IFERROR(XLOOKUP(AB144, '新規'!$E:$E, '新規'!$O:$O, ""), "")</f>
        <v/>
      </c>
      <c r="AF144" s="8" t="str">
        <f t="array" ref="AF144">IFERROR(XLOOKUP(AB144, '新規'!$E:$E, '新規'!$P:$P, ""), "")</f>
        <v/>
      </c>
      <c r="AG144" s="590"/>
      <c r="AH144" s="8" t="str">
        <f t="array" ref="AH144">IFERROR(XLOOKUP(AG144, '新規'!$E:$E, '新規'!$F:$F, ""), "")</f>
        <v/>
      </c>
      <c r="AI144" s="8"/>
      <c r="AJ144" s="8" t="str">
        <f t="array" ref="AJ144">IFERROR(XLOOKUP(AG144, '新規'!$E:$E, '新規'!$O:$O, ""), "")</f>
        <v/>
      </c>
      <c r="AK144" s="8" t="str">
        <f t="array" ref="AK144">IFERROR(XLOOKUP(AG144, '新規'!$E:$E, '新規'!$P:$P, ""), "")</f>
        <v/>
      </c>
    </row>
    <row r="145" ht="17.25" customHeight="1">
      <c r="A145" s="587"/>
      <c r="B145" s="585" t="s">
        <v>78</v>
      </c>
      <c r="C145" s="590" t="str">
        <f>IFERROR(__xludf.DUMMYFUNCTION("IFERROR(FILTER('新規'!$E$3:$E$170, ('新規'!$B$3:$B$170=LOOKUP(2,1/($A$3:$A145&lt;&gt;""""),$A$3:$A145))*(('新規'!$A$3:$A$170=C$1)+(('新規'!$G$3:$G$170=""毎月配信"")*(TEXT('新規'!$A$3:$A$170,""ddd"")=TEXT(C$1, ""ddd""))))), """")"),"")</f>
        <v/>
      </c>
      <c r="D145" s="8" t="str">
        <f t="array" ref="D145">IFERROR(XLOOKUP(C145, '新規'!$E:$E, '新規'!$F:$F, ""), "")</f>
        <v/>
      </c>
      <c r="E145" s="8"/>
      <c r="F145" s="8" t="str">
        <f>IFERROR(__xludf.DUMMYFUNCTION("IF(C145="""","""",IFERROR(INDEX(FILTER('新規'!$O$3:$O$670, '新規'!$E$3:$E$670=C145),1),""""))"),"")</f>
        <v/>
      </c>
      <c r="G145" s="8" t="str">
        <f>IFERROR(__xludf.DUMMYFUNCTION("IF(C145="""","""",IFERROR(INDEX(FILTER('新規'!$P$3:$P$670, '新規'!$E$3:$E$670=C145),1),""""))"),"")</f>
        <v/>
      </c>
      <c r="H145" s="590" t="str">
        <f>IFERROR(__xludf.DUMMYFUNCTION("IFERROR(FILTER('新規'!$E$3:$E$170, ('新規'!$B$3:$B$170=LOOKUP(2,1/($A$3:$A145&lt;&gt;""""),$A$3:$A145))*(('新規'!$A$3:$A$170=H$1)+(('新規'!$G$3:$G$170=""毎月配信"")*(TEXT('新規'!$A$3:$A$170,""ddd"")=TEXT(H$1, ""ddd""))))), """")"),"")</f>
        <v/>
      </c>
      <c r="I145" s="8" t="str">
        <f t="array" ref="I145">IFERROR(XLOOKUP(H145, '新規'!$E:$E, '新規'!$F:$F, ""), "")</f>
        <v/>
      </c>
      <c r="J145" s="8"/>
      <c r="K145" s="8" t="str">
        <f>IFERROR(__xludf.DUMMYFUNCTION("IF(H145="""","""",IFERROR(INDEX(FILTER('新規'!$O$3:$O$670, '新規'!$E$3:$E$670=H145),1),""""))"),"")</f>
        <v/>
      </c>
      <c r="L145" s="8" t="str">
        <f>IFERROR(__xludf.DUMMYFUNCTION("IF(H145="""","""",IFERROR(INDEX(FILTER('新規'!$P$3:$P$670, '新規'!$E$3:$E$670=H145),1),""""))"),"")</f>
        <v/>
      </c>
      <c r="M145" s="590" t="str">
        <f>IFERROR(__xludf.DUMMYFUNCTION("IFERROR(FILTER('新規'!$E$3:$E$170, ('新規'!$B$3:$B$170=LOOKUP(2,1/($A$3:$A145&lt;&gt;""""),$A$3:$A145))*(('新規'!$A$3:$A$170=M$1)+(('新規'!$G$3:$G$170=""毎月配信"")*(TEXT('新規'!$A$3:$A$170,""ddd"")=TEXT(M$1, ""ddd""))))), """")"),"")</f>
        <v/>
      </c>
      <c r="N145" s="8" t="str">
        <f t="array" ref="N145">IFERROR(XLOOKUP(M145, '新規'!$E:$E, '新規'!$F:$F, ""), "")</f>
        <v/>
      </c>
      <c r="O145" s="8"/>
      <c r="P145" s="8" t="str">
        <f>IFERROR(__xludf.DUMMYFUNCTION("IF(M145="""","""",IFERROR(INDEX(FILTER('新規'!$O$3:$O$670, '新規'!$E$3:$E$670=M145),1),""""))"),"")</f>
        <v/>
      </c>
      <c r="Q145" s="8" t="str">
        <f>IFERROR(__xludf.DUMMYFUNCTION("IF(M145="""","""",IFERROR(INDEX(FILTER('新規'!$P$3:$P$670, '新規'!$E$3:$E$670=M145),1),""""))"),"")</f>
        <v/>
      </c>
      <c r="R145" s="590" t="str">
        <f>IFERROR(__xludf.DUMMYFUNCTION("IFERROR(FILTER('新規'!$E$3:$E$170, ('新規'!$B$3:$B$170=LOOKUP(2,1/($A$3:$A145&lt;&gt;""""),$A$3:$A145))*(('新規'!$A$3:$A$170=R$1)+(('新規'!$G$3:$G$170=""毎月配信"")*(TEXT('新規'!$A$3:$A$170,""ddd"")=TEXT(R$1, ""ddd""))))), """")"),"")</f>
        <v/>
      </c>
      <c r="S145" s="8" t="str">
        <f t="array" ref="S145">IFERROR(XLOOKUP(R145, '新規'!$E:$E, '新規'!$F:$F, ""), "")</f>
        <v/>
      </c>
      <c r="T145" s="8"/>
      <c r="U145" s="8" t="str">
        <f>IFERROR(__xludf.DUMMYFUNCTION("IF(R145="""","""",IFERROR(INDEX(FILTER('新規'!$O$3:$O$670, '新規'!$E$3:$E$670=R145),1),""""))"),"")</f>
        <v/>
      </c>
      <c r="V145" s="8" t="str">
        <f>IFERROR(__xludf.DUMMYFUNCTION("IF(R145="""","""",IFERROR(INDEX(FILTER('新規'!$P$3:$P$670, '新規'!$E$3:$E$670=R145),1),""""))"),"")</f>
        <v/>
      </c>
      <c r="W145" s="590" t="str">
        <f>IFERROR(__xludf.DUMMYFUNCTION("IFERROR(FILTER('新規'!$E$3:$E$170, ('新規'!$B$3:$B$170=LOOKUP(2,1/($A$3:$A145&lt;&gt;""""),$A$3:$A145))*(('新規'!$A$3:$A$170=W$1)+(('新規'!$G$3:$G$170=""毎月配信"")*(TEXT('新規'!$A$3:$A$170,""ddd"")=TEXT(W$1, ""ddd""))))), """")"),"")</f>
        <v/>
      </c>
      <c r="X145" s="8" t="str">
        <f t="array" ref="X145">IFERROR(XLOOKUP(W145, '新規'!$E:$E, '新規'!$F:$F, ""), "")</f>
        <v/>
      </c>
      <c r="Y145" s="8"/>
      <c r="Z145" s="8" t="str">
        <f>IFERROR(__xludf.DUMMYFUNCTION("IF(W145="""","""",IFERROR(INDEX(FILTER('新規'!$O$3:$O$670, '新規'!$E$3:$E$670=W145),1),""""))"),"")</f>
        <v/>
      </c>
      <c r="AA145" s="8" t="str">
        <f>IFERROR(__xludf.DUMMYFUNCTION("IF(W145="""","""",IFERROR(INDEX(FILTER('新規'!$P$3:$P$670, '新規'!$E$3:$E$670=W145),1),""""))"),"")</f>
        <v/>
      </c>
      <c r="AB145" s="590" t="str">
        <f>IFERROR(__xludf.DUMMYFUNCTION("IFERROR(FILTER('新規'!$E$3:$E$170, ('新規'!$B$3:$B$170=LOOKUP(2,1/($A$3:$A145&lt;&gt;""""),$A$3:$A145))*(('新規'!$A$3:$A$170=AB$1)+(('新規'!$G$3:$G$170=""毎月配信"")*(TEXT('新規'!$A$3:$A$170,""ddd"")=TEXT(AB$1, ""ddd""))))), """")"),"")</f>
        <v/>
      </c>
      <c r="AC145" s="8" t="str">
        <f t="array" ref="AC145">IFERROR(XLOOKUP(AB145, '新規'!$E:$E, '新規'!$F:$F, ""), "")</f>
        <v/>
      </c>
      <c r="AD145" s="8"/>
      <c r="AE145" s="8" t="str">
        <f>IFERROR(__xludf.DUMMYFUNCTION("IF(AB145="""","""",IFERROR(INDEX(FILTER('新規'!$O$3:$O$670, '新規'!$E$3:$E$670=AB145),1),""""))"),"")</f>
        <v/>
      </c>
      <c r="AF145" s="8" t="str">
        <f>IFERROR(__xludf.DUMMYFUNCTION("IF(AB145="""","""",IFERROR(INDEX(FILTER('新規'!$P$3:$P$670, '新規'!$E$3:$E$670=AB145),1),""""))"),"")</f>
        <v/>
      </c>
      <c r="AG145" s="590" t="str">
        <f>IFERROR(__xludf.DUMMYFUNCTION("IFERROR(FILTER('新規'!$E$3:$E$170, ('新規'!$B$3:$B$170=LOOKUP(2,1/($A$3:$A145&lt;&gt;""""),$A$3:$A145))*(('新規'!$A$3:$A$170=AG$1)+(('新規'!$G$3:$G$170=""毎月配信"")*(TEXT('新規'!$A$3:$A$170,""ddd"")=TEXT(AG$1, ""ddd""))))), """")"),"")</f>
        <v/>
      </c>
      <c r="AH145" s="8" t="str">
        <f t="array" ref="AH145">IFERROR(XLOOKUP(AG145, '新規'!$E:$E, '新規'!$F:$F, ""), "")</f>
        <v/>
      </c>
      <c r="AI145" s="8"/>
      <c r="AJ145" s="8" t="str">
        <f>IFERROR(__xludf.DUMMYFUNCTION("IF(AG145="""","""",IFERROR(INDEX(FILTER('新規'!$O$3:$O$670, '新規'!$E$3:$E$670=AG145),1),""""))"),"")</f>
        <v/>
      </c>
      <c r="AK145" s="8" t="str">
        <f>IFERROR(__xludf.DUMMYFUNCTION("IF(AG145="""","""",IFERROR(INDEX(FILTER('新規'!$P$3:$P$670, '新規'!$E$3:$E$670=AG145),1),""""))"),"")</f>
        <v/>
      </c>
    </row>
    <row r="146" ht="17.25" customHeight="1">
      <c r="A146" s="587"/>
      <c r="B146" s="588"/>
      <c r="C146" s="590"/>
      <c r="D146" s="8" t="str">
        <f t="array" ref="D146">IFERROR(XLOOKUP(C146, '新規'!$E:$E, '新規'!$F:$F, ""), "")</f>
        <v/>
      </c>
      <c r="E146" s="8"/>
      <c r="F146" s="8" t="str">
        <f t="array" ref="F146">IFERROR(XLOOKUP(C146, '新規'!$E:$E, '新規'!$O:$O, ""), "")</f>
        <v/>
      </c>
      <c r="G146" s="8" t="str">
        <f t="array" ref="G146">IFERROR(XLOOKUP(C146, '新規'!$E:$E, '新規'!$P:$P, ""), "")</f>
        <v/>
      </c>
      <c r="H146" s="590"/>
      <c r="I146" s="8" t="str">
        <f t="array" ref="I146">IFERROR(XLOOKUP(H146, '新規'!$E:$E, '新規'!$F:$F, ""), "")</f>
        <v/>
      </c>
      <c r="J146" s="8"/>
      <c r="K146" s="8" t="str">
        <f t="array" ref="K146">IFERROR(XLOOKUP(H146, '新規'!$E:$E, '新規'!$O:$O, ""), "")</f>
        <v/>
      </c>
      <c r="L146" s="8" t="str">
        <f t="array" ref="L146">IFERROR(XLOOKUP(H146, '新規'!$E:$E, '新規'!$P:$P, ""), "")</f>
        <v/>
      </c>
      <c r="M146" s="590"/>
      <c r="N146" s="8" t="str">
        <f t="array" ref="N146">IFERROR(XLOOKUP(M146, '新規'!$E:$E, '新規'!$F:$F, ""), "")</f>
        <v/>
      </c>
      <c r="O146" s="8"/>
      <c r="P146" s="8" t="str">
        <f t="array" ref="P146">IFERROR(XLOOKUP(M146, '新規'!$E:$E, '新規'!$O:$O, ""), "")</f>
        <v/>
      </c>
      <c r="Q146" s="8" t="str">
        <f t="array" ref="Q146">IFERROR(XLOOKUP(M146, '新規'!$E:$E, '新規'!$P:$P, ""), "")</f>
        <v/>
      </c>
      <c r="R146" s="590"/>
      <c r="S146" s="8" t="str">
        <f t="array" ref="S146">IFERROR(XLOOKUP(R146, '新規'!$E:$E, '新規'!$F:$F, ""), "")</f>
        <v/>
      </c>
      <c r="T146" s="8"/>
      <c r="U146" s="8" t="str">
        <f t="array" ref="U146">IFERROR(XLOOKUP(R146, '新規'!$E:$E, '新規'!$O:$O, ""), "")</f>
        <v/>
      </c>
      <c r="V146" s="8" t="str">
        <f t="array" ref="V146">IFERROR(XLOOKUP(R146, '新規'!$E:$E, '新規'!$P:$P, ""), "")</f>
        <v/>
      </c>
      <c r="W146" s="590"/>
      <c r="X146" s="8" t="str">
        <f t="array" ref="X146">IFERROR(XLOOKUP(W146, '新規'!$E:$E, '新規'!$F:$F, ""), "")</f>
        <v/>
      </c>
      <c r="Y146" s="8"/>
      <c r="Z146" s="8" t="str">
        <f t="array" ref="Z146">IFERROR(XLOOKUP(W146, '新規'!$E:$E, '新規'!$O:$O, ""), "")</f>
        <v/>
      </c>
      <c r="AA146" s="8" t="str">
        <f t="array" ref="AA146">IFERROR(XLOOKUP(W146, '新規'!$E:$E, '新規'!$P:$P, ""), "")</f>
        <v/>
      </c>
      <c r="AB146" s="590"/>
      <c r="AC146" s="8" t="str">
        <f t="array" ref="AC146">IFERROR(XLOOKUP(AB146, '新規'!$E:$E, '新規'!$F:$F, ""), "")</f>
        <v/>
      </c>
      <c r="AD146" s="8"/>
      <c r="AE146" s="8" t="str">
        <f t="array" ref="AE146">IFERROR(XLOOKUP(AB146, '新規'!$E:$E, '新規'!$O:$O, ""), "")</f>
        <v/>
      </c>
      <c r="AF146" s="8" t="str">
        <f t="array" ref="AF146">IFERROR(XLOOKUP(AB146, '新規'!$E:$E, '新規'!$P:$P, ""), "")</f>
        <v/>
      </c>
      <c r="AG146" s="590"/>
      <c r="AH146" s="8" t="str">
        <f t="array" ref="AH146">IFERROR(XLOOKUP(AG146, '新規'!$E:$E, '新規'!$F:$F, ""), "")</f>
        <v/>
      </c>
      <c r="AI146" s="8"/>
      <c r="AJ146" s="8" t="str">
        <f t="array" ref="AJ146">IFERROR(XLOOKUP(AG146, '新規'!$E:$E, '新規'!$O:$O, ""), "")</f>
        <v/>
      </c>
      <c r="AK146" s="8" t="str">
        <f t="array" ref="AK146">IFERROR(XLOOKUP(AG146, '新規'!$E:$E, '新規'!$P:$P, ""), "")</f>
        <v/>
      </c>
    </row>
    <row r="147" ht="17.25" customHeight="1">
      <c r="A147" s="587"/>
      <c r="B147" s="588"/>
      <c r="C147" s="590"/>
      <c r="D147" s="8" t="str">
        <f t="array" ref="D147">IFERROR(XLOOKUP(C147, '新規'!$E:$E, '新規'!$F:$F, ""), "")</f>
        <v/>
      </c>
      <c r="E147" s="8"/>
      <c r="F147" s="8" t="str">
        <f t="array" ref="F147">IFERROR(XLOOKUP(C147, '新規'!$E:$E, '新規'!$O:$O, ""), "")</f>
        <v/>
      </c>
      <c r="G147" s="8" t="str">
        <f t="array" ref="G147">IFERROR(XLOOKUP(C147, '新規'!$E:$E, '新規'!$P:$P, ""), "")</f>
        <v/>
      </c>
      <c r="H147" s="590"/>
      <c r="I147" s="8" t="str">
        <f t="array" ref="I147">IFERROR(XLOOKUP(H147, '新規'!$E:$E, '新規'!$F:$F, ""), "")</f>
        <v/>
      </c>
      <c r="J147" s="8"/>
      <c r="K147" s="8" t="str">
        <f t="array" ref="K147">IFERROR(XLOOKUP(H147, '新規'!$E:$E, '新規'!$O:$O, ""), "")</f>
        <v/>
      </c>
      <c r="L147" s="8" t="str">
        <f t="array" ref="L147">IFERROR(XLOOKUP(H147, '新規'!$E:$E, '新規'!$P:$P, ""), "")</f>
        <v/>
      </c>
      <c r="M147" s="590"/>
      <c r="N147" s="8" t="str">
        <f t="array" ref="N147">IFERROR(XLOOKUP(M147, '新規'!$E:$E, '新規'!$F:$F, ""), "")</f>
        <v/>
      </c>
      <c r="O147" s="8"/>
      <c r="P147" s="8" t="str">
        <f t="array" ref="P147">IFERROR(XLOOKUP(M147, '新規'!$E:$E, '新規'!$O:$O, ""), "")</f>
        <v/>
      </c>
      <c r="Q147" s="8" t="str">
        <f t="array" ref="Q147">IFERROR(XLOOKUP(M147, '新規'!$E:$E, '新規'!$P:$P, ""), "")</f>
        <v/>
      </c>
      <c r="R147" s="590"/>
      <c r="S147" s="8" t="str">
        <f t="array" ref="S147">IFERROR(XLOOKUP(R147, '新規'!$E:$E, '新規'!$F:$F, ""), "")</f>
        <v/>
      </c>
      <c r="T147" s="8"/>
      <c r="U147" s="8" t="str">
        <f t="array" ref="U147">IFERROR(XLOOKUP(R147, '新規'!$E:$E, '新規'!$O:$O, ""), "")</f>
        <v/>
      </c>
      <c r="V147" s="8" t="str">
        <f t="array" ref="V147">IFERROR(XLOOKUP(R147, '新規'!$E:$E, '新規'!$P:$P, ""), "")</f>
        <v/>
      </c>
      <c r="W147" s="590"/>
      <c r="X147" s="8" t="str">
        <f t="array" ref="X147">IFERROR(XLOOKUP(W147, '新規'!$E:$E, '新規'!$F:$F, ""), "")</f>
        <v/>
      </c>
      <c r="Y147" s="8"/>
      <c r="Z147" s="8" t="str">
        <f t="array" ref="Z147">IFERROR(XLOOKUP(W147, '新規'!$E:$E, '新規'!$O:$O, ""), "")</f>
        <v/>
      </c>
      <c r="AA147" s="8" t="str">
        <f t="array" ref="AA147">IFERROR(XLOOKUP(W147, '新規'!$E:$E, '新規'!$P:$P, ""), "")</f>
        <v/>
      </c>
      <c r="AB147" s="590"/>
      <c r="AC147" s="8" t="str">
        <f t="array" ref="AC147">IFERROR(XLOOKUP(AB147, '新規'!$E:$E, '新規'!$F:$F, ""), "")</f>
        <v/>
      </c>
      <c r="AD147" s="8"/>
      <c r="AE147" s="8" t="str">
        <f t="array" ref="AE147">IFERROR(XLOOKUP(AB147, '新規'!$E:$E, '新規'!$O:$O, ""), "")</f>
        <v/>
      </c>
      <c r="AF147" s="8" t="str">
        <f t="array" ref="AF147">IFERROR(XLOOKUP(AB147, '新規'!$E:$E, '新規'!$P:$P, ""), "")</f>
        <v/>
      </c>
      <c r="AG147" s="590"/>
      <c r="AH147" s="8" t="str">
        <f t="array" ref="AH147">IFERROR(XLOOKUP(AG147, '新規'!$E:$E, '新規'!$F:$F, ""), "")</f>
        <v/>
      </c>
      <c r="AI147" s="8"/>
      <c r="AJ147" s="8" t="str">
        <f t="array" ref="AJ147">IFERROR(XLOOKUP(AG147, '新規'!$E:$E, '新規'!$O:$O, ""), "")</f>
        <v/>
      </c>
      <c r="AK147" s="8" t="str">
        <f t="array" ref="AK147">IFERROR(XLOOKUP(AG147, '新規'!$E:$E, '新規'!$P:$P, ""), "")</f>
        <v/>
      </c>
    </row>
    <row r="148" ht="17.25" customHeight="1">
      <c r="A148" s="587"/>
      <c r="B148" s="588"/>
      <c r="C148" s="590"/>
      <c r="D148" s="8" t="str">
        <f t="array" ref="D148">IFERROR(XLOOKUP(C148, '新規'!$E:$E, '新規'!$F:$F, ""), "")</f>
        <v/>
      </c>
      <c r="E148" s="8"/>
      <c r="F148" s="8" t="str">
        <f t="array" ref="F148">IFERROR(XLOOKUP(C148, '新規'!$E:$E, '新規'!$O:$O, ""), "")</f>
        <v/>
      </c>
      <c r="G148" s="8" t="str">
        <f t="array" ref="G148">IFERROR(XLOOKUP(C148, '新規'!$E:$E, '新規'!$P:$P, ""), "")</f>
        <v/>
      </c>
      <c r="H148" s="590"/>
      <c r="I148" s="8" t="str">
        <f t="array" ref="I148">IFERROR(XLOOKUP(H148, '新規'!$E:$E, '新規'!$F:$F, ""), "")</f>
        <v/>
      </c>
      <c r="J148" s="8"/>
      <c r="K148" s="8" t="str">
        <f t="array" ref="K148">IFERROR(XLOOKUP(H148, '新規'!$E:$E, '新規'!$O:$O, ""), "")</f>
        <v/>
      </c>
      <c r="L148" s="8" t="str">
        <f t="array" ref="L148">IFERROR(XLOOKUP(H148, '新規'!$E:$E, '新規'!$P:$P, ""), "")</f>
        <v/>
      </c>
      <c r="M148" s="590"/>
      <c r="N148" s="8" t="str">
        <f t="array" ref="N148">IFERROR(XLOOKUP(M148, '新規'!$E:$E, '新規'!$F:$F, ""), "")</f>
        <v/>
      </c>
      <c r="O148" s="8"/>
      <c r="P148" s="8" t="str">
        <f t="array" ref="P148">IFERROR(XLOOKUP(M148, '新規'!$E:$E, '新規'!$O:$O, ""), "")</f>
        <v/>
      </c>
      <c r="Q148" s="8" t="str">
        <f t="array" ref="Q148">IFERROR(XLOOKUP(M148, '新規'!$E:$E, '新規'!$P:$P, ""), "")</f>
        <v/>
      </c>
      <c r="R148" s="590"/>
      <c r="S148" s="8" t="str">
        <f t="array" ref="S148">IFERROR(XLOOKUP(R148, '新規'!$E:$E, '新規'!$F:$F, ""), "")</f>
        <v/>
      </c>
      <c r="T148" s="8"/>
      <c r="U148" s="8" t="str">
        <f t="array" ref="U148">IFERROR(XLOOKUP(R148, '新規'!$E:$E, '新規'!$O:$O, ""), "")</f>
        <v/>
      </c>
      <c r="V148" s="8" t="str">
        <f t="array" ref="V148">IFERROR(XLOOKUP(R148, '新規'!$E:$E, '新規'!$P:$P, ""), "")</f>
        <v/>
      </c>
      <c r="W148" s="590"/>
      <c r="X148" s="8" t="str">
        <f t="array" ref="X148">IFERROR(XLOOKUP(W148, '新規'!$E:$E, '新規'!$F:$F, ""), "")</f>
        <v/>
      </c>
      <c r="Y148" s="8"/>
      <c r="Z148" s="8" t="str">
        <f t="array" ref="Z148">IFERROR(XLOOKUP(W148, '新規'!$E:$E, '新規'!$O:$O, ""), "")</f>
        <v/>
      </c>
      <c r="AA148" s="8" t="str">
        <f t="array" ref="AA148">IFERROR(XLOOKUP(W148, '新規'!$E:$E, '新規'!$P:$P, ""), "")</f>
        <v/>
      </c>
      <c r="AB148" s="590"/>
      <c r="AC148" s="8" t="str">
        <f t="array" ref="AC148">IFERROR(XLOOKUP(AB148, '新規'!$E:$E, '新規'!$F:$F, ""), "")</f>
        <v/>
      </c>
      <c r="AD148" s="8"/>
      <c r="AE148" s="8" t="str">
        <f t="array" ref="AE148">IFERROR(XLOOKUP(AB148, '新規'!$E:$E, '新規'!$O:$O, ""), "")</f>
        <v/>
      </c>
      <c r="AF148" s="8" t="str">
        <f t="array" ref="AF148">IFERROR(XLOOKUP(AB148, '新規'!$E:$E, '新規'!$P:$P, ""), "")</f>
        <v/>
      </c>
      <c r="AG148" s="590"/>
      <c r="AH148" s="8" t="str">
        <f t="array" ref="AH148">IFERROR(XLOOKUP(AG148, '新規'!$E:$E, '新規'!$F:$F, ""), "")</f>
        <v/>
      </c>
      <c r="AI148" s="8"/>
      <c r="AJ148" s="8" t="str">
        <f t="array" ref="AJ148">IFERROR(XLOOKUP(AG148, '新規'!$E:$E, '新規'!$O:$O, ""), "")</f>
        <v/>
      </c>
      <c r="AK148" s="8" t="str">
        <f t="array" ref="AK148">IFERROR(XLOOKUP(AG148, '新規'!$E:$E, '新規'!$P:$P, ""), "")</f>
        <v/>
      </c>
    </row>
    <row r="149" ht="17.25" customHeight="1">
      <c r="A149" s="587"/>
      <c r="B149" s="592"/>
      <c r="C149" s="590"/>
      <c r="D149" s="593" t="str">
        <f>IFERROR(__xludf.DUMMYFUNCTION("IF(C149="""","""",IFERROR(INDEX(FILTER('特殊配信マスタ'!$F$3:$F$16,('特殊配信マスタ'!$A$3:$A$16=CHOOSE(WEEKDAY(C$1),""日"",""月"",""火"",""水"",""木"",""金"",""土""))*('特殊配信マスタ'!$B$3:$B$16=A$3)*('特殊配信マスタ'!$R$3:$R$16=MOD(INT((C$1-'特殊配信マスタ'!$A$1)/7),3)+1)),1),""""))"),"")</f>
        <v/>
      </c>
      <c r="E149" s="590"/>
      <c r="F149" s="593" t="str">
        <f>IFERROR(__xludf.DUMMYFUNCTION("IF(C149="""","""",IFERROR(INDEX(FILTER('特殊配信マスタ'!$O$3:$O$16,('特殊配信マスタ'!$A$3:$A$16=CHOOSE(WEEKDAY(C$1),""日"",""月"",""火"",""水"",""木"",""金"",""土""))*('特殊配信マスタ'!$B$3:$B$16=A$3)*('特殊配信マスタ'!$R$3:$R$16=MOD(INT((C$1-'特殊配信マスタ'!$A$1)/7),3)+1)),1),""""))"),"")</f>
        <v/>
      </c>
      <c r="G149" s="593" t="str">
        <f>IFERROR(__xludf.DUMMYFUNCTION("IF(C149="""","""",IFERROR(INDEX(FILTER('特殊配信マスタ'!$P$3:$P$16,('特殊配信マスタ'!$A$3:$A$16=CHOOSE(WEEKDAY(C$1),""日"",""月"",""火"",""水"",""木"",""金"",""土""))*('特殊配信マスタ'!$B$3:$B$16=A$3)*('特殊配信マスタ'!$R$3:$R$16=MOD(INT((C$1-'特殊配信マスタ'!$A$1)/7),3)+1)),1),""""))"),"")</f>
        <v/>
      </c>
      <c r="H149" s="590"/>
      <c r="I149" s="593" t="str">
        <f>IFERROR(__xludf.DUMMYFUNCTION("IF(H149="""","""",IFERROR(INDEX(FILTER('特殊配信マスタ'!$F$3:$F$16,('特殊配信マスタ'!$A$3:$A$16=CHOOSE(WEEKDAY(H$1),""日"",""月"",""火"",""水"",""木"",""金"",""土""))*('特殊配信マスタ'!$B$3:$B$16=F$3)*('特殊配信マスタ'!$R$3:$R$16=MOD(INT((H$1-'特殊配信マスタ'!$A$1)/7),3)+1)),1),""""))"),"")</f>
        <v/>
      </c>
      <c r="J149" s="590"/>
      <c r="K149" s="593" t="str">
        <f>IFERROR(__xludf.DUMMYFUNCTION("IF(H149="""","""",IFERROR(INDEX(FILTER('特殊配信マスタ'!$O$3:$O$16,('特殊配信マスタ'!$A$3:$A$16=CHOOSE(WEEKDAY(H$1),""日"",""月"",""火"",""水"",""木"",""金"",""土""))*('特殊配信マスタ'!$B$3:$B$16=F$3)*('特殊配信マスタ'!$R$3:$R$16=MOD(INT((H$1-'特殊配信マスタ'!$A$1)/7),3)+1)),1),""""))"),"")</f>
        <v/>
      </c>
      <c r="L149" s="593" t="str">
        <f>IFERROR(__xludf.DUMMYFUNCTION("IF(H149="""","""",IFERROR(INDEX(FILTER('特殊配信マスタ'!$P$3:$P$16,('特殊配信マスタ'!$A$3:$A$16=CHOOSE(WEEKDAY(H$1),""日"",""月"",""火"",""水"",""木"",""金"",""土""))*('特殊配信マスタ'!$B$3:$B$16=F$3)*('特殊配信マスタ'!$R$3:$R$16=MOD(INT((H$1-'特殊配信マスタ'!$A$1)/7),3)+1)),1),""""))"),"")</f>
        <v/>
      </c>
      <c r="M149" s="590"/>
      <c r="N149" s="593" t="str">
        <f>IFERROR(__xludf.DUMMYFUNCTION("IF(M149="""","""",IFERROR(INDEX(FILTER('特殊配信マスタ'!$F$3:$F$16,('特殊配信マスタ'!$A$3:$A$16=CHOOSE(WEEKDAY(M$1),""日"",""月"",""火"",""水"",""木"",""金"",""土""))*('特殊配信マスタ'!$B$3:$B$16=K$3)*('特殊配信マスタ'!$R$3:$R$16=MOD(INT((M$1-'特殊配信マスタ'!$A$1)/7),3)+1)),1),""""))"),"")</f>
        <v/>
      </c>
      <c r="O149" s="590"/>
      <c r="P149" s="593" t="str">
        <f>IFERROR(__xludf.DUMMYFUNCTION("IF(M149="""","""",IFERROR(INDEX(FILTER('特殊配信マスタ'!$O$3:$O$16,('特殊配信マスタ'!$A$3:$A$16=CHOOSE(WEEKDAY(M$1),""日"",""月"",""火"",""水"",""木"",""金"",""土""))*('特殊配信マスタ'!$B$3:$B$16=K$3)*('特殊配信マスタ'!$R$3:$R$16=MOD(INT((M$1-'特殊配信マスタ'!$A$1)/7),3)+1)),1),""""))"),"")</f>
        <v/>
      </c>
      <c r="Q149" s="593" t="str">
        <f>IFERROR(__xludf.DUMMYFUNCTION("IF(M149="""","""",IFERROR(INDEX(FILTER('特殊配信マスタ'!$P$3:$P$16,('特殊配信マスタ'!$A$3:$A$16=CHOOSE(WEEKDAY(M$1),""日"",""月"",""火"",""水"",""木"",""金"",""土""))*('特殊配信マスタ'!$B$3:$B$16=K$3)*('特殊配信マスタ'!$R$3:$R$16=MOD(INT((M$1-'特殊配信マスタ'!$A$1)/7),3)+1)),1),""""))"),"")</f>
        <v/>
      </c>
      <c r="R149" s="590"/>
      <c r="S149" s="593" t="str">
        <f>IFERROR(__xludf.DUMMYFUNCTION("IF(R149="""","""",IFERROR(INDEX(FILTER('特殊配信マスタ'!$F$3:$F$16,('特殊配信マスタ'!$A$3:$A$16=CHOOSE(WEEKDAY(R$1),""日"",""月"",""火"",""水"",""木"",""金"",""土""))*('特殊配信マスタ'!$B$3:$B$16=P$3)*('特殊配信マスタ'!$R$3:$R$16=MOD(INT((R$1-'特殊配信マスタ'!$A$1)/7),3)+1)),1),""""))"),"")</f>
        <v/>
      </c>
      <c r="T149" s="590"/>
      <c r="U149" s="593" t="str">
        <f>IFERROR(__xludf.DUMMYFUNCTION("IF(R149="""","""",IFERROR(INDEX(FILTER('特殊配信マスタ'!$O$3:$O$16,('特殊配信マスタ'!$A$3:$A$16=CHOOSE(WEEKDAY(R$1),""日"",""月"",""火"",""水"",""木"",""金"",""土""))*('特殊配信マスタ'!$B$3:$B$16=P$3)*('特殊配信マスタ'!$R$3:$R$16=MOD(INT((R$1-'特殊配信マスタ'!$A$1)/7),3)+1)),1),""""))"),"")</f>
        <v/>
      </c>
      <c r="V149" s="593" t="str">
        <f>IFERROR(__xludf.DUMMYFUNCTION("IF(R149="""","""",IFERROR(INDEX(FILTER('特殊配信マスタ'!$P$3:$P$16,('特殊配信マスタ'!$A$3:$A$16=CHOOSE(WEEKDAY(R$1),""日"",""月"",""火"",""水"",""木"",""金"",""土""))*('特殊配信マスタ'!$B$3:$B$16=P$3)*('特殊配信マスタ'!$R$3:$R$16=MOD(INT((R$1-'特殊配信マスタ'!$A$1)/7),3)+1)),1),""""))"),"")</f>
        <v/>
      </c>
      <c r="W149" s="590"/>
      <c r="X149" s="593" t="str">
        <f>IFERROR(__xludf.DUMMYFUNCTION("IF(W149="""","""",IFERROR(INDEX(FILTER('特殊配信マスタ'!$F$3:$F$16,('特殊配信マスタ'!$A$3:$A$16=CHOOSE(WEEKDAY(W$1),""日"",""月"",""火"",""水"",""木"",""金"",""土""))*('特殊配信マスタ'!$B$3:$B$16=U$3)*('特殊配信マスタ'!$R$3:$R$16=MOD(INT((W$1-'特殊配信マスタ'!$A$1)/7),3)+1)),1),""""))"),"")</f>
        <v/>
      </c>
      <c r="Y149" s="590"/>
      <c r="Z149" s="593" t="str">
        <f>IFERROR(__xludf.DUMMYFUNCTION("IF(W149="""","""",IFERROR(INDEX(FILTER('特殊配信マスタ'!$O$3:$O$16,('特殊配信マスタ'!$A$3:$A$16=CHOOSE(WEEKDAY(W$1),""日"",""月"",""火"",""水"",""木"",""金"",""土""))*('特殊配信マスタ'!$B$3:$B$16=U$3)*('特殊配信マスタ'!$R$3:$R$16=MOD(INT((W$1-'特殊配信マスタ'!$A$1)/7),3)+1)),1),""""))"),"")</f>
        <v/>
      </c>
      <c r="AA149" s="593" t="str">
        <f>IFERROR(__xludf.DUMMYFUNCTION("IF(W149="""","""",IFERROR(INDEX(FILTER('特殊配信マスタ'!$P$3:$P$16,('特殊配信マスタ'!$A$3:$A$16=CHOOSE(WEEKDAY(W$1),""日"",""月"",""火"",""水"",""木"",""金"",""土""))*('特殊配信マスタ'!$B$3:$B$16=U$3)*('特殊配信マスタ'!$R$3:$R$16=MOD(INT((W$1-'特殊配信マスタ'!$A$1)/7),3)+1)),1),""""))"),"")</f>
        <v/>
      </c>
      <c r="AB149" s="590"/>
      <c r="AC149" s="593" t="str">
        <f>IFERROR(__xludf.DUMMYFUNCTION("IF(AB149="""","""",IFERROR(INDEX(FILTER('特殊配信マスタ'!$F$3:$F$16,('特殊配信マスタ'!$A$3:$A$16=CHOOSE(WEEKDAY(AB$1),""日"",""月"",""火"",""水"",""木"",""金"",""土""))*('特殊配信マスタ'!$B$3:$B$16=Z$3)*('特殊配信マスタ'!$R$3:$R$16=MOD(INT((AB$1-'特殊配信マスタ'!$A$1)/7),3)+1)),1),""""))"),"")</f>
        <v/>
      </c>
      <c r="AD149" s="590"/>
      <c r="AE149" s="593" t="str">
        <f>IFERROR(__xludf.DUMMYFUNCTION("IF(AB149="""","""",IFERROR(INDEX(FILTER('特殊配信マスタ'!$O$3:$O$16,('特殊配信マスタ'!$A$3:$A$16=CHOOSE(WEEKDAY(AB$1),""日"",""月"",""火"",""水"",""木"",""金"",""土""))*('特殊配信マスタ'!$B$3:$B$16=Z$3)*('特殊配信マスタ'!$R$3:$R$16=MOD(INT((AB$1-'特殊配信マスタ'!$A$1)/7),3)+1)),1),""""))"),"")</f>
        <v/>
      </c>
      <c r="AF149" s="593" t="str">
        <f>IFERROR(__xludf.DUMMYFUNCTION("IF(AB149="""","""",IFERROR(INDEX(FILTER('特殊配信マスタ'!$P$3:$P$16,('特殊配信マスタ'!$A$3:$A$16=CHOOSE(WEEKDAY(AB$1),""日"",""月"",""火"",""水"",""木"",""金"",""土""))*('特殊配信マスタ'!$B$3:$B$16=Z$3)*('特殊配信マスタ'!$R$3:$R$16=MOD(INT((AB$1-'特殊配信マスタ'!$A$1)/7),3)+1)),1),""""))"),"")</f>
        <v/>
      </c>
      <c r="AG149" s="590"/>
      <c r="AH149" s="593" t="str">
        <f>IFERROR(__xludf.DUMMYFUNCTION("IF(AG149="""","""",IFERROR(INDEX(FILTER('特殊配信マスタ'!$F$3:$F$16,('特殊配信マスタ'!$A$3:$A$16=CHOOSE(WEEKDAY(AG$1),""日"",""月"",""火"",""水"",""木"",""金"",""土""))*('特殊配信マスタ'!$B$3:$B$16=AE$3)*('特殊配信マスタ'!$R$3:$R$16=MOD(INT((AG$1-'特殊配信マスタ'!$A$1)/7),3)+1)),1),""""))"),"")</f>
        <v/>
      </c>
      <c r="AI149" s="590"/>
      <c r="AJ149" s="593" t="str">
        <f>IFERROR(__xludf.DUMMYFUNCTION("IF(AG149="""","""",IFERROR(INDEX(FILTER('特殊配信マスタ'!$O$3:$O$16,('特殊配信マスタ'!$A$3:$A$16=CHOOSE(WEEKDAY(AG$1),""日"",""月"",""火"",""水"",""木"",""金"",""土""))*('特殊配信マスタ'!$B$3:$B$16=AE$3)*('特殊配信マスタ'!$R$3:$R$16=MOD(INT((AG$1-'特殊配信マスタ'!$A$1)/7),3)+1)),1),""""))"),"")</f>
        <v/>
      </c>
      <c r="AK149" s="593" t="str">
        <f>IFERROR(__xludf.DUMMYFUNCTION("IF(AG149="""","""",IFERROR(INDEX(FILTER('特殊配信マスタ'!$P$3:$P$16,('特殊配信マスタ'!$A$3:$A$16=CHOOSE(WEEKDAY(AG$1),""日"",""月"",""火"",""水"",""木"",""金"",""土""))*('特殊配信マスタ'!$B$3:$B$16=AE$3)*('特殊配信マスタ'!$R$3:$R$16=MOD(INT((AG$1-'特殊配信マスタ'!$A$1)/7),3)+1)),1),""""))"),"")</f>
        <v/>
      </c>
    </row>
    <row r="150" ht="17.25" customHeight="1">
      <c r="A150" s="587"/>
      <c r="B150" s="585" t="s">
        <v>1451</v>
      </c>
      <c r="C150" s="590" t="str">
        <f>IFERROR(__xludf.DUMMYFUNCTION("IFERROR(INDEX(FILTER('特殊配信マスタ'!$E$3:$E$16, (TEXT('特殊配信マスタ'!$A$3:$A$16,""ddd"")=TEXT(C$1,""ddd""))*(IFERROR(VALUE('特殊配信マスタ'!$B$3:$B$16),0)=VALUE(LOOKUP(2,1/($A$3:$A150&lt;&gt;""""),$A$3:$A150)))*('特殊配信マスタ'!$Q$3:$Q$16&lt;&gt;TRUE)), 1), """")"),"")</f>
        <v/>
      </c>
      <c r="D150" s="593" t="str">
        <f>IFERROR(__xludf.DUMMYFUNCTION("IF(C150="""","""",IFERROR(INDEX(FILTER('特殊配信マスタ'!$F$3:$F$16,('特殊配信マスタ'!$A$3:$A$16=CHOOSE(WEEKDAY(C$1),""日"",""月"",""火"",""水"",""木"",""金"",""土""))*('特殊配信マスタ'!$B$3:$B$16=A$3)*('特殊配信マスタ'!$R$3:$R$16=MOD(INT((C$1-'特殊配信マスタ'!$A$1)/7),3)+1)),1),""""))"),"")</f>
        <v/>
      </c>
      <c r="E150" s="590"/>
      <c r="F150" s="593" t="str">
        <f>IFERROR(__xludf.DUMMYFUNCTION("IF(C150="""","""",IFERROR(INDEX(FILTER('特殊配信マスタ'!$O$3:$O$16, '特殊配信マスタ'!$E$3:$E$16=C150),1),""""))"),"")</f>
        <v/>
      </c>
      <c r="G150" s="593" t="str">
        <f>IFERROR(__xludf.DUMMYFUNCTION("IF(C150="""","""",IFERROR(INDEX(FILTER('特殊配信マスタ'!$P$3:$P$16, '特殊配信マスタ'!$E$3:$E$16=C150),1),""""))"),"")</f>
        <v/>
      </c>
      <c r="H150" s="590" t="str">
        <f>IFERROR(__xludf.DUMMYFUNCTION("IFERROR(INDEX(FILTER('特殊配信マスタ'!$E$3:$E$16, (TEXT('特殊配信マスタ'!$A$3:$A$16,""ddd"")=TEXT(H$1,""ddd""))*(IFERROR(VALUE('特殊配信マスタ'!$B$3:$B$16),0)=VALUE(LOOKUP(2,1/($A$3:$A150&lt;&gt;""""),$A$3:$A150)))*('特殊配信マスタ'!$Q$3:$Q$16&lt;&gt;TRUE)), 1), """")"),"")</f>
        <v/>
      </c>
      <c r="I150" s="593" t="str">
        <f>IFERROR(__xludf.DUMMYFUNCTION("IF(H150="""","""",IFERROR(INDEX(FILTER('特殊配信マスタ'!$F$3:$F$16,('特殊配信マスタ'!$A$3:$A$16=CHOOSE(WEEKDAY(H$1),""日"",""月"",""火"",""水"",""木"",""金"",""土""))*('特殊配信マスタ'!$B$3:$B$16=F$3)*('特殊配信マスタ'!$R$3:$R$16=MOD(INT((H$1-'特殊配信マスタ'!$A$1)/7),3)+1)),1),""""))"),"")</f>
        <v/>
      </c>
      <c r="J150" s="590"/>
      <c r="K150" s="593" t="str">
        <f>IFERROR(__xludf.DUMMYFUNCTION("IF(H150="""","""",IFERROR(INDEX(FILTER('特殊配信マスタ'!$O$3:$O$16, '特殊配信マスタ'!$E$3:$E$16=H150),1),""""))"),"")</f>
        <v/>
      </c>
      <c r="L150" s="593" t="str">
        <f>IFERROR(__xludf.DUMMYFUNCTION("IF(H150="""","""",IFERROR(INDEX(FILTER('特殊配信マスタ'!$P$3:$P$16, '特殊配信マスタ'!$E$3:$E$16=H150),1),""""))"),"")</f>
        <v/>
      </c>
      <c r="M150" s="590" t="str">
        <f>IFERROR(__xludf.DUMMYFUNCTION("IFERROR(INDEX(FILTER('特殊配信マスタ'!$E$3:$E$16, (TEXT('特殊配信マスタ'!$A$3:$A$16,""ddd"")=TEXT(M$1,""ddd""))*(IFERROR(VALUE('特殊配信マスタ'!$B$3:$B$16),0)=VALUE(LOOKUP(2,1/($A$3:$A150&lt;&gt;""""),$A$3:$A150)))*('特殊配信マスタ'!$Q$3:$Q$16&lt;&gt;TRUE)), 1), """")"),"")</f>
        <v/>
      </c>
      <c r="N150" s="593" t="str">
        <f>IFERROR(__xludf.DUMMYFUNCTION("IF(M150="""","""",IFERROR(INDEX(FILTER('特殊配信マスタ'!$F$3:$F$16,('特殊配信マスタ'!$A$3:$A$16=CHOOSE(WEEKDAY(M$1),""日"",""月"",""火"",""水"",""木"",""金"",""土""))*('特殊配信マスタ'!$B$3:$B$16=K$3)*('特殊配信マスタ'!$R$3:$R$16=MOD(INT((M$1-'特殊配信マスタ'!$A$1)/7),3)+1)),1),""""))"),"")</f>
        <v/>
      </c>
      <c r="O150" s="590"/>
      <c r="P150" s="593" t="str">
        <f>IFERROR(__xludf.DUMMYFUNCTION("IF(M150="""","""",IFERROR(INDEX(FILTER('特殊配信マスタ'!$O$3:$O$16, '特殊配信マスタ'!$E$3:$E$16=M150),1),""""))"),"")</f>
        <v/>
      </c>
      <c r="Q150" s="593" t="str">
        <f>IFERROR(__xludf.DUMMYFUNCTION("IF(M150="""","""",IFERROR(INDEX(FILTER('特殊配信マスタ'!$P$3:$P$16, '特殊配信マスタ'!$E$3:$E$16=M150),1),""""))"),"")</f>
        <v/>
      </c>
      <c r="R150" s="590" t="str">
        <f>IFERROR(__xludf.DUMMYFUNCTION("IFERROR(INDEX(FILTER('特殊配信マスタ'!$E$3:$E$16, (TEXT('特殊配信マスタ'!$A$3:$A$16,""ddd"")=TEXT(R$1,""ddd""))*(IFERROR(VALUE('特殊配信マスタ'!$B$3:$B$16),0)=VALUE(LOOKUP(2,1/($A$3:$A150&lt;&gt;""""),$A$3:$A150)))*('特殊配信マスタ'!$Q$3:$Q$16&lt;&gt;TRUE)), 1), """")"),"")</f>
        <v/>
      </c>
      <c r="S150" s="593" t="str">
        <f>IFERROR(__xludf.DUMMYFUNCTION("IF(R150="""","""",IFERROR(INDEX(FILTER('特殊配信マスタ'!$F$3:$F$16,('特殊配信マスタ'!$A$3:$A$16=CHOOSE(WEEKDAY(R$1),""日"",""月"",""火"",""水"",""木"",""金"",""土""))*('特殊配信マスタ'!$B$3:$B$16=P$3)*('特殊配信マスタ'!$R$3:$R$16=MOD(INT((R$1-'特殊配信マスタ'!$A$1)/7),3)+1)),1),""""))"),"")</f>
        <v/>
      </c>
      <c r="T150" s="590"/>
      <c r="U150" s="593" t="str">
        <f>IFERROR(__xludf.DUMMYFUNCTION("IF(R150="""","""",IFERROR(INDEX(FILTER('特殊配信マスタ'!$O$3:$O$16, '特殊配信マスタ'!$E$3:$E$16=R150),1),""""))"),"")</f>
        <v/>
      </c>
      <c r="V150" s="593" t="str">
        <f>IFERROR(__xludf.DUMMYFUNCTION("IF(R150="""","""",IFERROR(INDEX(FILTER('特殊配信マスタ'!$P$3:$P$16, '特殊配信マスタ'!$E$3:$E$16=R150),1),""""))"),"")</f>
        <v/>
      </c>
      <c r="W150" s="590" t="str">
        <f>IFERROR(__xludf.DUMMYFUNCTION("IFERROR(INDEX(FILTER('特殊配信マスタ'!$E$3:$E$16, (TEXT('特殊配信マスタ'!$A$3:$A$16,""ddd"")=TEXT(W$1,""ddd""))*(IFERROR(VALUE('特殊配信マスタ'!$B$3:$B$16),0)=VALUE(LOOKUP(2,1/($A$3:$A150&lt;&gt;""""),$A$3:$A150)))*('特殊配信マスタ'!$Q$3:$Q$16&lt;&gt;TRUE)), 1), """")"),"")</f>
        <v/>
      </c>
      <c r="X150" s="593" t="str">
        <f>IFERROR(__xludf.DUMMYFUNCTION("IF(W150="""","""",IFERROR(INDEX(FILTER('特殊配信マスタ'!$F$3:$F$16,('特殊配信マスタ'!$A$3:$A$16=CHOOSE(WEEKDAY(W$1),""日"",""月"",""火"",""水"",""木"",""金"",""土""))*('特殊配信マスタ'!$B$3:$B$16=U$3)*('特殊配信マスタ'!$R$3:$R$16=MOD(INT((W$1-'特殊配信マスタ'!$A$1)/7),3)+1)),1),""""))"),"")</f>
        <v/>
      </c>
      <c r="Y150" s="590"/>
      <c r="Z150" s="593" t="str">
        <f>IFERROR(__xludf.DUMMYFUNCTION("IF(W150="""","""",IFERROR(INDEX(FILTER('特殊配信マスタ'!$O$3:$O$16, '特殊配信マスタ'!$E$3:$E$16=W150),1),""""))"),"")</f>
        <v/>
      </c>
      <c r="AA150" s="593" t="str">
        <f>IFERROR(__xludf.DUMMYFUNCTION("IF(W150="""","""",IFERROR(INDEX(FILTER('特殊配信マスタ'!$P$3:$P$16, '特殊配信マスタ'!$E$3:$E$16=W150),1),""""))"),"")</f>
        <v/>
      </c>
      <c r="AB150" s="590" t="str">
        <f>IFERROR(__xludf.DUMMYFUNCTION("IFERROR(INDEX(FILTER('特殊配信マスタ'!$E$3:$E$16, (TEXT('特殊配信マスタ'!$A$3:$A$16,""ddd"")=TEXT(AB$1,""ddd""))*(IFERROR(VALUE('特殊配信マスタ'!$B$3:$B$16),0)=VALUE(LOOKUP(2,1/($A$3:$A150&lt;&gt;""""),$A$3:$A150)))*('特殊配信マスタ'!$Q$3:$Q$16&lt;&gt;TRUE)), 1), """")"),"")</f>
        <v/>
      </c>
      <c r="AC150" s="593" t="str">
        <f>IFERROR(__xludf.DUMMYFUNCTION("IF(AB150="""","""",IFERROR(INDEX(FILTER('特殊配信マスタ'!$F$3:$F$16,('特殊配信マスタ'!$A$3:$A$16=CHOOSE(WEEKDAY(AB$1),""日"",""月"",""火"",""水"",""木"",""金"",""土""))*('特殊配信マスタ'!$B$3:$B$16=Z$3)*('特殊配信マスタ'!$R$3:$R$16=MOD(INT((AB$1-'特殊配信マスタ'!$A$1)/7),3)+1)),1),""""))"),"")</f>
        <v/>
      </c>
      <c r="AD150" s="590"/>
      <c r="AE150" s="593" t="str">
        <f>IFERROR(__xludf.DUMMYFUNCTION("IF(AB150="""","""",IFERROR(INDEX(FILTER('特殊配信マスタ'!$O$3:$O$16, '特殊配信マスタ'!$E$3:$E$16=AB150),1),""""))"),"")</f>
        <v/>
      </c>
      <c r="AF150" s="593" t="str">
        <f>IFERROR(__xludf.DUMMYFUNCTION("IF(AB150="""","""",IFERROR(INDEX(FILTER('特殊配信マスタ'!$P$3:$P$16, '特殊配信マスタ'!$E$3:$E$16=AB150),1),""""))"),"")</f>
        <v/>
      </c>
      <c r="AG150" s="590" t="str">
        <f>IFERROR(__xludf.DUMMYFUNCTION("IFERROR(INDEX(FILTER('特殊配信マスタ'!$E$3:$E$16, (TEXT('特殊配信マスタ'!$A$3:$A$16,""ddd"")=TEXT(AG$1,""ddd""))*(IFERROR(VALUE('特殊配信マスタ'!$B$3:$B$16),0)=VALUE(LOOKUP(2,1/($A$3:$A150&lt;&gt;""""),$A$3:$A150)))*('特殊配信マスタ'!$Q$3:$Q$16&lt;&gt;TRUE)), 1), """")"),"")</f>
        <v/>
      </c>
      <c r="AH150" s="593" t="str">
        <f>IFERROR(__xludf.DUMMYFUNCTION("IF(AG150="""","""",IFERROR(INDEX(FILTER('特殊配信マスタ'!$F$3:$F$16,('特殊配信マスタ'!$A$3:$A$16=CHOOSE(WEEKDAY(AG$1),""日"",""月"",""火"",""水"",""木"",""金"",""土""))*('特殊配信マスタ'!$B$3:$B$16=AE$3)*('特殊配信マスタ'!$R$3:$R$16=MOD(INT((AG$1-'特殊配信マスタ'!$A$1)/7),3)+1)),1),""""))"),"")</f>
        <v/>
      </c>
      <c r="AI150" s="590"/>
      <c r="AJ150" s="593" t="str">
        <f>IFERROR(__xludf.DUMMYFUNCTION("IF(AG150="""","""",IFERROR(INDEX(FILTER('特殊配信マスタ'!$O$3:$O$16, '特殊配信マスタ'!$E$3:$E$16=AG150),1),""""))"),"")</f>
        <v/>
      </c>
      <c r="AK150" s="593" t="str">
        <f>IFERROR(__xludf.DUMMYFUNCTION("IF(AG150="""","""",IFERROR(INDEX(FILTER('特殊配信マスタ'!$P$3:$P$16, '特殊配信マスタ'!$E$3:$E$16=AG150),1),""""))"),"")</f>
        <v/>
      </c>
    </row>
    <row r="151" ht="17.25" customHeight="1">
      <c r="A151" s="587"/>
      <c r="B151" s="588"/>
      <c r="C151" s="590" t="str">
        <f>IFERROR(__xludf.DUMMYFUNCTION("IFERROR(INDEX(FILTER('特殊配信マスタ'!$E$3:$E$16, (TEXT('特殊配信マスタ'!$A$3:$A$16,""ddd"")=TEXT(C$1,""ddd""))*(IFERROR(VALUE('特殊配信マスタ'!$B$3:$B$16),0)=VALUE(LOOKUP(2,1/($A$3:$A151&lt;&gt;""""),$A$3:$A151)))*('特殊配信マスタ'!$Q$3:$Q$16&lt;&gt;TRUE)), 2), """")"),"")</f>
        <v/>
      </c>
      <c r="D151" s="593" t="str">
        <f>IFERROR(__xludf.DUMMYFUNCTION("IF(C151="""","""",IFERROR(INDEX(FILTER('特殊配信マスタ'!$F$3:$F$16,('特殊配信マスタ'!$A$3:$A$16=CHOOSE(WEEKDAY(C$1),""日"",""月"",""火"",""水"",""木"",""金"",""土""))*('特殊配信マスタ'!$B$3:$B$16=A$3)*('特殊配信マスタ'!$R$3:$R$16=MOD(INT((C$1-'特殊配信マスタ'!$A$1)/7),3)+1)),1),""""))"),"")</f>
        <v/>
      </c>
      <c r="E151" s="590"/>
      <c r="F151" s="593" t="str">
        <f>IFERROR(__xludf.DUMMYFUNCTION("IF(C151="""","""",IFERROR(INDEX(FILTER('特殊配信マスタ'!$O$3:$O$16, '特殊配信マスタ'!$E$3:$E$16=C151),1),""""))"),"")</f>
        <v/>
      </c>
      <c r="G151" s="593" t="str">
        <f>IFERROR(__xludf.DUMMYFUNCTION("IF(C151="""","""",IFERROR(INDEX(FILTER('特殊配信マスタ'!$P$3:$P$16, '特殊配信マスタ'!$E$3:$E$16=C151),1),""""))"),"")</f>
        <v/>
      </c>
      <c r="H151" s="590" t="str">
        <f>IFERROR(__xludf.DUMMYFUNCTION("IFERROR(INDEX(FILTER('特殊配信マスタ'!$E$3:$E$16, (TEXT('特殊配信マスタ'!$A$3:$A$16,""ddd"")=TEXT(H$1,""ddd""))*(IFERROR(VALUE('特殊配信マスタ'!$B$3:$B$16),0)=VALUE(LOOKUP(2,1/($A$3:$A151&lt;&gt;""""),$A$3:$A151)))*('特殊配信マスタ'!$Q$3:$Q$16&lt;&gt;TRUE)), 2), """")"),"")</f>
        <v/>
      </c>
      <c r="I151" s="593" t="str">
        <f>IFERROR(__xludf.DUMMYFUNCTION("IF(H151="""","""",IFERROR(INDEX(FILTER('特殊配信マスタ'!$F$3:$F$16,('特殊配信マスタ'!$A$3:$A$16=CHOOSE(WEEKDAY(H$1),""日"",""月"",""火"",""水"",""木"",""金"",""土""))*('特殊配信マスタ'!$B$3:$B$16=F$3)*('特殊配信マスタ'!$R$3:$R$16=MOD(INT((H$1-'特殊配信マスタ'!$A$1)/7),3)+1)),1),""""))"),"")</f>
        <v/>
      </c>
      <c r="J151" s="590"/>
      <c r="K151" s="593" t="str">
        <f>IFERROR(__xludf.DUMMYFUNCTION("IF(H151="""","""",IFERROR(INDEX(FILTER('特殊配信マスタ'!$O$3:$O$16, '特殊配信マスタ'!$E$3:$E$16=H151),1),""""))"),"")</f>
        <v/>
      </c>
      <c r="L151" s="593" t="str">
        <f>IFERROR(__xludf.DUMMYFUNCTION("IF(H151="""","""",IFERROR(INDEX(FILTER('特殊配信マスタ'!$P$3:$P$16, '特殊配信マスタ'!$E$3:$E$16=H151),1),""""))"),"")</f>
        <v/>
      </c>
      <c r="M151" s="590" t="str">
        <f>IFERROR(__xludf.DUMMYFUNCTION("IFERROR(INDEX(FILTER('特殊配信マスタ'!$E$3:$E$16, (TEXT('特殊配信マスタ'!$A$3:$A$16,""ddd"")=TEXT(M$1,""ddd""))*(IFERROR(VALUE('特殊配信マスタ'!$B$3:$B$16),0)=VALUE(LOOKUP(2,1/($A$3:$A151&lt;&gt;""""),$A$3:$A151)))*('特殊配信マスタ'!$Q$3:$Q$16&lt;&gt;TRUE)), 2), """")"),"")</f>
        <v/>
      </c>
      <c r="N151" s="593" t="str">
        <f>IFERROR(__xludf.DUMMYFUNCTION("IF(M151="""","""",IFERROR(INDEX(FILTER('特殊配信マスタ'!$F$3:$F$16,('特殊配信マスタ'!$A$3:$A$16=CHOOSE(WEEKDAY(M$1),""日"",""月"",""火"",""水"",""木"",""金"",""土""))*('特殊配信マスタ'!$B$3:$B$16=K$3)*('特殊配信マスタ'!$R$3:$R$16=MOD(INT((M$1-'特殊配信マスタ'!$A$1)/7),3)+1)),1),""""))"),"")</f>
        <v/>
      </c>
      <c r="O151" s="590"/>
      <c r="P151" s="593" t="str">
        <f>IFERROR(__xludf.DUMMYFUNCTION("IF(M151="""","""",IFERROR(INDEX(FILTER('特殊配信マスタ'!$O$3:$O$16, '特殊配信マスタ'!$E$3:$E$16=M151),1),""""))"),"")</f>
        <v/>
      </c>
      <c r="Q151" s="593" t="str">
        <f>IFERROR(__xludf.DUMMYFUNCTION("IF(M151="""","""",IFERROR(INDEX(FILTER('特殊配信マスタ'!$P$3:$P$16, '特殊配信マスタ'!$E$3:$E$16=M151),1),""""))"),"")</f>
        <v/>
      </c>
      <c r="R151" s="590" t="str">
        <f>IFERROR(__xludf.DUMMYFUNCTION("IFERROR(INDEX(FILTER('特殊配信マスタ'!$E$3:$E$16, (TEXT('特殊配信マスタ'!$A$3:$A$16,""ddd"")=TEXT(R$1,""ddd""))*(IFERROR(VALUE('特殊配信マスタ'!$B$3:$B$16),0)=VALUE(LOOKUP(2,1/($A$3:$A151&lt;&gt;""""),$A$3:$A151)))*('特殊配信マスタ'!$Q$3:$Q$16&lt;&gt;TRUE)), 2), """")"),"")</f>
        <v/>
      </c>
      <c r="S151" s="593" t="str">
        <f>IFERROR(__xludf.DUMMYFUNCTION("IF(R151="""","""",IFERROR(INDEX(FILTER('特殊配信マスタ'!$F$3:$F$16,('特殊配信マスタ'!$A$3:$A$16=CHOOSE(WEEKDAY(R$1),""日"",""月"",""火"",""水"",""木"",""金"",""土""))*('特殊配信マスタ'!$B$3:$B$16=P$3)*('特殊配信マスタ'!$R$3:$R$16=MOD(INT((R$1-'特殊配信マスタ'!$A$1)/7),3)+1)),1),""""))"),"")</f>
        <v/>
      </c>
      <c r="T151" s="590"/>
      <c r="U151" s="593" t="str">
        <f>IFERROR(__xludf.DUMMYFUNCTION("IF(R151="""","""",IFERROR(INDEX(FILTER('特殊配信マスタ'!$O$3:$O$16, '特殊配信マスタ'!$E$3:$E$16=R151),1),""""))"),"")</f>
        <v/>
      </c>
      <c r="V151" s="593" t="str">
        <f>IFERROR(__xludf.DUMMYFUNCTION("IF(R151="""","""",IFERROR(INDEX(FILTER('特殊配信マスタ'!$P$3:$P$16, '特殊配信マスタ'!$E$3:$E$16=R151),1),""""))"),"")</f>
        <v/>
      </c>
      <c r="W151" s="590" t="str">
        <f>IFERROR(__xludf.DUMMYFUNCTION("IFERROR(INDEX(FILTER('特殊配信マスタ'!$E$3:$E$16, (TEXT('特殊配信マスタ'!$A$3:$A$16,""ddd"")=TEXT(W$1,""ddd""))*(IFERROR(VALUE('特殊配信マスタ'!$B$3:$B$16),0)=VALUE(LOOKUP(2,1/($A$3:$A151&lt;&gt;""""),$A$3:$A151)))*('特殊配信マスタ'!$Q$3:$Q$16&lt;&gt;TRUE)), 2), """")"),"")</f>
        <v/>
      </c>
      <c r="X151" s="593" t="str">
        <f>IFERROR(__xludf.DUMMYFUNCTION("IF(W151="""","""",IFERROR(INDEX(FILTER('特殊配信マスタ'!$F$3:$F$16,('特殊配信マスタ'!$A$3:$A$16=CHOOSE(WEEKDAY(W$1),""日"",""月"",""火"",""水"",""木"",""金"",""土""))*('特殊配信マスタ'!$B$3:$B$16=U$3)*('特殊配信マスタ'!$R$3:$R$16=MOD(INT((W$1-'特殊配信マスタ'!$A$1)/7),3)+1)),1),""""))"),"")</f>
        <v/>
      </c>
      <c r="Y151" s="590"/>
      <c r="Z151" s="593" t="str">
        <f>IFERROR(__xludf.DUMMYFUNCTION("IF(W151="""","""",IFERROR(INDEX(FILTER('特殊配信マスタ'!$O$3:$O$16, '特殊配信マスタ'!$E$3:$E$16=W151),1),""""))"),"")</f>
        <v/>
      </c>
      <c r="AA151" s="593" t="str">
        <f>IFERROR(__xludf.DUMMYFUNCTION("IF(W151="""","""",IFERROR(INDEX(FILTER('特殊配信マスタ'!$P$3:$P$16, '特殊配信マスタ'!$E$3:$E$16=W151),1),""""))"),"")</f>
        <v/>
      </c>
      <c r="AB151" s="590" t="str">
        <f>IFERROR(__xludf.DUMMYFUNCTION("IFERROR(INDEX(FILTER('特殊配信マスタ'!$E$3:$E$16, (TEXT('特殊配信マスタ'!$A$3:$A$16,""ddd"")=TEXT(AB$1,""ddd""))*(IFERROR(VALUE('特殊配信マスタ'!$B$3:$B$16),0)=VALUE(LOOKUP(2,1/($A$3:$A151&lt;&gt;""""),$A$3:$A151)))*('特殊配信マスタ'!$Q$3:$Q$16&lt;&gt;TRUE)), 2), """")"),"")</f>
        <v/>
      </c>
      <c r="AC151" s="593" t="str">
        <f>IFERROR(__xludf.DUMMYFUNCTION("IF(AB151="""","""",IFERROR(INDEX(FILTER('特殊配信マスタ'!$F$3:$F$16,('特殊配信マスタ'!$A$3:$A$16=CHOOSE(WEEKDAY(AB$1),""日"",""月"",""火"",""水"",""木"",""金"",""土""))*('特殊配信マスタ'!$B$3:$B$16=Z$3)*('特殊配信マスタ'!$R$3:$R$16=MOD(INT((AB$1-'特殊配信マスタ'!$A$1)/7),3)+1)),1),""""))"),"")</f>
        <v/>
      </c>
      <c r="AD151" s="590"/>
      <c r="AE151" s="593" t="str">
        <f>IFERROR(__xludf.DUMMYFUNCTION("IF(AB151="""","""",IFERROR(INDEX(FILTER('特殊配信マスタ'!$O$3:$O$16, '特殊配信マスタ'!$E$3:$E$16=AB151),1),""""))"),"")</f>
        <v/>
      </c>
      <c r="AF151" s="593" t="str">
        <f>IFERROR(__xludf.DUMMYFUNCTION("IF(AB151="""","""",IFERROR(INDEX(FILTER('特殊配信マスタ'!$P$3:$P$16, '特殊配信マスタ'!$E$3:$E$16=AB151),1),""""))"),"")</f>
        <v/>
      </c>
      <c r="AG151" s="590" t="str">
        <f>IFERROR(__xludf.DUMMYFUNCTION("IFERROR(INDEX(FILTER('特殊配信マスタ'!$E$3:$E$16, (TEXT('特殊配信マスタ'!$A$3:$A$16,""ddd"")=TEXT(AG$1,""ddd""))*(IFERROR(VALUE('特殊配信マスタ'!$B$3:$B$16),0)=VALUE(LOOKUP(2,1/($A$3:$A151&lt;&gt;""""),$A$3:$A151)))*('特殊配信マスタ'!$Q$3:$Q$16&lt;&gt;TRUE)), 2), """")"),"")</f>
        <v/>
      </c>
      <c r="AH151" s="593" t="str">
        <f>IFERROR(__xludf.DUMMYFUNCTION("IF(AG151="""","""",IFERROR(INDEX(FILTER('特殊配信マスタ'!$F$3:$F$16,('特殊配信マスタ'!$A$3:$A$16=CHOOSE(WEEKDAY(AG$1),""日"",""月"",""火"",""水"",""木"",""金"",""土""))*('特殊配信マスタ'!$B$3:$B$16=AE$3)*('特殊配信マスタ'!$R$3:$R$16=MOD(INT((AG$1-'特殊配信マスタ'!$A$1)/7),3)+1)),1),""""))"),"")</f>
        <v/>
      </c>
      <c r="AI151" s="590"/>
      <c r="AJ151" s="593" t="str">
        <f>IFERROR(__xludf.DUMMYFUNCTION("IF(AG151="""","""",IFERROR(INDEX(FILTER('特殊配信マスタ'!$O$3:$O$16, '特殊配信マスタ'!$E$3:$E$16=AG151),1),""""))"),"")</f>
        <v/>
      </c>
      <c r="AK151" s="593" t="str">
        <f>IFERROR(__xludf.DUMMYFUNCTION("IF(AG151="""","""",IFERROR(INDEX(FILTER('特殊配信マスタ'!$P$3:$P$16, '特殊配信マスタ'!$E$3:$E$16=AG151),1),""""))"),"")</f>
        <v/>
      </c>
    </row>
    <row r="152" ht="17.25" customHeight="1">
      <c r="A152" s="587"/>
      <c r="B152" s="588"/>
      <c r="C152" s="590" t="str">
        <f>IFERROR(__xludf.DUMMYFUNCTION("IFERROR(INDEX(FILTER('特殊配信マスタ'!$E$3:$E$16, (TEXT('特殊配信マスタ'!$A$3:$A$16,""ddd"")=TEXT(C$1,""ddd""))*(IFERROR(VALUE('特殊配信マスタ'!$B$3:$B$16),0)=VALUE(LOOKUP(2,1/($A$3:$A152&lt;&gt;""""),$A$3:$A152)))*('特殊配信マスタ'!$Q$3:$Q$16&lt;&gt;TRUE)), 3), """")"),"")</f>
        <v/>
      </c>
      <c r="D152" s="593"/>
      <c r="E152" s="590"/>
      <c r="F152" s="593" t="str">
        <f>IFERROR(__xludf.DUMMYFUNCTION("IF(C152="""","""",IFERROR(INDEX(FILTER('特殊配信マスタ'!$O$3:$O$16, '特殊配信マスタ'!$E$3:$E$16=C152),1),""""))"),"")</f>
        <v/>
      </c>
      <c r="G152" s="593" t="str">
        <f>IFERROR(__xludf.DUMMYFUNCTION("IF(C152="""","""",IFERROR(INDEX(FILTER('特殊配信マスタ'!$P$3:$P$16, '特殊配信マスタ'!$E$3:$E$16=C152),1),""""))"),"")</f>
        <v/>
      </c>
      <c r="H152" s="590" t="str">
        <f>IFERROR(__xludf.DUMMYFUNCTION("IFERROR(INDEX(FILTER('特殊配信マスタ'!$E$3:$E$16, (TEXT('特殊配信マスタ'!$A$3:$A$16,""ddd"")=TEXT(H$1,""ddd""))*(IFERROR(VALUE('特殊配信マスタ'!$B$3:$B$16),0)=VALUE(LOOKUP(2,1/($A$3:$A152&lt;&gt;""""),$A$3:$A152)))*('特殊配信マスタ'!$Q$3:$Q$16&lt;&gt;TRUE)), 3), """")"),"")</f>
        <v/>
      </c>
      <c r="I152" s="593"/>
      <c r="J152" s="590"/>
      <c r="K152" s="593" t="str">
        <f>IFERROR(__xludf.DUMMYFUNCTION("IF(H152="""","""",IFERROR(INDEX(FILTER('特殊配信マスタ'!$O$3:$O$16, '特殊配信マスタ'!$E$3:$E$16=H152),1),""""))"),"")</f>
        <v/>
      </c>
      <c r="L152" s="593" t="str">
        <f>IFERROR(__xludf.DUMMYFUNCTION("IF(H152="""","""",IFERROR(INDEX(FILTER('特殊配信マスタ'!$P$3:$P$16, '特殊配信マスタ'!$E$3:$E$16=H152),1),""""))"),"")</f>
        <v/>
      </c>
      <c r="M152" s="590" t="str">
        <f>IFERROR(__xludf.DUMMYFUNCTION("IFERROR(INDEX(FILTER('特殊配信マスタ'!$E$3:$E$16, (TEXT('特殊配信マスタ'!$A$3:$A$16,""ddd"")=TEXT(M$1,""ddd""))*(IFERROR(VALUE('特殊配信マスタ'!$B$3:$B$16),0)=VALUE(LOOKUP(2,1/($A$3:$A152&lt;&gt;""""),$A$3:$A152)))*('特殊配信マスタ'!$Q$3:$Q$16&lt;&gt;TRUE)), 3), """")"),"")</f>
        <v/>
      </c>
      <c r="N152" s="593"/>
      <c r="O152" s="590"/>
      <c r="P152" s="593" t="str">
        <f>IFERROR(__xludf.DUMMYFUNCTION("IF(M152="""","""",IFERROR(INDEX(FILTER('特殊配信マスタ'!$O$3:$O$16, '特殊配信マスタ'!$E$3:$E$16=M152),1),""""))"),"")</f>
        <v/>
      </c>
      <c r="Q152" s="593" t="str">
        <f>IFERROR(__xludf.DUMMYFUNCTION("IF(M152="""","""",IFERROR(INDEX(FILTER('特殊配信マスタ'!$P$3:$P$16, '特殊配信マスタ'!$E$3:$E$16=M152),1),""""))"),"")</f>
        <v/>
      </c>
      <c r="R152" s="590" t="str">
        <f>IFERROR(__xludf.DUMMYFUNCTION("IFERROR(INDEX(FILTER('特殊配信マスタ'!$E$3:$E$16, (TEXT('特殊配信マスタ'!$A$3:$A$16,""ddd"")=TEXT(R$1,""ddd""))*(IFERROR(VALUE('特殊配信マスタ'!$B$3:$B$16),0)=VALUE(LOOKUP(2,1/($A$3:$A152&lt;&gt;""""),$A$3:$A152)))*('特殊配信マスタ'!$Q$3:$Q$16&lt;&gt;TRUE)), 3), """")"),"")</f>
        <v/>
      </c>
      <c r="S152" s="593"/>
      <c r="T152" s="590"/>
      <c r="U152" s="593" t="str">
        <f>IFERROR(__xludf.DUMMYFUNCTION("IF(R152="""","""",IFERROR(INDEX(FILTER('特殊配信マスタ'!$O$3:$O$16, '特殊配信マスタ'!$E$3:$E$16=R152),1),""""))"),"")</f>
        <v/>
      </c>
      <c r="V152" s="593" t="str">
        <f>IFERROR(__xludf.DUMMYFUNCTION("IF(R152="""","""",IFERROR(INDEX(FILTER('特殊配信マスタ'!$P$3:$P$16, '特殊配信マスタ'!$E$3:$E$16=R152),1),""""))"),"")</f>
        <v/>
      </c>
      <c r="W152" s="590" t="str">
        <f>IFERROR(__xludf.DUMMYFUNCTION("IFERROR(INDEX(FILTER('特殊配信マスタ'!$E$3:$E$16, (TEXT('特殊配信マスタ'!$A$3:$A$16,""ddd"")=TEXT(W$1,""ddd""))*(IFERROR(VALUE('特殊配信マスタ'!$B$3:$B$16),0)=VALUE(LOOKUP(2,1/($A$3:$A152&lt;&gt;""""),$A$3:$A152)))*('特殊配信マスタ'!$Q$3:$Q$16&lt;&gt;TRUE)), 3), """")"),"")</f>
        <v/>
      </c>
      <c r="X152" s="593"/>
      <c r="Y152" s="590"/>
      <c r="Z152" s="593" t="str">
        <f>IFERROR(__xludf.DUMMYFUNCTION("IF(W152="""","""",IFERROR(INDEX(FILTER('特殊配信マスタ'!$O$3:$O$16, '特殊配信マスタ'!$E$3:$E$16=W152),1),""""))"),"")</f>
        <v/>
      </c>
      <c r="AA152" s="593" t="str">
        <f>IFERROR(__xludf.DUMMYFUNCTION("IF(W152="""","""",IFERROR(INDEX(FILTER('特殊配信マスタ'!$P$3:$P$16, '特殊配信マスタ'!$E$3:$E$16=W152),1),""""))"),"")</f>
        <v/>
      </c>
      <c r="AB152" s="590" t="str">
        <f>IFERROR(__xludf.DUMMYFUNCTION("IFERROR(INDEX(FILTER('特殊配信マスタ'!$E$3:$E$16, (TEXT('特殊配信マスタ'!$A$3:$A$16,""ddd"")=TEXT(AB$1,""ddd""))*(IFERROR(VALUE('特殊配信マスタ'!$B$3:$B$16),0)=VALUE(LOOKUP(2,1/($A$3:$A152&lt;&gt;""""),$A$3:$A152)))*('特殊配信マスタ'!$Q$3:$Q$16&lt;&gt;TRUE)), 3), """")"),"")</f>
        <v/>
      </c>
      <c r="AC152" s="593"/>
      <c r="AD152" s="590"/>
      <c r="AE152" s="593" t="str">
        <f>IFERROR(__xludf.DUMMYFUNCTION("IF(AB152="""","""",IFERROR(INDEX(FILTER('特殊配信マスタ'!$O$3:$O$16, '特殊配信マスタ'!$E$3:$E$16=AB152),1),""""))"),"")</f>
        <v/>
      </c>
      <c r="AF152" s="593" t="str">
        <f>IFERROR(__xludf.DUMMYFUNCTION("IF(AB152="""","""",IFERROR(INDEX(FILTER('特殊配信マスタ'!$P$3:$P$16, '特殊配信マスタ'!$E$3:$E$16=AB152),1),""""))"),"")</f>
        <v/>
      </c>
      <c r="AG152" s="590" t="str">
        <f>IFERROR(__xludf.DUMMYFUNCTION("IFERROR(INDEX(FILTER('特殊配信マスタ'!$E$3:$E$16, (TEXT('特殊配信マスタ'!$A$3:$A$16,""ddd"")=TEXT(AG$1,""ddd""))*(IFERROR(VALUE('特殊配信マスタ'!$B$3:$B$16),0)=VALUE(LOOKUP(2,1/($A$3:$A152&lt;&gt;""""),$A$3:$A152)))*('特殊配信マスタ'!$Q$3:$Q$16&lt;&gt;TRUE)), 3), """")"),"")</f>
        <v/>
      </c>
      <c r="AH152" s="593"/>
      <c r="AI152" s="590"/>
      <c r="AJ152" s="593" t="str">
        <f>IFERROR(__xludf.DUMMYFUNCTION("IF(AG152="""","""",IFERROR(INDEX(FILTER('特殊配信マスタ'!$O$3:$O$16, '特殊配信マスタ'!$E$3:$E$16=AG152),1),""""))"),"")</f>
        <v/>
      </c>
      <c r="AK152" s="593" t="str">
        <f>IFERROR(__xludf.DUMMYFUNCTION("IF(AG152="""","""",IFERROR(INDEX(FILTER('特殊配信マスタ'!$P$3:$P$16, '特殊配信マスタ'!$E$3:$E$16=AG152),1),""""))"),"")</f>
        <v/>
      </c>
    </row>
    <row r="153" ht="17.25" customHeight="1">
      <c r="A153" s="587"/>
      <c r="B153" s="588"/>
      <c r="C153" s="590" t="str">
        <f>IFERROR(__xludf.DUMMYFUNCTION("IFERROR(INDEX(FILTER('特殊配信マスタ'!$E$3:$E$16, (TEXT('特殊配信マスタ'!$A$3:$A$16,""ddd"")=TEXT(C$1,""ddd""))*(IFERROR(VALUE('特殊配信マスタ'!$B$3:$B$16),0)=VALUE(LOOKUP(2,1/($A$3:$A153&lt;&gt;""""),$A$3:$A153)))*('特殊配信マスタ'!$Q$3:$Q$16&lt;&gt;TRUE)), 4), """")"),"")</f>
        <v/>
      </c>
      <c r="D153" s="593" t="str">
        <f>IFERROR(__xludf.DUMMYFUNCTION("IF(C153="""","""",IFERROR(INDEX(FILTER('特殊配信マスタ'!$F$3:$F$16,('特殊配信マスタ'!$A$3:$A$16=CHOOSE(WEEKDAY(C$1),""日"",""月"",""火"",""水"",""木"",""金"",""土""))*('特殊配信マスタ'!$B$3:$B$16=A$3)*('特殊配信マスタ'!$R$3:$R$16=MOD(INT((C$1-'特殊配信マスタ'!$A$1)/7),3)+1)),1),""""))"),"")</f>
        <v/>
      </c>
      <c r="E153" s="590"/>
      <c r="F153" s="593" t="str">
        <f>IFERROR(__xludf.DUMMYFUNCTION("IF(C153="""","""",IFERROR(INDEX(FILTER('特殊配信マスタ'!$O$3:$O$16, '特殊配信マスタ'!$E$3:$E$16=C153),1),""""))"),"")</f>
        <v/>
      </c>
      <c r="G153" s="593" t="str">
        <f>IFERROR(__xludf.DUMMYFUNCTION("IF(C153="""","""",IFERROR(INDEX(FILTER('特殊配信マスタ'!$P$3:$P$16, '特殊配信マスタ'!$E$3:$E$16=C153),1),""""))"),"")</f>
        <v/>
      </c>
      <c r="H153" s="590" t="str">
        <f>IFERROR(__xludf.DUMMYFUNCTION("IFERROR(INDEX(FILTER('特殊配信マスタ'!$E$3:$E$16, (TEXT('特殊配信マスタ'!$A$3:$A$16,""ddd"")=TEXT(H$1,""ddd""))*(IFERROR(VALUE('特殊配信マスタ'!$B$3:$B$16),0)=VALUE(LOOKUP(2,1/($A$3:$A153&lt;&gt;""""),$A$3:$A153)))*('特殊配信マスタ'!$Q$3:$Q$16&lt;&gt;TRUE)), 4), """")"),"")</f>
        <v/>
      </c>
      <c r="I153" s="593" t="str">
        <f>IFERROR(__xludf.DUMMYFUNCTION("IF(H153="""","""",IFERROR(INDEX(FILTER('特殊配信マスタ'!$F$3:$F$16,('特殊配信マスタ'!$A$3:$A$16=CHOOSE(WEEKDAY(H$1),""日"",""月"",""火"",""水"",""木"",""金"",""土""))*('特殊配信マスタ'!$B$3:$B$16=F$3)*('特殊配信マスタ'!$R$3:$R$16=MOD(INT((H$1-'特殊配信マスタ'!$A$1)/7),3)+1)),1),""""))"),"")</f>
        <v/>
      </c>
      <c r="J153" s="590"/>
      <c r="K153" s="593" t="str">
        <f>IFERROR(__xludf.DUMMYFUNCTION("IF(H153="""","""",IFERROR(INDEX(FILTER('特殊配信マスタ'!$O$3:$O$16, '特殊配信マスタ'!$E$3:$E$16=H153),1),""""))"),"")</f>
        <v/>
      </c>
      <c r="L153" s="593" t="str">
        <f>IFERROR(__xludf.DUMMYFUNCTION("IF(H153="""","""",IFERROR(INDEX(FILTER('特殊配信マスタ'!$P$3:$P$16, '特殊配信マスタ'!$E$3:$E$16=H153),1),""""))"),"")</f>
        <v/>
      </c>
      <c r="M153" s="590" t="str">
        <f>IFERROR(__xludf.DUMMYFUNCTION("IFERROR(INDEX(FILTER('特殊配信マスタ'!$E$3:$E$16, (TEXT('特殊配信マスタ'!$A$3:$A$16,""ddd"")=TEXT(M$1,""ddd""))*(IFERROR(VALUE('特殊配信マスタ'!$B$3:$B$16),0)=VALUE(LOOKUP(2,1/($A$3:$A153&lt;&gt;""""),$A$3:$A153)))*('特殊配信マスタ'!$Q$3:$Q$16&lt;&gt;TRUE)), 4), """")"),"")</f>
        <v/>
      </c>
      <c r="N153" s="593" t="str">
        <f>IFERROR(__xludf.DUMMYFUNCTION("IF(M153="""","""",IFERROR(INDEX(FILTER('特殊配信マスタ'!$F$3:$F$16,('特殊配信マスタ'!$A$3:$A$16=CHOOSE(WEEKDAY(M$1),""日"",""月"",""火"",""水"",""木"",""金"",""土""))*('特殊配信マスタ'!$B$3:$B$16=K$3)*('特殊配信マスタ'!$R$3:$R$16=MOD(INT((M$1-'特殊配信マスタ'!$A$1)/7),3)+1)),1),""""))"),"")</f>
        <v/>
      </c>
      <c r="O153" s="590"/>
      <c r="P153" s="593" t="str">
        <f>IFERROR(__xludf.DUMMYFUNCTION("IF(M153="""","""",IFERROR(INDEX(FILTER('特殊配信マスタ'!$O$3:$O$16, '特殊配信マスタ'!$E$3:$E$16=M153),1),""""))"),"")</f>
        <v/>
      </c>
      <c r="Q153" s="593" t="str">
        <f>IFERROR(__xludf.DUMMYFUNCTION("IF(M153="""","""",IFERROR(INDEX(FILTER('特殊配信マスタ'!$P$3:$P$16, '特殊配信マスタ'!$E$3:$E$16=M153),1),""""))"),"")</f>
        <v/>
      </c>
      <c r="R153" s="590" t="str">
        <f>IFERROR(__xludf.DUMMYFUNCTION("IFERROR(INDEX(FILTER('特殊配信マスタ'!$E$3:$E$16, (TEXT('特殊配信マスタ'!$A$3:$A$16,""ddd"")=TEXT(R$1,""ddd""))*(IFERROR(VALUE('特殊配信マスタ'!$B$3:$B$16),0)=VALUE(LOOKUP(2,1/($A$3:$A153&lt;&gt;""""),$A$3:$A153)))*('特殊配信マスタ'!$Q$3:$Q$16&lt;&gt;TRUE)), 4), """")"),"")</f>
        <v/>
      </c>
      <c r="S153" s="593" t="str">
        <f>IFERROR(__xludf.DUMMYFUNCTION("IF(R153="""","""",IFERROR(INDEX(FILTER('特殊配信マスタ'!$F$3:$F$16,('特殊配信マスタ'!$A$3:$A$16=CHOOSE(WEEKDAY(R$1),""日"",""月"",""火"",""水"",""木"",""金"",""土""))*('特殊配信マスタ'!$B$3:$B$16=P$3)*('特殊配信マスタ'!$R$3:$R$16=MOD(INT((R$1-'特殊配信マスタ'!$A$1)/7),3)+1)),1),""""))"),"")</f>
        <v/>
      </c>
      <c r="T153" s="590"/>
      <c r="U153" s="593" t="str">
        <f>IFERROR(__xludf.DUMMYFUNCTION("IF(R153="""","""",IFERROR(INDEX(FILTER('特殊配信マスタ'!$O$3:$O$16, '特殊配信マスタ'!$E$3:$E$16=R153),1),""""))"),"")</f>
        <v/>
      </c>
      <c r="V153" s="593" t="str">
        <f>IFERROR(__xludf.DUMMYFUNCTION("IF(R153="""","""",IFERROR(INDEX(FILTER('特殊配信マスタ'!$P$3:$P$16, '特殊配信マスタ'!$E$3:$E$16=R153),1),""""))"),"")</f>
        <v/>
      </c>
      <c r="W153" s="590" t="str">
        <f>IFERROR(__xludf.DUMMYFUNCTION("IFERROR(INDEX(FILTER('特殊配信マスタ'!$E$3:$E$16, (TEXT('特殊配信マスタ'!$A$3:$A$16,""ddd"")=TEXT(W$1,""ddd""))*(IFERROR(VALUE('特殊配信マスタ'!$B$3:$B$16),0)=VALUE(LOOKUP(2,1/($A$3:$A153&lt;&gt;""""),$A$3:$A153)))*('特殊配信マスタ'!$Q$3:$Q$16&lt;&gt;TRUE)), 4), """")"),"")</f>
        <v/>
      </c>
      <c r="X153" s="593" t="str">
        <f>IFERROR(__xludf.DUMMYFUNCTION("IF(W153="""","""",IFERROR(INDEX(FILTER('特殊配信マスタ'!$F$3:$F$16,('特殊配信マスタ'!$A$3:$A$16=CHOOSE(WEEKDAY(W$1),""日"",""月"",""火"",""水"",""木"",""金"",""土""))*('特殊配信マスタ'!$B$3:$B$16=U$3)*('特殊配信マスタ'!$R$3:$R$16=MOD(INT((W$1-'特殊配信マスタ'!$A$1)/7),3)+1)),1),""""))"),"")</f>
        <v/>
      </c>
      <c r="Y153" s="590"/>
      <c r="Z153" s="593" t="str">
        <f>IFERROR(__xludf.DUMMYFUNCTION("IF(W153="""","""",IFERROR(INDEX(FILTER('特殊配信マスタ'!$O$3:$O$16, '特殊配信マスタ'!$E$3:$E$16=W153),1),""""))"),"")</f>
        <v/>
      </c>
      <c r="AA153" s="593" t="str">
        <f>IFERROR(__xludf.DUMMYFUNCTION("IF(W153="""","""",IFERROR(INDEX(FILTER('特殊配信マスタ'!$P$3:$P$16, '特殊配信マスタ'!$E$3:$E$16=W153),1),""""))"),"")</f>
        <v/>
      </c>
      <c r="AB153" s="590" t="str">
        <f>IFERROR(__xludf.DUMMYFUNCTION("IFERROR(INDEX(FILTER('特殊配信マスタ'!$E$3:$E$16, (TEXT('特殊配信マスタ'!$A$3:$A$16,""ddd"")=TEXT(AB$1,""ddd""))*(IFERROR(VALUE('特殊配信マスタ'!$B$3:$B$16),0)=VALUE(LOOKUP(2,1/($A$3:$A153&lt;&gt;""""),$A$3:$A153)))*('特殊配信マスタ'!$Q$3:$Q$16&lt;&gt;TRUE)), 4), """")"),"")</f>
        <v/>
      </c>
      <c r="AC153" s="593" t="str">
        <f>IFERROR(__xludf.DUMMYFUNCTION("IF(AB153="""","""",IFERROR(INDEX(FILTER('特殊配信マスタ'!$F$3:$F$16,('特殊配信マスタ'!$A$3:$A$16=CHOOSE(WEEKDAY(AB$1),""日"",""月"",""火"",""水"",""木"",""金"",""土""))*('特殊配信マスタ'!$B$3:$B$16=Z$3)*('特殊配信マスタ'!$R$3:$R$16=MOD(INT((AB$1-'特殊配信マスタ'!$A$1)/7),3)+1)),1),""""))"),"")</f>
        <v/>
      </c>
      <c r="AD153" s="590"/>
      <c r="AE153" s="593" t="str">
        <f>IFERROR(__xludf.DUMMYFUNCTION("IF(AB153="""","""",IFERROR(INDEX(FILTER('特殊配信マスタ'!$O$3:$O$16, '特殊配信マスタ'!$E$3:$E$16=AB153),1),""""))"),"")</f>
        <v/>
      </c>
      <c r="AF153" s="593" t="str">
        <f>IFERROR(__xludf.DUMMYFUNCTION("IF(AB153="""","""",IFERROR(INDEX(FILTER('特殊配信マスタ'!$P$3:$P$16, '特殊配信マスタ'!$E$3:$E$16=AB153),1),""""))"),"")</f>
        <v/>
      </c>
      <c r="AG153" s="590" t="str">
        <f>IFERROR(__xludf.DUMMYFUNCTION("IFERROR(INDEX(FILTER('特殊配信マスタ'!$E$3:$E$16, (TEXT('特殊配信マスタ'!$A$3:$A$16,""ddd"")=TEXT(AG$1,""ddd""))*(IFERROR(VALUE('特殊配信マスタ'!$B$3:$B$16),0)=VALUE(LOOKUP(2,1/($A$3:$A153&lt;&gt;""""),$A$3:$A153)))*('特殊配信マスタ'!$Q$3:$Q$16&lt;&gt;TRUE)), 4), """")"),"")</f>
        <v/>
      </c>
      <c r="AH153" s="593" t="str">
        <f>IFERROR(__xludf.DUMMYFUNCTION("IF(AG153="""","""",IFERROR(INDEX(FILTER('特殊配信マスタ'!$F$3:$F$16,('特殊配信マスタ'!$A$3:$A$16=CHOOSE(WEEKDAY(AG$1),""日"",""月"",""火"",""水"",""木"",""金"",""土""))*('特殊配信マスタ'!$B$3:$B$16=AE$3)*('特殊配信マスタ'!$R$3:$R$16=MOD(INT((AG$1-'特殊配信マスタ'!$A$1)/7),3)+1)),1),""""))"),"")</f>
        <v/>
      </c>
      <c r="AI153" s="590"/>
      <c r="AJ153" s="593" t="str">
        <f>IFERROR(__xludf.DUMMYFUNCTION("IF(AG153="""","""",IFERROR(INDEX(FILTER('特殊配信マスタ'!$O$3:$O$16, '特殊配信マスタ'!$E$3:$E$16=AG153),1),""""))"),"")</f>
        <v/>
      </c>
      <c r="AK153" s="593" t="str">
        <f>IFERROR(__xludf.DUMMYFUNCTION("IF(AG153="""","""",IFERROR(INDEX(FILTER('特殊配信マスタ'!$P$3:$P$16, '特殊配信マスタ'!$E$3:$E$16=AG153),1),""""))"),"")</f>
        <v/>
      </c>
    </row>
    <row r="154" ht="17.25" customHeight="1">
      <c r="A154" s="599"/>
      <c r="B154" s="592"/>
      <c r="C154" s="590" t="str">
        <f>IFERROR(__xludf.DUMMYFUNCTION("IFERROR(INDEX(FILTER('特殊配信マスタ'!$E$3:$E$16, (TEXT('特殊配信マスタ'!$A$3:$A$16,""ddd"")=TEXT(C$1,""ddd""))*(IFERROR(VALUE('特殊配信マスタ'!$B$3:$B$16),0)=VALUE(LOOKUP(2,1/($A$3:$A154&lt;&gt;""""),$A$3:$A154)))*('特殊配信マスタ'!$Q$3:$Q$16&lt;&gt;TRUE)), 5), """")"),"")</f>
        <v/>
      </c>
      <c r="D154" s="593" t="str">
        <f>IFERROR(__xludf.DUMMYFUNCTION("IF(C154="""","""",IFERROR(INDEX(FILTER('特殊配信マスタ'!$F$3:$F$16,('特殊配信マスタ'!$A$3:$A$16=CHOOSE(WEEKDAY(C$1),""日"",""月"",""火"",""水"",""木"",""金"",""土""))*('特殊配信マスタ'!$B$3:$B$16=A$3)*('特殊配信マスタ'!$R$3:$R$16=MOD(INT((C$1-'特殊配信マスタ'!$A$1)/7),3)+1)),1),""""))"),"")</f>
        <v/>
      </c>
      <c r="E154" s="590"/>
      <c r="F154" s="593" t="str">
        <f>IFERROR(__xludf.DUMMYFUNCTION("IF(C154="""","""",IFERROR(INDEX(FILTER('特殊配信マスタ'!$O$3:$O$16, '特殊配信マスタ'!$E$3:$E$16=C154),1),""""))"),"")</f>
        <v/>
      </c>
      <c r="G154" s="593" t="str">
        <f>IFERROR(__xludf.DUMMYFUNCTION("IF(C154="""","""",IFERROR(INDEX(FILTER('特殊配信マスタ'!$P$3:$P$16, '特殊配信マスタ'!$E$3:$E$16=C154),1),""""))"),"")</f>
        <v/>
      </c>
      <c r="H154" s="590" t="str">
        <f>IFERROR(__xludf.DUMMYFUNCTION("IFERROR(INDEX(FILTER('特殊配信マスタ'!$E$3:$E$16, (TEXT('特殊配信マスタ'!$A$3:$A$16,""ddd"")=TEXT(H$1,""ddd""))*(IFERROR(VALUE('特殊配信マスタ'!$B$3:$B$16),0)=VALUE(LOOKUP(2,1/($A$3:$A154&lt;&gt;""""),$A$3:$A154)))*('特殊配信マスタ'!$Q$3:$Q$16&lt;&gt;TRUE)), 5), """")"),"")</f>
        <v/>
      </c>
      <c r="I154" s="593" t="str">
        <f>IFERROR(__xludf.DUMMYFUNCTION("IF(H154="""","""",IFERROR(INDEX(FILTER('特殊配信マスタ'!$F$3:$F$16,('特殊配信マスタ'!$A$3:$A$16=CHOOSE(WEEKDAY(H$1),""日"",""月"",""火"",""水"",""木"",""金"",""土""))*('特殊配信マスタ'!$B$3:$B$16=F$3)*('特殊配信マスタ'!$R$3:$R$16=MOD(INT((H$1-'特殊配信マスタ'!$A$1)/7),3)+1)),1),""""))"),"")</f>
        <v/>
      </c>
      <c r="J154" s="590"/>
      <c r="K154" s="593" t="str">
        <f>IFERROR(__xludf.DUMMYFUNCTION("IF(H154="""","""",IFERROR(INDEX(FILTER('特殊配信マスタ'!$O$3:$O$16, '特殊配信マスタ'!$E$3:$E$16=H154),1),""""))"),"")</f>
        <v/>
      </c>
      <c r="L154" s="593" t="str">
        <f>IFERROR(__xludf.DUMMYFUNCTION("IF(H154="""","""",IFERROR(INDEX(FILTER('特殊配信マスタ'!$P$3:$P$16, '特殊配信マスタ'!$E$3:$E$16=H154),1),""""))"),"")</f>
        <v/>
      </c>
      <c r="M154" s="590" t="str">
        <f>IFERROR(__xludf.DUMMYFUNCTION("IFERROR(INDEX(FILTER('特殊配信マスタ'!$E$3:$E$16, (TEXT('特殊配信マスタ'!$A$3:$A$16,""ddd"")=TEXT(M$1,""ddd""))*(IFERROR(VALUE('特殊配信マスタ'!$B$3:$B$16),0)=VALUE(LOOKUP(2,1/($A$3:$A154&lt;&gt;""""),$A$3:$A154)))*('特殊配信マスタ'!$Q$3:$Q$16&lt;&gt;TRUE)), 5), """")"),"")</f>
        <v/>
      </c>
      <c r="N154" s="593" t="str">
        <f>IFERROR(__xludf.DUMMYFUNCTION("IF(M154="""","""",IFERROR(INDEX(FILTER('特殊配信マスタ'!$F$3:$F$16,('特殊配信マスタ'!$A$3:$A$16=CHOOSE(WEEKDAY(M$1),""日"",""月"",""火"",""水"",""木"",""金"",""土""))*('特殊配信マスタ'!$B$3:$B$16=K$3)*('特殊配信マスタ'!$R$3:$R$16=MOD(INT((M$1-'特殊配信マスタ'!$A$1)/7),3)+1)),1),""""))"),"")</f>
        <v/>
      </c>
      <c r="O154" s="590"/>
      <c r="P154" s="593" t="str">
        <f>IFERROR(__xludf.DUMMYFUNCTION("IF(M154="""","""",IFERROR(INDEX(FILTER('特殊配信マスタ'!$O$3:$O$16, '特殊配信マスタ'!$E$3:$E$16=M154),1),""""))"),"")</f>
        <v/>
      </c>
      <c r="Q154" s="593" t="str">
        <f>IFERROR(__xludf.DUMMYFUNCTION("IF(M154="""","""",IFERROR(INDEX(FILTER('特殊配信マスタ'!$P$3:$P$16, '特殊配信マスタ'!$E$3:$E$16=M154),1),""""))"),"")</f>
        <v/>
      </c>
      <c r="R154" s="590" t="str">
        <f>IFERROR(__xludf.DUMMYFUNCTION("IFERROR(INDEX(FILTER('特殊配信マスタ'!$E$3:$E$16, (TEXT('特殊配信マスタ'!$A$3:$A$16,""ddd"")=TEXT(R$1,""ddd""))*(IFERROR(VALUE('特殊配信マスタ'!$B$3:$B$16),0)=VALUE(LOOKUP(2,1/($A$3:$A154&lt;&gt;""""),$A$3:$A154)))*('特殊配信マスタ'!$Q$3:$Q$16&lt;&gt;TRUE)), 5), """")"),"")</f>
        <v/>
      </c>
      <c r="S154" s="593" t="str">
        <f>IFERROR(__xludf.DUMMYFUNCTION("IF(R154="""","""",IFERROR(INDEX(FILTER('特殊配信マスタ'!$F$3:$F$16,('特殊配信マスタ'!$A$3:$A$16=CHOOSE(WEEKDAY(R$1),""日"",""月"",""火"",""水"",""木"",""金"",""土""))*('特殊配信マスタ'!$B$3:$B$16=P$3)*('特殊配信マスタ'!$R$3:$R$16=MOD(INT((R$1-'特殊配信マスタ'!$A$1)/7),3)+1)),1),""""))"),"")</f>
        <v/>
      </c>
      <c r="T154" s="590"/>
      <c r="U154" s="593" t="str">
        <f>IFERROR(__xludf.DUMMYFUNCTION("IF(R154="""","""",IFERROR(INDEX(FILTER('特殊配信マスタ'!$O$3:$O$16, '特殊配信マスタ'!$E$3:$E$16=R154),1),""""))"),"")</f>
        <v/>
      </c>
      <c r="V154" s="593" t="str">
        <f>IFERROR(__xludf.DUMMYFUNCTION("IF(R154="""","""",IFERROR(INDEX(FILTER('特殊配信マスタ'!$P$3:$P$16, '特殊配信マスタ'!$E$3:$E$16=R154),1),""""))"),"")</f>
        <v/>
      </c>
      <c r="W154" s="590" t="str">
        <f>IFERROR(__xludf.DUMMYFUNCTION("IFERROR(INDEX(FILTER('特殊配信マスタ'!$E$3:$E$16, (TEXT('特殊配信マスタ'!$A$3:$A$16,""ddd"")=TEXT(W$1,""ddd""))*(IFERROR(VALUE('特殊配信マスタ'!$B$3:$B$16),0)=VALUE(LOOKUP(2,1/($A$3:$A154&lt;&gt;""""),$A$3:$A154)))*('特殊配信マスタ'!$Q$3:$Q$16&lt;&gt;TRUE)), 5), """")"),"")</f>
        <v/>
      </c>
      <c r="X154" s="593" t="str">
        <f>IFERROR(__xludf.DUMMYFUNCTION("IF(W154="""","""",IFERROR(INDEX(FILTER('特殊配信マスタ'!$F$3:$F$16,('特殊配信マスタ'!$A$3:$A$16=CHOOSE(WEEKDAY(W$1),""日"",""月"",""火"",""水"",""木"",""金"",""土""))*('特殊配信マスタ'!$B$3:$B$16=U$3)*('特殊配信マスタ'!$R$3:$R$16=MOD(INT((W$1-'特殊配信マスタ'!$A$1)/7),3)+1)),1),""""))"),"")</f>
        <v/>
      </c>
      <c r="Y154" s="590"/>
      <c r="Z154" s="593" t="str">
        <f>IFERROR(__xludf.DUMMYFUNCTION("IF(W154="""","""",IFERROR(INDEX(FILTER('特殊配信マスタ'!$O$3:$O$16, '特殊配信マスタ'!$E$3:$E$16=W154),1),""""))"),"")</f>
        <v/>
      </c>
      <c r="AA154" s="593" t="str">
        <f>IFERROR(__xludf.DUMMYFUNCTION("IF(W154="""","""",IFERROR(INDEX(FILTER('特殊配信マスタ'!$P$3:$P$16, '特殊配信マスタ'!$E$3:$E$16=W154),1),""""))"),"")</f>
        <v/>
      </c>
      <c r="AB154" s="590" t="str">
        <f>IFERROR(__xludf.DUMMYFUNCTION("IFERROR(INDEX(FILTER('特殊配信マスタ'!$E$3:$E$16, (TEXT('特殊配信マスタ'!$A$3:$A$16,""ddd"")=TEXT(AB$1,""ddd""))*(IFERROR(VALUE('特殊配信マスタ'!$B$3:$B$16),0)=VALUE(LOOKUP(2,1/($A$3:$A154&lt;&gt;""""),$A$3:$A154)))*('特殊配信マスタ'!$Q$3:$Q$16&lt;&gt;TRUE)), 5), """")"),"")</f>
        <v/>
      </c>
      <c r="AC154" s="593" t="str">
        <f>IFERROR(__xludf.DUMMYFUNCTION("IF(AB154="""","""",IFERROR(INDEX(FILTER('特殊配信マスタ'!$F$3:$F$16,('特殊配信マスタ'!$A$3:$A$16=CHOOSE(WEEKDAY(AB$1),""日"",""月"",""火"",""水"",""木"",""金"",""土""))*('特殊配信マスタ'!$B$3:$B$16=Z$3)*('特殊配信マスタ'!$R$3:$R$16=MOD(INT((AB$1-'特殊配信マスタ'!$A$1)/7),3)+1)),1),""""))"),"")</f>
        <v/>
      </c>
      <c r="AD154" s="590"/>
      <c r="AE154" s="593" t="str">
        <f>IFERROR(__xludf.DUMMYFUNCTION("IF(AB154="""","""",IFERROR(INDEX(FILTER('特殊配信マスタ'!$O$3:$O$16, '特殊配信マスタ'!$E$3:$E$16=AB154),1),""""))"),"")</f>
        <v/>
      </c>
      <c r="AF154" s="593" t="str">
        <f>IFERROR(__xludf.DUMMYFUNCTION("IF(AB154="""","""",IFERROR(INDEX(FILTER('特殊配信マスタ'!$P$3:$P$16, '特殊配信マスタ'!$E$3:$E$16=AB154),1),""""))"),"")</f>
        <v/>
      </c>
      <c r="AG154" s="590" t="str">
        <f>IFERROR(__xludf.DUMMYFUNCTION("IFERROR(INDEX(FILTER('特殊配信マスタ'!$E$3:$E$16, (TEXT('特殊配信マスタ'!$A$3:$A$16,""ddd"")=TEXT(AG$1,""ddd""))*(IFERROR(VALUE('特殊配信マスタ'!$B$3:$B$16),0)=VALUE(LOOKUP(2,1/($A$3:$A154&lt;&gt;""""),$A$3:$A154)))*('特殊配信マスタ'!$Q$3:$Q$16&lt;&gt;TRUE)), 5), """")"),"")</f>
        <v/>
      </c>
      <c r="AH154" s="593" t="str">
        <f>IFERROR(__xludf.DUMMYFUNCTION("IF(AG154="""","""",IFERROR(INDEX(FILTER('特殊配信マスタ'!$F$3:$F$16,('特殊配信マスタ'!$A$3:$A$16=CHOOSE(WEEKDAY(AG$1),""日"",""月"",""火"",""水"",""木"",""金"",""土""))*('特殊配信マスタ'!$B$3:$B$16=AE$3)*('特殊配信マスタ'!$R$3:$R$16=MOD(INT((AG$1-'特殊配信マスタ'!$A$1)/7),3)+1)),1),""""))"),"")</f>
        <v/>
      </c>
      <c r="AI154" s="590"/>
      <c r="AJ154" s="593" t="str">
        <f>IFERROR(__xludf.DUMMYFUNCTION("IF(AG154="""","""",IFERROR(INDEX(FILTER('特殊配信マスタ'!$O$3:$O$16, '特殊配信マスタ'!$E$3:$E$16=AG154),1),""""))"),"")</f>
        <v/>
      </c>
      <c r="AK154" s="593" t="str">
        <f>IFERROR(__xludf.DUMMYFUNCTION("IF(AG154="""","""",IFERROR(INDEX(FILTER('特殊配信マスタ'!$P$3:$P$16, '特殊配信マスタ'!$E$3:$E$16=AG154),1),""""))"),"")</f>
        <v/>
      </c>
    </row>
    <row r="155" ht="17.25" customHeight="1">
      <c r="A155" s="584">
        <f>A136+1</f>
        <v>16</v>
      </c>
      <c r="B155" s="585" t="s">
        <v>1450</v>
      </c>
      <c r="C155" s="586" t="str">
        <f>IFERROR(__xludf.DUMMYFUNCTION("IFERROR(FILTER('リスト'!$E$4:$E$349, (TEXT('リスト'!$A$4:$A$349,""ddd"")=TEXT(C$1, ""ddd""))*('リスト'!$B$4:$B$349=LOOKUP(2,1/($A$3:$A155&lt;&gt;""""),$A$3:$A155))*(('リスト'!$G$4:$G$349=""毎週配信"")+('リスト'!$G$4:$G$349=$A$1))), """")"),"35歳以上向け A")</f>
        <v>35歳以上向け A</v>
      </c>
      <c r="D155" s="8">
        <f t="array" ref="D155">IFERROR(XLOOKUP(C155, 'リスト'!$E:$E, 'リスト'!$F:$F, ""), "")</f>
        <v>1</v>
      </c>
      <c r="E155" s="8">
        <f>SUM(D155:D173)</f>
        <v>1.6</v>
      </c>
      <c r="F155" s="8" t="str">
        <f>IFERROR(__xludf.DUMMYFUNCTION("IF(C155="""","""",IFERROR(INDEX(FILTER('リスト'!$O$4:$O$349, 'リスト'!$E$4:$E$349=C155),1),""""))"),"R")</f>
        <v>R</v>
      </c>
      <c r="G155" s="8" t="str">
        <f>IFERROR(__xludf.DUMMYFUNCTION("IF(C155="""","""",IFERROR(INDEX(FILTER('リスト'!$P$4:$P$349, 'リスト'!$E$4:$E$349=C155),1),""""))"),"")</f>
        <v/>
      </c>
      <c r="H155" s="586" t="str">
        <f>IFERROR(__xludf.DUMMYFUNCTION("IFERROR(FILTER('リスト'!$E$4:$E$349, (TEXT('リスト'!$A$4:$A$349,""ddd"")=TEXT(H$1, ""ddd""))*('リスト'!$B$4:$B$349=LOOKUP(2,1/($A$3:$A155&lt;&gt;""""),$A$3:$A155))*(('リスト'!$G$4:$G$349=""毎週配信"")+('リスト'!$G$4:$G$349=$A$1))), """")"),"年収UP_関西")</f>
        <v>年収UP_関西</v>
      </c>
      <c r="I155" s="8">
        <f t="array" ref="I155">IFERROR(XLOOKUP(H155, 'リスト'!$E:$E, 'リスト'!$F:$F, ""), "")</f>
        <v>1</v>
      </c>
      <c r="J155" s="8">
        <f>SUM(I155:I173)</f>
        <v>3.8</v>
      </c>
      <c r="K155" s="8" t="str">
        <f>IFERROR(__xludf.DUMMYFUNCTION("IF(H155="""","""",IFERROR(INDEX(FILTER('リスト'!$O$4:$O$349, 'リスト'!$E$4:$E$349=H155),1),""""))"),"R")</f>
        <v>R</v>
      </c>
      <c r="L155" s="8" t="str">
        <f>IFERROR(__xludf.DUMMYFUNCTION("IF(H155="""","""",IFERROR(INDEX(FILTER('リスト'!$P$4:$P$349, 'リスト'!$E$4:$E$349=H155),1),""""))"),"")</f>
        <v/>
      </c>
      <c r="M155" s="586" t="str">
        <f>IFERROR(__xludf.DUMMYFUNCTION("IFERROR(FILTER('リスト'!$E$4:$E$349, (TEXT('リスト'!$A$4:$A$349,""ddd"")=TEXT(M$1, ""ddd""))*('リスト'!$B$4:$B$349=LOOKUP(2,1/($A$3:$A155&lt;&gt;""""),$A$3:$A155))*(('リスト'!$G$4:$G$349=""毎週配信"")+('リスト'!$G$4:$G$349=$A$1))), """")"),"エンジニア限定_単独求人メルマガ")</f>
        <v>エンジニア限定_単独求人メルマガ</v>
      </c>
      <c r="N155" s="8">
        <f t="array" ref="N155">IFERROR(XLOOKUP(M155, 'リスト'!$E:$E, 'リスト'!$F:$F, ""), "")</f>
        <v>0.5</v>
      </c>
      <c r="O155" s="8">
        <f>SUM(N155:N173)</f>
        <v>2.6</v>
      </c>
      <c r="P155" s="8" t="str">
        <f>IFERROR(__xludf.DUMMYFUNCTION("IF(M155="""","""",IFERROR(INDEX(FILTER('リスト'!$O$4:$O$349, 'リスト'!$E$4:$E$349=M155),1),""""))"),"武")</f>
        <v>武</v>
      </c>
      <c r="Q155" s="8" t="str">
        <f>IFERROR(__xludf.DUMMYFUNCTION("IF(M155="""","""",IFERROR(INDEX(FILTER('リスト'!$P$4:$P$349, 'リスト'!$E$4:$E$349=M155),1),""""))"),"部")</f>
        <v>部</v>
      </c>
      <c r="R155" s="586" t="str">
        <f>IFERROR(__xludf.DUMMYFUNCTION("IFERROR(FILTER('リスト'!$E$4:$E$349, (TEXT('リスト'!$A$4:$A$349,""ddd"")=TEXT(R$1, ""ddd""))*('リスト'!$B$4:$B$349=LOOKUP(2,1/($A$3:$A155&lt;&gt;""""),$A$3:$A155))*(('リスト'!$G$4:$G$349=""毎週配信"")+('リスト'!$G$4:$G$349=$A$1))), """")"),"")</f>
        <v/>
      </c>
      <c r="S155" s="8" t="str">
        <f t="array" ref="S155">IFERROR(XLOOKUP(R155, 'リスト'!$E:$E, 'リスト'!$F:$F, ""), "")</f>
        <v/>
      </c>
      <c r="T155" s="8">
        <f>SUM(S155:S173)</f>
        <v>0</v>
      </c>
      <c r="U155" s="8" t="str">
        <f>IFERROR(__xludf.DUMMYFUNCTION("IF(R155="""","""",IFERROR(INDEX(FILTER('リスト'!$O$4:$O$349, 'リスト'!$E$4:$E$349=R155),1),""""))"),"")</f>
        <v/>
      </c>
      <c r="V155" s="8" t="str">
        <f>IFERROR(__xludf.DUMMYFUNCTION("IF(R155="""","""",IFERROR(INDEX(FILTER('リスト'!$P$4:$P$349, 'リスト'!$E$4:$E$349=R155),1),""""))"),"")</f>
        <v/>
      </c>
      <c r="W155" s="586" t="str">
        <f>IFERROR(__xludf.DUMMYFUNCTION("IFERROR(FILTER('リスト'!$E$4:$E$349, (TEXT('リスト'!$A$4:$A$349,""ddd"")=TEXT(W$1, ""ddd""))*('リスト'!$B$4:$B$349=LOOKUP(2,1/($A$3:$A155&lt;&gt;""""),$A$3:$A155))*(('リスト'!$G$4:$G$349=""毎週配信"")+('リスト'!$G$4:$G$349=$A$1))), """")"),"☆救済メルマガ(UP10)")</f>
        <v>☆救済メルマガ(UP10)</v>
      </c>
      <c r="X155" s="8">
        <f t="array" ref="X155">IFERROR(XLOOKUP(W155, 'リスト'!$E:$E, 'リスト'!$F:$F, ""), "")</f>
        <v>4</v>
      </c>
      <c r="Y155" s="8">
        <f>SUM(X155:X173)</f>
        <v>4</v>
      </c>
      <c r="Z155" s="8" t="str">
        <f>IFERROR(__xludf.DUMMYFUNCTION("IF(W155="""","""",IFERROR(INDEX(FILTER('リスト'!$O$4:$O$349, 'リスト'!$E$4:$E$349=W155),1),""""))"),"平")</f>
        <v>平</v>
      </c>
      <c r="AA155" s="8" t="str">
        <f>IFERROR(__xludf.DUMMYFUNCTION("IF(W155="""","""",IFERROR(INDEX(FILTER('リスト'!$P$4:$P$349, 'リスト'!$E$4:$E$349=W155),1),""""))"),"荒")</f>
        <v>荒</v>
      </c>
      <c r="AB155" s="586" t="str">
        <f>IFERROR(__xludf.DUMMYFUNCTION("IFERROR(FILTER('リスト'!$E$4:$E$349, (TEXT('リスト'!$A$4:$A$349,""ddd"")=TEXT(AB$1, ""ddd""))*('リスト'!$B$4:$B$349=LOOKUP(2,1/($A$3:$A155&lt;&gt;""""),$A$3:$A155))*(('リスト'!$G$4:$G$349=""毎週配信"")+('リスト'!$G$4:$G$349=$A$1))), """")"),"")</f>
        <v/>
      </c>
      <c r="AC155" s="8" t="str">
        <f t="array" ref="AC155">IFERROR(XLOOKUP(AB155, 'リスト'!$E:$E, 'リスト'!$F:$F, ""), "")</f>
        <v/>
      </c>
      <c r="AD155" s="8">
        <f>SUM(AC155:AC173)</f>
        <v>0</v>
      </c>
      <c r="AE155" s="8" t="str">
        <f>IFERROR(__xludf.DUMMYFUNCTION("IF(AB155="""","""",IFERROR(INDEX(FILTER('リスト'!$O$4:$O$349, 'リスト'!$E$4:$E$349=AB155),1),""""))"),"")</f>
        <v/>
      </c>
      <c r="AF155" s="8" t="str">
        <f>IFERROR(__xludf.DUMMYFUNCTION("IF(AB155="""","""",IFERROR(INDEX(FILTER('リスト'!$P$4:$P$349, 'リスト'!$E$4:$E$349=AB155),1),""""))"),"")</f>
        <v/>
      </c>
      <c r="AG155" s="586" t="str">
        <f>IFERROR(__xludf.DUMMYFUNCTION("IFERROR(FILTER('リスト'!$E$4:$E$349, (TEXT('リスト'!$A$4:$A$349,""ddd"")=TEXT(AG$1, ""ddd""))*('リスト'!$B$4:$B$349=LOOKUP(2,1/($A$3:$A155&lt;&gt;""""),$A$3:$A155))*(('リスト'!$G$4:$G$349=""毎週配信"")+('リスト'!$G$4:$G$349=$A$1))), """")"),"事務職 B")</f>
        <v>事務職 B</v>
      </c>
      <c r="AH155" s="8">
        <f t="array" ref="AH155">IFERROR(XLOOKUP(AG155, 'リスト'!$E:$E, 'リスト'!$F:$F, ""), "")</f>
        <v>1.7</v>
      </c>
      <c r="AI155" s="8">
        <f>SUM(AH155:AH173)</f>
        <v>5.7</v>
      </c>
      <c r="AJ155" s="8" t="str">
        <f>IFERROR(__xludf.DUMMYFUNCTION("IF(AG155="""","""",IFERROR(INDEX(FILTER('リスト'!$O$4:$O$349, 'リスト'!$E$4:$E$349=AG155),1),""""))"),"R")</f>
        <v>R</v>
      </c>
      <c r="AK155" s="8" t="str">
        <f>IFERROR(__xludf.DUMMYFUNCTION("IF(AG155="""","""",IFERROR(INDEX(FILTER('リスト'!$P$4:$P$349, 'リスト'!$E$4:$E$349=AG155),1),""""))"),"")</f>
        <v/>
      </c>
    </row>
    <row r="156" ht="17.25" customHeight="1">
      <c r="A156" s="587"/>
      <c r="B156" s="588"/>
      <c r="C156" s="586" t="str">
        <f>IFERROR(__xludf.DUMMYFUNCTION("""COMPUTED_VALUE"""),"育児両立_フレックス")</f>
        <v>育児両立_フレックス</v>
      </c>
      <c r="D156" s="8">
        <f t="array" ref="D156">IFERROR(XLOOKUP(C156, 'リスト'!$E:$E, 'リスト'!$F:$F, ""), "")</f>
        <v>0.6</v>
      </c>
      <c r="E156" s="8"/>
      <c r="F156" s="8" t="str">
        <f t="array" ref="F156">IFERROR(XLOOKUP(C156, 'リスト'!$E:$E, 'リスト'!$O:$O, ""), "")</f>
        <v>R</v>
      </c>
      <c r="G156" s="8" t="str">
        <f t="array" ref="G156">IFERROR(XLOOKUP(C156, 'リスト'!$E:$E, 'リスト'!$P:$P, ""), "")</f>
        <v/>
      </c>
      <c r="H156" s="586" t="str">
        <f>IFERROR(__xludf.DUMMYFUNCTION("""COMPUTED_VALUE"""),"副業OK×リモート_ランキング")</f>
        <v>副業OK×リモート_ランキング</v>
      </c>
      <c r="I156" s="8">
        <f t="array" ref="I156">IFERROR(XLOOKUP(H156, 'リスト'!$E:$E, 'リスト'!$F:$F, ""), "")</f>
        <v>2.8</v>
      </c>
      <c r="J156" s="8"/>
      <c r="K156" s="8" t="str">
        <f t="array" ref="K156">IFERROR(XLOOKUP(H156, 'リスト'!$E:$E, 'リスト'!$O:$O, ""), "")</f>
        <v>R</v>
      </c>
      <c r="L156" s="8" t="str">
        <f t="array" ref="L156">IFERROR(XLOOKUP(H156, 'リスト'!$E:$E, 'リスト'!$P:$P, ""), "")</f>
        <v/>
      </c>
      <c r="M156" s="586" t="str">
        <f>IFERROR(__xludf.DUMMYFUNCTION("""COMPUTED_VALUE"""),"年休130日以上_残業10時間以下")</f>
        <v>年休130日以上_残業10時間以下</v>
      </c>
      <c r="N156" s="8">
        <f t="array" ref="N156">IFERROR(XLOOKUP(M156, 'リスト'!$E:$E, 'リスト'!$F:$F, ""), "")</f>
        <v>2.1</v>
      </c>
      <c r="O156" s="8"/>
      <c r="P156" s="8" t="str">
        <f t="array" ref="P156">IFERROR(XLOOKUP(M156, 'リスト'!$E:$E, 'リスト'!$O:$O, ""), "")</f>
        <v>R</v>
      </c>
      <c r="Q156" s="8" t="str">
        <f t="array" ref="Q156">IFERROR(XLOOKUP(M156, 'リスト'!$E:$E, 'リスト'!$P:$P, ""), "")</f>
        <v/>
      </c>
      <c r="R156" s="586"/>
      <c r="S156" s="8" t="str">
        <f t="array" ref="S156">IFERROR(XLOOKUP(R156, 'リスト'!$E:$E, 'リスト'!$F:$F, ""), "")</f>
        <v/>
      </c>
      <c r="T156" s="8"/>
      <c r="U156" s="8" t="str">
        <f t="array" ref="U156">IFERROR(XLOOKUP(R156, 'リスト'!$E:$E, 'リスト'!$O:$O, ""), "")</f>
        <v/>
      </c>
      <c r="V156" s="8" t="str">
        <f t="array" ref="V156">IFERROR(XLOOKUP(R156, 'リスト'!$E:$E, 'リスト'!$P:$P, ""), "")</f>
        <v/>
      </c>
      <c r="W156" s="586"/>
      <c r="X156" s="8" t="str">
        <f t="array" ref="X156">IFERROR(XLOOKUP(W156, 'リスト'!$E:$E, 'リスト'!$F:$F, ""), "")</f>
        <v/>
      </c>
      <c r="Y156" s="8"/>
      <c r="Z156" s="8" t="str">
        <f t="array" ref="Z156">IFERROR(XLOOKUP(W156, 'リスト'!$E:$E, 'リスト'!$O:$O, ""), "")</f>
        <v/>
      </c>
      <c r="AA156" s="8" t="str">
        <f t="array" ref="AA156">IFERROR(XLOOKUP(W156, 'リスト'!$E:$E, 'リスト'!$P:$P, ""), "")</f>
        <v/>
      </c>
      <c r="AB156" s="586"/>
      <c r="AC156" s="8" t="str">
        <f t="array" ref="AC156">IFERROR(XLOOKUP(AB156, 'リスト'!$E:$E, 'リスト'!$F:$F, ""), "")</f>
        <v/>
      </c>
      <c r="AD156" s="8"/>
      <c r="AE156" s="8" t="str">
        <f t="array" ref="AE156">IFERROR(XLOOKUP(AB156, 'リスト'!$E:$E, 'リスト'!$O:$O, ""), "")</f>
        <v/>
      </c>
      <c r="AF156" s="8" t="str">
        <f t="array" ref="AF156">IFERROR(XLOOKUP(AB156, 'リスト'!$E:$E, 'リスト'!$P:$P, ""), "")</f>
        <v/>
      </c>
      <c r="AG156" s="586" t="str">
        <f>IFERROR(__xludf.DUMMYFUNCTION("""COMPUTED_VALUE"""),"事務職_35歳以上 B")</f>
        <v>事務職_35歳以上 B</v>
      </c>
      <c r="AH156" s="8">
        <f t="array" ref="AH156">IFERROR(XLOOKUP(AG156, 'リスト'!$E:$E, 'リスト'!$F:$F, ""), "")</f>
        <v>3</v>
      </c>
      <c r="AI156" s="8"/>
      <c r="AJ156" s="8" t="str">
        <f t="array" ref="AJ156">IFERROR(XLOOKUP(AG156, 'リスト'!$E:$E, 'リスト'!$O:$O, ""), "")</f>
        <v>R</v>
      </c>
      <c r="AK156" s="8" t="str">
        <f t="array" ref="AK156">IFERROR(XLOOKUP(AG156, 'リスト'!$E:$E, 'リスト'!$P:$P, ""), "")</f>
        <v/>
      </c>
    </row>
    <row r="157" ht="17.25" customHeight="1">
      <c r="A157" s="587"/>
      <c r="B157" s="588"/>
      <c r="C157" s="586"/>
      <c r="D157" s="8" t="str">
        <f t="array" ref="D157">IFERROR(XLOOKUP(C157, 'リスト'!$E:$E, 'リスト'!$F:$F, ""), "")</f>
        <v/>
      </c>
      <c r="E157" s="8"/>
      <c r="F157" s="8" t="str">
        <f t="array" ref="F157">IFERROR(XLOOKUP(C157, 'リスト'!$E:$E, 'リスト'!$O:$O, ""), "")</f>
        <v/>
      </c>
      <c r="G157" s="8" t="str">
        <f t="array" ref="G157">IFERROR(XLOOKUP(C157, 'リスト'!$E:$E, 'リスト'!$P:$P, ""), "")</f>
        <v/>
      </c>
      <c r="H157" s="586"/>
      <c r="I157" s="8" t="str">
        <f t="array" ref="I157">IFERROR(XLOOKUP(H157, 'リスト'!$E:$E, 'リスト'!$F:$F, ""), "")</f>
        <v/>
      </c>
      <c r="J157" s="8"/>
      <c r="K157" s="8" t="str">
        <f t="array" ref="K157">IFERROR(XLOOKUP(H157, 'リスト'!$E:$E, 'リスト'!$O:$O, ""), "")</f>
        <v/>
      </c>
      <c r="L157" s="8" t="str">
        <f t="array" ref="L157">IFERROR(XLOOKUP(H157, 'リスト'!$E:$E, 'リスト'!$P:$P, ""), "")</f>
        <v/>
      </c>
      <c r="M157" s="586"/>
      <c r="N157" s="8" t="str">
        <f t="array" ref="N157">IFERROR(XLOOKUP(M157, 'リスト'!$E:$E, 'リスト'!$F:$F, ""), "")</f>
        <v/>
      </c>
      <c r="O157" s="8"/>
      <c r="P157" s="8" t="str">
        <f t="array" ref="P157">IFERROR(XLOOKUP(M157, 'リスト'!$E:$E, 'リスト'!$O:$O, ""), "")</f>
        <v/>
      </c>
      <c r="Q157" s="8" t="str">
        <f t="array" ref="Q157">IFERROR(XLOOKUP(M157, 'リスト'!$E:$E, 'リスト'!$P:$P, ""), "")</f>
        <v/>
      </c>
      <c r="R157" s="586"/>
      <c r="S157" s="8" t="str">
        <f t="array" ref="S157">IFERROR(XLOOKUP(R157, 'リスト'!$E:$E, 'リスト'!$F:$F, ""), "")</f>
        <v/>
      </c>
      <c r="T157" s="8"/>
      <c r="U157" s="8" t="str">
        <f t="array" ref="U157">IFERROR(XLOOKUP(R157, 'リスト'!$E:$E, 'リスト'!$O:$O, ""), "")</f>
        <v/>
      </c>
      <c r="V157" s="8" t="str">
        <f t="array" ref="V157">IFERROR(XLOOKUP(R157, 'リスト'!$E:$E, 'リスト'!$P:$P, ""), "")</f>
        <v/>
      </c>
      <c r="W157" s="586"/>
      <c r="X157" s="8" t="str">
        <f t="array" ref="X157">IFERROR(XLOOKUP(W157, 'リスト'!$E:$E, 'リスト'!$F:$F, ""), "")</f>
        <v/>
      </c>
      <c r="Y157" s="8"/>
      <c r="Z157" s="8" t="str">
        <f t="array" ref="Z157">IFERROR(XLOOKUP(W157, 'リスト'!$E:$E, 'リスト'!$O:$O, ""), "")</f>
        <v/>
      </c>
      <c r="AA157" s="8" t="str">
        <f t="array" ref="AA157">IFERROR(XLOOKUP(W157, 'リスト'!$E:$E, 'リスト'!$P:$P, ""), "")</f>
        <v/>
      </c>
      <c r="AB157" s="586"/>
      <c r="AC157" s="8" t="str">
        <f t="array" ref="AC157">IFERROR(XLOOKUP(AB157, 'リスト'!$E:$E, 'リスト'!$F:$F, ""), "")</f>
        <v/>
      </c>
      <c r="AD157" s="8"/>
      <c r="AE157" s="8" t="str">
        <f t="array" ref="AE157">IFERROR(XLOOKUP(AB157, 'リスト'!$E:$E, 'リスト'!$O:$O, ""), "")</f>
        <v/>
      </c>
      <c r="AF157" s="8" t="str">
        <f t="array" ref="AF157">IFERROR(XLOOKUP(AB157, 'リスト'!$E:$E, 'リスト'!$P:$P, ""), "")</f>
        <v/>
      </c>
      <c r="AG157" s="586" t="str">
        <f>IFERROR(__xludf.DUMMYFUNCTION("""COMPUTED_VALUE"""),"事務職_関西 B")</f>
        <v>事務職_関西 B</v>
      </c>
      <c r="AH157" s="8">
        <f t="array" ref="AH157">IFERROR(XLOOKUP(AG157, 'リスト'!$E:$E, 'リスト'!$F:$F, ""), "")</f>
        <v>1</v>
      </c>
      <c r="AI157" s="8"/>
      <c r="AJ157" s="8" t="str">
        <f t="array" ref="AJ157">IFERROR(XLOOKUP(AG157, 'リスト'!$E:$E, 'リスト'!$O:$O, ""), "")</f>
        <v>R</v>
      </c>
      <c r="AK157" s="8" t="str">
        <f t="array" ref="AK157">IFERROR(XLOOKUP(AG157, 'リスト'!$E:$E, 'リスト'!$P:$P, ""), "")</f>
        <v/>
      </c>
    </row>
    <row r="158" ht="17.25" customHeight="1">
      <c r="A158" s="587"/>
      <c r="B158" s="588"/>
      <c r="C158" s="589"/>
      <c r="D158" s="8" t="str">
        <f t="array" ref="D158">IFERROR(XLOOKUP(C158, 'リスト'!$E:$E, 'リスト'!$F:$F, ""), "")</f>
        <v/>
      </c>
      <c r="E158" s="8"/>
      <c r="F158" s="8" t="str">
        <f t="array" ref="F158">IFERROR(XLOOKUP(C158, 'リスト'!$E:$E, 'リスト'!$O:$O, ""), "")</f>
        <v/>
      </c>
      <c r="G158" s="8" t="str">
        <f t="array" ref="G158">IFERROR(XLOOKUP(C158, 'リスト'!$E:$E, 'リスト'!$P:$P, ""), "")</f>
        <v/>
      </c>
      <c r="H158" s="589"/>
      <c r="I158" s="8" t="str">
        <f t="array" ref="I158">IFERROR(XLOOKUP(H158, 'リスト'!$E:$E, 'リスト'!$F:$F, ""), "")</f>
        <v/>
      </c>
      <c r="J158" s="8"/>
      <c r="K158" s="8" t="str">
        <f t="array" ref="K158">IFERROR(XLOOKUP(H158, 'リスト'!$E:$E, 'リスト'!$O:$O, ""), "")</f>
        <v/>
      </c>
      <c r="L158" s="8" t="str">
        <f t="array" ref="L158">IFERROR(XLOOKUP(H158, 'リスト'!$E:$E, 'リスト'!$P:$P, ""), "")</f>
        <v/>
      </c>
      <c r="M158" s="589"/>
      <c r="N158" s="8" t="str">
        <f t="array" ref="N158">IFERROR(XLOOKUP(M158, 'リスト'!$E:$E, 'リスト'!$F:$F, ""), "")</f>
        <v/>
      </c>
      <c r="O158" s="8"/>
      <c r="P158" s="8" t="str">
        <f t="array" ref="P158">IFERROR(XLOOKUP(M158, 'リスト'!$E:$E, 'リスト'!$O:$O, ""), "")</f>
        <v/>
      </c>
      <c r="Q158" s="8" t="str">
        <f t="array" ref="Q158">IFERROR(XLOOKUP(M158, 'リスト'!$E:$E, 'リスト'!$P:$P, ""), "")</f>
        <v/>
      </c>
      <c r="R158" s="589"/>
      <c r="S158" s="8" t="str">
        <f t="array" ref="S158">IFERROR(XLOOKUP(R158, 'リスト'!$E:$E, 'リスト'!$F:$F, ""), "")</f>
        <v/>
      </c>
      <c r="T158" s="8"/>
      <c r="U158" s="8" t="str">
        <f t="array" ref="U158">IFERROR(XLOOKUP(R158, 'リスト'!$E:$E, 'リスト'!$O:$O, ""), "")</f>
        <v/>
      </c>
      <c r="V158" s="8" t="str">
        <f t="array" ref="V158">IFERROR(XLOOKUP(R158, 'リスト'!$E:$E, 'リスト'!$P:$P, ""), "")</f>
        <v/>
      </c>
      <c r="W158" s="589"/>
      <c r="X158" s="8" t="str">
        <f t="array" ref="X158">IFERROR(XLOOKUP(W158, 'リスト'!$E:$E, 'リスト'!$F:$F, ""), "")</f>
        <v/>
      </c>
      <c r="Y158" s="8"/>
      <c r="Z158" s="8" t="str">
        <f t="array" ref="Z158">IFERROR(XLOOKUP(W158, 'リスト'!$E:$E, 'リスト'!$O:$O, ""), "")</f>
        <v/>
      </c>
      <c r="AA158" s="8" t="str">
        <f t="array" ref="AA158">IFERROR(XLOOKUP(W158, 'リスト'!$E:$E, 'リスト'!$P:$P, ""), "")</f>
        <v/>
      </c>
      <c r="AB158" s="589"/>
      <c r="AC158" s="8" t="str">
        <f t="array" ref="AC158">IFERROR(XLOOKUP(AB158, 'リスト'!$E:$E, 'リスト'!$F:$F, ""), "")</f>
        <v/>
      </c>
      <c r="AD158" s="8"/>
      <c r="AE158" s="8" t="str">
        <f t="array" ref="AE158">IFERROR(XLOOKUP(AB158, 'リスト'!$E:$E, 'リスト'!$O:$O, ""), "")</f>
        <v/>
      </c>
      <c r="AF158" s="8" t="str">
        <f t="array" ref="AF158">IFERROR(XLOOKUP(AB158, 'リスト'!$E:$E, 'リスト'!$P:$P, ""), "")</f>
        <v/>
      </c>
      <c r="AG158" s="589"/>
      <c r="AH158" s="8" t="str">
        <f t="array" ref="AH158">IFERROR(XLOOKUP(AG158, 'リスト'!$E:$E, 'リスト'!$F:$F, ""), "")</f>
        <v/>
      </c>
      <c r="AI158" s="8"/>
      <c r="AJ158" s="8" t="str">
        <f t="array" ref="AJ158">IFERROR(XLOOKUP(AG158, 'リスト'!$E:$E, 'リスト'!$O:$O, ""), "")</f>
        <v/>
      </c>
      <c r="AK158" s="8" t="str">
        <f t="array" ref="AK158">IFERROR(XLOOKUP(AG158, 'リスト'!$E:$E, 'リスト'!$P:$P, ""), "")</f>
        <v/>
      </c>
    </row>
    <row r="159" ht="17.25" customHeight="1">
      <c r="A159" s="587"/>
      <c r="B159" s="588"/>
      <c r="C159" s="590"/>
      <c r="D159" s="8" t="str">
        <f t="array" ref="D159">IFERROR(XLOOKUP(C159, 'リスト'!$E:$E, 'リスト'!$F:$F, ""), "")</f>
        <v/>
      </c>
      <c r="E159" s="8"/>
      <c r="F159" s="8" t="str">
        <f t="array" ref="F159">IFERROR(XLOOKUP(C159, 'リスト'!$E:$E, 'リスト'!$O:$O, ""), "")</f>
        <v/>
      </c>
      <c r="G159" s="8" t="str">
        <f t="array" ref="G159">IFERROR(XLOOKUP(C159, 'リスト'!$E:$E, 'リスト'!$P:$P, ""), "")</f>
        <v/>
      </c>
      <c r="H159" s="590"/>
      <c r="I159" s="8" t="str">
        <f t="array" ref="I159">IFERROR(XLOOKUP(H159, 'リスト'!$E:$E, 'リスト'!$F:$F, ""), "")</f>
        <v/>
      </c>
      <c r="J159" s="8"/>
      <c r="K159" s="8" t="str">
        <f t="array" ref="K159">IFERROR(XLOOKUP(H159, 'リスト'!$E:$E, 'リスト'!$O:$O, ""), "")</f>
        <v/>
      </c>
      <c r="L159" s="8" t="str">
        <f t="array" ref="L159">IFERROR(XLOOKUP(H159, 'リスト'!$E:$E, 'リスト'!$P:$P, ""), "")</f>
        <v/>
      </c>
      <c r="M159" s="590"/>
      <c r="N159" s="8" t="str">
        <f t="array" ref="N159">IFERROR(XLOOKUP(M159, 'リスト'!$E:$E, 'リスト'!$F:$F, ""), "")</f>
        <v/>
      </c>
      <c r="O159" s="8"/>
      <c r="P159" s="8" t="str">
        <f t="array" ref="P159">IFERROR(XLOOKUP(M159, 'リスト'!$E:$E, 'リスト'!$O:$O, ""), "")</f>
        <v/>
      </c>
      <c r="Q159" s="8" t="str">
        <f t="array" ref="Q159">IFERROR(XLOOKUP(M159, 'リスト'!$E:$E, 'リスト'!$P:$P, ""), "")</f>
        <v/>
      </c>
      <c r="R159" s="590"/>
      <c r="S159" s="8" t="str">
        <f t="array" ref="S159">IFERROR(XLOOKUP(R159, 'リスト'!$E:$E, 'リスト'!$F:$F, ""), "")</f>
        <v/>
      </c>
      <c r="T159" s="8"/>
      <c r="U159" s="8" t="str">
        <f t="array" ref="U159">IFERROR(XLOOKUP(R159, 'リスト'!$E:$E, 'リスト'!$O:$O, ""), "")</f>
        <v/>
      </c>
      <c r="V159" s="8" t="str">
        <f t="array" ref="V159">IFERROR(XLOOKUP(R159, 'リスト'!$E:$E, 'リスト'!$P:$P, ""), "")</f>
        <v/>
      </c>
      <c r="W159" s="590"/>
      <c r="X159" s="8" t="str">
        <f t="array" ref="X159">IFERROR(XLOOKUP(W159, 'リスト'!$E:$E, 'リスト'!$F:$F, ""), "")</f>
        <v/>
      </c>
      <c r="Y159" s="8"/>
      <c r="Z159" s="8" t="str">
        <f t="array" ref="Z159">IFERROR(XLOOKUP(W159, 'リスト'!$E:$E, 'リスト'!$O:$O, ""), "")</f>
        <v/>
      </c>
      <c r="AA159" s="8" t="str">
        <f t="array" ref="AA159">IFERROR(XLOOKUP(W159, 'リスト'!$E:$E, 'リスト'!$P:$P, ""), "")</f>
        <v/>
      </c>
      <c r="AB159" s="590"/>
      <c r="AC159" s="8" t="str">
        <f t="array" ref="AC159">IFERROR(XLOOKUP(AB159, 'リスト'!$E:$E, 'リスト'!$F:$F, ""), "")</f>
        <v/>
      </c>
      <c r="AD159" s="8"/>
      <c r="AE159" s="8" t="str">
        <f t="array" ref="AE159">IFERROR(XLOOKUP(AB159, 'リスト'!$E:$E, 'リスト'!$O:$O, ""), "")</f>
        <v/>
      </c>
      <c r="AF159" s="8" t="str">
        <f t="array" ref="AF159">IFERROR(XLOOKUP(AB159, 'リスト'!$E:$E, 'リスト'!$P:$P, ""), "")</f>
        <v/>
      </c>
      <c r="AG159" s="590"/>
      <c r="AH159" s="8" t="str">
        <f t="array" ref="AH159">IFERROR(XLOOKUP(AG159, 'リスト'!$E:$E, 'リスト'!$F:$F, ""), "")</f>
        <v/>
      </c>
      <c r="AI159" s="8"/>
      <c r="AJ159" s="8" t="str">
        <f t="array" ref="AJ159">IFERROR(XLOOKUP(AG159, 'リスト'!$E:$E, 'リスト'!$O:$O, ""), "")</f>
        <v/>
      </c>
      <c r="AK159" s="8" t="str">
        <f t="array" ref="AK159">IFERROR(XLOOKUP(AG159, 'リスト'!$E:$E, 'リスト'!$P:$P, ""), "")</f>
        <v/>
      </c>
    </row>
    <row r="160" ht="17.25" customHeight="1">
      <c r="A160" s="587"/>
      <c r="B160" s="588"/>
      <c r="C160" s="590"/>
      <c r="D160" s="8" t="str">
        <f t="array" ref="D160">IFERROR(XLOOKUP(C160, 'リスト'!$E:$E, 'リスト'!$F:$F, ""), "")</f>
        <v/>
      </c>
      <c r="E160" s="8"/>
      <c r="F160" s="8" t="str">
        <f t="array" ref="F160">IFERROR(XLOOKUP(C160, 'リスト'!$E:$E, 'リスト'!$O:$O, ""), "")</f>
        <v/>
      </c>
      <c r="G160" s="8" t="str">
        <f t="array" ref="G160">IFERROR(XLOOKUP(C160, 'リスト'!$E:$E, 'リスト'!$P:$P, ""), "")</f>
        <v/>
      </c>
      <c r="H160" s="590"/>
      <c r="I160" s="8" t="str">
        <f t="array" ref="I160">IFERROR(XLOOKUP(H160, 'リスト'!$E:$E, 'リスト'!$F:$F, ""), "")</f>
        <v/>
      </c>
      <c r="J160" s="8"/>
      <c r="K160" s="8" t="str">
        <f t="array" ref="K160">IFERROR(XLOOKUP(H160, 'リスト'!$E:$E, 'リスト'!$O:$O, ""), "")</f>
        <v/>
      </c>
      <c r="L160" s="8" t="str">
        <f t="array" ref="L160">IFERROR(XLOOKUP(H160, 'リスト'!$E:$E, 'リスト'!$P:$P, ""), "")</f>
        <v/>
      </c>
      <c r="M160" s="590"/>
      <c r="N160" s="8" t="str">
        <f t="array" ref="N160">IFERROR(XLOOKUP(M160, 'リスト'!$E:$E, 'リスト'!$F:$F, ""), "")</f>
        <v/>
      </c>
      <c r="O160" s="8"/>
      <c r="P160" s="8" t="str">
        <f t="array" ref="P160">IFERROR(XLOOKUP(M160, 'リスト'!$E:$E, 'リスト'!$O:$O, ""), "")</f>
        <v/>
      </c>
      <c r="Q160" s="8" t="str">
        <f t="array" ref="Q160">IFERROR(XLOOKUP(M160, 'リスト'!$E:$E, 'リスト'!$P:$P, ""), "")</f>
        <v/>
      </c>
      <c r="R160" s="590"/>
      <c r="S160" s="8" t="str">
        <f t="array" ref="S160">IFERROR(XLOOKUP(R160, 'リスト'!$E:$E, 'リスト'!$F:$F, ""), "")</f>
        <v/>
      </c>
      <c r="T160" s="8"/>
      <c r="U160" s="8" t="str">
        <f t="array" ref="U160">IFERROR(XLOOKUP(R160, 'リスト'!$E:$E, 'リスト'!$O:$O, ""), "")</f>
        <v/>
      </c>
      <c r="V160" s="8" t="str">
        <f t="array" ref="V160">IFERROR(XLOOKUP(R160, 'リスト'!$E:$E, 'リスト'!$P:$P, ""), "")</f>
        <v/>
      </c>
      <c r="W160" s="590"/>
      <c r="X160" s="8" t="str">
        <f t="array" ref="X160">IFERROR(XLOOKUP(W160, 'リスト'!$E:$E, 'リスト'!$F:$F, ""), "")</f>
        <v/>
      </c>
      <c r="Y160" s="8"/>
      <c r="Z160" s="8" t="str">
        <f t="array" ref="Z160">IFERROR(XLOOKUP(W160, 'リスト'!$E:$E, 'リスト'!$O:$O, ""), "")</f>
        <v/>
      </c>
      <c r="AA160" s="8" t="str">
        <f t="array" ref="AA160">IFERROR(XLOOKUP(W160, 'リスト'!$E:$E, 'リスト'!$P:$P, ""), "")</f>
        <v/>
      </c>
      <c r="AB160" s="590"/>
      <c r="AC160" s="8" t="str">
        <f t="array" ref="AC160">IFERROR(XLOOKUP(AB160, 'リスト'!$E:$E, 'リスト'!$F:$F, ""), "")</f>
        <v/>
      </c>
      <c r="AD160" s="8"/>
      <c r="AE160" s="8" t="str">
        <f t="array" ref="AE160">IFERROR(XLOOKUP(AB160, 'リスト'!$E:$E, 'リスト'!$O:$O, ""), "")</f>
        <v/>
      </c>
      <c r="AF160" s="8" t="str">
        <f t="array" ref="AF160">IFERROR(XLOOKUP(AB160, 'リスト'!$E:$E, 'リスト'!$P:$P, ""), "")</f>
        <v/>
      </c>
      <c r="AG160" s="590"/>
      <c r="AH160" s="8" t="str">
        <f t="array" ref="AH160">IFERROR(XLOOKUP(AG160, 'リスト'!$E:$E, 'リスト'!$F:$F, ""), "")</f>
        <v/>
      </c>
      <c r="AI160" s="8"/>
      <c r="AJ160" s="8" t="str">
        <f t="array" ref="AJ160">IFERROR(XLOOKUP(AG160, 'リスト'!$E:$E, 'リスト'!$O:$O, ""), "")</f>
        <v/>
      </c>
      <c r="AK160" s="8" t="str">
        <f t="array" ref="AK160">IFERROR(XLOOKUP(AG160, 'リスト'!$E:$E, 'リスト'!$P:$P, ""), "")</f>
        <v/>
      </c>
    </row>
    <row r="161" ht="17.25" customHeight="1">
      <c r="A161" s="587"/>
      <c r="B161" s="588"/>
      <c r="C161" s="590"/>
      <c r="D161" s="8" t="str">
        <f t="array" ref="D161">IFERROR(XLOOKUP(C161, 'リスト'!$E:$E, 'リスト'!$F:$F, ""), "")</f>
        <v/>
      </c>
      <c r="E161" s="8"/>
      <c r="F161" s="8" t="str">
        <f t="array" ref="F161">IFERROR(XLOOKUP(C161, 'リスト'!$E:$E, 'リスト'!$O:$O, ""), "")</f>
        <v/>
      </c>
      <c r="G161" s="8" t="str">
        <f t="array" ref="G161">IFERROR(XLOOKUP(C161, 'リスト'!$E:$E, 'リスト'!$P:$P, ""), "")</f>
        <v/>
      </c>
      <c r="H161" s="590"/>
      <c r="I161" s="8" t="str">
        <f t="array" ref="I161">IFERROR(XLOOKUP(H161, 'リスト'!$E:$E, 'リスト'!$F:$F, ""), "")</f>
        <v/>
      </c>
      <c r="J161" s="8"/>
      <c r="K161" s="8" t="str">
        <f t="array" ref="K161">IFERROR(XLOOKUP(H161, 'リスト'!$E:$E, 'リスト'!$O:$O, ""), "")</f>
        <v/>
      </c>
      <c r="L161" s="8" t="str">
        <f t="array" ref="L161">IFERROR(XLOOKUP(H161, 'リスト'!$E:$E, 'リスト'!$P:$P, ""), "")</f>
        <v/>
      </c>
      <c r="M161" s="590"/>
      <c r="N161" s="8" t="str">
        <f t="array" ref="N161">IFERROR(XLOOKUP(M161, 'リスト'!$E:$E, 'リスト'!$F:$F, ""), "")</f>
        <v/>
      </c>
      <c r="O161" s="8"/>
      <c r="P161" s="8" t="str">
        <f t="array" ref="P161">IFERROR(XLOOKUP(M161, 'リスト'!$E:$E, 'リスト'!$O:$O, ""), "")</f>
        <v/>
      </c>
      <c r="Q161" s="8" t="str">
        <f t="array" ref="Q161">IFERROR(XLOOKUP(M161, 'リスト'!$E:$E, 'リスト'!$P:$P, ""), "")</f>
        <v/>
      </c>
      <c r="R161" s="590"/>
      <c r="S161" s="8" t="str">
        <f t="array" ref="S161">IFERROR(XLOOKUP(R161, 'リスト'!$E:$E, 'リスト'!$F:$F, ""), "")</f>
        <v/>
      </c>
      <c r="T161" s="8"/>
      <c r="U161" s="8" t="str">
        <f t="array" ref="U161">IFERROR(XLOOKUP(R161, 'リスト'!$E:$E, 'リスト'!$O:$O, ""), "")</f>
        <v/>
      </c>
      <c r="V161" s="8" t="str">
        <f t="array" ref="V161">IFERROR(XLOOKUP(R161, 'リスト'!$E:$E, 'リスト'!$P:$P, ""), "")</f>
        <v/>
      </c>
      <c r="W161" s="590"/>
      <c r="X161" s="8" t="str">
        <f t="array" ref="X161">IFERROR(XLOOKUP(W161, 'リスト'!$E:$E, 'リスト'!$F:$F, ""), "")</f>
        <v/>
      </c>
      <c r="Y161" s="8"/>
      <c r="Z161" s="8" t="str">
        <f t="array" ref="Z161">IFERROR(XLOOKUP(W161, 'リスト'!$E:$E, 'リスト'!$O:$O, ""), "")</f>
        <v/>
      </c>
      <c r="AA161" s="8" t="str">
        <f t="array" ref="AA161">IFERROR(XLOOKUP(W161, 'リスト'!$E:$E, 'リスト'!$P:$P, ""), "")</f>
        <v/>
      </c>
      <c r="AB161" s="590"/>
      <c r="AC161" s="8" t="str">
        <f t="array" ref="AC161">IFERROR(XLOOKUP(AB161, 'リスト'!$E:$E, 'リスト'!$F:$F, ""), "")</f>
        <v/>
      </c>
      <c r="AD161" s="8"/>
      <c r="AE161" s="8" t="str">
        <f t="array" ref="AE161">IFERROR(XLOOKUP(AB161, 'リスト'!$E:$E, 'リスト'!$O:$O, ""), "")</f>
        <v/>
      </c>
      <c r="AF161" s="8" t="str">
        <f t="array" ref="AF161">IFERROR(XLOOKUP(AB161, 'リスト'!$E:$E, 'リスト'!$P:$P, ""), "")</f>
        <v/>
      </c>
      <c r="AG161" s="590"/>
      <c r="AH161" s="8" t="str">
        <f t="array" ref="AH161">IFERROR(XLOOKUP(AG161, 'リスト'!$E:$E, 'リスト'!$F:$F, ""), "")</f>
        <v/>
      </c>
      <c r="AI161" s="8"/>
      <c r="AJ161" s="8" t="str">
        <f t="array" ref="AJ161">IFERROR(XLOOKUP(AG161, 'リスト'!$E:$E, 'リスト'!$O:$O, ""), "")</f>
        <v/>
      </c>
      <c r="AK161" s="8" t="str">
        <f t="array" ref="AK161">IFERROR(XLOOKUP(AG161, 'リスト'!$E:$E, 'リスト'!$P:$P, ""), "")</f>
        <v/>
      </c>
    </row>
    <row r="162" ht="17.25" customHeight="1">
      <c r="A162" s="587"/>
      <c r="B162" s="588"/>
      <c r="C162" s="590"/>
      <c r="D162" s="8" t="str">
        <f t="array" ref="D162">IFERROR(XLOOKUP(C162, 'リスト'!$E:$E, 'リスト'!$F:$F, ""), "")</f>
        <v/>
      </c>
      <c r="E162" s="8"/>
      <c r="F162" s="8" t="str">
        <f t="array" ref="F162">IFERROR(XLOOKUP(C162, 'リスト'!$E:$E, 'リスト'!$O:$O, ""), "")</f>
        <v/>
      </c>
      <c r="G162" s="8" t="str">
        <f t="array" ref="G162">IFERROR(XLOOKUP(C162, 'リスト'!$E:$E, 'リスト'!$P:$P, ""), "")</f>
        <v/>
      </c>
      <c r="H162" s="590"/>
      <c r="I162" s="8" t="str">
        <f t="array" ref="I162">IFERROR(XLOOKUP(H162, 'リスト'!$E:$E, 'リスト'!$F:$F, ""), "")</f>
        <v/>
      </c>
      <c r="J162" s="8"/>
      <c r="K162" s="8" t="str">
        <f t="array" ref="K162">IFERROR(XLOOKUP(H162, 'リスト'!$E:$E, 'リスト'!$O:$O, ""), "")</f>
        <v/>
      </c>
      <c r="L162" s="8" t="str">
        <f t="array" ref="L162">IFERROR(XLOOKUP(H162, 'リスト'!$E:$E, 'リスト'!$P:$P, ""), "")</f>
        <v/>
      </c>
      <c r="M162" s="590"/>
      <c r="N162" s="8" t="str">
        <f t="array" ref="N162">IFERROR(XLOOKUP(M162, 'リスト'!$E:$E, 'リスト'!$F:$F, ""), "")</f>
        <v/>
      </c>
      <c r="O162" s="8"/>
      <c r="P162" s="8" t="str">
        <f t="array" ref="P162">IFERROR(XLOOKUP(M162, 'リスト'!$E:$E, 'リスト'!$O:$O, ""), "")</f>
        <v/>
      </c>
      <c r="Q162" s="8" t="str">
        <f t="array" ref="Q162">IFERROR(XLOOKUP(M162, 'リスト'!$E:$E, 'リスト'!$P:$P, ""), "")</f>
        <v/>
      </c>
      <c r="R162" s="590"/>
      <c r="S162" s="8" t="str">
        <f t="array" ref="S162">IFERROR(XLOOKUP(R162, 'リスト'!$E:$E, 'リスト'!$F:$F, ""), "")</f>
        <v/>
      </c>
      <c r="T162" s="8"/>
      <c r="U162" s="8" t="str">
        <f t="array" ref="U162">IFERROR(XLOOKUP(R162, 'リスト'!$E:$E, 'リスト'!$O:$O, ""), "")</f>
        <v/>
      </c>
      <c r="V162" s="8" t="str">
        <f t="array" ref="V162">IFERROR(XLOOKUP(R162, 'リスト'!$E:$E, 'リスト'!$P:$P, ""), "")</f>
        <v/>
      </c>
      <c r="W162" s="590"/>
      <c r="X162" s="8" t="str">
        <f t="array" ref="X162">IFERROR(XLOOKUP(W162, 'リスト'!$E:$E, 'リスト'!$F:$F, ""), "")</f>
        <v/>
      </c>
      <c r="Y162" s="8"/>
      <c r="Z162" s="8" t="str">
        <f t="array" ref="Z162">IFERROR(XLOOKUP(W162, 'リスト'!$E:$E, 'リスト'!$O:$O, ""), "")</f>
        <v/>
      </c>
      <c r="AA162" s="8" t="str">
        <f t="array" ref="AA162">IFERROR(XLOOKUP(W162, 'リスト'!$E:$E, 'リスト'!$P:$P, ""), "")</f>
        <v/>
      </c>
      <c r="AB162" s="590"/>
      <c r="AC162" s="8" t="str">
        <f t="array" ref="AC162">IFERROR(XLOOKUP(AB162, 'リスト'!$E:$E, 'リスト'!$F:$F, ""), "")</f>
        <v/>
      </c>
      <c r="AD162" s="8"/>
      <c r="AE162" s="8" t="str">
        <f t="array" ref="AE162">IFERROR(XLOOKUP(AB162, 'リスト'!$E:$E, 'リスト'!$O:$O, ""), "")</f>
        <v/>
      </c>
      <c r="AF162" s="8" t="str">
        <f t="array" ref="AF162">IFERROR(XLOOKUP(AB162, 'リスト'!$E:$E, 'リスト'!$P:$P, ""), "")</f>
        <v/>
      </c>
      <c r="AG162" s="590"/>
      <c r="AH162" s="8" t="str">
        <f t="array" ref="AH162">IFERROR(XLOOKUP(AG162, 'リスト'!$E:$E, 'リスト'!$F:$F, ""), "")</f>
        <v/>
      </c>
      <c r="AI162" s="8"/>
      <c r="AJ162" s="8" t="str">
        <f t="array" ref="AJ162">IFERROR(XLOOKUP(AG162, 'リスト'!$E:$E, 'リスト'!$O:$O, ""), "")</f>
        <v/>
      </c>
      <c r="AK162" s="8" t="str">
        <f t="array" ref="AK162">IFERROR(XLOOKUP(AG162, 'リスト'!$E:$E, 'リスト'!$P:$P, ""), "")</f>
        <v/>
      </c>
    </row>
    <row r="163" ht="17.25" customHeight="1">
      <c r="A163" s="587"/>
      <c r="B163" s="592"/>
      <c r="C163" s="590"/>
      <c r="D163" s="8" t="str">
        <f t="array" ref="D163">IFERROR(XLOOKUP(C163, '新規'!$E:$E, '新規'!$F:$F, ""), "")</f>
        <v/>
      </c>
      <c r="E163" s="8"/>
      <c r="F163" s="8" t="str">
        <f t="array" ref="F163">IFERROR(XLOOKUP(C163, '新規'!$E:$E, '新規'!$O:$O, ""), "")</f>
        <v/>
      </c>
      <c r="G163" s="8" t="str">
        <f t="array" ref="G163">IFERROR(XLOOKUP(C163, '新規'!$E:$E, '新規'!$P:$P, ""), "")</f>
        <v/>
      </c>
      <c r="H163" s="590"/>
      <c r="I163" s="8" t="str">
        <f t="array" ref="I163">IFERROR(XLOOKUP(H163, '新規'!$E:$E, '新規'!$F:$F, ""), "")</f>
        <v/>
      </c>
      <c r="J163" s="8"/>
      <c r="K163" s="8" t="str">
        <f t="array" ref="K163">IFERROR(XLOOKUP(H163, '新規'!$E:$E, '新規'!$O:$O, ""), "")</f>
        <v/>
      </c>
      <c r="L163" s="8" t="str">
        <f t="array" ref="L163">IFERROR(XLOOKUP(H163, '新規'!$E:$E, '新規'!$P:$P, ""), "")</f>
        <v/>
      </c>
      <c r="M163" s="590"/>
      <c r="N163" s="8" t="str">
        <f t="array" ref="N163">IFERROR(XLOOKUP(M163, '新規'!$E:$E, '新規'!$F:$F, ""), "")</f>
        <v/>
      </c>
      <c r="O163" s="8"/>
      <c r="P163" s="8" t="str">
        <f t="array" ref="P163">IFERROR(XLOOKUP(M163, '新規'!$E:$E, '新規'!$O:$O, ""), "")</f>
        <v/>
      </c>
      <c r="Q163" s="8" t="str">
        <f t="array" ref="Q163">IFERROR(XLOOKUP(M163, '新規'!$E:$E, '新規'!$P:$P, ""), "")</f>
        <v/>
      </c>
      <c r="R163" s="590"/>
      <c r="S163" s="8" t="str">
        <f t="array" ref="S163">IFERROR(XLOOKUP(R163, '新規'!$E:$E, '新規'!$F:$F, ""), "")</f>
        <v/>
      </c>
      <c r="T163" s="8"/>
      <c r="U163" s="8" t="str">
        <f t="array" ref="U163">IFERROR(XLOOKUP(R163, '新規'!$E:$E, '新規'!$O:$O, ""), "")</f>
        <v/>
      </c>
      <c r="V163" s="8" t="str">
        <f t="array" ref="V163">IFERROR(XLOOKUP(R163, '新規'!$E:$E, '新規'!$P:$P, ""), "")</f>
        <v/>
      </c>
      <c r="W163" s="590"/>
      <c r="X163" s="8" t="str">
        <f t="array" ref="X163">IFERROR(XLOOKUP(W163, '新規'!$E:$E, '新規'!$F:$F, ""), "")</f>
        <v/>
      </c>
      <c r="Y163" s="8"/>
      <c r="Z163" s="8" t="str">
        <f t="array" ref="Z163">IFERROR(XLOOKUP(W163, '新規'!$E:$E, '新規'!$O:$O, ""), "")</f>
        <v/>
      </c>
      <c r="AA163" s="8" t="str">
        <f t="array" ref="AA163">IFERROR(XLOOKUP(W163, '新規'!$E:$E, '新規'!$P:$P, ""), "")</f>
        <v/>
      </c>
      <c r="AB163" s="590"/>
      <c r="AC163" s="8" t="str">
        <f t="array" ref="AC163">IFERROR(XLOOKUP(AB163, '新規'!$E:$E, '新規'!$F:$F, ""), "")</f>
        <v/>
      </c>
      <c r="AD163" s="8"/>
      <c r="AE163" s="8" t="str">
        <f t="array" ref="AE163">IFERROR(XLOOKUP(AB163, '新規'!$E:$E, '新規'!$O:$O, ""), "")</f>
        <v/>
      </c>
      <c r="AF163" s="8" t="str">
        <f t="array" ref="AF163">IFERROR(XLOOKUP(AB163, '新規'!$E:$E, '新規'!$P:$P, ""), "")</f>
        <v/>
      </c>
      <c r="AG163" s="590"/>
      <c r="AH163" s="8" t="str">
        <f t="array" ref="AH163">IFERROR(XLOOKUP(AG163, '新規'!$E:$E, '新規'!$F:$F, ""), "")</f>
        <v/>
      </c>
      <c r="AI163" s="8"/>
      <c r="AJ163" s="8" t="str">
        <f t="array" ref="AJ163">IFERROR(XLOOKUP(AG163, '新規'!$E:$E, '新規'!$O:$O, ""), "")</f>
        <v/>
      </c>
      <c r="AK163" s="8" t="str">
        <f t="array" ref="AK163">IFERROR(XLOOKUP(AG163, '新規'!$E:$E, '新規'!$P:$P, ""), "")</f>
        <v/>
      </c>
    </row>
    <row r="164" ht="17.25" customHeight="1">
      <c r="A164" s="587"/>
      <c r="B164" s="585" t="s">
        <v>78</v>
      </c>
      <c r="C164" s="590" t="str">
        <f>IFERROR(__xludf.DUMMYFUNCTION("IFERROR(FILTER('新規'!$E$3:$E$170, ('新規'!$B$3:$B$170=LOOKUP(2,1/($A$3:$A164&lt;&gt;""""),$A$3:$A164))*(('新規'!$A$3:$A$170=C$1)+(('新規'!$G$3:$G$170=""毎月配信"")*(TEXT('新規'!$A$3:$A$170,""ddd"")=TEXT(C$1, ""ddd""))))), """")"),"")</f>
        <v/>
      </c>
      <c r="D164" s="8" t="str">
        <f t="array" ref="D164">IFERROR(XLOOKUP(C164, '新規'!$E:$E, '新規'!$F:$F, ""), "")</f>
        <v/>
      </c>
      <c r="E164" s="8"/>
      <c r="F164" s="8" t="str">
        <f>IFERROR(__xludf.DUMMYFUNCTION("IF(C164="""","""",IFERROR(INDEX(FILTER('新規'!$O$3:$O$670, '新規'!$E$3:$E$670=C164),1),""""))"),"")</f>
        <v/>
      </c>
      <c r="G164" s="8" t="str">
        <f>IFERROR(__xludf.DUMMYFUNCTION("IF(C164="""","""",IFERROR(INDEX(FILTER('新規'!$P$3:$P$670, '新規'!$E$3:$E$670=C164),1),""""))"),"")</f>
        <v/>
      </c>
      <c r="H164" s="590" t="str">
        <f>IFERROR(__xludf.DUMMYFUNCTION("IFERROR(FILTER('新規'!$E$3:$E$170, ('新規'!$B$3:$B$170=LOOKUP(2,1/($A$3:$A164&lt;&gt;""""),$A$3:$A164))*(('新規'!$A$3:$A$170=H$1)+(('新規'!$G$3:$G$170=""毎月配信"")*(TEXT('新規'!$A$3:$A$170,""ddd"")=TEXT(H$1, ""ddd""))))), """")"),"")</f>
        <v/>
      </c>
      <c r="I164" s="8" t="str">
        <f t="array" ref="I164">IFERROR(XLOOKUP(H164, '新規'!$E:$E, '新規'!$F:$F, ""), "")</f>
        <v/>
      </c>
      <c r="J164" s="8"/>
      <c r="K164" s="8" t="str">
        <f>IFERROR(__xludf.DUMMYFUNCTION("IF(H164="""","""",IFERROR(INDEX(FILTER('新規'!$O$3:$O$670, '新規'!$E$3:$E$670=H164),1),""""))"),"")</f>
        <v/>
      </c>
      <c r="L164" s="8" t="str">
        <f>IFERROR(__xludf.DUMMYFUNCTION("IF(H164="""","""",IFERROR(INDEX(FILTER('新規'!$P$3:$P$670, '新規'!$E$3:$E$670=H164),1),""""))"),"")</f>
        <v/>
      </c>
      <c r="M164" s="590" t="str">
        <f>IFERROR(__xludf.DUMMYFUNCTION("IFERROR(FILTER('新規'!$E$3:$E$170, ('新規'!$B$3:$B$170=LOOKUP(2,1/($A$3:$A164&lt;&gt;""""),$A$3:$A164))*(('新規'!$A$3:$A$170=M$1)+(('新規'!$G$3:$G$170=""毎月配信"")*(TEXT('新規'!$A$3:$A$170,""ddd"")=TEXT(M$1, ""ddd""))))), """")"),"")</f>
        <v/>
      </c>
      <c r="N164" s="8" t="str">
        <f t="array" ref="N164">IFERROR(XLOOKUP(M164, '新規'!$E:$E, '新規'!$F:$F, ""), "")</f>
        <v/>
      </c>
      <c r="O164" s="8"/>
      <c r="P164" s="8" t="str">
        <f>IFERROR(__xludf.DUMMYFUNCTION("IF(M164="""","""",IFERROR(INDEX(FILTER('新規'!$O$3:$O$670, '新規'!$E$3:$E$670=M164),1),""""))"),"")</f>
        <v/>
      </c>
      <c r="Q164" s="8" t="str">
        <f>IFERROR(__xludf.DUMMYFUNCTION("IF(M164="""","""",IFERROR(INDEX(FILTER('新規'!$P$3:$P$670, '新規'!$E$3:$E$670=M164),1),""""))"),"")</f>
        <v/>
      </c>
      <c r="R164" s="590" t="str">
        <f>IFERROR(__xludf.DUMMYFUNCTION("IFERROR(FILTER('新規'!$E$3:$E$170, ('新規'!$B$3:$B$170=LOOKUP(2,1/($A$3:$A164&lt;&gt;""""),$A$3:$A164))*(('新規'!$A$3:$A$170=R$1)+(('新規'!$G$3:$G$170=""毎月配信"")*(TEXT('新規'!$A$3:$A$170,""ddd"")=TEXT(R$1, ""ddd""))))), """")"),"")</f>
        <v/>
      </c>
      <c r="S164" s="8" t="str">
        <f t="array" ref="S164">IFERROR(XLOOKUP(R164, '新規'!$E:$E, '新規'!$F:$F, ""), "")</f>
        <v/>
      </c>
      <c r="T164" s="8"/>
      <c r="U164" s="8" t="str">
        <f>IFERROR(__xludf.DUMMYFUNCTION("IF(R164="""","""",IFERROR(INDEX(FILTER('新規'!$O$3:$O$670, '新規'!$E$3:$E$670=R164),1),""""))"),"")</f>
        <v/>
      </c>
      <c r="V164" s="8" t="str">
        <f>IFERROR(__xludf.DUMMYFUNCTION("IF(R164="""","""",IFERROR(INDEX(FILTER('新規'!$P$3:$P$670, '新規'!$E$3:$E$670=R164),1),""""))"),"")</f>
        <v/>
      </c>
      <c r="W164" s="590" t="str">
        <f>IFERROR(__xludf.DUMMYFUNCTION("IFERROR(FILTER('新規'!$E$3:$E$170, ('新規'!$B$3:$B$170=LOOKUP(2,1/($A$3:$A164&lt;&gt;""""),$A$3:$A164))*(('新規'!$A$3:$A$170=W$1)+(('新規'!$G$3:$G$170=""毎月配信"")*(TEXT('新規'!$A$3:$A$170,""ddd"")=TEXT(W$1, ""ddd""))))), """")"),"")</f>
        <v/>
      </c>
      <c r="X164" s="8" t="str">
        <f t="array" ref="X164">IFERROR(XLOOKUP(W164, '新規'!$E:$E, '新規'!$F:$F, ""), "")</f>
        <v/>
      </c>
      <c r="Y164" s="8"/>
      <c r="Z164" s="8" t="str">
        <f>IFERROR(__xludf.DUMMYFUNCTION("IF(W164="""","""",IFERROR(INDEX(FILTER('新規'!$O$3:$O$670, '新規'!$E$3:$E$670=W164),1),""""))"),"")</f>
        <v/>
      </c>
      <c r="AA164" s="8" t="str">
        <f>IFERROR(__xludf.DUMMYFUNCTION("IF(W164="""","""",IFERROR(INDEX(FILTER('新規'!$P$3:$P$670, '新規'!$E$3:$E$670=W164),1),""""))"),"")</f>
        <v/>
      </c>
      <c r="AB164" s="590" t="str">
        <f>IFERROR(__xludf.DUMMYFUNCTION("IFERROR(FILTER('新規'!$E$3:$E$170, ('新規'!$B$3:$B$170=LOOKUP(2,1/($A$3:$A164&lt;&gt;""""),$A$3:$A164))*(('新規'!$A$3:$A$170=AB$1)+(('新規'!$G$3:$G$170=""毎月配信"")*(TEXT('新規'!$A$3:$A$170,""ddd"")=TEXT(AB$1, ""ddd""))))), """")"),"")</f>
        <v/>
      </c>
      <c r="AC164" s="8" t="str">
        <f t="array" ref="AC164">IFERROR(XLOOKUP(AB164, '新規'!$E:$E, '新規'!$F:$F, ""), "")</f>
        <v/>
      </c>
      <c r="AD164" s="8"/>
      <c r="AE164" s="8" t="str">
        <f>IFERROR(__xludf.DUMMYFUNCTION("IF(AB164="""","""",IFERROR(INDEX(FILTER('新規'!$O$3:$O$670, '新規'!$E$3:$E$670=AB164),1),""""))"),"")</f>
        <v/>
      </c>
      <c r="AF164" s="8" t="str">
        <f>IFERROR(__xludf.DUMMYFUNCTION("IF(AB164="""","""",IFERROR(INDEX(FILTER('新規'!$P$3:$P$670, '新規'!$E$3:$E$670=AB164),1),""""))"),"")</f>
        <v/>
      </c>
      <c r="AG164" s="590" t="str">
        <f>IFERROR(__xludf.DUMMYFUNCTION("IFERROR(FILTER('新規'!$E$3:$E$170, ('新規'!$B$3:$B$170=LOOKUP(2,1/($A$3:$A164&lt;&gt;""""),$A$3:$A164))*(('新規'!$A$3:$A$170=AG$1)+(('新規'!$G$3:$G$170=""毎月配信"")*(TEXT('新規'!$A$3:$A$170,""ddd"")=TEXT(AG$1, ""ddd""))))), """")"),"")</f>
        <v/>
      </c>
      <c r="AH164" s="8" t="str">
        <f t="array" ref="AH164">IFERROR(XLOOKUP(AG164, '新規'!$E:$E, '新規'!$F:$F, ""), "")</f>
        <v/>
      </c>
      <c r="AI164" s="8"/>
      <c r="AJ164" s="8" t="str">
        <f>IFERROR(__xludf.DUMMYFUNCTION("IF(AG164="""","""",IFERROR(INDEX(FILTER('新規'!$O$3:$O$670, '新規'!$E$3:$E$670=AG164),1),""""))"),"")</f>
        <v/>
      </c>
      <c r="AK164" s="8" t="str">
        <f>IFERROR(__xludf.DUMMYFUNCTION("IF(AG164="""","""",IFERROR(INDEX(FILTER('新規'!$P$3:$P$670, '新規'!$E$3:$E$670=AG164),1),""""))"),"")</f>
        <v/>
      </c>
    </row>
    <row r="165" ht="17.25" customHeight="1">
      <c r="A165" s="587"/>
      <c r="B165" s="588"/>
      <c r="C165" s="590"/>
      <c r="D165" s="8" t="str">
        <f t="array" ref="D165">IFERROR(XLOOKUP(C165, '新規'!$E:$E, '新規'!$F:$F, ""), "")</f>
        <v/>
      </c>
      <c r="E165" s="8"/>
      <c r="F165" s="8" t="str">
        <f t="array" ref="F165">IFERROR(XLOOKUP(C165, '新規'!$E:$E, '新規'!$O:$O, ""), "")</f>
        <v/>
      </c>
      <c r="G165" s="8" t="str">
        <f t="array" ref="G165">IFERROR(XLOOKUP(C165, '新規'!$E:$E, '新規'!$P:$P, ""), "")</f>
        <v/>
      </c>
      <c r="H165" s="590"/>
      <c r="I165" s="8" t="str">
        <f t="array" ref="I165">IFERROR(XLOOKUP(H165, '新規'!$E:$E, '新規'!$F:$F, ""), "")</f>
        <v/>
      </c>
      <c r="J165" s="8"/>
      <c r="K165" s="8" t="str">
        <f t="array" ref="K165">IFERROR(XLOOKUP(H165, '新規'!$E:$E, '新規'!$O:$O, ""), "")</f>
        <v/>
      </c>
      <c r="L165" s="8" t="str">
        <f t="array" ref="L165">IFERROR(XLOOKUP(H165, '新規'!$E:$E, '新規'!$P:$P, ""), "")</f>
        <v/>
      </c>
      <c r="M165" s="590"/>
      <c r="N165" s="8" t="str">
        <f t="array" ref="N165">IFERROR(XLOOKUP(M165, '新規'!$E:$E, '新規'!$F:$F, ""), "")</f>
        <v/>
      </c>
      <c r="O165" s="8"/>
      <c r="P165" s="8" t="str">
        <f t="array" ref="P165">IFERROR(XLOOKUP(M165, '新規'!$E:$E, '新規'!$O:$O, ""), "")</f>
        <v/>
      </c>
      <c r="Q165" s="8" t="str">
        <f t="array" ref="Q165">IFERROR(XLOOKUP(M165, '新規'!$E:$E, '新規'!$P:$P, ""), "")</f>
        <v/>
      </c>
      <c r="R165" s="590"/>
      <c r="S165" s="8" t="str">
        <f t="array" ref="S165">IFERROR(XLOOKUP(R165, '新規'!$E:$E, '新規'!$F:$F, ""), "")</f>
        <v/>
      </c>
      <c r="T165" s="8"/>
      <c r="U165" s="8" t="str">
        <f t="array" ref="U165">IFERROR(XLOOKUP(R165, '新規'!$E:$E, '新規'!$O:$O, ""), "")</f>
        <v/>
      </c>
      <c r="V165" s="8" t="str">
        <f t="array" ref="V165">IFERROR(XLOOKUP(R165, '新規'!$E:$E, '新規'!$P:$P, ""), "")</f>
        <v/>
      </c>
      <c r="W165" s="590"/>
      <c r="X165" s="8" t="str">
        <f t="array" ref="X165">IFERROR(XLOOKUP(W165, '新規'!$E:$E, '新規'!$F:$F, ""), "")</f>
        <v/>
      </c>
      <c r="Y165" s="8"/>
      <c r="Z165" s="8" t="str">
        <f t="array" ref="Z165">IFERROR(XLOOKUP(W165, '新規'!$E:$E, '新規'!$O:$O, ""), "")</f>
        <v/>
      </c>
      <c r="AA165" s="8" t="str">
        <f t="array" ref="AA165">IFERROR(XLOOKUP(W165, '新規'!$E:$E, '新規'!$P:$P, ""), "")</f>
        <v/>
      </c>
      <c r="AB165" s="590"/>
      <c r="AC165" s="8" t="str">
        <f t="array" ref="AC165">IFERROR(XLOOKUP(AB165, '新規'!$E:$E, '新規'!$F:$F, ""), "")</f>
        <v/>
      </c>
      <c r="AD165" s="8"/>
      <c r="AE165" s="8" t="str">
        <f t="array" ref="AE165">IFERROR(XLOOKUP(AB165, '新規'!$E:$E, '新規'!$O:$O, ""), "")</f>
        <v/>
      </c>
      <c r="AF165" s="8" t="str">
        <f t="array" ref="AF165">IFERROR(XLOOKUP(AB165, '新規'!$E:$E, '新規'!$P:$P, ""), "")</f>
        <v/>
      </c>
      <c r="AG165" s="590"/>
      <c r="AH165" s="8" t="str">
        <f t="array" ref="AH165">IFERROR(XLOOKUP(AG165, '新規'!$E:$E, '新規'!$F:$F, ""), "")</f>
        <v/>
      </c>
      <c r="AI165" s="8"/>
      <c r="AJ165" s="8" t="str">
        <f t="array" ref="AJ165">IFERROR(XLOOKUP(AG165, '新規'!$E:$E, '新規'!$O:$O, ""), "")</f>
        <v/>
      </c>
      <c r="AK165" s="8" t="str">
        <f t="array" ref="AK165">IFERROR(XLOOKUP(AG165, '新規'!$E:$E, '新規'!$P:$P, ""), "")</f>
        <v/>
      </c>
    </row>
    <row r="166" ht="17.25" customHeight="1">
      <c r="A166" s="587"/>
      <c r="B166" s="588"/>
      <c r="C166" s="590"/>
      <c r="D166" s="8" t="str">
        <f t="array" ref="D166">IFERROR(XLOOKUP(C166, '新規'!$E:$E, '新規'!$F:$F, ""), "")</f>
        <v/>
      </c>
      <c r="E166" s="8"/>
      <c r="F166" s="8" t="str">
        <f t="array" ref="F166">IFERROR(XLOOKUP(C166, '新規'!$E:$E, '新規'!$O:$O, ""), "")</f>
        <v/>
      </c>
      <c r="G166" s="8" t="str">
        <f t="array" ref="G166">IFERROR(XLOOKUP(C166, '新規'!$E:$E, '新規'!$P:$P, ""), "")</f>
        <v/>
      </c>
      <c r="H166" s="590"/>
      <c r="I166" s="8" t="str">
        <f t="array" ref="I166">IFERROR(XLOOKUP(H166, '新規'!$E:$E, '新規'!$F:$F, ""), "")</f>
        <v/>
      </c>
      <c r="J166" s="8"/>
      <c r="K166" s="8" t="str">
        <f t="array" ref="K166">IFERROR(XLOOKUP(H166, '新規'!$E:$E, '新規'!$O:$O, ""), "")</f>
        <v/>
      </c>
      <c r="L166" s="8" t="str">
        <f t="array" ref="L166">IFERROR(XLOOKUP(H166, '新規'!$E:$E, '新規'!$P:$P, ""), "")</f>
        <v/>
      </c>
      <c r="M166" s="590"/>
      <c r="N166" s="8" t="str">
        <f t="array" ref="N166">IFERROR(XLOOKUP(M166, '新規'!$E:$E, '新規'!$F:$F, ""), "")</f>
        <v/>
      </c>
      <c r="O166" s="8"/>
      <c r="P166" s="8" t="str">
        <f t="array" ref="P166">IFERROR(XLOOKUP(M166, '新規'!$E:$E, '新規'!$O:$O, ""), "")</f>
        <v/>
      </c>
      <c r="Q166" s="8" t="str">
        <f t="array" ref="Q166">IFERROR(XLOOKUP(M166, '新規'!$E:$E, '新規'!$P:$P, ""), "")</f>
        <v/>
      </c>
      <c r="R166" s="590"/>
      <c r="S166" s="8" t="str">
        <f t="array" ref="S166">IFERROR(XLOOKUP(R166, '新規'!$E:$E, '新規'!$F:$F, ""), "")</f>
        <v/>
      </c>
      <c r="T166" s="8"/>
      <c r="U166" s="8" t="str">
        <f t="array" ref="U166">IFERROR(XLOOKUP(R166, '新規'!$E:$E, '新規'!$O:$O, ""), "")</f>
        <v/>
      </c>
      <c r="V166" s="8" t="str">
        <f t="array" ref="V166">IFERROR(XLOOKUP(R166, '新規'!$E:$E, '新規'!$P:$P, ""), "")</f>
        <v/>
      </c>
      <c r="W166" s="590"/>
      <c r="X166" s="8" t="str">
        <f t="array" ref="X166">IFERROR(XLOOKUP(W166, '新規'!$E:$E, '新規'!$F:$F, ""), "")</f>
        <v/>
      </c>
      <c r="Y166" s="8"/>
      <c r="Z166" s="8" t="str">
        <f t="array" ref="Z166">IFERROR(XLOOKUP(W166, '新規'!$E:$E, '新規'!$O:$O, ""), "")</f>
        <v/>
      </c>
      <c r="AA166" s="8" t="str">
        <f t="array" ref="AA166">IFERROR(XLOOKUP(W166, '新規'!$E:$E, '新規'!$P:$P, ""), "")</f>
        <v/>
      </c>
      <c r="AB166" s="590"/>
      <c r="AC166" s="8" t="str">
        <f t="array" ref="AC166">IFERROR(XLOOKUP(AB166, '新規'!$E:$E, '新規'!$F:$F, ""), "")</f>
        <v/>
      </c>
      <c r="AD166" s="8"/>
      <c r="AE166" s="8" t="str">
        <f t="array" ref="AE166">IFERROR(XLOOKUP(AB166, '新規'!$E:$E, '新規'!$O:$O, ""), "")</f>
        <v/>
      </c>
      <c r="AF166" s="8" t="str">
        <f t="array" ref="AF166">IFERROR(XLOOKUP(AB166, '新規'!$E:$E, '新規'!$P:$P, ""), "")</f>
        <v/>
      </c>
      <c r="AG166" s="590"/>
      <c r="AH166" s="8" t="str">
        <f t="array" ref="AH166">IFERROR(XLOOKUP(AG166, '新規'!$E:$E, '新規'!$F:$F, ""), "")</f>
        <v/>
      </c>
      <c r="AI166" s="8"/>
      <c r="AJ166" s="8" t="str">
        <f t="array" ref="AJ166">IFERROR(XLOOKUP(AG166, '新規'!$E:$E, '新規'!$O:$O, ""), "")</f>
        <v/>
      </c>
      <c r="AK166" s="8" t="str">
        <f t="array" ref="AK166">IFERROR(XLOOKUP(AG166, '新規'!$E:$E, '新規'!$P:$P, ""), "")</f>
        <v/>
      </c>
    </row>
    <row r="167" ht="17.25" customHeight="1">
      <c r="A167" s="587"/>
      <c r="B167" s="588"/>
      <c r="C167" s="590"/>
      <c r="D167" s="8" t="str">
        <f t="array" ref="D167">IFERROR(XLOOKUP(C167, '新規'!$E:$E, '新規'!$F:$F, ""), "")</f>
        <v/>
      </c>
      <c r="E167" s="8"/>
      <c r="F167" s="8" t="str">
        <f t="array" ref="F167">IFERROR(XLOOKUP(C167, '新規'!$E:$E, '新規'!$O:$O, ""), "")</f>
        <v/>
      </c>
      <c r="G167" s="8" t="str">
        <f t="array" ref="G167">IFERROR(XLOOKUP(C167, '新規'!$E:$E, '新規'!$P:$P, ""), "")</f>
        <v/>
      </c>
      <c r="H167" s="590"/>
      <c r="I167" s="8" t="str">
        <f t="array" ref="I167">IFERROR(XLOOKUP(H167, '新規'!$E:$E, '新規'!$F:$F, ""), "")</f>
        <v/>
      </c>
      <c r="J167" s="8"/>
      <c r="K167" s="8" t="str">
        <f t="array" ref="K167">IFERROR(XLOOKUP(H167, '新規'!$E:$E, '新規'!$O:$O, ""), "")</f>
        <v/>
      </c>
      <c r="L167" s="8" t="str">
        <f t="array" ref="L167">IFERROR(XLOOKUP(H167, '新規'!$E:$E, '新規'!$P:$P, ""), "")</f>
        <v/>
      </c>
      <c r="M167" s="590"/>
      <c r="N167" s="8" t="str">
        <f t="array" ref="N167">IFERROR(XLOOKUP(M167, '新規'!$E:$E, '新規'!$F:$F, ""), "")</f>
        <v/>
      </c>
      <c r="O167" s="8"/>
      <c r="P167" s="8" t="str">
        <f t="array" ref="P167">IFERROR(XLOOKUP(M167, '新規'!$E:$E, '新規'!$O:$O, ""), "")</f>
        <v/>
      </c>
      <c r="Q167" s="8" t="str">
        <f t="array" ref="Q167">IFERROR(XLOOKUP(M167, '新規'!$E:$E, '新規'!$P:$P, ""), "")</f>
        <v/>
      </c>
      <c r="R167" s="590"/>
      <c r="S167" s="8" t="str">
        <f t="array" ref="S167">IFERROR(XLOOKUP(R167, '新規'!$E:$E, '新規'!$F:$F, ""), "")</f>
        <v/>
      </c>
      <c r="T167" s="8"/>
      <c r="U167" s="8" t="str">
        <f t="array" ref="U167">IFERROR(XLOOKUP(R167, '新規'!$E:$E, '新規'!$O:$O, ""), "")</f>
        <v/>
      </c>
      <c r="V167" s="8" t="str">
        <f t="array" ref="V167">IFERROR(XLOOKUP(R167, '新規'!$E:$E, '新規'!$P:$P, ""), "")</f>
        <v/>
      </c>
      <c r="W167" s="590"/>
      <c r="X167" s="8" t="str">
        <f t="array" ref="X167">IFERROR(XLOOKUP(W167, '新規'!$E:$E, '新規'!$F:$F, ""), "")</f>
        <v/>
      </c>
      <c r="Y167" s="8"/>
      <c r="Z167" s="8" t="str">
        <f t="array" ref="Z167">IFERROR(XLOOKUP(W167, '新規'!$E:$E, '新規'!$O:$O, ""), "")</f>
        <v/>
      </c>
      <c r="AA167" s="8" t="str">
        <f t="array" ref="AA167">IFERROR(XLOOKUP(W167, '新規'!$E:$E, '新規'!$P:$P, ""), "")</f>
        <v/>
      </c>
      <c r="AB167" s="590"/>
      <c r="AC167" s="8" t="str">
        <f t="array" ref="AC167">IFERROR(XLOOKUP(AB167, '新規'!$E:$E, '新規'!$F:$F, ""), "")</f>
        <v/>
      </c>
      <c r="AD167" s="8"/>
      <c r="AE167" s="8" t="str">
        <f t="array" ref="AE167">IFERROR(XLOOKUP(AB167, '新規'!$E:$E, '新規'!$O:$O, ""), "")</f>
        <v/>
      </c>
      <c r="AF167" s="8" t="str">
        <f t="array" ref="AF167">IFERROR(XLOOKUP(AB167, '新規'!$E:$E, '新規'!$P:$P, ""), "")</f>
        <v/>
      </c>
      <c r="AG167" s="590"/>
      <c r="AH167" s="8" t="str">
        <f t="array" ref="AH167">IFERROR(XLOOKUP(AG167, '新規'!$E:$E, '新規'!$F:$F, ""), "")</f>
        <v/>
      </c>
      <c r="AI167" s="8"/>
      <c r="AJ167" s="8" t="str">
        <f t="array" ref="AJ167">IFERROR(XLOOKUP(AG167, '新規'!$E:$E, '新規'!$O:$O, ""), "")</f>
        <v/>
      </c>
      <c r="AK167" s="8" t="str">
        <f t="array" ref="AK167">IFERROR(XLOOKUP(AG167, '新規'!$E:$E, '新規'!$P:$P, ""), "")</f>
        <v/>
      </c>
    </row>
    <row r="168" ht="17.25" customHeight="1">
      <c r="A168" s="587"/>
      <c r="B168" s="592"/>
      <c r="C168" s="590"/>
      <c r="D168" s="593" t="str">
        <f>IFERROR(__xludf.DUMMYFUNCTION("IF(C168="""","""",IFERROR(INDEX(FILTER('特殊配信マスタ'!$F$3:$F$16,('特殊配信マスタ'!$A$3:$A$16=CHOOSE(WEEKDAY(C$1),""日"",""月"",""火"",""水"",""木"",""金"",""土""))*('特殊配信マスタ'!$B$3:$B$16=A$3)*('特殊配信マスタ'!$R$3:$R$16=MOD(INT((C$1-'特殊配信マスタ'!$A$1)/7),3)+1)),1),""""))"),"")</f>
        <v/>
      </c>
      <c r="E168" s="590"/>
      <c r="F168" s="593" t="str">
        <f>IFERROR(__xludf.DUMMYFUNCTION("IF(C168="""","""",IFERROR(INDEX(FILTER('特殊配信マスタ'!$O$3:$O$16,('特殊配信マスタ'!$A$3:$A$16=CHOOSE(WEEKDAY(C$1),""日"",""月"",""火"",""水"",""木"",""金"",""土""))*('特殊配信マスタ'!$B$3:$B$16=A$3)*('特殊配信マスタ'!$R$3:$R$16=MOD(INT((C$1-'特殊配信マスタ'!$A$1)/7),3)+1)),1),""""))"),"")</f>
        <v/>
      </c>
      <c r="G168" s="593" t="str">
        <f>IFERROR(__xludf.DUMMYFUNCTION("IF(C168="""","""",IFERROR(INDEX(FILTER('特殊配信マスタ'!$P$3:$P$16,('特殊配信マスタ'!$A$3:$A$16=CHOOSE(WEEKDAY(C$1),""日"",""月"",""火"",""水"",""木"",""金"",""土""))*('特殊配信マスタ'!$B$3:$B$16=A$3)*('特殊配信マスタ'!$R$3:$R$16=MOD(INT((C$1-'特殊配信マスタ'!$A$1)/7),3)+1)),1),""""))"),"")</f>
        <v/>
      </c>
      <c r="H168" s="590"/>
      <c r="I168" s="593" t="str">
        <f>IFERROR(__xludf.DUMMYFUNCTION("IF(H168="""","""",IFERROR(INDEX(FILTER('特殊配信マスタ'!$F$3:$F$16,('特殊配信マスタ'!$A$3:$A$16=CHOOSE(WEEKDAY(H$1),""日"",""月"",""火"",""水"",""木"",""金"",""土""))*('特殊配信マスタ'!$B$3:$B$16=F$3)*('特殊配信マスタ'!$R$3:$R$16=MOD(INT((H$1-'特殊配信マスタ'!$A$1)/7),3)+1)),1),""""))"),"")</f>
        <v/>
      </c>
      <c r="J168" s="590"/>
      <c r="K168" s="593" t="str">
        <f>IFERROR(__xludf.DUMMYFUNCTION("IF(H168="""","""",IFERROR(INDEX(FILTER('特殊配信マスタ'!$O$3:$O$16,('特殊配信マスタ'!$A$3:$A$16=CHOOSE(WEEKDAY(H$1),""日"",""月"",""火"",""水"",""木"",""金"",""土""))*('特殊配信マスタ'!$B$3:$B$16=F$3)*('特殊配信マスタ'!$R$3:$R$16=MOD(INT((H$1-'特殊配信マスタ'!$A$1)/7),3)+1)),1),""""))"),"")</f>
        <v/>
      </c>
      <c r="L168" s="593" t="str">
        <f>IFERROR(__xludf.DUMMYFUNCTION("IF(H168="""","""",IFERROR(INDEX(FILTER('特殊配信マスタ'!$P$3:$P$16,('特殊配信マスタ'!$A$3:$A$16=CHOOSE(WEEKDAY(H$1),""日"",""月"",""火"",""水"",""木"",""金"",""土""))*('特殊配信マスタ'!$B$3:$B$16=F$3)*('特殊配信マスタ'!$R$3:$R$16=MOD(INT((H$1-'特殊配信マスタ'!$A$1)/7),3)+1)),1),""""))"),"")</f>
        <v/>
      </c>
      <c r="M168" s="590"/>
      <c r="N168" s="593" t="str">
        <f>IFERROR(__xludf.DUMMYFUNCTION("IF(M168="""","""",IFERROR(INDEX(FILTER('特殊配信マスタ'!$F$3:$F$16,('特殊配信マスタ'!$A$3:$A$16=CHOOSE(WEEKDAY(M$1),""日"",""月"",""火"",""水"",""木"",""金"",""土""))*('特殊配信マスタ'!$B$3:$B$16=K$3)*('特殊配信マスタ'!$R$3:$R$16=MOD(INT((M$1-'特殊配信マスタ'!$A$1)/7),3)+1)),1),""""))"),"")</f>
        <v/>
      </c>
      <c r="O168" s="590"/>
      <c r="P168" s="593" t="str">
        <f>IFERROR(__xludf.DUMMYFUNCTION("IF(M168="""","""",IFERROR(INDEX(FILTER('特殊配信マスタ'!$O$3:$O$16,('特殊配信マスタ'!$A$3:$A$16=CHOOSE(WEEKDAY(M$1),""日"",""月"",""火"",""水"",""木"",""金"",""土""))*('特殊配信マスタ'!$B$3:$B$16=K$3)*('特殊配信マスタ'!$R$3:$R$16=MOD(INT((M$1-'特殊配信マスタ'!$A$1)/7),3)+1)),1),""""))"),"")</f>
        <v/>
      </c>
      <c r="Q168" s="593" t="str">
        <f>IFERROR(__xludf.DUMMYFUNCTION("IF(M168="""","""",IFERROR(INDEX(FILTER('特殊配信マスタ'!$P$3:$P$16,('特殊配信マスタ'!$A$3:$A$16=CHOOSE(WEEKDAY(M$1),""日"",""月"",""火"",""水"",""木"",""金"",""土""))*('特殊配信マスタ'!$B$3:$B$16=K$3)*('特殊配信マスタ'!$R$3:$R$16=MOD(INT((M$1-'特殊配信マスタ'!$A$1)/7),3)+1)),1),""""))"),"")</f>
        <v/>
      </c>
      <c r="R168" s="590"/>
      <c r="S168" s="593" t="str">
        <f>IFERROR(__xludf.DUMMYFUNCTION("IF(R168="""","""",IFERROR(INDEX(FILTER('特殊配信マスタ'!$F$3:$F$16,('特殊配信マスタ'!$A$3:$A$16=CHOOSE(WEEKDAY(R$1),""日"",""月"",""火"",""水"",""木"",""金"",""土""))*('特殊配信マスタ'!$B$3:$B$16=P$3)*('特殊配信マスタ'!$R$3:$R$16=MOD(INT((R$1-'特殊配信マスタ'!$A$1)/7),3)+1)),1),""""))"),"")</f>
        <v/>
      </c>
      <c r="T168" s="590"/>
      <c r="U168" s="593" t="str">
        <f>IFERROR(__xludf.DUMMYFUNCTION("IF(R168="""","""",IFERROR(INDEX(FILTER('特殊配信マスタ'!$O$3:$O$16,('特殊配信マスタ'!$A$3:$A$16=CHOOSE(WEEKDAY(R$1),""日"",""月"",""火"",""水"",""木"",""金"",""土""))*('特殊配信マスタ'!$B$3:$B$16=P$3)*('特殊配信マスタ'!$R$3:$R$16=MOD(INT((R$1-'特殊配信マスタ'!$A$1)/7),3)+1)),1),""""))"),"")</f>
        <v/>
      </c>
      <c r="V168" s="593" t="str">
        <f>IFERROR(__xludf.DUMMYFUNCTION("IF(R168="""","""",IFERROR(INDEX(FILTER('特殊配信マスタ'!$P$3:$P$16,('特殊配信マスタ'!$A$3:$A$16=CHOOSE(WEEKDAY(R$1),""日"",""月"",""火"",""水"",""木"",""金"",""土""))*('特殊配信マスタ'!$B$3:$B$16=P$3)*('特殊配信マスタ'!$R$3:$R$16=MOD(INT((R$1-'特殊配信マスタ'!$A$1)/7),3)+1)),1),""""))"),"")</f>
        <v/>
      </c>
      <c r="W168" s="590"/>
      <c r="X168" s="593" t="str">
        <f>IFERROR(__xludf.DUMMYFUNCTION("IF(W168="""","""",IFERROR(INDEX(FILTER('特殊配信マスタ'!$F$3:$F$16,('特殊配信マスタ'!$A$3:$A$16=CHOOSE(WEEKDAY(W$1),""日"",""月"",""火"",""水"",""木"",""金"",""土""))*('特殊配信マスタ'!$B$3:$B$16=U$3)*('特殊配信マスタ'!$R$3:$R$16=MOD(INT((W$1-'特殊配信マスタ'!$A$1)/7),3)+1)),1),""""))"),"")</f>
        <v/>
      </c>
      <c r="Y168" s="590"/>
      <c r="Z168" s="593" t="str">
        <f>IFERROR(__xludf.DUMMYFUNCTION("IF(W168="""","""",IFERROR(INDEX(FILTER('特殊配信マスタ'!$O$3:$O$16,('特殊配信マスタ'!$A$3:$A$16=CHOOSE(WEEKDAY(W$1),""日"",""月"",""火"",""水"",""木"",""金"",""土""))*('特殊配信マスタ'!$B$3:$B$16=U$3)*('特殊配信マスタ'!$R$3:$R$16=MOD(INT((W$1-'特殊配信マスタ'!$A$1)/7),3)+1)),1),""""))"),"")</f>
        <v/>
      </c>
      <c r="AA168" s="593" t="str">
        <f>IFERROR(__xludf.DUMMYFUNCTION("IF(W168="""","""",IFERROR(INDEX(FILTER('特殊配信マスタ'!$P$3:$P$16,('特殊配信マスタ'!$A$3:$A$16=CHOOSE(WEEKDAY(W$1),""日"",""月"",""火"",""水"",""木"",""金"",""土""))*('特殊配信マスタ'!$B$3:$B$16=U$3)*('特殊配信マスタ'!$R$3:$R$16=MOD(INT((W$1-'特殊配信マスタ'!$A$1)/7),3)+1)),1),""""))"),"")</f>
        <v/>
      </c>
      <c r="AB168" s="590"/>
      <c r="AC168" s="593" t="str">
        <f>IFERROR(__xludf.DUMMYFUNCTION("IF(AB168="""","""",IFERROR(INDEX(FILTER('特殊配信マスタ'!$F$3:$F$16,('特殊配信マスタ'!$A$3:$A$16=CHOOSE(WEEKDAY(AB$1),""日"",""月"",""火"",""水"",""木"",""金"",""土""))*('特殊配信マスタ'!$B$3:$B$16=Z$3)*('特殊配信マスタ'!$R$3:$R$16=MOD(INT((AB$1-'特殊配信マスタ'!$A$1)/7),3)+1)),1),""""))"),"")</f>
        <v/>
      </c>
      <c r="AD168" s="590"/>
      <c r="AE168" s="593" t="str">
        <f>IFERROR(__xludf.DUMMYFUNCTION("IF(AB168="""","""",IFERROR(INDEX(FILTER('特殊配信マスタ'!$O$3:$O$16,('特殊配信マスタ'!$A$3:$A$16=CHOOSE(WEEKDAY(AB$1),""日"",""月"",""火"",""水"",""木"",""金"",""土""))*('特殊配信マスタ'!$B$3:$B$16=Z$3)*('特殊配信マスタ'!$R$3:$R$16=MOD(INT((AB$1-'特殊配信マスタ'!$A$1)/7),3)+1)),1),""""))"),"")</f>
        <v/>
      </c>
      <c r="AF168" s="593" t="str">
        <f>IFERROR(__xludf.DUMMYFUNCTION("IF(AB168="""","""",IFERROR(INDEX(FILTER('特殊配信マスタ'!$P$3:$P$16,('特殊配信マスタ'!$A$3:$A$16=CHOOSE(WEEKDAY(AB$1),""日"",""月"",""火"",""水"",""木"",""金"",""土""))*('特殊配信マスタ'!$B$3:$B$16=Z$3)*('特殊配信マスタ'!$R$3:$R$16=MOD(INT((AB$1-'特殊配信マスタ'!$A$1)/7),3)+1)),1),""""))"),"")</f>
        <v/>
      </c>
      <c r="AG168" s="590"/>
      <c r="AH168" s="593" t="str">
        <f>IFERROR(__xludf.DUMMYFUNCTION("IF(AG168="""","""",IFERROR(INDEX(FILTER('特殊配信マスタ'!$F$3:$F$16,('特殊配信マスタ'!$A$3:$A$16=CHOOSE(WEEKDAY(AG$1),""日"",""月"",""火"",""水"",""木"",""金"",""土""))*('特殊配信マスタ'!$B$3:$B$16=AE$3)*('特殊配信マスタ'!$R$3:$R$16=MOD(INT((AG$1-'特殊配信マスタ'!$A$1)/7),3)+1)),1),""""))"),"")</f>
        <v/>
      </c>
      <c r="AI168" s="590"/>
      <c r="AJ168" s="593" t="str">
        <f>IFERROR(__xludf.DUMMYFUNCTION("IF(AG168="""","""",IFERROR(INDEX(FILTER('特殊配信マスタ'!$O$3:$O$16,('特殊配信マスタ'!$A$3:$A$16=CHOOSE(WEEKDAY(AG$1),""日"",""月"",""火"",""水"",""木"",""金"",""土""))*('特殊配信マスタ'!$B$3:$B$16=AE$3)*('特殊配信マスタ'!$R$3:$R$16=MOD(INT((AG$1-'特殊配信マスタ'!$A$1)/7),3)+1)),1),""""))"),"")</f>
        <v/>
      </c>
      <c r="AK168" s="593" t="str">
        <f>IFERROR(__xludf.DUMMYFUNCTION("IF(AG168="""","""",IFERROR(INDEX(FILTER('特殊配信マスタ'!$P$3:$P$16,('特殊配信マスタ'!$A$3:$A$16=CHOOSE(WEEKDAY(AG$1),""日"",""月"",""火"",""水"",""木"",""金"",""土""))*('特殊配信マスタ'!$B$3:$B$16=AE$3)*('特殊配信マスタ'!$R$3:$R$16=MOD(INT((AG$1-'特殊配信マスタ'!$A$1)/7),3)+1)),1),""""))"),"")</f>
        <v/>
      </c>
    </row>
    <row r="169" ht="17.25" customHeight="1">
      <c r="A169" s="587"/>
      <c r="B169" s="585" t="s">
        <v>1451</v>
      </c>
      <c r="C169" s="590" t="str">
        <f>IFERROR(__xludf.DUMMYFUNCTION("IFERROR(INDEX(FILTER('特殊配信マスタ'!$E$3:$E$16, (TEXT('特殊配信マスタ'!$A$3:$A$16,""ddd"")=TEXT(C$1,""ddd""))*(IFERROR(VALUE('特殊配信マスタ'!$B$3:$B$16),0)=VALUE(LOOKUP(2,1/($A$3:$A169&lt;&gt;""""),$A$3:$A169)))*('特殊配信マスタ'!$Q$3:$Q$16&lt;&gt;TRUE)), 1), """")"),"")</f>
        <v/>
      </c>
      <c r="D169" s="593" t="str">
        <f>IFERROR(__xludf.DUMMYFUNCTION("IF(C169="""","""",IFERROR(INDEX(FILTER('特殊配信マスタ'!$F$3:$F$16,('特殊配信マスタ'!$A$3:$A$16=CHOOSE(WEEKDAY(C$1),""日"",""月"",""火"",""水"",""木"",""金"",""土""))*('特殊配信マスタ'!$B$3:$B$16=A$3)*('特殊配信マスタ'!$R$3:$R$16=MOD(INT((C$1-'特殊配信マスタ'!$A$1)/7),3)+1)),1),""""))"),"")</f>
        <v/>
      </c>
      <c r="E169" s="590"/>
      <c r="F169" s="593" t="str">
        <f>IFERROR(__xludf.DUMMYFUNCTION("IF(C169="""","""",IFERROR(INDEX(FILTER('特殊配信マスタ'!$O$3:$O$16, '特殊配信マスタ'!$E$3:$E$16=C169),1),""""))"),"")</f>
        <v/>
      </c>
      <c r="G169" s="593" t="str">
        <f>IFERROR(__xludf.DUMMYFUNCTION("IF(C169="""","""",IFERROR(INDEX(FILTER('特殊配信マスタ'!$P$3:$P$16, '特殊配信マスタ'!$E$3:$E$16=C169),1),""""))"),"")</f>
        <v/>
      </c>
      <c r="H169" s="590" t="str">
        <f>IFERROR(__xludf.DUMMYFUNCTION("IFERROR(INDEX(FILTER('特殊配信マスタ'!$E$3:$E$16, (TEXT('特殊配信マスタ'!$A$3:$A$16,""ddd"")=TEXT(H$1,""ddd""))*(IFERROR(VALUE('特殊配信マスタ'!$B$3:$B$16),0)=VALUE(LOOKUP(2,1/($A$3:$A169&lt;&gt;""""),$A$3:$A169)))*('特殊配信マスタ'!$Q$3:$Q$16&lt;&gt;TRUE)), 1), """")"),"")</f>
        <v/>
      </c>
      <c r="I169" s="593" t="str">
        <f>IFERROR(__xludf.DUMMYFUNCTION("IF(H169="""","""",IFERROR(INDEX(FILTER('特殊配信マスタ'!$F$3:$F$16,('特殊配信マスタ'!$A$3:$A$16=CHOOSE(WEEKDAY(H$1),""日"",""月"",""火"",""水"",""木"",""金"",""土""))*('特殊配信マスタ'!$B$3:$B$16=F$3)*('特殊配信マスタ'!$R$3:$R$16=MOD(INT((H$1-'特殊配信マスタ'!$A$1)/7),3)+1)),1),""""))"),"")</f>
        <v/>
      </c>
      <c r="J169" s="590"/>
      <c r="K169" s="593" t="str">
        <f>IFERROR(__xludf.DUMMYFUNCTION("IF(H169="""","""",IFERROR(INDEX(FILTER('特殊配信マスタ'!$O$3:$O$16, '特殊配信マスタ'!$E$3:$E$16=H169),1),""""))"),"")</f>
        <v/>
      </c>
      <c r="L169" s="593" t="str">
        <f>IFERROR(__xludf.DUMMYFUNCTION("IF(H169="""","""",IFERROR(INDEX(FILTER('特殊配信マスタ'!$P$3:$P$16, '特殊配信マスタ'!$E$3:$E$16=H169),1),""""))"),"")</f>
        <v/>
      </c>
      <c r="M169" s="590" t="str">
        <f>IFERROR(__xludf.DUMMYFUNCTION("IFERROR(INDEX(FILTER('特殊配信マスタ'!$E$3:$E$16, (TEXT('特殊配信マスタ'!$A$3:$A$16,""ddd"")=TEXT(M$1,""ddd""))*(IFERROR(VALUE('特殊配信マスタ'!$B$3:$B$16),0)=VALUE(LOOKUP(2,1/($A$3:$A169&lt;&gt;""""),$A$3:$A169)))*('特殊配信マスタ'!$Q$3:$Q$16&lt;&gt;TRUE)), 1), """")"),"")</f>
        <v/>
      </c>
      <c r="N169" s="593" t="str">
        <f>IFERROR(__xludf.DUMMYFUNCTION("IF(M169="""","""",IFERROR(INDEX(FILTER('特殊配信マスタ'!$F$3:$F$16,('特殊配信マスタ'!$A$3:$A$16=CHOOSE(WEEKDAY(M$1),""日"",""月"",""火"",""水"",""木"",""金"",""土""))*('特殊配信マスタ'!$B$3:$B$16=K$3)*('特殊配信マスタ'!$R$3:$R$16=MOD(INT((M$1-'特殊配信マスタ'!$A$1)/7),3)+1)),1),""""))"),"")</f>
        <v/>
      </c>
      <c r="O169" s="590"/>
      <c r="P169" s="593" t="str">
        <f>IFERROR(__xludf.DUMMYFUNCTION("IF(M169="""","""",IFERROR(INDEX(FILTER('特殊配信マスタ'!$O$3:$O$16, '特殊配信マスタ'!$E$3:$E$16=M169),1),""""))"),"")</f>
        <v/>
      </c>
      <c r="Q169" s="593" t="str">
        <f>IFERROR(__xludf.DUMMYFUNCTION("IF(M169="""","""",IFERROR(INDEX(FILTER('特殊配信マスタ'!$P$3:$P$16, '特殊配信マスタ'!$E$3:$E$16=M169),1),""""))"),"")</f>
        <v/>
      </c>
      <c r="R169" s="601" t="str">
        <f>IFERROR(__xludf.DUMMYFUNCTION("IFERROR(INDEX(FILTER('特殊配信マスタ'!$E$3:$E$16, (TEXT('特殊配信マスタ'!$A$3:$A$16,""ddd"")=TEXT(R$1,""ddd""))*(IFERROR(VALUE('特殊配信マスタ'!$B$3:$B$16),0)=VALUE(LOOKUP(2,1/($A$3:$A169&lt;&gt;""""),$A$3:$A169)))*('特殊配信マスタ'!$Q$3:$Q$16&lt;&gt;TRUE)), 1), """")"),"◇ポジションマッチ B1")</f>
        <v>◇ポジションマッチ B1</v>
      </c>
      <c r="S169" s="595" t="str">
        <f>IFERROR(__xludf.DUMMYFUNCTION("IF(R169="""","""",IFERROR(INDEX(FILTER('特殊配信マスタ'!$F$3:$F$16,('特殊配信マスタ'!$A$3:$A$16=CHOOSE(WEEKDAY(R$1),""日"",""月"",""火"",""水"",""木"",""金"",""土""))*('特殊配信マスタ'!$B$3:$B$16=P$3)*('特殊配信マスタ'!$R$3:$R$16=MOD(INT((R$1-'特殊配信マスタ'!$A$1)/7),3)+1)),1),""""))"),"")</f>
        <v/>
      </c>
      <c r="T169" s="119"/>
      <c r="U169" s="595" t="str">
        <f>IFERROR(__xludf.DUMMYFUNCTION("IF(R169="""","""",IFERROR(INDEX(FILTER('特殊配信マスタ'!$O$3:$O$16, '特殊配信マスタ'!$E$3:$E$16=R169),1),""""))"),"荒")</f>
        <v>荒</v>
      </c>
      <c r="V169" s="595" t="str">
        <f>IFERROR(__xludf.DUMMYFUNCTION("IF(R169="""","""",IFERROR(INDEX(FILTER('特殊配信マスタ'!$P$3:$P$16, '特殊配信マスタ'!$E$3:$E$16=R169),1),""""))"),"平")</f>
        <v>平</v>
      </c>
      <c r="W169" s="590" t="str">
        <f>IFERROR(__xludf.DUMMYFUNCTION("IFERROR(INDEX(FILTER('特殊配信マスタ'!$E$3:$E$16, (TEXT('特殊配信マスタ'!$A$3:$A$16,""ddd"")=TEXT(W$1,""ddd""))*(IFERROR(VALUE('特殊配信マスタ'!$B$3:$B$16),0)=VALUE(LOOKUP(2,1/($A$3:$A169&lt;&gt;""""),$A$3:$A169)))*('特殊配信マスタ'!$Q$3:$Q$16&lt;&gt;TRUE)), 1), """")"),"")</f>
        <v/>
      </c>
      <c r="X169" s="593" t="str">
        <f>IFERROR(__xludf.DUMMYFUNCTION("IF(W169="""","""",IFERROR(INDEX(FILTER('特殊配信マスタ'!$F$3:$F$16,('特殊配信マスタ'!$A$3:$A$16=CHOOSE(WEEKDAY(W$1),""日"",""月"",""火"",""水"",""木"",""金"",""土""))*('特殊配信マスタ'!$B$3:$B$16=U$3)*('特殊配信マスタ'!$R$3:$R$16=MOD(INT((W$1-'特殊配信マスタ'!$A$1)/7),3)+1)),1),""""))"),"")</f>
        <v/>
      </c>
      <c r="Y169" s="590"/>
      <c r="Z169" s="593" t="str">
        <f>IFERROR(__xludf.DUMMYFUNCTION("IF(W169="""","""",IFERROR(INDEX(FILTER('特殊配信マスタ'!$O$3:$O$16, '特殊配信マスタ'!$E$3:$E$16=W169),1),""""))"),"")</f>
        <v/>
      </c>
      <c r="AA169" s="593" t="str">
        <f>IFERROR(__xludf.DUMMYFUNCTION("IF(W169="""","""",IFERROR(INDEX(FILTER('特殊配信マスタ'!$P$3:$P$16, '特殊配信マスタ'!$E$3:$E$16=W169),1),""""))"),"")</f>
        <v/>
      </c>
      <c r="AB169" s="590" t="str">
        <f>IFERROR(__xludf.DUMMYFUNCTION("IFERROR(INDEX(FILTER('特殊配信マスタ'!$E$3:$E$16, (TEXT('特殊配信マスタ'!$A$3:$A$16,""ddd"")=TEXT(AB$1,""ddd""))*(IFERROR(VALUE('特殊配信マスタ'!$B$3:$B$16),0)=VALUE(LOOKUP(2,1/($A$3:$A169&lt;&gt;""""),$A$3:$A169)))*('特殊配信マスタ'!$Q$3:$Q$16&lt;&gt;TRUE)), 1), """")"),"")</f>
        <v/>
      </c>
      <c r="AC169" s="593" t="str">
        <f>IFERROR(__xludf.DUMMYFUNCTION("IF(AB169="""","""",IFERROR(INDEX(FILTER('特殊配信マスタ'!$F$3:$F$16,('特殊配信マスタ'!$A$3:$A$16=CHOOSE(WEEKDAY(AB$1),""日"",""月"",""火"",""水"",""木"",""金"",""土""))*('特殊配信マスタ'!$B$3:$B$16=Z$3)*('特殊配信マスタ'!$R$3:$R$16=MOD(INT((AB$1-'特殊配信マスタ'!$A$1)/7),3)+1)),1),""""))"),"")</f>
        <v/>
      </c>
      <c r="AD169" s="590"/>
      <c r="AE169" s="593" t="str">
        <f>IFERROR(__xludf.DUMMYFUNCTION("IF(AB169="""","""",IFERROR(INDEX(FILTER('特殊配信マスタ'!$O$3:$O$16, '特殊配信マスタ'!$E$3:$E$16=AB169),1),""""))"),"")</f>
        <v/>
      </c>
      <c r="AF169" s="593" t="str">
        <f>IFERROR(__xludf.DUMMYFUNCTION("IF(AB169="""","""",IFERROR(INDEX(FILTER('特殊配信マスタ'!$P$3:$P$16, '特殊配信マスタ'!$E$3:$E$16=AB169),1),""""))"),"")</f>
        <v/>
      </c>
      <c r="AG169" s="590" t="str">
        <f>IFERROR(__xludf.DUMMYFUNCTION("IFERROR(INDEX(FILTER('特殊配信マスタ'!$E$3:$E$16, (TEXT('特殊配信マスタ'!$A$3:$A$16,""ddd"")=TEXT(AG$1,""ddd""))*(IFERROR(VALUE('特殊配信マスタ'!$B$3:$B$16),0)=VALUE(LOOKUP(2,1/($A$3:$A169&lt;&gt;""""),$A$3:$A169)))*('特殊配信マスタ'!$Q$3:$Q$16&lt;&gt;TRUE)), 1), """")"),"")</f>
        <v/>
      </c>
      <c r="AH169" s="593" t="str">
        <f>IFERROR(__xludf.DUMMYFUNCTION("IF(AG169="""","""",IFERROR(INDEX(FILTER('特殊配信マスタ'!$F$3:$F$16,('特殊配信マスタ'!$A$3:$A$16=CHOOSE(WEEKDAY(AG$1),""日"",""月"",""火"",""水"",""木"",""金"",""土""))*('特殊配信マスタ'!$B$3:$B$16=AE$3)*('特殊配信マスタ'!$R$3:$R$16=MOD(INT((AG$1-'特殊配信マスタ'!$A$1)/7),3)+1)),1),""""))"),"")</f>
        <v/>
      </c>
      <c r="AI169" s="590"/>
      <c r="AJ169" s="593" t="str">
        <f>IFERROR(__xludf.DUMMYFUNCTION("IF(AG169="""","""",IFERROR(INDEX(FILTER('特殊配信マスタ'!$O$3:$O$16, '特殊配信マスタ'!$E$3:$E$16=AG169),1),""""))"),"")</f>
        <v/>
      </c>
      <c r="AK169" s="593" t="str">
        <f>IFERROR(__xludf.DUMMYFUNCTION("IF(AG169="""","""",IFERROR(INDEX(FILTER('特殊配信マスタ'!$P$3:$P$16, '特殊配信マスタ'!$E$3:$E$16=AG169),1),""""))"),"")</f>
        <v/>
      </c>
    </row>
    <row r="170" ht="17.25" customHeight="1">
      <c r="A170" s="587"/>
      <c r="B170" s="588"/>
      <c r="C170" s="590" t="str">
        <f>IFERROR(__xludf.DUMMYFUNCTION("IFERROR(INDEX(FILTER('特殊配信マスタ'!$E$3:$E$16, (TEXT('特殊配信マスタ'!$A$3:$A$16,""ddd"")=TEXT(C$1,""ddd""))*(IFERROR(VALUE('特殊配信マスタ'!$B$3:$B$16),0)=VALUE(LOOKUP(2,1/($A$3:$A170&lt;&gt;""""),$A$3:$A170)))*('特殊配信マスタ'!$Q$3:$Q$16&lt;&gt;TRUE)), 2), """")"),"")</f>
        <v/>
      </c>
      <c r="D170" s="593" t="str">
        <f>IFERROR(__xludf.DUMMYFUNCTION("IF(C170="""","""",IFERROR(INDEX(FILTER('特殊配信マスタ'!$F$3:$F$16,('特殊配信マスタ'!$A$3:$A$16=CHOOSE(WEEKDAY(C$1),""日"",""月"",""火"",""水"",""木"",""金"",""土""))*('特殊配信マスタ'!$B$3:$B$16=A$3)*('特殊配信マスタ'!$R$3:$R$16=MOD(INT((C$1-'特殊配信マスタ'!$A$1)/7),3)+1)),1),""""))"),"")</f>
        <v/>
      </c>
      <c r="E170" s="590"/>
      <c r="F170" s="593" t="str">
        <f>IFERROR(__xludf.DUMMYFUNCTION("IF(C170="""","""",IFERROR(INDEX(FILTER('特殊配信マスタ'!$O$3:$O$16, '特殊配信マスタ'!$E$3:$E$16=C170),1),""""))"),"")</f>
        <v/>
      </c>
      <c r="G170" s="593" t="str">
        <f>IFERROR(__xludf.DUMMYFUNCTION("IF(C170="""","""",IFERROR(INDEX(FILTER('特殊配信マスタ'!$P$3:$P$16, '特殊配信マスタ'!$E$3:$E$16=C170),1),""""))"),"")</f>
        <v/>
      </c>
      <c r="H170" s="590" t="str">
        <f>IFERROR(__xludf.DUMMYFUNCTION("IFERROR(INDEX(FILTER('特殊配信マスタ'!$E$3:$E$16, (TEXT('特殊配信マスタ'!$A$3:$A$16,""ddd"")=TEXT(H$1,""ddd""))*(IFERROR(VALUE('特殊配信マスタ'!$B$3:$B$16),0)=VALUE(LOOKUP(2,1/($A$3:$A170&lt;&gt;""""),$A$3:$A170)))*('特殊配信マスタ'!$Q$3:$Q$16&lt;&gt;TRUE)), 2), """")"),"")</f>
        <v/>
      </c>
      <c r="I170" s="593" t="str">
        <f>IFERROR(__xludf.DUMMYFUNCTION("IF(H170="""","""",IFERROR(INDEX(FILTER('特殊配信マスタ'!$F$3:$F$16,('特殊配信マスタ'!$A$3:$A$16=CHOOSE(WEEKDAY(H$1),""日"",""月"",""火"",""水"",""木"",""金"",""土""))*('特殊配信マスタ'!$B$3:$B$16=F$3)*('特殊配信マスタ'!$R$3:$R$16=MOD(INT((H$1-'特殊配信マスタ'!$A$1)/7),3)+1)),1),""""))"),"")</f>
        <v/>
      </c>
      <c r="J170" s="590"/>
      <c r="K170" s="593" t="str">
        <f>IFERROR(__xludf.DUMMYFUNCTION("IF(H170="""","""",IFERROR(INDEX(FILTER('特殊配信マスタ'!$O$3:$O$16, '特殊配信マスタ'!$E$3:$E$16=H170),1),""""))"),"")</f>
        <v/>
      </c>
      <c r="L170" s="593" t="str">
        <f>IFERROR(__xludf.DUMMYFUNCTION("IF(H170="""","""",IFERROR(INDEX(FILTER('特殊配信マスタ'!$P$3:$P$16, '特殊配信マスタ'!$E$3:$E$16=H170),1),""""))"),"")</f>
        <v/>
      </c>
      <c r="M170" s="590" t="str">
        <f>IFERROR(__xludf.DUMMYFUNCTION("IFERROR(INDEX(FILTER('特殊配信マスタ'!$E$3:$E$16, (TEXT('特殊配信マスタ'!$A$3:$A$16,""ddd"")=TEXT(M$1,""ddd""))*(IFERROR(VALUE('特殊配信マスタ'!$B$3:$B$16),0)=VALUE(LOOKUP(2,1/($A$3:$A170&lt;&gt;""""),$A$3:$A170)))*('特殊配信マスタ'!$Q$3:$Q$16&lt;&gt;TRUE)), 2), """")"),"")</f>
        <v/>
      </c>
      <c r="N170" s="593" t="str">
        <f>IFERROR(__xludf.DUMMYFUNCTION("IF(M170="""","""",IFERROR(INDEX(FILTER('特殊配信マスタ'!$F$3:$F$16,('特殊配信マスタ'!$A$3:$A$16=CHOOSE(WEEKDAY(M$1),""日"",""月"",""火"",""水"",""木"",""金"",""土""))*('特殊配信マスタ'!$B$3:$B$16=K$3)*('特殊配信マスタ'!$R$3:$R$16=MOD(INT((M$1-'特殊配信マスタ'!$A$1)/7),3)+1)),1),""""))"),"")</f>
        <v/>
      </c>
      <c r="O170" s="590"/>
      <c r="P170" s="593" t="str">
        <f>IFERROR(__xludf.DUMMYFUNCTION("IF(M170="""","""",IFERROR(INDEX(FILTER('特殊配信マスタ'!$O$3:$O$16, '特殊配信マスタ'!$E$3:$E$16=M170),1),""""))"),"")</f>
        <v/>
      </c>
      <c r="Q170" s="593" t="str">
        <f>IFERROR(__xludf.DUMMYFUNCTION("IF(M170="""","""",IFERROR(INDEX(FILTER('特殊配信マスタ'!$P$3:$P$16, '特殊配信マスタ'!$E$3:$E$16=M170),1),""""))"),"")</f>
        <v/>
      </c>
      <c r="R170" s="602" t="str">
        <f>IFERROR(__xludf.DUMMYFUNCTION("IFERROR(INDEX(FILTER('特殊配信マスタ'!$E$3:$E$16, (TEXT('特殊配信マスタ'!$A$3:$A$16,""ddd"")=TEXT(R$1,""ddd""))*(IFERROR(VALUE('特殊配信マスタ'!$B$3:$B$16),0)=VALUE(LOOKUP(2,1/($A$3:$A170&lt;&gt;""""),$A$3:$A170)))*('特殊配信マスタ'!$Q$3:$Q$16&lt;&gt;TRUE)), 2), """")"),"◇ポジションマッチ_36歳以上 B1")</f>
        <v>◇ポジションマッチ_36歳以上 B1</v>
      </c>
      <c r="S170" s="597" t="str">
        <f>IFERROR(__xludf.DUMMYFUNCTION("IF(R170="""","""",IFERROR(INDEX(FILTER('特殊配信マスタ'!$F$3:$F$16,('特殊配信マスタ'!$A$3:$A$16=CHOOSE(WEEKDAY(R$1),""日"",""月"",""火"",""水"",""木"",""金"",""土""))*('特殊配信マスタ'!$B$3:$B$16=P$3)*('特殊配信マスタ'!$R$3:$R$16=MOD(INT((R$1-'特殊配信マスタ'!$A$1)/7),3)+1)),1),""""))"),"")</f>
        <v/>
      </c>
      <c r="T170" s="598"/>
      <c r="U170" s="597" t="str">
        <f>IFERROR(__xludf.DUMMYFUNCTION("IF(R170="""","""",IFERROR(INDEX(FILTER('特殊配信マスタ'!$O$3:$O$16, '特殊配信マスタ'!$E$3:$E$16=R170),1),""""))"),"荒")</f>
        <v>荒</v>
      </c>
      <c r="V170" s="597" t="str">
        <f>IFERROR(__xludf.DUMMYFUNCTION("IF(R170="""","""",IFERROR(INDEX(FILTER('特殊配信マスタ'!$P$3:$P$16, '特殊配信マスタ'!$E$3:$E$16=R170),1),""""))"),"平")</f>
        <v>平</v>
      </c>
      <c r="W170" s="590" t="str">
        <f>IFERROR(__xludf.DUMMYFUNCTION("IFERROR(INDEX(FILTER('特殊配信マスタ'!$E$3:$E$16, (TEXT('特殊配信マスタ'!$A$3:$A$16,""ddd"")=TEXT(W$1,""ddd""))*(IFERROR(VALUE('特殊配信マスタ'!$B$3:$B$16),0)=VALUE(LOOKUP(2,1/($A$3:$A170&lt;&gt;""""),$A$3:$A170)))*('特殊配信マスタ'!$Q$3:$Q$16&lt;&gt;TRUE)), 2), """")"),"")</f>
        <v/>
      </c>
      <c r="X170" s="593" t="str">
        <f>IFERROR(__xludf.DUMMYFUNCTION("IF(W170="""","""",IFERROR(INDEX(FILTER('特殊配信マスタ'!$F$3:$F$16,('特殊配信マスタ'!$A$3:$A$16=CHOOSE(WEEKDAY(W$1),""日"",""月"",""火"",""水"",""木"",""金"",""土""))*('特殊配信マスタ'!$B$3:$B$16=U$3)*('特殊配信マスタ'!$R$3:$R$16=MOD(INT((W$1-'特殊配信マスタ'!$A$1)/7),3)+1)),1),""""))"),"")</f>
        <v/>
      </c>
      <c r="Y170" s="590"/>
      <c r="Z170" s="593" t="str">
        <f>IFERROR(__xludf.DUMMYFUNCTION("IF(W170="""","""",IFERROR(INDEX(FILTER('特殊配信マスタ'!$O$3:$O$16, '特殊配信マスタ'!$E$3:$E$16=W170),1),""""))"),"")</f>
        <v/>
      </c>
      <c r="AA170" s="593" t="str">
        <f>IFERROR(__xludf.DUMMYFUNCTION("IF(W170="""","""",IFERROR(INDEX(FILTER('特殊配信マスタ'!$P$3:$P$16, '特殊配信マスタ'!$E$3:$E$16=W170),1),""""))"),"")</f>
        <v/>
      </c>
      <c r="AB170" s="590" t="str">
        <f>IFERROR(__xludf.DUMMYFUNCTION("IFERROR(INDEX(FILTER('特殊配信マスタ'!$E$3:$E$16, (TEXT('特殊配信マスタ'!$A$3:$A$16,""ddd"")=TEXT(AB$1,""ddd""))*(IFERROR(VALUE('特殊配信マスタ'!$B$3:$B$16),0)=VALUE(LOOKUP(2,1/($A$3:$A170&lt;&gt;""""),$A$3:$A170)))*('特殊配信マスタ'!$Q$3:$Q$16&lt;&gt;TRUE)), 2), """")"),"")</f>
        <v/>
      </c>
      <c r="AC170" s="593" t="str">
        <f>IFERROR(__xludf.DUMMYFUNCTION("IF(AB170="""","""",IFERROR(INDEX(FILTER('特殊配信マスタ'!$F$3:$F$16,('特殊配信マスタ'!$A$3:$A$16=CHOOSE(WEEKDAY(AB$1),""日"",""月"",""火"",""水"",""木"",""金"",""土""))*('特殊配信マスタ'!$B$3:$B$16=Z$3)*('特殊配信マスタ'!$R$3:$R$16=MOD(INT((AB$1-'特殊配信マスタ'!$A$1)/7),3)+1)),1),""""))"),"")</f>
        <v/>
      </c>
      <c r="AD170" s="590"/>
      <c r="AE170" s="593" t="str">
        <f>IFERROR(__xludf.DUMMYFUNCTION("IF(AB170="""","""",IFERROR(INDEX(FILTER('特殊配信マスタ'!$O$3:$O$16, '特殊配信マスタ'!$E$3:$E$16=AB170),1),""""))"),"")</f>
        <v/>
      </c>
      <c r="AF170" s="593" t="str">
        <f>IFERROR(__xludf.DUMMYFUNCTION("IF(AB170="""","""",IFERROR(INDEX(FILTER('特殊配信マスタ'!$P$3:$P$16, '特殊配信マスタ'!$E$3:$E$16=AB170),1),""""))"),"")</f>
        <v/>
      </c>
      <c r="AG170" s="590" t="str">
        <f>IFERROR(__xludf.DUMMYFUNCTION("IFERROR(INDEX(FILTER('特殊配信マスタ'!$E$3:$E$16, (TEXT('特殊配信マスタ'!$A$3:$A$16,""ddd"")=TEXT(AG$1,""ddd""))*(IFERROR(VALUE('特殊配信マスタ'!$B$3:$B$16),0)=VALUE(LOOKUP(2,1/($A$3:$A170&lt;&gt;""""),$A$3:$A170)))*('特殊配信マスタ'!$Q$3:$Q$16&lt;&gt;TRUE)), 2), """")"),"")</f>
        <v/>
      </c>
      <c r="AH170" s="593" t="str">
        <f>IFERROR(__xludf.DUMMYFUNCTION("IF(AG170="""","""",IFERROR(INDEX(FILTER('特殊配信マスタ'!$F$3:$F$16,('特殊配信マスタ'!$A$3:$A$16=CHOOSE(WEEKDAY(AG$1),""日"",""月"",""火"",""水"",""木"",""金"",""土""))*('特殊配信マスタ'!$B$3:$B$16=AE$3)*('特殊配信マスタ'!$R$3:$R$16=MOD(INT((AG$1-'特殊配信マスタ'!$A$1)/7),3)+1)),1),""""))"),"")</f>
        <v/>
      </c>
      <c r="AI170" s="590"/>
      <c r="AJ170" s="593" t="str">
        <f>IFERROR(__xludf.DUMMYFUNCTION("IF(AG170="""","""",IFERROR(INDEX(FILTER('特殊配信マスタ'!$O$3:$O$16, '特殊配信マスタ'!$E$3:$E$16=AG170),1),""""))"),"")</f>
        <v/>
      </c>
      <c r="AK170" s="593" t="str">
        <f>IFERROR(__xludf.DUMMYFUNCTION("IF(AG170="""","""",IFERROR(INDEX(FILTER('特殊配信マスタ'!$P$3:$P$16, '特殊配信マスタ'!$E$3:$E$16=AG170),1),""""))"),"")</f>
        <v/>
      </c>
    </row>
    <row r="171" ht="17.25" customHeight="1">
      <c r="A171" s="587"/>
      <c r="B171" s="588"/>
      <c r="C171" s="590" t="str">
        <f>IFERROR(__xludf.DUMMYFUNCTION("IFERROR(INDEX(FILTER('特殊配信マスタ'!$E$3:$E$16, (TEXT('特殊配信マスタ'!$A$3:$A$16,""ddd"")=TEXT(C$1,""ddd""))*(IFERROR(VALUE('特殊配信マスタ'!$B$3:$B$16),0)=VALUE(LOOKUP(2,1/($A$3:$A171&lt;&gt;""""),$A$3:$A171)))*('特殊配信マスタ'!$Q$3:$Q$16&lt;&gt;TRUE)), 3), """")"),"")</f>
        <v/>
      </c>
      <c r="D171" s="593"/>
      <c r="E171" s="590"/>
      <c r="F171" s="593" t="str">
        <f>IFERROR(__xludf.DUMMYFUNCTION("IF(C171="""","""",IFERROR(INDEX(FILTER('特殊配信マスタ'!$O$3:$O$16, '特殊配信マスタ'!$E$3:$E$16=C171),1),""""))"),"")</f>
        <v/>
      </c>
      <c r="G171" s="593" t="str">
        <f>IFERROR(__xludf.DUMMYFUNCTION("IF(C171="""","""",IFERROR(INDEX(FILTER('特殊配信マスタ'!$P$3:$P$16, '特殊配信マスタ'!$E$3:$E$16=C171),1),""""))"),"")</f>
        <v/>
      </c>
      <c r="H171" s="590" t="str">
        <f>IFERROR(__xludf.DUMMYFUNCTION("IFERROR(INDEX(FILTER('特殊配信マスタ'!$E$3:$E$16, (TEXT('特殊配信マスタ'!$A$3:$A$16,""ddd"")=TEXT(H$1,""ddd""))*(IFERROR(VALUE('特殊配信マスタ'!$B$3:$B$16),0)=VALUE(LOOKUP(2,1/($A$3:$A171&lt;&gt;""""),$A$3:$A171)))*('特殊配信マスタ'!$Q$3:$Q$16&lt;&gt;TRUE)), 3), """")"),"")</f>
        <v/>
      </c>
      <c r="I171" s="593"/>
      <c r="J171" s="590"/>
      <c r="K171" s="593" t="str">
        <f>IFERROR(__xludf.DUMMYFUNCTION("IF(H171="""","""",IFERROR(INDEX(FILTER('特殊配信マスタ'!$O$3:$O$16, '特殊配信マスタ'!$E$3:$E$16=H171),1),""""))"),"")</f>
        <v/>
      </c>
      <c r="L171" s="593" t="str">
        <f>IFERROR(__xludf.DUMMYFUNCTION("IF(H171="""","""",IFERROR(INDEX(FILTER('特殊配信マスタ'!$P$3:$P$16, '特殊配信マスタ'!$E$3:$E$16=H171),1),""""))"),"")</f>
        <v/>
      </c>
      <c r="M171" s="590" t="str">
        <f>IFERROR(__xludf.DUMMYFUNCTION("IFERROR(INDEX(FILTER('特殊配信マスタ'!$E$3:$E$16, (TEXT('特殊配信マスタ'!$A$3:$A$16,""ddd"")=TEXT(M$1,""ddd""))*(IFERROR(VALUE('特殊配信マスタ'!$B$3:$B$16),0)=VALUE(LOOKUP(2,1/($A$3:$A171&lt;&gt;""""),$A$3:$A171)))*('特殊配信マスタ'!$Q$3:$Q$16&lt;&gt;TRUE)), 3), """")"),"")</f>
        <v/>
      </c>
      <c r="N171" s="593"/>
      <c r="O171" s="590"/>
      <c r="P171" s="593" t="str">
        <f>IFERROR(__xludf.DUMMYFUNCTION("IF(M171="""","""",IFERROR(INDEX(FILTER('特殊配信マスタ'!$O$3:$O$16, '特殊配信マスタ'!$E$3:$E$16=M171),1),""""))"),"")</f>
        <v/>
      </c>
      <c r="Q171" s="593" t="str">
        <f>IFERROR(__xludf.DUMMYFUNCTION("IF(M171="""","""",IFERROR(INDEX(FILTER('特殊配信マスタ'!$P$3:$P$16, '特殊配信マスタ'!$E$3:$E$16=M171),1),""""))"),"")</f>
        <v/>
      </c>
      <c r="R171" s="602" t="str">
        <f>IFERROR(__xludf.DUMMYFUNCTION("IFERROR(INDEX(FILTER('特殊配信マスタ'!$E$3:$E$16, (TEXT('特殊配信マスタ'!$A$3:$A$16,""ddd"")=TEXT(R$1,""ddd""))*(IFERROR(VALUE('特殊配信マスタ'!$B$3:$B$16),0)=VALUE(LOOKUP(2,1/($A$3:$A171&lt;&gt;""""),$A$3:$A171)))*('特殊配信マスタ'!$Q$3:$Q$16&lt;&gt;TRUE)), 3), """")"),"")</f>
        <v/>
      </c>
      <c r="S171" s="597"/>
      <c r="T171" s="598"/>
      <c r="U171" s="597" t="str">
        <f>IFERROR(__xludf.DUMMYFUNCTION("IF(R171="""","""",IFERROR(INDEX(FILTER('特殊配信マスタ'!$O$3:$O$16, '特殊配信マスタ'!$E$3:$E$16=R171),1),""""))"),"")</f>
        <v/>
      </c>
      <c r="V171" s="597" t="str">
        <f>IFERROR(__xludf.DUMMYFUNCTION("IF(R171="""","""",IFERROR(INDEX(FILTER('特殊配信マスタ'!$P$3:$P$16, '特殊配信マスタ'!$E$3:$E$16=R171),1),""""))"),"")</f>
        <v/>
      </c>
      <c r="W171" s="590" t="str">
        <f>IFERROR(__xludf.DUMMYFUNCTION("IFERROR(INDEX(FILTER('特殊配信マスタ'!$E$3:$E$16, (TEXT('特殊配信マスタ'!$A$3:$A$16,""ddd"")=TEXT(W$1,""ddd""))*(IFERROR(VALUE('特殊配信マスタ'!$B$3:$B$16),0)=VALUE(LOOKUP(2,1/($A$3:$A171&lt;&gt;""""),$A$3:$A171)))*('特殊配信マスタ'!$Q$3:$Q$16&lt;&gt;TRUE)), 3), """")"),"")</f>
        <v/>
      </c>
      <c r="X171" s="593"/>
      <c r="Y171" s="590"/>
      <c r="Z171" s="593" t="str">
        <f>IFERROR(__xludf.DUMMYFUNCTION("IF(W171="""","""",IFERROR(INDEX(FILTER('特殊配信マスタ'!$O$3:$O$16, '特殊配信マスタ'!$E$3:$E$16=W171),1),""""))"),"")</f>
        <v/>
      </c>
      <c r="AA171" s="593" t="str">
        <f>IFERROR(__xludf.DUMMYFUNCTION("IF(W171="""","""",IFERROR(INDEX(FILTER('特殊配信マスタ'!$P$3:$P$16, '特殊配信マスタ'!$E$3:$E$16=W171),1),""""))"),"")</f>
        <v/>
      </c>
      <c r="AB171" s="590" t="str">
        <f>IFERROR(__xludf.DUMMYFUNCTION("IFERROR(INDEX(FILTER('特殊配信マスタ'!$E$3:$E$16, (TEXT('特殊配信マスタ'!$A$3:$A$16,""ddd"")=TEXT(AB$1,""ddd""))*(IFERROR(VALUE('特殊配信マスタ'!$B$3:$B$16),0)=VALUE(LOOKUP(2,1/($A$3:$A171&lt;&gt;""""),$A$3:$A171)))*('特殊配信マスタ'!$Q$3:$Q$16&lt;&gt;TRUE)), 3), """")"),"")</f>
        <v/>
      </c>
      <c r="AC171" s="593"/>
      <c r="AD171" s="590"/>
      <c r="AE171" s="593" t="str">
        <f>IFERROR(__xludf.DUMMYFUNCTION("IF(AB171="""","""",IFERROR(INDEX(FILTER('特殊配信マスタ'!$O$3:$O$16, '特殊配信マスタ'!$E$3:$E$16=AB171),1),""""))"),"")</f>
        <v/>
      </c>
      <c r="AF171" s="593" t="str">
        <f>IFERROR(__xludf.DUMMYFUNCTION("IF(AB171="""","""",IFERROR(INDEX(FILTER('特殊配信マスタ'!$P$3:$P$16, '特殊配信マスタ'!$E$3:$E$16=AB171),1),""""))"),"")</f>
        <v/>
      </c>
      <c r="AG171" s="590" t="str">
        <f>IFERROR(__xludf.DUMMYFUNCTION("IFERROR(INDEX(FILTER('特殊配信マスタ'!$E$3:$E$16, (TEXT('特殊配信マスタ'!$A$3:$A$16,""ddd"")=TEXT(AG$1,""ddd""))*(IFERROR(VALUE('特殊配信マスタ'!$B$3:$B$16),0)=VALUE(LOOKUP(2,1/($A$3:$A171&lt;&gt;""""),$A$3:$A171)))*('特殊配信マスタ'!$Q$3:$Q$16&lt;&gt;TRUE)), 3), """")"),"")</f>
        <v/>
      </c>
      <c r="AH171" s="593"/>
      <c r="AI171" s="590"/>
      <c r="AJ171" s="593" t="str">
        <f>IFERROR(__xludf.DUMMYFUNCTION("IF(AG171="""","""",IFERROR(INDEX(FILTER('特殊配信マスタ'!$O$3:$O$16, '特殊配信マスタ'!$E$3:$E$16=AG171),1),""""))"),"")</f>
        <v/>
      </c>
      <c r="AK171" s="593" t="str">
        <f>IFERROR(__xludf.DUMMYFUNCTION("IF(AG171="""","""",IFERROR(INDEX(FILTER('特殊配信マスタ'!$P$3:$P$16, '特殊配信マスタ'!$E$3:$E$16=AG171),1),""""))"),"")</f>
        <v/>
      </c>
    </row>
    <row r="172" ht="17.25" customHeight="1">
      <c r="A172" s="587"/>
      <c r="B172" s="588"/>
      <c r="C172" s="590" t="str">
        <f>IFERROR(__xludf.DUMMYFUNCTION("IFERROR(INDEX(FILTER('特殊配信マスタ'!$E$3:$E$16, (TEXT('特殊配信マスタ'!$A$3:$A$16,""ddd"")=TEXT(C$1,""ddd""))*(IFERROR(VALUE('特殊配信マスタ'!$B$3:$B$16),0)=VALUE(LOOKUP(2,1/($A$3:$A172&lt;&gt;""""),$A$3:$A172)))*('特殊配信マスタ'!$Q$3:$Q$16&lt;&gt;TRUE)), 4), """")"),"")</f>
        <v/>
      </c>
      <c r="D172" s="593" t="str">
        <f>IFERROR(__xludf.DUMMYFUNCTION("IF(C172="""","""",IFERROR(INDEX(FILTER('特殊配信マスタ'!$F$3:$F$16,('特殊配信マスタ'!$A$3:$A$16=CHOOSE(WEEKDAY(C$1),""日"",""月"",""火"",""水"",""木"",""金"",""土""))*('特殊配信マスタ'!$B$3:$B$16=A$3)*('特殊配信マスタ'!$R$3:$R$16=MOD(INT((C$1-'特殊配信マスタ'!$A$1)/7),3)+1)),1),""""))"),"")</f>
        <v/>
      </c>
      <c r="E172" s="590"/>
      <c r="F172" s="593" t="str">
        <f>IFERROR(__xludf.DUMMYFUNCTION("IF(C172="""","""",IFERROR(INDEX(FILTER('特殊配信マスタ'!$O$3:$O$16, '特殊配信マスタ'!$E$3:$E$16=C172),1),""""))"),"")</f>
        <v/>
      </c>
      <c r="G172" s="593" t="str">
        <f>IFERROR(__xludf.DUMMYFUNCTION("IF(C172="""","""",IFERROR(INDEX(FILTER('特殊配信マスタ'!$P$3:$P$16, '特殊配信マスタ'!$E$3:$E$16=C172),1),""""))"),"")</f>
        <v/>
      </c>
      <c r="H172" s="590" t="str">
        <f>IFERROR(__xludf.DUMMYFUNCTION("IFERROR(INDEX(FILTER('特殊配信マスタ'!$E$3:$E$16, (TEXT('特殊配信マスタ'!$A$3:$A$16,""ddd"")=TEXT(H$1,""ddd""))*(IFERROR(VALUE('特殊配信マスタ'!$B$3:$B$16),0)=VALUE(LOOKUP(2,1/($A$3:$A172&lt;&gt;""""),$A$3:$A172)))*('特殊配信マスタ'!$Q$3:$Q$16&lt;&gt;TRUE)), 4), """")"),"")</f>
        <v/>
      </c>
      <c r="I172" s="593" t="str">
        <f>IFERROR(__xludf.DUMMYFUNCTION("IF(H172="""","""",IFERROR(INDEX(FILTER('特殊配信マスタ'!$F$3:$F$16,('特殊配信マスタ'!$A$3:$A$16=CHOOSE(WEEKDAY(H$1),""日"",""月"",""火"",""水"",""木"",""金"",""土""))*('特殊配信マスタ'!$B$3:$B$16=F$3)*('特殊配信マスタ'!$R$3:$R$16=MOD(INT((H$1-'特殊配信マスタ'!$A$1)/7),3)+1)),1),""""))"),"")</f>
        <v/>
      </c>
      <c r="J172" s="590"/>
      <c r="K172" s="593" t="str">
        <f>IFERROR(__xludf.DUMMYFUNCTION("IF(H172="""","""",IFERROR(INDEX(FILTER('特殊配信マスタ'!$O$3:$O$16, '特殊配信マスタ'!$E$3:$E$16=H172),1),""""))"),"")</f>
        <v/>
      </c>
      <c r="L172" s="593" t="str">
        <f>IFERROR(__xludf.DUMMYFUNCTION("IF(H172="""","""",IFERROR(INDEX(FILTER('特殊配信マスタ'!$P$3:$P$16, '特殊配信マスタ'!$E$3:$E$16=H172),1),""""))"),"")</f>
        <v/>
      </c>
      <c r="M172" s="590" t="str">
        <f>IFERROR(__xludf.DUMMYFUNCTION("IFERROR(INDEX(FILTER('特殊配信マスタ'!$E$3:$E$16, (TEXT('特殊配信マスタ'!$A$3:$A$16,""ddd"")=TEXT(M$1,""ddd""))*(IFERROR(VALUE('特殊配信マスタ'!$B$3:$B$16),0)=VALUE(LOOKUP(2,1/($A$3:$A172&lt;&gt;""""),$A$3:$A172)))*('特殊配信マスタ'!$Q$3:$Q$16&lt;&gt;TRUE)), 4), """")"),"")</f>
        <v/>
      </c>
      <c r="N172" s="593" t="str">
        <f>IFERROR(__xludf.DUMMYFUNCTION("IF(M172="""","""",IFERROR(INDEX(FILTER('特殊配信マスタ'!$F$3:$F$16,('特殊配信マスタ'!$A$3:$A$16=CHOOSE(WEEKDAY(M$1),""日"",""月"",""火"",""水"",""木"",""金"",""土""))*('特殊配信マスタ'!$B$3:$B$16=K$3)*('特殊配信マスタ'!$R$3:$R$16=MOD(INT((M$1-'特殊配信マスタ'!$A$1)/7),3)+1)),1),""""))"),"")</f>
        <v/>
      </c>
      <c r="O172" s="590"/>
      <c r="P172" s="593" t="str">
        <f>IFERROR(__xludf.DUMMYFUNCTION("IF(M172="""","""",IFERROR(INDEX(FILTER('特殊配信マスタ'!$O$3:$O$16, '特殊配信マスタ'!$E$3:$E$16=M172),1),""""))"),"")</f>
        <v/>
      </c>
      <c r="Q172" s="593" t="str">
        <f>IFERROR(__xludf.DUMMYFUNCTION("IF(M172="""","""",IFERROR(INDEX(FILTER('特殊配信マスタ'!$P$3:$P$16, '特殊配信マスタ'!$E$3:$E$16=M172),1),""""))"),"")</f>
        <v/>
      </c>
      <c r="R172" s="602" t="str">
        <f>IFERROR(__xludf.DUMMYFUNCTION("IFERROR(INDEX(FILTER('特殊配信マスタ'!$E$3:$E$16, (TEXT('特殊配信マスタ'!$A$3:$A$16,""ddd"")=TEXT(R$1,""ddd""))*(IFERROR(VALUE('特殊配信マスタ'!$B$3:$B$16),0)=VALUE(LOOKUP(2,1/($A$3:$A172&lt;&gt;""""),$A$3:$A172)))*('特殊配信マスタ'!$Q$3:$Q$16&lt;&gt;TRUE)), 4), """")"),"")</f>
        <v/>
      </c>
      <c r="S172" s="597"/>
      <c r="T172" s="598"/>
      <c r="U172" s="597" t="str">
        <f>IFERROR(__xludf.DUMMYFUNCTION("IF(R172="""","""",IFERROR(INDEX(FILTER('特殊配信マスタ'!$O$3:$O$16, '特殊配信マスタ'!$E$3:$E$16=R172),1),""""))"),"")</f>
        <v/>
      </c>
      <c r="V172" s="597" t="str">
        <f>IFERROR(__xludf.DUMMYFUNCTION("IF(R172="""","""",IFERROR(INDEX(FILTER('特殊配信マスタ'!$P$3:$P$16, '特殊配信マスタ'!$E$3:$E$16=R172),1),""""))"),"")</f>
        <v/>
      </c>
      <c r="W172" s="590" t="str">
        <f>IFERROR(__xludf.DUMMYFUNCTION("IFERROR(INDEX(FILTER('特殊配信マスタ'!$E$3:$E$16, (TEXT('特殊配信マスタ'!$A$3:$A$16,""ddd"")=TEXT(W$1,""ddd""))*(IFERROR(VALUE('特殊配信マスタ'!$B$3:$B$16),0)=VALUE(LOOKUP(2,1/($A$3:$A172&lt;&gt;""""),$A$3:$A172)))*('特殊配信マスタ'!$Q$3:$Q$16&lt;&gt;TRUE)), 4), """")"),"")</f>
        <v/>
      </c>
      <c r="X172" s="593" t="str">
        <f>IFERROR(__xludf.DUMMYFUNCTION("IF(W172="""","""",IFERROR(INDEX(FILTER('特殊配信マスタ'!$F$3:$F$16,('特殊配信マスタ'!$A$3:$A$16=CHOOSE(WEEKDAY(W$1),""日"",""月"",""火"",""水"",""木"",""金"",""土""))*('特殊配信マスタ'!$B$3:$B$16=U$3)*('特殊配信マスタ'!$R$3:$R$16=MOD(INT((W$1-'特殊配信マスタ'!$A$1)/7),3)+1)),1),""""))"),"")</f>
        <v/>
      </c>
      <c r="Y172" s="590"/>
      <c r="Z172" s="593" t="str">
        <f>IFERROR(__xludf.DUMMYFUNCTION("IF(W172="""","""",IFERROR(INDEX(FILTER('特殊配信マスタ'!$O$3:$O$16, '特殊配信マスタ'!$E$3:$E$16=W172),1),""""))"),"")</f>
        <v/>
      </c>
      <c r="AA172" s="593" t="str">
        <f>IFERROR(__xludf.DUMMYFUNCTION("IF(W172="""","""",IFERROR(INDEX(FILTER('特殊配信マスタ'!$P$3:$P$16, '特殊配信マスタ'!$E$3:$E$16=W172),1),""""))"),"")</f>
        <v/>
      </c>
      <c r="AB172" s="590" t="str">
        <f>IFERROR(__xludf.DUMMYFUNCTION("IFERROR(INDEX(FILTER('特殊配信マスタ'!$E$3:$E$16, (TEXT('特殊配信マスタ'!$A$3:$A$16,""ddd"")=TEXT(AB$1,""ddd""))*(IFERROR(VALUE('特殊配信マスタ'!$B$3:$B$16),0)=VALUE(LOOKUP(2,1/($A$3:$A172&lt;&gt;""""),$A$3:$A172)))*('特殊配信マスタ'!$Q$3:$Q$16&lt;&gt;TRUE)), 4), """")"),"")</f>
        <v/>
      </c>
      <c r="AC172" s="593" t="str">
        <f>IFERROR(__xludf.DUMMYFUNCTION("IF(AB172="""","""",IFERROR(INDEX(FILTER('特殊配信マスタ'!$F$3:$F$16,('特殊配信マスタ'!$A$3:$A$16=CHOOSE(WEEKDAY(AB$1),""日"",""月"",""火"",""水"",""木"",""金"",""土""))*('特殊配信マスタ'!$B$3:$B$16=Z$3)*('特殊配信マスタ'!$R$3:$R$16=MOD(INT((AB$1-'特殊配信マスタ'!$A$1)/7),3)+1)),1),""""))"),"")</f>
        <v/>
      </c>
      <c r="AD172" s="590"/>
      <c r="AE172" s="593" t="str">
        <f>IFERROR(__xludf.DUMMYFUNCTION("IF(AB172="""","""",IFERROR(INDEX(FILTER('特殊配信マスタ'!$O$3:$O$16, '特殊配信マスタ'!$E$3:$E$16=AB172),1),""""))"),"")</f>
        <v/>
      </c>
      <c r="AF172" s="593" t="str">
        <f>IFERROR(__xludf.DUMMYFUNCTION("IF(AB172="""","""",IFERROR(INDEX(FILTER('特殊配信マスタ'!$P$3:$P$16, '特殊配信マスタ'!$E$3:$E$16=AB172),1),""""))"),"")</f>
        <v/>
      </c>
      <c r="AG172" s="590" t="str">
        <f>IFERROR(__xludf.DUMMYFUNCTION("IFERROR(INDEX(FILTER('特殊配信マスタ'!$E$3:$E$16, (TEXT('特殊配信マスタ'!$A$3:$A$16,""ddd"")=TEXT(AG$1,""ddd""))*(IFERROR(VALUE('特殊配信マスタ'!$B$3:$B$16),0)=VALUE(LOOKUP(2,1/($A$3:$A172&lt;&gt;""""),$A$3:$A172)))*('特殊配信マスタ'!$Q$3:$Q$16&lt;&gt;TRUE)), 4), """")"),"")</f>
        <v/>
      </c>
      <c r="AH172" s="593" t="str">
        <f>IFERROR(__xludf.DUMMYFUNCTION("IF(AG172="""","""",IFERROR(INDEX(FILTER('特殊配信マスタ'!$F$3:$F$16,('特殊配信マスタ'!$A$3:$A$16=CHOOSE(WEEKDAY(AG$1),""日"",""月"",""火"",""水"",""木"",""金"",""土""))*('特殊配信マスタ'!$B$3:$B$16=AE$3)*('特殊配信マスタ'!$R$3:$R$16=MOD(INT((AG$1-'特殊配信マスタ'!$A$1)/7),3)+1)),1),""""))"),"")</f>
        <v/>
      </c>
      <c r="AI172" s="590"/>
      <c r="AJ172" s="593" t="str">
        <f>IFERROR(__xludf.DUMMYFUNCTION("IF(AG172="""","""",IFERROR(INDEX(FILTER('特殊配信マスタ'!$O$3:$O$16, '特殊配信マスタ'!$E$3:$E$16=AG172),1),""""))"),"")</f>
        <v/>
      </c>
      <c r="AK172" s="593" t="str">
        <f>IFERROR(__xludf.DUMMYFUNCTION("IF(AG172="""","""",IFERROR(INDEX(FILTER('特殊配信マスタ'!$P$3:$P$16, '特殊配信マスタ'!$E$3:$E$16=AG172),1),""""))"),"")</f>
        <v/>
      </c>
    </row>
    <row r="173" ht="17.25" customHeight="1">
      <c r="A173" s="599"/>
      <c r="B173" s="592"/>
      <c r="C173" s="590" t="str">
        <f>IFERROR(__xludf.DUMMYFUNCTION("IFERROR(INDEX(FILTER('特殊配信マスタ'!$E$3:$E$16, (TEXT('特殊配信マスタ'!$A$3:$A$16,""ddd"")=TEXT(C$1,""ddd""))*(IFERROR(VALUE('特殊配信マスタ'!$B$3:$B$16),0)=VALUE(LOOKUP(2,1/($A$3:$A173&lt;&gt;""""),$A$3:$A173)))*('特殊配信マスタ'!$Q$3:$Q$16&lt;&gt;TRUE)), 5), """")"),"")</f>
        <v/>
      </c>
      <c r="D173" s="593" t="str">
        <f>IFERROR(__xludf.DUMMYFUNCTION("IF(C173="""","""",IFERROR(INDEX(FILTER('特殊配信マスタ'!$F$3:$F$16,('特殊配信マスタ'!$A$3:$A$16=CHOOSE(WEEKDAY(C$1),""日"",""月"",""火"",""水"",""木"",""金"",""土""))*('特殊配信マスタ'!$B$3:$B$16=A$3)*('特殊配信マスタ'!$R$3:$R$16=MOD(INT((C$1-'特殊配信マスタ'!$A$1)/7),3)+1)),1),""""))"),"")</f>
        <v/>
      </c>
      <c r="E173" s="590"/>
      <c r="F173" s="593" t="str">
        <f>IFERROR(__xludf.DUMMYFUNCTION("IF(C173="""","""",IFERROR(INDEX(FILTER('特殊配信マスタ'!$O$3:$O$16, '特殊配信マスタ'!$E$3:$E$16=C173),1),""""))"),"")</f>
        <v/>
      </c>
      <c r="G173" s="593" t="str">
        <f>IFERROR(__xludf.DUMMYFUNCTION("IF(C173="""","""",IFERROR(INDEX(FILTER('特殊配信マスタ'!$P$3:$P$16, '特殊配信マスタ'!$E$3:$E$16=C173),1),""""))"),"")</f>
        <v/>
      </c>
      <c r="H173" s="590" t="str">
        <f>IFERROR(__xludf.DUMMYFUNCTION("IFERROR(INDEX(FILTER('特殊配信マスタ'!$E$3:$E$16, (TEXT('特殊配信マスタ'!$A$3:$A$16,""ddd"")=TEXT(H$1,""ddd""))*(IFERROR(VALUE('特殊配信マスタ'!$B$3:$B$16),0)=VALUE(LOOKUP(2,1/($A$3:$A173&lt;&gt;""""),$A$3:$A173)))*('特殊配信マスタ'!$Q$3:$Q$16&lt;&gt;TRUE)), 5), """")"),"")</f>
        <v/>
      </c>
      <c r="I173" s="593" t="str">
        <f>IFERROR(__xludf.DUMMYFUNCTION("IF(H173="""","""",IFERROR(INDEX(FILTER('特殊配信マスタ'!$F$3:$F$16,('特殊配信マスタ'!$A$3:$A$16=CHOOSE(WEEKDAY(H$1),""日"",""月"",""火"",""水"",""木"",""金"",""土""))*('特殊配信マスタ'!$B$3:$B$16=F$3)*('特殊配信マスタ'!$R$3:$R$16=MOD(INT((H$1-'特殊配信マスタ'!$A$1)/7),3)+1)),1),""""))"),"")</f>
        <v/>
      </c>
      <c r="J173" s="590"/>
      <c r="K173" s="593" t="str">
        <f>IFERROR(__xludf.DUMMYFUNCTION("IF(H173="""","""",IFERROR(INDEX(FILTER('特殊配信マスタ'!$O$3:$O$16, '特殊配信マスタ'!$E$3:$E$16=H173),1),""""))"),"")</f>
        <v/>
      </c>
      <c r="L173" s="593" t="str">
        <f>IFERROR(__xludf.DUMMYFUNCTION("IF(H173="""","""",IFERROR(INDEX(FILTER('特殊配信マスタ'!$P$3:$P$16, '特殊配信マスタ'!$E$3:$E$16=H173),1),""""))"),"")</f>
        <v/>
      </c>
      <c r="M173" s="590" t="str">
        <f>IFERROR(__xludf.DUMMYFUNCTION("IFERROR(INDEX(FILTER('特殊配信マスタ'!$E$3:$E$16, (TEXT('特殊配信マスタ'!$A$3:$A$16,""ddd"")=TEXT(M$1,""ddd""))*(IFERROR(VALUE('特殊配信マスタ'!$B$3:$B$16),0)=VALUE(LOOKUP(2,1/($A$3:$A173&lt;&gt;""""),$A$3:$A173)))*('特殊配信マスタ'!$Q$3:$Q$16&lt;&gt;TRUE)), 5), """")"),"")</f>
        <v/>
      </c>
      <c r="N173" s="593" t="str">
        <f>IFERROR(__xludf.DUMMYFUNCTION("IF(M173="""","""",IFERROR(INDEX(FILTER('特殊配信マスタ'!$F$3:$F$16,('特殊配信マスタ'!$A$3:$A$16=CHOOSE(WEEKDAY(M$1),""日"",""月"",""火"",""水"",""木"",""金"",""土""))*('特殊配信マスタ'!$B$3:$B$16=K$3)*('特殊配信マスタ'!$R$3:$R$16=MOD(INT((M$1-'特殊配信マスタ'!$A$1)/7),3)+1)),1),""""))"),"")</f>
        <v/>
      </c>
      <c r="O173" s="590"/>
      <c r="P173" s="593" t="str">
        <f>IFERROR(__xludf.DUMMYFUNCTION("IF(M173="""","""",IFERROR(INDEX(FILTER('特殊配信マスタ'!$O$3:$O$16, '特殊配信マスタ'!$E$3:$E$16=M173),1),""""))"),"")</f>
        <v/>
      </c>
      <c r="Q173" s="593" t="str">
        <f>IFERROR(__xludf.DUMMYFUNCTION("IF(M173="""","""",IFERROR(INDEX(FILTER('特殊配信マスタ'!$P$3:$P$16, '特殊配信マスタ'!$E$3:$E$16=M173),1),""""))"),"")</f>
        <v/>
      </c>
      <c r="R173" s="602" t="str">
        <f>IFERROR(__xludf.DUMMYFUNCTION("IFERROR(INDEX(FILTER('特殊配信マスタ'!$E$3:$E$16, (TEXT('特殊配信マスタ'!$A$3:$A$16,""ddd"")=TEXT(R$1,""ddd""))*(IFERROR(VALUE('特殊配信マスタ'!$B$3:$B$16),0)=VALUE(LOOKUP(2,1/($A$3:$A173&lt;&gt;""""),$A$3:$A173)))*('特殊配信マスタ'!$Q$3:$Q$16&lt;&gt;TRUE)), 5), """")"),"")</f>
        <v/>
      </c>
      <c r="S173" s="597"/>
      <c r="T173" s="598"/>
      <c r="U173" s="597" t="str">
        <f>IFERROR(__xludf.DUMMYFUNCTION("IF(R173="""","""",IFERROR(INDEX(FILTER('特殊配信マスタ'!$O$3:$O$16, '特殊配信マスタ'!$E$3:$E$16=R173),1),""""))"),"")</f>
        <v/>
      </c>
      <c r="V173" s="597" t="str">
        <f>IFERROR(__xludf.DUMMYFUNCTION("IF(R173="""","""",IFERROR(INDEX(FILTER('特殊配信マスタ'!$P$3:$P$16, '特殊配信マスタ'!$E$3:$E$16=R173),1),""""))"),"")</f>
        <v/>
      </c>
      <c r="W173" s="590" t="str">
        <f>IFERROR(__xludf.DUMMYFUNCTION("IFERROR(INDEX(FILTER('特殊配信マスタ'!$E$3:$E$16, (TEXT('特殊配信マスタ'!$A$3:$A$16,""ddd"")=TEXT(W$1,""ddd""))*(IFERROR(VALUE('特殊配信マスタ'!$B$3:$B$16),0)=VALUE(LOOKUP(2,1/($A$3:$A173&lt;&gt;""""),$A$3:$A173)))*('特殊配信マスタ'!$Q$3:$Q$16&lt;&gt;TRUE)), 5), """")"),"")</f>
        <v/>
      </c>
      <c r="X173" s="593" t="str">
        <f>IFERROR(__xludf.DUMMYFUNCTION("IF(W173="""","""",IFERROR(INDEX(FILTER('特殊配信マスタ'!$F$3:$F$16,('特殊配信マスタ'!$A$3:$A$16=CHOOSE(WEEKDAY(W$1),""日"",""月"",""火"",""水"",""木"",""金"",""土""))*('特殊配信マスタ'!$B$3:$B$16=U$3)*('特殊配信マスタ'!$R$3:$R$16=MOD(INT((W$1-'特殊配信マスタ'!$A$1)/7),3)+1)),1),""""))"),"")</f>
        <v/>
      </c>
      <c r="Y173" s="590"/>
      <c r="Z173" s="593" t="str">
        <f>IFERROR(__xludf.DUMMYFUNCTION("IF(W173="""","""",IFERROR(INDEX(FILTER('特殊配信マスタ'!$O$3:$O$16, '特殊配信マスタ'!$E$3:$E$16=W173),1),""""))"),"")</f>
        <v/>
      </c>
      <c r="AA173" s="593" t="str">
        <f>IFERROR(__xludf.DUMMYFUNCTION("IF(W173="""","""",IFERROR(INDEX(FILTER('特殊配信マスタ'!$P$3:$P$16, '特殊配信マスタ'!$E$3:$E$16=W173),1),""""))"),"")</f>
        <v/>
      </c>
      <c r="AB173" s="590" t="str">
        <f>IFERROR(__xludf.DUMMYFUNCTION("IFERROR(INDEX(FILTER('特殊配信マスタ'!$E$3:$E$16, (TEXT('特殊配信マスタ'!$A$3:$A$16,""ddd"")=TEXT(AB$1,""ddd""))*(IFERROR(VALUE('特殊配信マスタ'!$B$3:$B$16),0)=VALUE(LOOKUP(2,1/($A$3:$A173&lt;&gt;""""),$A$3:$A173)))*('特殊配信マスタ'!$Q$3:$Q$16&lt;&gt;TRUE)), 5), """")"),"")</f>
        <v/>
      </c>
      <c r="AC173" s="593" t="str">
        <f>IFERROR(__xludf.DUMMYFUNCTION("IF(AB173="""","""",IFERROR(INDEX(FILTER('特殊配信マスタ'!$F$3:$F$16,('特殊配信マスタ'!$A$3:$A$16=CHOOSE(WEEKDAY(AB$1),""日"",""月"",""火"",""水"",""木"",""金"",""土""))*('特殊配信マスタ'!$B$3:$B$16=Z$3)*('特殊配信マスタ'!$R$3:$R$16=MOD(INT((AB$1-'特殊配信マスタ'!$A$1)/7),3)+1)),1),""""))"),"")</f>
        <v/>
      </c>
      <c r="AD173" s="590"/>
      <c r="AE173" s="593" t="str">
        <f>IFERROR(__xludf.DUMMYFUNCTION("IF(AB173="""","""",IFERROR(INDEX(FILTER('特殊配信マスタ'!$O$3:$O$16, '特殊配信マスタ'!$E$3:$E$16=AB173),1),""""))"),"")</f>
        <v/>
      </c>
      <c r="AF173" s="593" t="str">
        <f>IFERROR(__xludf.DUMMYFUNCTION("IF(AB173="""","""",IFERROR(INDEX(FILTER('特殊配信マスタ'!$P$3:$P$16, '特殊配信マスタ'!$E$3:$E$16=AB173),1),""""))"),"")</f>
        <v/>
      </c>
      <c r="AG173" s="590" t="str">
        <f>IFERROR(__xludf.DUMMYFUNCTION("IFERROR(INDEX(FILTER('特殊配信マスタ'!$E$3:$E$16, (TEXT('特殊配信マスタ'!$A$3:$A$16,""ddd"")=TEXT(AG$1,""ddd""))*(IFERROR(VALUE('特殊配信マスタ'!$B$3:$B$16),0)=VALUE(LOOKUP(2,1/($A$3:$A173&lt;&gt;""""),$A$3:$A173)))*('特殊配信マスタ'!$Q$3:$Q$16&lt;&gt;TRUE)), 5), """")"),"")</f>
        <v/>
      </c>
      <c r="AH173" s="593" t="str">
        <f>IFERROR(__xludf.DUMMYFUNCTION("IF(AG173="""","""",IFERROR(INDEX(FILTER('特殊配信マスタ'!$F$3:$F$16,('特殊配信マスタ'!$A$3:$A$16=CHOOSE(WEEKDAY(AG$1),""日"",""月"",""火"",""水"",""木"",""金"",""土""))*('特殊配信マスタ'!$B$3:$B$16=AE$3)*('特殊配信マスタ'!$R$3:$R$16=MOD(INT((AG$1-'特殊配信マスタ'!$A$1)/7),3)+1)),1),""""))"),"")</f>
        <v/>
      </c>
      <c r="AI173" s="590"/>
      <c r="AJ173" s="593" t="str">
        <f>IFERROR(__xludf.DUMMYFUNCTION("IF(AG173="""","""",IFERROR(INDEX(FILTER('特殊配信マスタ'!$O$3:$O$16, '特殊配信マスタ'!$E$3:$E$16=AG173),1),""""))"),"")</f>
        <v/>
      </c>
      <c r="AK173" s="593" t="str">
        <f>IFERROR(__xludf.DUMMYFUNCTION("IF(AG173="""","""",IFERROR(INDEX(FILTER('特殊配信マスタ'!$P$3:$P$16, '特殊配信マスタ'!$E$3:$E$16=AG173),1),""""))"),"")</f>
        <v/>
      </c>
    </row>
    <row r="174" ht="17.25" customHeight="1">
      <c r="A174" s="584">
        <f>A155+1</f>
        <v>17</v>
      </c>
      <c r="B174" s="585" t="s">
        <v>1450</v>
      </c>
      <c r="C174" s="586" t="str">
        <f>IFERROR(__xludf.DUMMYFUNCTION("IFERROR(FILTER('リスト'!$E$4:$E$349, (TEXT('リスト'!$A$4:$A$349,""ddd"")=TEXT(C$1, ""ddd""))*('リスト'!$B$4:$B$349=LOOKUP(2,1/($A$3:$A174&lt;&gt;""""),$A$3:$A174))*(('リスト'!$G$4:$G$349=""毎週配信"")+('リスト'!$G$4:$G$349=$A$1))), """")"),"引っ越し特典")</f>
        <v>引っ越し特典</v>
      </c>
      <c r="D174" s="8">
        <f t="array" ref="D174">IFERROR(XLOOKUP(C174, 'リスト'!$E:$E, 'リスト'!$F:$F, ""), "")</f>
        <v>2.3</v>
      </c>
      <c r="E174" s="8">
        <f>SUM(D174:D192)</f>
        <v>7.2</v>
      </c>
      <c r="F174" s="8" t="str">
        <f>IFERROR(__xludf.DUMMYFUNCTION("IF(C174="""","""",IFERROR(INDEX(FILTER('リスト'!$O$4:$O$349, 'リスト'!$E$4:$E$349=C174),1),""""))"),"部")</f>
        <v>部</v>
      </c>
      <c r="G174" s="8" t="str">
        <f>IFERROR(__xludf.DUMMYFUNCTION("IF(C174="""","""",IFERROR(INDEX(FILTER('リスト'!$P$4:$P$349, 'リスト'!$E$4:$E$349=C174),1),""""))"),"石")</f>
        <v>石</v>
      </c>
      <c r="H174" s="586" t="str">
        <f>IFERROR(__xludf.DUMMYFUNCTION("IFERROR(FILTER('リスト'!$E$4:$E$349, (TEXT('リスト'!$A$4:$A$349,""ddd"")=TEXT(H$1, ""ddd""))*('リスト'!$B$4:$B$349=LOOKUP(2,1/($A$3:$A174&lt;&gt;""""),$A$3:$A174))*(('リスト'!$G$4:$G$349=""毎週配信"")+('リスト'!$G$4:$G$349=$A$1))), """")"),"☆推進課")</f>
        <v>☆推進課</v>
      </c>
      <c r="I174" s="8">
        <f t="array" ref="I174">IFERROR(XLOOKUP(H174, 'リスト'!$E:$E, 'リスト'!$F:$F, ""), "")</f>
        <v>3</v>
      </c>
      <c r="J174" s="8">
        <f>SUM(I174:I192)</f>
        <v>8.1</v>
      </c>
      <c r="K174" s="8" t="str">
        <f>IFERROR(__xludf.DUMMYFUNCTION("IF(H174="""","""",IFERROR(INDEX(FILTER('リスト'!$O$4:$O$349, 'リスト'!$E$4:$E$349=H174),1),""""))"),"荒")</f>
        <v>荒</v>
      </c>
      <c r="L174" s="8" t="str">
        <f>IFERROR(__xludf.DUMMYFUNCTION("IF(H174="""","""",IFERROR(INDEX(FILTER('リスト'!$P$4:$P$349, 'リスト'!$E$4:$E$349=H174),1),""""))"),"平")</f>
        <v>平</v>
      </c>
      <c r="M174" s="586" t="str">
        <f>IFERROR(__xludf.DUMMYFUNCTION("IFERROR(FILTER('リスト'!$E$4:$E$349, (TEXT('リスト'!$A$4:$A$349,""ddd"")=TEXT(M$1, ""ddd""))*('リスト'!$B$4:$B$349=LOOKUP(2,1/($A$3:$A174&lt;&gt;""""),$A$3:$A174))*(('リスト'!$G$4:$G$349=""毎週配信"")+('リスト'!$G$4:$G$349=$A$1))), """")"),"単独求人訴求メルマガ_C")</f>
        <v>単独求人訴求メルマガ_C</v>
      </c>
      <c r="N174" s="8">
        <f t="array" ref="N174">IFERROR(XLOOKUP(M174, 'リスト'!$E:$E, 'リスト'!$F:$F, ""), "")</f>
        <v>3</v>
      </c>
      <c r="O174" s="8">
        <f>SUM(N174:N192)</f>
        <v>3.6</v>
      </c>
      <c r="P174" s="8" t="str">
        <f>IFERROR(__xludf.DUMMYFUNCTION("IF(M174="""","""",IFERROR(INDEX(FILTER('リスト'!$O$4:$O$349, 'リスト'!$E$4:$E$349=M174),1),""""))"),"石")</f>
        <v>石</v>
      </c>
      <c r="Q174" s="8" t="str">
        <f>IFERROR(__xludf.DUMMYFUNCTION("IF(M174="""","""",IFERROR(INDEX(FILTER('リスト'!$P$4:$P$349, 'リスト'!$E$4:$E$349=M174),1),""""))"),"武")</f>
        <v>武</v>
      </c>
      <c r="R174" s="586" t="str">
        <f>IFERROR(__xludf.DUMMYFUNCTION("IFERROR(FILTER('リスト'!$E$4:$E$349, (TEXT('リスト'!$A$4:$A$349,""ddd"")=TEXT(R$1, ""ddd""))*('リスト'!$B$4:$B$349=LOOKUP(2,1/($A$3:$A174&lt;&gt;""""),$A$3:$A174))*(('リスト'!$G$4:$G$349=""毎週配信"")+('リスト'!$G$4:$G$349=$A$1))), """")"),"☆Womantype[全]")</f>
        <v>☆Womantype[全]</v>
      </c>
      <c r="S174" s="8">
        <f t="array" ref="S174">IFERROR(XLOOKUP(R174, 'リスト'!$E:$E, 'リスト'!$F:$F, ""), "")</f>
        <v>5</v>
      </c>
      <c r="T174" s="8">
        <f>SUM(S174:S192)</f>
        <v>5</v>
      </c>
      <c r="U174" s="8" t="str">
        <f>IFERROR(__xludf.DUMMYFUNCTION("IF(R174="""","""",IFERROR(INDEX(FILTER('リスト'!$O$4:$O$349, 'リスト'!$E$4:$E$349=R174),1),""""))"),"内")</f>
        <v>内</v>
      </c>
      <c r="V174" s="8" t="str">
        <f>IFERROR(__xludf.DUMMYFUNCTION("IF(R174="""","""",IFERROR(INDEX(FILTER('リスト'!$P$4:$P$349, 'リスト'!$E$4:$E$349=R174),1),""""))"),"平")</f>
        <v>平</v>
      </c>
      <c r="W174" s="586" t="str">
        <f>IFERROR(__xludf.DUMMYFUNCTION("IFERROR(FILTER('リスト'!$E$4:$E$349, (TEXT('リスト'!$A$4:$A$349,""ddd"")=TEXT(W$1, ""ddd""))*('リスト'!$B$4:$B$349=LOOKUP(2,1/($A$3:$A174&lt;&gt;""""),$A$3:$A174))*(('リスト'!$G$4:$G$349=""毎週配信"")+('リスト'!$G$4:$G$349=$A$1))), """")"),"京都市で働く")</f>
        <v>京都市で働く</v>
      </c>
      <c r="X174" s="8">
        <f t="array" ref="X174">IFERROR(XLOOKUP(W174, 'リスト'!$E:$E, 'リスト'!$F:$F, ""), "")</f>
        <v>0.2</v>
      </c>
      <c r="Y174" s="8">
        <f>SUM(X174:X192)</f>
        <v>3.7</v>
      </c>
      <c r="Z174" s="8" t="str">
        <f>IFERROR(__xludf.DUMMYFUNCTION("IF(W174="""","""",IFERROR(INDEX(FILTER('リスト'!$O$4:$O$349, 'リスト'!$E$4:$E$349=W174),1),""""))"),"部")</f>
        <v>部</v>
      </c>
      <c r="AA174" s="8" t="str">
        <f>IFERROR(__xludf.DUMMYFUNCTION("IF(W174="""","""",IFERROR(INDEX(FILTER('リスト'!$P$4:$P$349, 'リスト'!$E$4:$E$349=W174),1),""""))"),"武")</f>
        <v>武</v>
      </c>
      <c r="AB174" s="586" t="str">
        <f>IFERROR(__xludf.DUMMYFUNCTION("IFERROR(FILTER('リスト'!$E$4:$E$349, (TEXT('リスト'!$A$4:$A$349,""ddd"")=TEXT(AB$1, ""ddd""))*('リスト'!$B$4:$B$349=LOOKUP(2,1/($A$3:$A174&lt;&gt;""""),$A$3:$A174))*(('リスト'!$G$4:$G$349=""毎週配信"")+('リスト'!$G$4:$G$349=$A$1))), """")"),"☆IT派遣［全］")</f>
        <v>☆IT派遣［全］</v>
      </c>
      <c r="AC174" s="8">
        <f t="array" ref="AC174">IFERROR(XLOOKUP(AB174, 'リスト'!$E:$E, 'リスト'!$F:$F, ""), "")</f>
        <v>2.6</v>
      </c>
      <c r="AD174" s="8">
        <f>SUM(AC174:AC192)</f>
        <v>3.3</v>
      </c>
      <c r="AE174" s="8" t="str">
        <f>IFERROR(__xludf.DUMMYFUNCTION("IF(AB174="""","""",IFERROR(INDEX(FILTER('リスト'!$O$4:$O$349, 'リスト'!$E$4:$E$349=AB174),1),""""))"),"内")</f>
        <v>内</v>
      </c>
      <c r="AF174" s="8" t="str">
        <f>IFERROR(__xludf.DUMMYFUNCTION("IF(AB174="""","""",IFERROR(INDEX(FILTER('リスト'!$P$4:$P$349, 'リスト'!$E$4:$E$349=AB174),1),""""))"),"平")</f>
        <v>平</v>
      </c>
      <c r="AG174" s="586" t="str">
        <f>IFERROR(__xludf.DUMMYFUNCTION("IFERROR(FILTER('リスト'!$E$4:$E$349, (TEXT('リスト'!$A$4:$A$349,""ddd"")=TEXT(AG$1, ""ddd""))*('リスト'!$B$4:$B$349=LOOKUP(2,1/($A$3:$A174&lt;&gt;""""),$A$3:$A174))*(('リスト'!$G$4:$G$349=""毎週配信"")+('リスト'!$G$4:$G$349=$A$1))), """")"),"単独求人訴求メルマガ_C")</f>
        <v>単独求人訴求メルマガ_C</v>
      </c>
      <c r="AH174" s="8">
        <f t="array" ref="AH174">IFERROR(XLOOKUP(AG174, 'リスト'!$E:$E, 'リスト'!$F:$F, ""), "")</f>
        <v>3</v>
      </c>
      <c r="AI174" s="8">
        <f>SUM(AH174:AH192)</f>
        <v>3</v>
      </c>
      <c r="AJ174" s="8" t="str">
        <f>IFERROR(__xludf.DUMMYFUNCTION("IF(AG174="""","""",IFERROR(INDEX(FILTER('リスト'!$O$4:$O$349, 'リスト'!$E$4:$E$349=AG174),1),""""))"),"石")</f>
        <v>石</v>
      </c>
      <c r="AK174" s="8" t="str">
        <f>IFERROR(__xludf.DUMMYFUNCTION("IF(AG174="""","""",IFERROR(INDEX(FILTER('リスト'!$P$4:$P$349, 'リスト'!$E$4:$E$349=AG174),1),""""))"),"武")</f>
        <v>武</v>
      </c>
    </row>
    <row r="175" ht="17.25" customHeight="1">
      <c r="A175" s="587"/>
      <c r="B175" s="588"/>
      <c r="C175" s="586" t="str">
        <f>IFERROR(__xludf.DUMMYFUNCTION("""COMPUTED_VALUE"""),"◇応募ランキング A")</f>
        <v>◇応募ランキング A</v>
      </c>
      <c r="D175" s="8">
        <f t="array" ref="D175">IFERROR(XLOOKUP(C175, 'リスト'!$E:$E, 'リスト'!$F:$F, ""), "")</f>
        <v>0.7</v>
      </c>
      <c r="E175" s="8"/>
      <c r="F175" s="8" t="str">
        <f t="array" ref="F175">IFERROR(XLOOKUP(C175, 'リスト'!$E:$E, 'リスト'!$O:$O, ""), "")</f>
        <v>荒</v>
      </c>
      <c r="G175" s="8" t="str">
        <f t="array" ref="G175">IFERROR(XLOOKUP(C175, 'リスト'!$E:$E, 'リスト'!$P:$P, ""), "")</f>
        <v>平</v>
      </c>
      <c r="H175" s="586" t="str">
        <f>IFERROR(__xludf.DUMMYFUNCTION("""COMPUTED_VALUE"""),"☆推進課_35歳以上")</f>
        <v>☆推進課_35歳以上</v>
      </c>
      <c r="I175" s="8">
        <f t="array" ref="I175">IFERROR(XLOOKUP(H175, 'リスト'!$E:$E, 'リスト'!$F:$F, ""), "")</f>
        <v>1</v>
      </c>
      <c r="J175" s="8"/>
      <c r="K175" s="8" t="str">
        <f t="array" ref="K175">IFERROR(XLOOKUP(H175, 'リスト'!$E:$E, 'リスト'!$O:$O, ""), "")</f>
        <v>荒</v>
      </c>
      <c r="L175" s="8" t="str">
        <f t="array" ref="L175">IFERROR(XLOOKUP(H175, 'リスト'!$E:$E, 'リスト'!$P:$P, ""), "")</f>
        <v>平</v>
      </c>
      <c r="M175" s="586" t="str">
        <f>IFERROR(__xludf.DUMMYFUNCTION("""COMPUTED_VALUE"""),"東海_リモート")</f>
        <v>東海_リモート</v>
      </c>
      <c r="N175" s="8">
        <f t="array" ref="N175">IFERROR(XLOOKUP(M175, 'リスト'!$E:$E, 'リスト'!$F:$F, ""), "")</f>
        <v>0.6</v>
      </c>
      <c r="O175" s="8"/>
      <c r="P175" s="8" t="str">
        <f t="array" ref="P175">IFERROR(XLOOKUP(M175, 'リスト'!$E:$E, 'リスト'!$O:$O, ""), "")</f>
        <v>R</v>
      </c>
      <c r="Q175" s="8" t="str">
        <f t="array" ref="Q175">IFERROR(XLOOKUP(M175, 'リスト'!$E:$E, 'リスト'!$P:$P, ""), "")</f>
        <v/>
      </c>
      <c r="R175" s="586"/>
      <c r="S175" s="8" t="str">
        <f t="array" ref="S175">IFERROR(XLOOKUP(R175, 'リスト'!$E:$E, 'リスト'!$F:$F, ""), "")</f>
        <v/>
      </c>
      <c r="T175" s="8"/>
      <c r="U175" s="8" t="str">
        <f t="array" ref="U175">IFERROR(XLOOKUP(R175, 'リスト'!$E:$E, 'リスト'!$O:$O, ""), "")</f>
        <v/>
      </c>
      <c r="V175" s="8" t="str">
        <f t="array" ref="V175">IFERROR(XLOOKUP(R175, 'リスト'!$E:$E, 'リスト'!$P:$P, ""), "")</f>
        <v/>
      </c>
      <c r="W175" s="586" t="str">
        <f>IFERROR(__xludf.DUMMYFUNCTION("""COMPUTED_VALUE"""),"熊本市で働く")</f>
        <v>熊本市で働く</v>
      </c>
      <c r="X175" s="8">
        <f t="array" ref="X175">IFERROR(XLOOKUP(W175, 'リスト'!$E:$E, 'リスト'!$F:$F, ""), "")</f>
        <v>0.1</v>
      </c>
      <c r="Y175" s="8"/>
      <c r="Z175" s="8" t="str">
        <f t="array" ref="Z175">IFERROR(XLOOKUP(W175, 'リスト'!$E:$E, 'リスト'!$O:$O, ""), "")</f>
        <v>部</v>
      </c>
      <c r="AA175" s="8" t="str">
        <f t="array" ref="AA175">IFERROR(XLOOKUP(W175, 'リスト'!$E:$E, 'リスト'!$P:$P, ""), "")</f>
        <v>武</v>
      </c>
      <c r="AB175" s="586" t="str">
        <f>IFERROR(__xludf.DUMMYFUNCTION("""COMPUTED_VALUE"""),"事務・営業職経験者向け")</f>
        <v>事務・営業職経験者向け</v>
      </c>
      <c r="AC175" s="8">
        <f t="array" ref="AC175">IFERROR(XLOOKUP(AB175, 'リスト'!$E:$E, 'リスト'!$F:$F, ""), "")</f>
        <v>0.7</v>
      </c>
      <c r="AD175" s="8"/>
      <c r="AE175" s="8" t="str">
        <f t="array" ref="AE175">IFERROR(XLOOKUP(AB175, 'リスト'!$E:$E, 'リスト'!$O:$O, ""), "")</f>
        <v>R</v>
      </c>
      <c r="AF175" s="8" t="str">
        <f t="array" ref="AF175">IFERROR(XLOOKUP(AB175, 'リスト'!$E:$E, 'リスト'!$P:$P, ""), "")</f>
        <v/>
      </c>
      <c r="AG175" s="586"/>
      <c r="AH175" s="8" t="str">
        <f t="array" ref="AH175">IFERROR(XLOOKUP(AG175, 'リスト'!$E:$E, 'リスト'!$F:$F, ""), "")</f>
        <v/>
      </c>
      <c r="AI175" s="8"/>
      <c r="AJ175" s="8" t="str">
        <f t="array" ref="AJ175">IFERROR(XLOOKUP(AG175, 'リスト'!$E:$E, 'リスト'!$O:$O, ""), "")</f>
        <v/>
      </c>
      <c r="AK175" s="8" t="str">
        <f t="array" ref="AK175">IFERROR(XLOOKUP(AG175, 'リスト'!$E:$E, 'リスト'!$P:$P, ""), "")</f>
        <v/>
      </c>
    </row>
    <row r="176" ht="17.25" customHeight="1">
      <c r="A176" s="587"/>
      <c r="B176" s="588"/>
      <c r="C176" s="586" t="str">
        <f>IFERROR(__xludf.DUMMYFUNCTION("""COMPUTED_VALUE"""),"仙台_リモートOK_未経験")</f>
        <v>仙台_リモートOK_未経験</v>
      </c>
      <c r="D176" s="8">
        <f t="array" ref="D176">IFERROR(XLOOKUP(C176, 'リスト'!$E:$E, 'リスト'!$F:$F, ""), "")</f>
        <v>0.2</v>
      </c>
      <c r="E176" s="8"/>
      <c r="F176" s="8" t="str">
        <f t="array" ref="F176">IFERROR(XLOOKUP(C176, 'リスト'!$E:$E, 'リスト'!$O:$O, ""), "")</f>
        <v>R</v>
      </c>
      <c r="G176" s="8" t="str">
        <f t="array" ref="G176">IFERROR(XLOOKUP(C176, 'リスト'!$E:$E, 'リスト'!$P:$P, ""), "")</f>
        <v/>
      </c>
      <c r="H176" s="586" t="str">
        <f>IFERROR(__xludf.DUMMYFUNCTION("""COMPUTED_VALUE"""),"☆推進課_関西")</f>
        <v>☆推進課_関西</v>
      </c>
      <c r="I176" s="8">
        <f t="array" ref="I176">IFERROR(XLOOKUP(H176, 'リスト'!$E:$E, 'リスト'!$F:$F, ""), "")</f>
        <v>1</v>
      </c>
      <c r="J176" s="8"/>
      <c r="K176" s="8" t="str">
        <f t="array" ref="K176">IFERROR(XLOOKUP(H176, 'リスト'!$E:$E, 'リスト'!$O:$O, ""), "")</f>
        <v>荒</v>
      </c>
      <c r="L176" s="8" t="str">
        <f t="array" ref="L176">IFERROR(XLOOKUP(H176, 'リスト'!$E:$E, 'リスト'!$P:$P, ""), "")</f>
        <v>平</v>
      </c>
      <c r="M176" s="586"/>
      <c r="N176" s="8" t="str">
        <f t="array" ref="N176">IFERROR(XLOOKUP(M176, 'リスト'!$E:$E, 'リスト'!$F:$F, ""), "")</f>
        <v/>
      </c>
      <c r="O176" s="8"/>
      <c r="P176" s="8" t="str">
        <f t="array" ref="P176">IFERROR(XLOOKUP(M176, 'リスト'!$E:$E, 'リスト'!$O:$O, ""), "")</f>
        <v/>
      </c>
      <c r="Q176" s="8" t="str">
        <f t="array" ref="Q176">IFERROR(XLOOKUP(M176, 'リスト'!$E:$E, 'リスト'!$P:$P, ""), "")</f>
        <v/>
      </c>
      <c r="R176" s="586"/>
      <c r="S176" s="8" t="str">
        <f t="array" ref="S176">IFERROR(XLOOKUP(R176, 'リスト'!$E:$E, 'リスト'!$F:$F, ""), "")</f>
        <v/>
      </c>
      <c r="T176" s="8"/>
      <c r="U176" s="8" t="str">
        <f t="array" ref="U176">IFERROR(XLOOKUP(R176, 'リスト'!$E:$E, 'リスト'!$O:$O, ""), "")</f>
        <v/>
      </c>
      <c r="V176" s="8" t="str">
        <f t="array" ref="V176">IFERROR(XLOOKUP(R176, 'リスト'!$E:$E, 'リスト'!$P:$P, ""), "")</f>
        <v/>
      </c>
      <c r="W176" s="586" t="str">
        <f>IFERROR(__xludf.DUMMYFUNCTION("""COMPUTED_VALUE"""),"広島市で働く")</f>
        <v>広島市で働く</v>
      </c>
      <c r="X176" s="8">
        <f t="array" ref="X176">IFERROR(XLOOKUP(W176, 'リスト'!$E:$E, 'リスト'!$F:$F, ""), "")</f>
        <v>0.1</v>
      </c>
      <c r="Y176" s="8"/>
      <c r="Z176" s="8" t="str">
        <f t="array" ref="Z176">IFERROR(XLOOKUP(W176, 'リスト'!$E:$E, 'リスト'!$O:$O, ""), "")</f>
        <v>部</v>
      </c>
      <c r="AA176" s="8" t="str">
        <f t="array" ref="AA176">IFERROR(XLOOKUP(W176, 'リスト'!$E:$E, 'リスト'!$P:$P, ""), "")</f>
        <v>武</v>
      </c>
      <c r="AB176" s="586"/>
      <c r="AC176" s="8" t="str">
        <f t="array" ref="AC176">IFERROR(XLOOKUP(AB176, 'リスト'!$E:$E, 'リスト'!$F:$F, ""), "")</f>
        <v/>
      </c>
      <c r="AD176" s="8"/>
      <c r="AE176" s="8" t="str">
        <f t="array" ref="AE176">IFERROR(XLOOKUP(AB176, 'リスト'!$E:$E, 'リスト'!$O:$O, ""), "")</f>
        <v/>
      </c>
      <c r="AF176" s="8" t="str">
        <f t="array" ref="AF176">IFERROR(XLOOKUP(AB176, 'リスト'!$E:$E, 'リスト'!$P:$P, ""), "")</f>
        <v/>
      </c>
      <c r="AG176" s="586"/>
      <c r="AH176" s="8" t="str">
        <f t="array" ref="AH176">IFERROR(XLOOKUP(AG176, 'リスト'!$E:$E, 'リスト'!$F:$F, ""), "")</f>
        <v/>
      </c>
      <c r="AI176" s="8"/>
      <c r="AJ176" s="8" t="str">
        <f t="array" ref="AJ176">IFERROR(XLOOKUP(AG176, 'リスト'!$E:$E, 'リスト'!$O:$O, ""), "")</f>
        <v/>
      </c>
      <c r="AK176" s="8" t="str">
        <f t="array" ref="AK176">IFERROR(XLOOKUP(AG176, 'リスト'!$E:$E, 'リスト'!$P:$P, ""), "")</f>
        <v/>
      </c>
    </row>
    <row r="177" ht="17.25" customHeight="1">
      <c r="A177" s="587"/>
      <c r="B177" s="588"/>
      <c r="C177" s="589" t="str">
        <f>IFERROR(__xludf.DUMMYFUNCTION("""COMPUTED_VALUE"""),"大阪_リモートOK_未経験")</f>
        <v>大阪_リモートOK_未経験</v>
      </c>
      <c r="D177" s="8">
        <f t="array" ref="D177">IFERROR(XLOOKUP(C177, 'リスト'!$E:$E, 'リスト'!$F:$F, ""), "")</f>
        <v>0.7</v>
      </c>
      <c r="E177" s="8"/>
      <c r="F177" s="8" t="str">
        <f t="array" ref="F177">IFERROR(XLOOKUP(C177, 'リスト'!$E:$E, 'リスト'!$O:$O, ""), "")</f>
        <v>R</v>
      </c>
      <c r="G177" s="8" t="str">
        <f t="array" ref="G177">IFERROR(XLOOKUP(C177, 'リスト'!$E:$E, 'リスト'!$P:$P, ""), "")</f>
        <v/>
      </c>
      <c r="H177" s="589" t="str">
        <f>IFERROR(__xludf.DUMMYFUNCTION("""COMPUTED_VALUE"""),"掲載終了間近_人気求人ランキング")</f>
        <v>掲載終了間近_人気求人ランキング</v>
      </c>
      <c r="I177" s="8">
        <f t="array" ref="I177">IFERROR(XLOOKUP(H177, 'リスト'!$E:$E, 'リスト'!$F:$F, ""), "")</f>
        <v>3.1</v>
      </c>
      <c r="J177" s="8"/>
      <c r="K177" s="8" t="str">
        <f t="array" ref="K177">IFERROR(XLOOKUP(H177, 'リスト'!$E:$E, 'リスト'!$O:$O, ""), "")</f>
        <v>武</v>
      </c>
      <c r="L177" s="8" t="str">
        <f t="array" ref="L177">IFERROR(XLOOKUP(H177, 'リスト'!$E:$E, 'リスト'!$P:$P, ""), "")</f>
        <v>部</v>
      </c>
      <c r="M177" s="589"/>
      <c r="N177" s="8" t="str">
        <f t="array" ref="N177">IFERROR(XLOOKUP(M177, 'リスト'!$E:$E, 'リスト'!$F:$F, ""), "")</f>
        <v/>
      </c>
      <c r="O177" s="8"/>
      <c r="P177" s="8" t="str">
        <f t="array" ref="P177">IFERROR(XLOOKUP(M177, 'リスト'!$E:$E, 'リスト'!$O:$O, ""), "")</f>
        <v/>
      </c>
      <c r="Q177" s="8" t="str">
        <f t="array" ref="Q177">IFERROR(XLOOKUP(M177, 'リスト'!$E:$E, 'リスト'!$P:$P, ""), "")</f>
        <v/>
      </c>
      <c r="R177" s="589"/>
      <c r="S177" s="8" t="str">
        <f t="array" ref="S177">IFERROR(XLOOKUP(R177, 'リスト'!$E:$E, 'リスト'!$F:$F, ""), "")</f>
        <v/>
      </c>
      <c r="T177" s="8"/>
      <c r="U177" s="8" t="str">
        <f t="array" ref="U177">IFERROR(XLOOKUP(R177, 'リスト'!$E:$E, 'リスト'!$O:$O, ""), "")</f>
        <v/>
      </c>
      <c r="V177" s="8" t="str">
        <f t="array" ref="V177">IFERROR(XLOOKUP(R177, 'リスト'!$E:$E, 'リスト'!$P:$P, ""), "")</f>
        <v/>
      </c>
      <c r="W177" s="589" t="str">
        <f>IFERROR(__xludf.DUMMYFUNCTION("""COMPUTED_VALUE"""),"横浜駅で働く")</f>
        <v>横浜駅で働く</v>
      </c>
      <c r="X177" s="8">
        <f t="array" ref="X177">IFERROR(XLOOKUP(W177, 'リスト'!$E:$E, 'リスト'!$F:$F, ""), "")</f>
        <v>1.2</v>
      </c>
      <c r="Y177" s="8"/>
      <c r="Z177" s="8" t="str">
        <f t="array" ref="Z177">IFERROR(XLOOKUP(W177, 'リスト'!$E:$E, 'リスト'!$O:$O, ""), "")</f>
        <v>R</v>
      </c>
      <c r="AA177" s="8" t="str">
        <f t="array" ref="AA177">IFERROR(XLOOKUP(W177, 'リスト'!$E:$E, 'リスト'!$P:$P, ""), "")</f>
        <v/>
      </c>
      <c r="AB177" s="589"/>
      <c r="AC177" s="8" t="str">
        <f t="array" ref="AC177">IFERROR(XLOOKUP(AB177, 'リスト'!$E:$E, 'リスト'!$F:$F, ""), "")</f>
        <v/>
      </c>
      <c r="AD177" s="8"/>
      <c r="AE177" s="8" t="str">
        <f t="array" ref="AE177">IFERROR(XLOOKUP(AB177, 'リスト'!$E:$E, 'リスト'!$O:$O, ""), "")</f>
        <v/>
      </c>
      <c r="AF177" s="8" t="str">
        <f t="array" ref="AF177">IFERROR(XLOOKUP(AB177, 'リスト'!$E:$E, 'リスト'!$P:$P, ""), "")</f>
        <v/>
      </c>
      <c r="AG177" s="589"/>
      <c r="AH177" s="8" t="str">
        <f t="array" ref="AH177">IFERROR(XLOOKUP(AG177, 'リスト'!$E:$E, 'リスト'!$F:$F, ""), "")</f>
        <v/>
      </c>
      <c r="AI177" s="8"/>
      <c r="AJ177" s="8" t="str">
        <f t="array" ref="AJ177">IFERROR(XLOOKUP(AG177, 'リスト'!$E:$E, 'リスト'!$O:$O, ""), "")</f>
        <v/>
      </c>
      <c r="AK177" s="8" t="str">
        <f t="array" ref="AK177">IFERROR(XLOOKUP(AG177, 'リスト'!$E:$E, 'リスト'!$P:$P, ""), "")</f>
        <v/>
      </c>
    </row>
    <row r="178" ht="17.25" customHeight="1">
      <c r="A178" s="587"/>
      <c r="B178" s="588"/>
      <c r="C178" s="590" t="str">
        <f>IFERROR(__xludf.DUMMYFUNCTION("""COMPUTED_VALUE"""),"単独求人訴求メルマガ_B")</f>
        <v>単独求人訴求メルマガ_B</v>
      </c>
      <c r="D178" s="8">
        <f t="array" ref="D178">IFERROR(XLOOKUP(C178, 'リスト'!$E:$E, 'リスト'!$F:$F, ""), "")</f>
        <v>2.9</v>
      </c>
      <c r="E178" s="8"/>
      <c r="F178" s="8" t="str">
        <f t="array" ref="F178">IFERROR(XLOOKUP(C178, 'リスト'!$E:$E, 'リスト'!$O:$O, ""), "")</f>
        <v>武</v>
      </c>
      <c r="G178" s="8" t="str">
        <f t="array" ref="G178">IFERROR(XLOOKUP(C178, 'リスト'!$E:$E, 'リスト'!$P:$P, ""), "")</f>
        <v>部</v>
      </c>
      <c r="H178" s="590"/>
      <c r="I178" s="8" t="str">
        <f t="array" ref="I178">IFERROR(XLOOKUP(H178, 'リスト'!$E:$E, 'リスト'!$F:$F, ""), "")</f>
        <v/>
      </c>
      <c r="J178" s="8"/>
      <c r="K178" s="8" t="str">
        <f t="array" ref="K178">IFERROR(XLOOKUP(H178, 'リスト'!$E:$E, 'リスト'!$O:$O, ""), "")</f>
        <v/>
      </c>
      <c r="L178" s="8" t="str">
        <f t="array" ref="L178">IFERROR(XLOOKUP(H178, 'リスト'!$E:$E, 'リスト'!$P:$P, ""), "")</f>
        <v/>
      </c>
      <c r="M178" s="590"/>
      <c r="N178" s="8" t="str">
        <f t="array" ref="N178">IFERROR(XLOOKUP(M178, 'リスト'!$E:$E, 'リスト'!$F:$F, ""), "")</f>
        <v/>
      </c>
      <c r="O178" s="8"/>
      <c r="P178" s="8" t="str">
        <f t="array" ref="P178">IFERROR(XLOOKUP(M178, 'リスト'!$E:$E, 'リスト'!$O:$O, ""), "")</f>
        <v/>
      </c>
      <c r="Q178" s="8" t="str">
        <f t="array" ref="Q178">IFERROR(XLOOKUP(M178, 'リスト'!$E:$E, 'リスト'!$P:$P, ""), "")</f>
        <v/>
      </c>
      <c r="R178" s="590"/>
      <c r="S178" s="8" t="str">
        <f t="array" ref="S178">IFERROR(XLOOKUP(R178, 'リスト'!$E:$E, 'リスト'!$F:$F, ""), "")</f>
        <v/>
      </c>
      <c r="T178" s="8"/>
      <c r="U178" s="8" t="str">
        <f t="array" ref="U178">IFERROR(XLOOKUP(R178, 'リスト'!$E:$E, 'リスト'!$O:$O, ""), "")</f>
        <v/>
      </c>
      <c r="V178" s="8" t="str">
        <f t="array" ref="V178">IFERROR(XLOOKUP(R178, 'リスト'!$E:$E, 'リスト'!$P:$P, ""), "")</f>
        <v/>
      </c>
      <c r="W178" s="590" t="str">
        <f>IFERROR(__xludf.DUMMYFUNCTION("""COMPUTED_VALUE"""),"札幌駅で働く")</f>
        <v>札幌駅で働く</v>
      </c>
      <c r="X178" s="8">
        <f t="array" ref="X178">IFERROR(XLOOKUP(W178, 'リスト'!$E:$E, 'リスト'!$F:$F, ""), "")</f>
        <v>0.2</v>
      </c>
      <c r="Y178" s="8"/>
      <c r="Z178" s="8" t="str">
        <f t="array" ref="Z178">IFERROR(XLOOKUP(W178, 'リスト'!$E:$E, 'リスト'!$O:$O, ""), "")</f>
        <v>R</v>
      </c>
      <c r="AA178" s="8" t="str">
        <f t="array" ref="AA178">IFERROR(XLOOKUP(W178, 'リスト'!$E:$E, 'リスト'!$P:$P, ""), "")</f>
        <v/>
      </c>
      <c r="AB178" s="590"/>
      <c r="AC178" s="8" t="str">
        <f t="array" ref="AC178">IFERROR(XLOOKUP(AB178, 'リスト'!$E:$E, 'リスト'!$F:$F, ""), "")</f>
        <v/>
      </c>
      <c r="AD178" s="8"/>
      <c r="AE178" s="8" t="str">
        <f t="array" ref="AE178">IFERROR(XLOOKUP(AB178, 'リスト'!$E:$E, 'リスト'!$O:$O, ""), "")</f>
        <v/>
      </c>
      <c r="AF178" s="8" t="str">
        <f t="array" ref="AF178">IFERROR(XLOOKUP(AB178, 'リスト'!$E:$E, 'リスト'!$P:$P, ""), "")</f>
        <v/>
      </c>
      <c r="AG178" s="590"/>
      <c r="AH178" s="8" t="str">
        <f t="array" ref="AH178">IFERROR(XLOOKUP(AG178, 'リスト'!$E:$E, 'リスト'!$F:$F, ""), "")</f>
        <v/>
      </c>
      <c r="AI178" s="8"/>
      <c r="AJ178" s="8" t="str">
        <f t="array" ref="AJ178">IFERROR(XLOOKUP(AG178, 'リスト'!$E:$E, 'リスト'!$O:$O, ""), "")</f>
        <v/>
      </c>
      <c r="AK178" s="8" t="str">
        <f t="array" ref="AK178">IFERROR(XLOOKUP(AG178, 'リスト'!$E:$E, 'リスト'!$P:$P, ""), "")</f>
        <v/>
      </c>
    </row>
    <row r="179" ht="17.25" customHeight="1">
      <c r="A179" s="587"/>
      <c r="B179" s="588"/>
      <c r="C179" s="590" t="str">
        <f>IFERROR(__xludf.DUMMYFUNCTION("""COMPUTED_VALUE"""),"福岡_リモートOK_未経験")</f>
        <v>福岡_リモートOK_未経験</v>
      </c>
      <c r="D179" s="8">
        <f t="array" ref="D179">IFERROR(XLOOKUP(C179, 'リスト'!$E:$E, 'リスト'!$F:$F, ""), "")</f>
        <v>0.4</v>
      </c>
      <c r="E179" s="8"/>
      <c r="F179" s="8" t="str">
        <f t="array" ref="F179">IFERROR(XLOOKUP(C179, 'リスト'!$E:$E, 'リスト'!$O:$O, ""), "")</f>
        <v>R</v>
      </c>
      <c r="G179" s="8" t="str">
        <f t="array" ref="G179">IFERROR(XLOOKUP(C179, 'リスト'!$E:$E, 'リスト'!$P:$P, ""), "")</f>
        <v/>
      </c>
      <c r="H179" s="590"/>
      <c r="I179" s="8" t="str">
        <f t="array" ref="I179">IFERROR(XLOOKUP(H179, 'リスト'!$E:$E, 'リスト'!$F:$F, ""), "")</f>
        <v/>
      </c>
      <c r="J179" s="8"/>
      <c r="K179" s="8" t="str">
        <f t="array" ref="K179">IFERROR(XLOOKUP(H179, 'リスト'!$E:$E, 'リスト'!$O:$O, ""), "")</f>
        <v/>
      </c>
      <c r="L179" s="8" t="str">
        <f t="array" ref="L179">IFERROR(XLOOKUP(H179, 'リスト'!$E:$E, 'リスト'!$P:$P, ""), "")</f>
        <v/>
      </c>
      <c r="M179" s="590"/>
      <c r="N179" s="8" t="str">
        <f t="array" ref="N179">IFERROR(XLOOKUP(M179, 'リスト'!$E:$E, 'リスト'!$F:$F, ""), "")</f>
        <v/>
      </c>
      <c r="O179" s="8"/>
      <c r="P179" s="8" t="str">
        <f t="array" ref="P179">IFERROR(XLOOKUP(M179, 'リスト'!$E:$E, 'リスト'!$O:$O, ""), "")</f>
        <v/>
      </c>
      <c r="Q179" s="8" t="str">
        <f t="array" ref="Q179">IFERROR(XLOOKUP(M179, 'リスト'!$E:$E, 'リスト'!$P:$P, ""), "")</f>
        <v/>
      </c>
      <c r="R179" s="590"/>
      <c r="S179" s="8" t="str">
        <f t="array" ref="S179">IFERROR(XLOOKUP(R179, 'リスト'!$E:$E, 'リスト'!$F:$F, ""), "")</f>
        <v/>
      </c>
      <c r="T179" s="8"/>
      <c r="U179" s="8" t="str">
        <f t="array" ref="U179">IFERROR(XLOOKUP(R179, 'リスト'!$E:$E, 'リスト'!$O:$O, ""), "")</f>
        <v/>
      </c>
      <c r="V179" s="8" t="str">
        <f t="array" ref="V179">IFERROR(XLOOKUP(R179, 'リスト'!$E:$E, 'リスト'!$P:$P, ""), "")</f>
        <v/>
      </c>
      <c r="W179" s="590" t="str">
        <f>IFERROR(__xludf.DUMMYFUNCTION("""COMPUTED_VALUE"""),"新大阪駅・本町駅で働く")</f>
        <v>新大阪駅・本町駅で働く</v>
      </c>
      <c r="X179" s="8">
        <f t="array" ref="X179">IFERROR(XLOOKUP(W179, 'リスト'!$E:$E, 'リスト'!$F:$F, ""), "")</f>
        <v>0.9</v>
      </c>
      <c r="Y179" s="8"/>
      <c r="Z179" s="8" t="str">
        <f t="array" ref="Z179">IFERROR(XLOOKUP(W179, 'リスト'!$E:$E, 'リスト'!$O:$O, ""), "")</f>
        <v>R</v>
      </c>
      <c r="AA179" s="8" t="str">
        <f t="array" ref="AA179">IFERROR(XLOOKUP(W179, 'リスト'!$E:$E, 'リスト'!$P:$P, ""), "")</f>
        <v/>
      </c>
      <c r="AB179" s="590"/>
      <c r="AC179" s="8" t="str">
        <f t="array" ref="AC179">IFERROR(XLOOKUP(AB179, 'リスト'!$E:$E, 'リスト'!$F:$F, ""), "")</f>
        <v/>
      </c>
      <c r="AD179" s="8"/>
      <c r="AE179" s="8" t="str">
        <f t="array" ref="AE179">IFERROR(XLOOKUP(AB179, 'リスト'!$E:$E, 'リスト'!$O:$O, ""), "")</f>
        <v/>
      </c>
      <c r="AF179" s="8" t="str">
        <f t="array" ref="AF179">IFERROR(XLOOKUP(AB179, 'リスト'!$E:$E, 'リスト'!$P:$P, ""), "")</f>
        <v/>
      </c>
      <c r="AG179" s="590"/>
      <c r="AH179" s="8" t="str">
        <f t="array" ref="AH179">IFERROR(XLOOKUP(AG179, 'リスト'!$E:$E, 'リスト'!$F:$F, ""), "")</f>
        <v/>
      </c>
      <c r="AI179" s="8"/>
      <c r="AJ179" s="8" t="str">
        <f t="array" ref="AJ179">IFERROR(XLOOKUP(AG179, 'リスト'!$E:$E, 'リスト'!$O:$O, ""), "")</f>
        <v/>
      </c>
      <c r="AK179" s="8" t="str">
        <f t="array" ref="AK179">IFERROR(XLOOKUP(AG179, 'リスト'!$E:$E, 'リスト'!$P:$P, ""), "")</f>
        <v/>
      </c>
    </row>
    <row r="180" ht="17.25" customHeight="1">
      <c r="A180" s="587"/>
      <c r="B180" s="588"/>
      <c r="C180" s="590"/>
      <c r="D180" s="8" t="str">
        <f t="array" ref="D180">IFERROR(XLOOKUP(C180, 'リスト'!$E:$E, 'リスト'!$F:$F, ""), "")</f>
        <v/>
      </c>
      <c r="E180" s="8"/>
      <c r="F180" s="8" t="str">
        <f t="array" ref="F180">IFERROR(XLOOKUP(C180, 'リスト'!$E:$E, 'リスト'!$O:$O, ""), "")</f>
        <v/>
      </c>
      <c r="G180" s="8" t="str">
        <f t="array" ref="G180">IFERROR(XLOOKUP(C180, 'リスト'!$E:$E, 'リスト'!$P:$P, ""), "")</f>
        <v/>
      </c>
      <c r="H180" s="590"/>
      <c r="I180" s="8" t="str">
        <f t="array" ref="I180">IFERROR(XLOOKUP(H180, 'リスト'!$E:$E, 'リスト'!$F:$F, ""), "")</f>
        <v/>
      </c>
      <c r="J180" s="8"/>
      <c r="K180" s="8" t="str">
        <f t="array" ref="K180">IFERROR(XLOOKUP(H180, 'リスト'!$E:$E, 'リスト'!$O:$O, ""), "")</f>
        <v/>
      </c>
      <c r="L180" s="8" t="str">
        <f t="array" ref="L180">IFERROR(XLOOKUP(H180, 'リスト'!$E:$E, 'リスト'!$P:$P, ""), "")</f>
        <v/>
      </c>
      <c r="M180" s="590"/>
      <c r="N180" s="8" t="str">
        <f t="array" ref="N180">IFERROR(XLOOKUP(M180, 'リスト'!$E:$E, 'リスト'!$F:$F, ""), "")</f>
        <v/>
      </c>
      <c r="O180" s="8"/>
      <c r="P180" s="8" t="str">
        <f t="array" ref="P180">IFERROR(XLOOKUP(M180, 'リスト'!$E:$E, 'リスト'!$O:$O, ""), "")</f>
        <v/>
      </c>
      <c r="Q180" s="8" t="str">
        <f t="array" ref="Q180">IFERROR(XLOOKUP(M180, 'リスト'!$E:$E, 'リスト'!$P:$P, ""), "")</f>
        <v/>
      </c>
      <c r="R180" s="590"/>
      <c r="S180" s="8" t="str">
        <f t="array" ref="S180">IFERROR(XLOOKUP(R180, 'リスト'!$E:$E, 'リスト'!$F:$F, ""), "")</f>
        <v/>
      </c>
      <c r="T180" s="8"/>
      <c r="U180" s="8" t="str">
        <f t="array" ref="U180">IFERROR(XLOOKUP(R180, 'リスト'!$E:$E, 'リスト'!$O:$O, ""), "")</f>
        <v/>
      </c>
      <c r="V180" s="8" t="str">
        <f t="array" ref="V180">IFERROR(XLOOKUP(R180, 'リスト'!$E:$E, 'リスト'!$P:$P, ""), "")</f>
        <v/>
      </c>
      <c r="W180" s="590" t="str">
        <f>IFERROR(__xludf.DUMMYFUNCTION("""COMPUTED_VALUE"""),"仙台駅で働く")</f>
        <v>仙台駅で働く</v>
      </c>
      <c r="X180" s="8">
        <f t="array" ref="X180">IFERROR(XLOOKUP(W180, 'リスト'!$E:$E, 'リスト'!$F:$F, ""), "")</f>
        <v>0.2</v>
      </c>
      <c r="Y180" s="8"/>
      <c r="Z180" s="8" t="str">
        <f t="array" ref="Z180">IFERROR(XLOOKUP(W180, 'リスト'!$E:$E, 'リスト'!$O:$O, ""), "")</f>
        <v>R</v>
      </c>
      <c r="AA180" s="8" t="str">
        <f t="array" ref="AA180">IFERROR(XLOOKUP(W180, 'リスト'!$E:$E, 'リスト'!$P:$P, ""), "")</f>
        <v/>
      </c>
      <c r="AB180" s="590"/>
      <c r="AC180" s="8" t="str">
        <f t="array" ref="AC180">IFERROR(XLOOKUP(AB180, 'リスト'!$E:$E, 'リスト'!$F:$F, ""), "")</f>
        <v/>
      </c>
      <c r="AD180" s="8"/>
      <c r="AE180" s="8" t="str">
        <f t="array" ref="AE180">IFERROR(XLOOKUP(AB180, 'リスト'!$E:$E, 'リスト'!$O:$O, ""), "")</f>
        <v/>
      </c>
      <c r="AF180" s="8" t="str">
        <f t="array" ref="AF180">IFERROR(XLOOKUP(AB180, 'リスト'!$E:$E, 'リスト'!$P:$P, ""), "")</f>
        <v/>
      </c>
      <c r="AG180" s="590"/>
      <c r="AH180" s="8" t="str">
        <f t="array" ref="AH180">IFERROR(XLOOKUP(AG180, 'リスト'!$E:$E, 'リスト'!$F:$F, ""), "")</f>
        <v/>
      </c>
      <c r="AI180" s="8"/>
      <c r="AJ180" s="8" t="str">
        <f t="array" ref="AJ180">IFERROR(XLOOKUP(AG180, 'リスト'!$E:$E, 'リスト'!$O:$O, ""), "")</f>
        <v/>
      </c>
      <c r="AK180" s="8" t="str">
        <f t="array" ref="AK180">IFERROR(XLOOKUP(AG180, 'リスト'!$E:$E, 'リスト'!$P:$P, ""), "")</f>
        <v/>
      </c>
    </row>
    <row r="181" ht="17.25" customHeight="1">
      <c r="A181" s="587"/>
      <c r="B181" s="588"/>
      <c r="C181" s="590"/>
      <c r="D181" s="8" t="str">
        <f t="array" ref="D181">IFERROR(XLOOKUP(C181, 'リスト'!$E:$E, 'リスト'!$F:$F, ""), "")</f>
        <v/>
      </c>
      <c r="E181" s="8"/>
      <c r="F181" s="8" t="str">
        <f t="array" ref="F181">IFERROR(XLOOKUP(C181, 'リスト'!$E:$E, 'リスト'!$O:$O, ""), "")</f>
        <v/>
      </c>
      <c r="G181" s="8" t="str">
        <f t="array" ref="G181">IFERROR(XLOOKUP(C181, 'リスト'!$E:$E, 'リスト'!$P:$P, ""), "")</f>
        <v/>
      </c>
      <c r="H181" s="590"/>
      <c r="I181" s="8" t="str">
        <f t="array" ref="I181">IFERROR(XLOOKUP(H181, 'リスト'!$E:$E, 'リスト'!$F:$F, ""), "")</f>
        <v/>
      </c>
      <c r="J181" s="8"/>
      <c r="K181" s="8" t="str">
        <f t="array" ref="K181">IFERROR(XLOOKUP(H181, 'リスト'!$E:$E, 'リスト'!$O:$O, ""), "")</f>
        <v/>
      </c>
      <c r="L181" s="8" t="str">
        <f t="array" ref="L181">IFERROR(XLOOKUP(H181, 'リスト'!$E:$E, 'リスト'!$P:$P, ""), "")</f>
        <v/>
      </c>
      <c r="M181" s="590"/>
      <c r="N181" s="8" t="str">
        <f t="array" ref="N181">IFERROR(XLOOKUP(M181, 'リスト'!$E:$E, 'リスト'!$F:$F, ""), "")</f>
        <v/>
      </c>
      <c r="O181" s="8"/>
      <c r="P181" s="8" t="str">
        <f t="array" ref="P181">IFERROR(XLOOKUP(M181, 'リスト'!$E:$E, 'リスト'!$O:$O, ""), "")</f>
        <v/>
      </c>
      <c r="Q181" s="8" t="str">
        <f t="array" ref="Q181">IFERROR(XLOOKUP(M181, 'リスト'!$E:$E, 'リスト'!$P:$P, ""), "")</f>
        <v/>
      </c>
      <c r="R181" s="590"/>
      <c r="S181" s="8" t="str">
        <f t="array" ref="S181">IFERROR(XLOOKUP(R181, 'リスト'!$E:$E, 'リスト'!$F:$F, ""), "")</f>
        <v/>
      </c>
      <c r="T181" s="8"/>
      <c r="U181" s="8" t="str">
        <f t="array" ref="U181">IFERROR(XLOOKUP(R181, 'リスト'!$E:$E, 'リスト'!$O:$O, ""), "")</f>
        <v/>
      </c>
      <c r="V181" s="8" t="str">
        <f t="array" ref="V181">IFERROR(XLOOKUP(R181, 'リスト'!$E:$E, 'リスト'!$P:$P, ""), "")</f>
        <v/>
      </c>
      <c r="W181" s="590" t="str">
        <f>IFERROR(__xludf.DUMMYFUNCTION("""COMPUTED_VALUE"""),"大宮浦和で働く")</f>
        <v>大宮浦和で働く</v>
      </c>
      <c r="X181" s="8">
        <f t="array" ref="X181">IFERROR(XLOOKUP(W181, 'リスト'!$E:$E, 'リスト'!$F:$F, ""), "")</f>
        <v>0.8</v>
      </c>
      <c r="Y181" s="8"/>
      <c r="Z181" s="8" t="str">
        <f t="array" ref="Z181">IFERROR(XLOOKUP(W181, 'リスト'!$E:$E, 'リスト'!$O:$O, ""), "")</f>
        <v>R</v>
      </c>
      <c r="AA181" s="8" t="str">
        <f t="array" ref="AA181">IFERROR(XLOOKUP(W181, 'リスト'!$E:$E, 'リスト'!$P:$P, ""), "")</f>
        <v/>
      </c>
      <c r="AB181" s="590"/>
      <c r="AC181" s="8" t="str">
        <f t="array" ref="AC181">IFERROR(XLOOKUP(AB181, 'リスト'!$E:$E, 'リスト'!$F:$F, ""), "")</f>
        <v/>
      </c>
      <c r="AD181" s="8"/>
      <c r="AE181" s="8" t="str">
        <f t="array" ref="AE181">IFERROR(XLOOKUP(AB181, 'リスト'!$E:$E, 'リスト'!$O:$O, ""), "")</f>
        <v/>
      </c>
      <c r="AF181" s="8" t="str">
        <f t="array" ref="AF181">IFERROR(XLOOKUP(AB181, 'リスト'!$E:$E, 'リスト'!$P:$P, ""), "")</f>
        <v/>
      </c>
      <c r="AG181" s="590"/>
      <c r="AH181" s="8" t="str">
        <f t="array" ref="AH181">IFERROR(XLOOKUP(AG181, 'リスト'!$E:$E, 'リスト'!$F:$F, ""), "")</f>
        <v/>
      </c>
      <c r="AI181" s="8"/>
      <c r="AJ181" s="8" t="str">
        <f t="array" ref="AJ181">IFERROR(XLOOKUP(AG181, 'リスト'!$E:$E, 'リスト'!$O:$O, ""), "")</f>
        <v/>
      </c>
      <c r="AK181" s="8" t="str">
        <f t="array" ref="AK181">IFERROR(XLOOKUP(AG181, 'リスト'!$E:$E, 'リスト'!$P:$P, ""), "")</f>
        <v/>
      </c>
    </row>
    <row r="182" ht="17.25" customHeight="1">
      <c r="A182" s="587"/>
      <c r="B182" s="592"/>
      <c r="C182" s="590"/>
      <c r="D182" s="8" t="str">
        <f t="array" ref="D182">IFERROR(XLOOKUP(C182, '新規'!$E:$E, '新規'!$F:$F, ""), "")</f>
        <v/>
      </c>
      <c r="E182" s="8"/>
      <c r="F182" s="8" t="str">
        <f t="array" ref="F182">IFERROR(XLOOKUP(C182, '新規'!$E:$E, '新規'!$O:$O, ""), "")</f>
        <v/>
      </c>
      <c r="G182" s="8" t="str">
        <f t="array" ref="G182">IFERROR(XLOOKUP(C182, '新規'!$E:$E, '新規'!$P:$P, ""), "")</f>
        <v/>
      </c>
      <c r="H182" s="590"/>
      <c r="I182" s="8" t="str">
        <f t="array" ref="I182">IFERROR(XLOOKUP(H182, '新規'!$E:$E, '新規'!$F:$F, ""), "")</f>
        <v/>
      </c>
      <c r="J182" s="8"/>
      <c r="K182" s="8" t="str">
        <f t="array" ref="K182">IFERROR(XLOOKUP(H182, '新規'!$E:$E, '新規'!$O:$O, ""), "")</f>
        <v/>
      </c>
      <c r="L182" s="8" t="str">
        <f t="array" ref="L182">IFERROR(XLOOKUP(H182, '新規'!$E:$E, '新規'!$P:$P, ""), "")</f>
        <v/>
      </c>
      <c r="M182" s="590"/>
      <c r="N182" s="8" t="str">
        <f t="array" ref="N182">IFERROR(XLOOKUP(M182, '新規'!$E:$E, '新規'!$F:$F, ""), "")</f>
        <v/>
      </c>
      <c r="O182" s="8"/>
      <c r="P182" s="8" t="str">
        <f t="array" ref="P182">IFERROR(XLOOKUP(M182, '新規'!$E:$E, '新規'!$O:$O, ""), "")</f>
        <v/>
      </c>
      <c r="Q182" s="8" t="str">
        <f t="array" ref="Q182">IFERROR(XLOOKUP(M182, '新規'!$E:$E, '新規'!$P:$P, ""), "")</f>
        <v/>
      </c>
      <c r="R182" s="590"/>
      <c r="S182" s="8" t="str">
        <f t="array" ref="S182">IFERROR(XLOOKUP(R182, '新規'!$E:$E, '新規'!$F:$F, ""), "")</f>
        <v/>
      </c>
      <c r="T182" s="8"/>
      <c r="U182" s="8" t="str">
        <f t="array" ref="U182">IFERROR(XLOOKUP(R182, '新規'!$E:$E, '新規'!$O:$O, ""), "")</f>
        <v/>
      </c>
      <c r="V182" s="8" t="str">
        <f t="array" ref="V182">IFERROR(XLOOKUP(R182, '新規'!$E:$E, '新規'!$P:$P, ""), "")</f>
        <v/>
      </c>
      <c r="W182" s="590" t="str">
        <f>IFERROR(__xludf.DUMMYFUNCTION("""COMPUTED_VALUE"""),"博多区で働く")</f>
        <v>博多区で働く</v>
      </c>
      <c r="X182" s="8" t="str">
        <f t="array" ref="X182">IFERROR(XLOOKUP(W182, '新規'!$E:$E, '新規'!$F:$F, ""), "")</f>
        <v/>
      </c>
      <c r="Y182" s="8"/>
      <c r="Z182" s="8" t="str">
        <f t="array" ref="Z182">IFERROR(XLOOKUP(W182, '新規'!$E:$E, '新規'!$O:$O, ""), "")</f>
        <v/>
      </c>
      <c r="AA182" s="8" t="str">
        <f t="array" ref="AA182">IFERROR(XLOOKUP(W182, '新規'!$E:$E, '新規'!$P:$P, ""), "")</f>
        <v/>
      </c>
      <c r="AB182" s="590"/>
      <c r="AC182" s="8" t="str">
        <f t="array" ref="AC182">IFERROR(XLOOKUP(AB182, '新規'!$E:$E, '新規'!$F:$F, ""), "")</f>
        <v/>
      </c>
      <c r="AD182" s="8"/>
      <c r="AE182" s="8" t="str">
        <f t="array" ref="AE182">IFERROR(XLOOKUP(AB182, '新規'!$E:$E, '新規'!$O:$O, ""), "")</f>
        <v/>
      </c>
      <c r="AF182" s="8" t="str">
        <f t="array" ref="AF182">IFERROR(XLOOKUP(AB182, '新規'!$E:$E, '新規'!$P:$P, ""), "")</f>
        <v/>
      </c>
      <c r="AG182" s="590"/>
      <c r="AH182" s="8" t="str">
        <f t="array" ref="AH182">IFERROR(XLOOKUP(AG182, '新規'!$E:$E, '新規'!$F:$F, ""), "")</f>
        <v/>
      </c>
      <c r="AI182" s="8"/>
      <c r="AJ182" s="8" t="str">
        <f t="array" ref="AJ182">IFERROR(XLOOKUP(AG182, '新規'!$E:$E, '新規'!$O:$O, ""), "")</f>
        <v/>
      </c>
      <c r="AK182" s="8" t="str">
        <f t="array" ref="AK182">IFERROR(XLOOKUP(AG182, '新規'!$E:$E, '新規'!$P:$P, ""), "")</f>
        <v/>
      </c>
    </row>
    <row r="183" ht="17.25" customHeight="1">
      <c r="A183" s="587"/>
      <c r="B183" s="585" t="s">
        <v>78</v>
      </c>
      <c r="C183" s="590" t="str">
        <f>IFERROR(__xludf.DUMMYFUNCTION("IFERROR(FILTER('新規'!$E$3:$E$170, ('新規'!$B$3:$B$170=LOOKUP(2,1/($A$3:$A183&lt;&gt;""""),$A$3:$A183))*(('新規'!$A$3:$A$170=C$1)+(('新規'!$G$3:$G$170=""毎月配信"")*(TEXT('新規'!$A$3:$A$170,""ddd"")=TEXT(C$1, ""ddd""))))), """")"),"")</f>
        <v/>
      </c>
      <c r="D183" s="8" t="str">
        <f t="array" ref="D183">IFERROR(XLOOKUP(C183, '新規'!$E:$E, '新規'!$F:$F, ""), "")</f>
        <v/>
      </c>
      <c r="E183" s="8"/>
      <c r="F183" s="8" t="str">
        <f>IFERROR(__xludf.DUMMYFUNCTION("IF(C183="""","""",IFERROR(INDEX(FILTER('新規'!$O$3:$O$670, '新規'!$E$3:$E$670=C183),1),""""))"),"")</f>
        <v/>
      </c>
      <c r="G183" s="8" t="str">
        <f>IFERROR(__xludf.DUMMYFUNCTION("IF(C183="""","""",IFERROR(INDEX(FILTER('新規'!$P$3:$P$670, '新規'!$E$3:$E$670=C183),1),""""))"),"")</f>
        <v/>
      </c>
      <c r="H183" s="590" t="str">
        <f>IFERROR(__xludf.DUMMYFUNCTION("IFERROR(FILTER('新規'!$E$3:$E$170, ('新規'!$B$3:$B$170=LOOKUP(2,1/($A$3:$A183&lt;&gt;""""),$A$3:$A183))*(('新規'!$A$3:$A$170=H$1)+(('新規'!$G$3:$G$170=""毎月配信"")*(TEXT('新規'!$A$3:$A$170,""ddd"")=TEXT(H$1, ""ddd""))))), """")"),"")</f>
        <v/>
      </c>
      <c r="I183" s="8" t="str">
        <f t="array" ref="I183">IFERROR(XLOOKUP(H183, '新規'!$E:$E, '新規'!$F:$F, ""), "")</f>
        <v/>
      </c>
      <c r="J183" s="8"/>
      <c r="K183" s="8" t="str">
        <f>IFERROR(__xludf.DUMMYFUNCTION("IF(H183="""","""",IFERROR(INDEX(FILTER('新規'!$O$3:$O$670, '新規'!$E$3:$E$670=H183),1),""""))"),"")</f>
        <v/>
      </c>
      <c r="L183" s="8" t="str">
        <f>IFERROR(__xludf.DUMMYFUNCTION("IF(H183="""","""",IFERROR(INDEX(FILTER('新規'!$P$3:$P$670, '新規'!$E$3:$E$670=H183),1),""""))"),"")</f>
        <v/>
      </c>
      <c r="M183" s="590" t="str">
        <f>IFERROR(__xludf.DUMMYFUNCTION("IFERROR(FILTER('新規'!$E$3:$E$170, ('新規'!$B$3:$B$170=LOOKUP(2,1/($A$3:$A183&lt;&gt;""""),$A$3:$A183))*(('新規'!$A$3:$A$170=M$1)+(('新規'!$G$3:$G$170=""毎月配信"")*(TEXT('新規'!$A$3:$A$170,""ddd"")=TEXT(M$1, ""ddd""))))), """")"),"")</f>
        <v/>
      </c>
      <c r="N183" s="8" t="str">
        <f t="array" ref="N183">IFERROR(XLOOKUP(M183, '新規'!$E:$E, '新規'!$F:$F, ""), "")</f>
        <v/>
      </c>
      <c r="O183" s="8"/>
      <c r="P183" s="8" t="str">
        <f>IFERROR(__xludf.DUMMYFUNCTION("IF(M183="""","""",IFERROR(INDEX(FILTER('新規'!$O$3:$O$670, '新規'!$E$3:$E$670=M183),1),""""))"),"")</f>
        <v/>
      </c>
      <c r="Q183" s="8" t="str">
        <f>IFERROR(__xludf.DUMMYFUNCTION("IF(M183="""","""",IFERROR(INDEX(FILTER('新規'!$P$3:$P$670, '新規'!$E$3:$E$670=M183),1),""""))"),"")</f>
        <v/>
      </c>
      <c r="R183" s="590" t="str">
        <f>IFERROR(__xludf.DUMMYFUNCTION("IFERROR(FILTER('新規'!$E$3:$E$170, ('新規'!$B$3:$B$170=LOOKUP(2,1/($A$3:$A183&lt;&gt;""""),$A$3:$A183))*(('新規'!$A$3:$A$170=R$1)+(('新規'!$G$3:$G$170=""毎月配信"")*(TEXT('新規'!$A$3:$A$170,""ddd"")=TEXT(R$1, ""ddd""))))), """")"),"")</f>
        <v/>
      </c>
      <c r="S183" s="8" t="str">
        <f t="array" ref="S183">IFERROR(XLOOKUP(R183, '新規'!$E:$E, '新規'!$F:$F, ""), "")</f>
        <v/>
      </c>
      <c r="T183" s="8"/>
      <c r="U183" s="8" t="str">
        <f>IFERROR(__xludf.DUMMYFUNCTION("IF(R183="""","""",IFERROR(INDEX(FILTER('新規'!$O$3:$O$670, '新規'!$E$3:$E$670=R183),1),""""))"),"")</f>
        <v/>
      </c>
      <c r="V183" s="8" t="str">
        <f>IFERROR(__xludf.DUMMYFUNCTION("IF(R183="""","""",IFERROR(INDEX(FILTER('新規'!$P$3:$P$670, '新規'!$E$3:$E$670=R183),1),""""))"),"")</f>
        <v/>
      </c>
      <c r="W183" s="590" t="str">
        <f>IFERROR(__xludf.DUMMYFUNCTION("IFERROR(FILTER('新規'!$E$3:$E$170, ('新規'!$B$3:$B$170=LOOKUP(2,1/($A$3:$A183&lt;&gt;""""),$A$3:$A183))*(('新規'!$A$3:$A$170=W$1)+(('新規'!$G$3:$G$170=""毎月配信"")*(TEXT('新規'!$A$3:$A$170,""ddd"")=TEXT(W$1, ""ddd""))))), """")"),"")</f>
        <v/>
      </c>
      <c r="X183" s="8" t="str">
        <f t="array" ref="X183">IFERROR(XLOOKUP(W183, '新規'!$E:$E, '新規'!$F:$F, ""), "")</f>
        <v/>
      </c>
      <c r="Y183" s="8"/>
      <c r="Z183" s="8" t="str">
        <f>IFERROR(__xludf.DUMMYFUNCTION("IF(W183="""","""",IFERROR(INDEX(FILTER('新規'!$O$3:$O$670, '新規'!$E$3:$E$670=W183),1),""""))"),"")</f>
        <v/>
      </c>
      <c r="AA183" s="8" t="str">
        <f>IFERROR(__xludf.DUMMYFUNCTION("IF(W183="""","""",IFERROR(INDEX(FILTER('新規'!$P$3:$P$670, '新規'!$E$3:$E$670=W183),1),""""))"),"")</f>
        <v/>
      </c>
      <c r="AB183" s="590" t="str">
        <f>IFERROR(__xludf.DUMMYFUNCTION("IFERROR(FILTER('新規'!$E$3:$E$170, ('新規'!$B$3:$B$170=LOOKUP(2,1/($A$3:$A183&lt;&gt;""""),$A$3:$A183))*(('新規'!$A$3:$A$170=AB$1)+(('新規'!$G$3:$G$170=""毎月配信"")*(TEXT('新規'!$A$3:$A$170,""ddd"")=TEXT(AB$1, ""ddd""))))), """")"),"")</f>
        <v/>
      </c>
      <c r="AC183" s="8" t="str">
        <f t="array" ref="AC183">IFERROR(XLOOKUP(AB183, '新規'!$E:$E, '新規'!$F:$F, ""), "")</f>
        <v/>
      </c>
      <c r="AD183" s="8"/>
      <c r="AE183" s="8" t="str">
        <f>IFERROR(__xludf.DUMMYFUNCTION("IF(AB183="""","""",IFERROR(INDEX(FILTER('新規'!$O$3:$O$670, '新規'!$E$3:$E$670=AB183),1),""""))"),"")</f>
        <v/>
      </c>
      <c r="AF183" s="8" t="str">
        <f>IFERROR(__xludf.DUMMYFUNCTION("IF(AB183="""","""",IFERROR(INDEX(FILTER('新規'!$P$3:$P$670, '新規'!$E$3:$E$670=AB183),1),""""))"),"")</f>
        <v/>
      </c>
      <c r="AG183" s="590" t="str">
        <f>IFERROR(__xludf.DUMMYFUNCTION("IFERROR(FILTER('新規'!$E$3:$E$170, ('新規'!$B$3:$B$170=LOOKUP(2,1/($A$3:$A183&lt;&gt;""""),$A$3:$A183))*(('新規'!$A$3:$A$170=AG$1)+(('新規'!$G$3:$G$170=""毎月配信"")*(TEXT('新規'!$A$3:$A$170,""ddd"")=TEXT(AG$1, ""ddd""))))), """")"),"")</f>
        <v/>
      </c>
      <c r="AH183" s="8" t="str">
        <f t="array" ref="AH183">IFERROR(XLOOKUP(AG183, '新規'!$E:$E, '新規'!$F:$F, ""), "")</f>
        <v/>
      </c>
      <c r="AI183" s="8"/>
      <c r="AJ183" s="8" t="str">
        <f>IFERROR(__xludf.DUMMYFUNCTION("IF(AG183="""","""",IFERROR(INDEX(FILTER('新規'!$O$3:$O$670, '新規'!$E$3:$E$670=AG183),1),""""))"),"")</f>
        <v/>
      </c>
      <c r="AK183" s="8" t="str">
        <f>IFERROR(__xludf.DUMMYFUNCTION("IF(AG183="""","""",IFERROR(INDEX(FILTER('新規'!$P$3:$P$670, '新規'!$E$3:$E$670=AG183),1),""""))"),"")</f>
        <v/>
      </c>
    </row>
    <row r="184" ht="17.25" customHeight="1">
      <c r="A184" s="587"/>
      <c r="B184" s="588"/>
      <c r="C184" s="590"/>
      <c r="D184" s="8" t="str">
        <f t="array" ref="D184">IFERROR(XLOOKUP(C184, '新規'!$E:$E, '新規'!$F:$F, ""), "")</f>
        <v/>
      </c>
      <c r="E184" s="8"/>
      <c r="F184" s="8" t="str">
        <f t="array" ref="F184">IFERROR(XLOOKUP(C184, '新規'!$E:$E, '新規'!$O:$O, ""), "")</f>
        <v/>
      </c>
      <c r="G184" s="8" t="str">
        <f t="array" ref="G184">IFERROR(XLOOKUP(C184, '新規'!$E:$E, '新規'!$P:$P, ""), "")</f>
        <v/>
      </c>
      <c r="H184" s="590"/>
      <c r="I184" s="8" t="str">
        <f t="array" ref="I184">IFERROR(XLOOKUP(H184, '新規'!$E:$E, '新規'!$F:$F, ""), "")</f>
        <v/>
      </c>
      <c r="J184" s="8"/>
      <c r="K184" s="8" t="str">
        <f t="array" ref="K184">IFERROR(XLOOKUP(H184, '新規'!$E:$E, '新規'!$O:$O, ""), "")</f>
        <v/>
      </c>
      <c r="L184" s="8" t="str">
        <f t="array" ref="L184">IFERROR(XLOOKUP(H184, '新規'!$E:$E, '新規'!$P:$P, ""), "")</f>
        <v/>
      </c>
      <c r="M184" s="590"/>
      <c r="N184" s="8" t="str">
        <f t="array" ref="N184">IFERROR(XLOOKUP(M184, '新規'!$E:$E, '新規'!$F:$F, ""), "")</f>
        <v/>
      </c>
      <c r="O184" s="8"/>
      <c r="P184" s="8" t="str">
        <f t="array" ref="P184">IFERROR(XLOOKUP(M184, '新規'!$E:$E, '新規'!$O:$O, ""), "")</f>
        <v/>
      </c>
      <c r="Q184" s="8" t="str">
        <f t="array" ref="Q184">IFERROR(XLOOKUP(M184, '新規'!$E:$E, '新規'!$P:$P, ""), "")</f>
        <v/>
      </c>
      <c r="R184" s="590"/>
      <c r="S184" s="8" t="str">
        <f t="array" ref="S184">IFERROR(XLOOKUP(R184, '新規'!$E:$E, '新規'!$F:$F, ""), "")</f>
        <v/>
      </c>
      <c r="T184" s="8"/>
      <c r="U184" s="8" t="str">
        <f t="array" ref="U184">IFERROR(XLOOKUP(R184, '新規'!$E:$E, '新規'!$O:$O, ""), "")</f>
        <v/>
      </c>
      <c r="V184" s="8" t="str">
        <f t="array" ref="V184">IFERROR(XLOOKUP(R184, '新規'!$E:$E, '新規'!$P:$P, ""), "")</f>
        <v/>
      </c>
      <c r="W184" s="590"/>
      <c r="X184" s="8" t="str">
        <f t="array" ref="X184">IFERROR(XLOOKUP(W184, '新規'!$E:$E, '新規'!$F:$F, ""), "")</f>
        <v/>
      </c>
      <c r="Y184" s="8"/>
      <c r="Z184" s="8" t="str">
        <f t="array" ref="Z184">IFERROR(XLOOKUP(W184, '新規'!$E:$E, '新規'!$O:$O, ""), "")</f>
        <v/>
      </c>
      <c r="AA184" s="8" t="str">
        <f t="array" ref="AA184">IFERROR(XLOOKUP(W184, '新規'!$E:$E, '新規'!$P:$P, ""), "")</f>
        <v/>
      </c>
      <c r="AB184" s="590"/>
      <c r="AC184" s="8" t="str">
        <f t="array" ref="AC184">IFERROR(XLOOKUP(AB184, '新規'!$E:$E, '新規'!$F:$F, ""), "")</f>
        <v/>
      </c>
      <c r="AD184" s="8"/>
      <c r="AE184" s="8" t="str">
        <f t="array" ref="AE184">IFERROR(XLOOKUP(AB184, '新規'!$E:$E, '新規'!$O:$O, ""), "")</f>
        <v/>
      </c>
      <c r="AF184" s="8" t="str">
        <f t="array" ref="AF184">IFERROR(XLOOKUP(AB184, '新規'!$E:$E, '新規'!$P:$P, ""), "")</f>
        <v/>
      </c>
      <c r="AG184" s="590"/>
      <c r="AH184" s="8" t="str">
        <f t="array" ref="AH184">IFERROR(XLOOKUP(AG184, '新規'!$E:$E, '新規'!$F:$F, ""), "")</f>
        <v/>
      </c>
      <c r="AI184" s="8"/>
      <c r="AJ184" s="8" t="str">
        <f t="array" ref="AJ184">IFERROR(XLOOKUP(AG184, '新規'!$E:$E, '新規'!$O:$O, ""), "")</f>
        <v/>
      </c>
      <c r="AK184" s="8" t="str">
        <f t="array" ref="AK184">IFERROR(XLOOKUP(AG184, '新規'!$E:$E, '新規'!$P:$P, ""), "")</f>
        <v/>
      </c>
    </row>
    <row r="185" ht="17.25" customHeight="1">
      <c r="A185" s="587"/>
      <c r="B185" s="588"/>
      <c r="C185" s="590"/>
      <c r="D185" s="8" t="str">
        <f t="array" ref="D185">IFERROR(XLOOKUP(C185, '新規'!$E:$E, '新規'!$F:$F, ""), "")</f>
        <v/>
      </c>
      <c r="E185" s="8"/>
      <c r="F185" s="8" t="str">
        <f t="array" ref="F185">IFERROR(XLOOKUP(C185, '新規'!$E:$E, '新規'!$O:$O, ""), "")</f>
        <v/>
      </c>
      <c r="G185" s="8" t="str">
        <f t="array" ref="G185">IFERROR(XLOOKUP(C185, '新規'!$E:$E, '新規'!$P:$P, ""), "")</f>
        <v/>
      </c>
      <c r="H185" s="590"/>
      <c r="I185" s="8" t="str">
        <f t="array" ref="I185">IFERROR(XLOOKUP(H185, '新規'!$E:$E, '新規'!$F:$F, ""), "")</f>
        <v/>
      </c>
      <c r="J185" s="8"/>
      <c r="K185" s="8" t="str">
        <f t="array" ref="K185">IFERROR(XLOOKUP(H185, '新規'!$E:$E, '新規'!$O:$O, ""), "")</f>
        <v/>
      </c>
      <c r="L185" s="8" t="str">
        <f t="array" ref="L185">IFERROR(XLOOKUP(H185, '新規'!$E:$E, '新規'!$P:$P, ""), "")</f>
        <v/>
      </c>
      <c r="M185" s="590"/>
      <c r="N185" s="8" t="str">
        <f t="array" ref="N185">IFERROR(XLOOKUP(M185, '新規'!$E:$E, '新規'!$F:$F, ""), "")</f>
        <v/>
      </c>
      <c r="O185" s="8"/>
      <c r="P185" s="8" t="str">
        <f t="array" ref="P185">IFERROR(XLOOKUP(M185, '新規'!$E:$E, '新規'!$O:$O, ""), "")</f>
        <v/>
      </c>
      <c r="Q185" s="8" t="str">
        <f t="array" ref="Q185">IFERROR(XLOOKUP(M185, '新規'!$E:$E, '新規'!$P:$P, ""), "")</f>
        <v/>
      </c>
      <c r="R185" s="590"/>
      <c r="S185" s="8" t="str">
        <f t="array" ref="S185">IFERROR(XLOOKUP(R185, '新規'!$E:$E, '新規'!$F:$F, ""), "")</f>
        <v/>
      </c>
      <c r="T185" s="8"/>
      <c r="U185" s="8" t="str">
        <f t="array" ref="U185">IFERROR(XLOOKUP(R185, '新規'!$E:$E, '新規'!$O:$O, ""), "")</f>
        <v/>
      </c>
      <c r="V185" s="8" t="str">
        <f t="array" ref="V185">IFERROR(XLOOKUP(R185, '新規'!$E:$E, '新規'!$P:$P, ""), "")</f>
        <v/>
      </c>
      <c r="W185" s="590"/>
      <c r="X185" s="8" t="str">
        <f t="array" ref="X185">IFERROR(XLOOKUP(W185, '新規'!$E:$E, '新規'!$F:$F, ""), "")</f>
        <v/>
      </c>
      <c r="Y185" s="8"/>
      <c r="Z185" s="8" t="str">
        <f t="array" ref="Z185">IFERROR(XLOOKUP(W185, '新規'!$E:$E, '新規'!$O:$O, ""), "")</f>
        <v/>
      </c>
      <c r="AA185" s="8" t="str">
        <f t="array" ref="AA185">IFERROR(XLOOKUP(W185, '新規'!$E:$E, '新規'!$P:$P, ""), "")</f>
        <v/>
      </c>
      <c r="AB185" s="590"/>
      <c r="AC185" s="8" t="str">
        <f t="array" ref="AC185">IFERROR(XLOOKUP(AB185, '新規'!$E:$E, '新規'!$F:$F, ""), "")</f>
        <v/>
      </c>
      <c r="AD185" s="8"/>
      <c r="AE185" s="8" t="str">
        <f t="array" ref="AE185">IFERROR(XLOOKUP(AB185, '新規'!$E:$E, '新規'!$O:$O, ""), "")</f>
        <v/>
      </c>
      <c r="AF185" s="8" t="str">
        <f t="array" ref="AF185">IFERROR(XLOOKUP(AB185, '新規'!$E:$E, '新規'!$P:$P, ""), "")</f>
        <v/>
      </c>
      <c r="AG185" s="590"/>
      <c r="AH185" s="8" t="str">
        <f t="array" ref="AH185">IFERROR(XLOOKUP(AG185, '新規'!$E:$E, '新規'!$F:$F, ""), "")</f>
        <v/>
      </c>
      <c r="AI185" s="8"/>
      <c r="AJ185" s="8" t="str">
        <f t="array" ref="AJ185">IFERROR(XLOOKUP(AG185, '新規'!$E:$E, '新規'!$O:$O, ""), "")</f>
        <v/>
      </c>
      <c r="AK185" s="8" t="str">
        <f t="array" ref="AK185">IFERROR(XLOOKUP(AG185, '新規'!$E:$E, '新規'!$P:$P, ""), "")</f>
        <v/>
      </c>
    </row>
    <row r="186" ht="17.25" customHeight="1">
      <c r="A186" s="587"/>
      <c r="B186" s="588"/>
      <c r="C186" s="590"/>
      <c r="D186" s="8" t="str">
        <f t="array" ref="D186">IFERROR(XLOOKUP(C186, '新規'!$E:$E, '新規'!$F:$F, ""), "")</f>
        <v/>
      </c>
      <c r="E186" s="8"/>
      <c r="F186" s="8" t="str">
        <f t="array" ref="F186">IFERROR(XLOOKUP(C186, '新規'!$E:$E, '新規'!$O:$O, ""), "")</f>
        <v/>
      </c>
      <c r="G186" s="8" t="str">
        <f t="array" ref="G186">IFERROR(XLOOKUP(C186, '新規'!$E:$E, '新規'!$P:$P, ""), "")</f>
        <v/>
      </c>
      <c r="H186" s="590"/>
      <c r="I186" s="8" t="str">
        <f t="array" ref="I186">IFERROR(XLOOKUP(H186, '新規'!$E:$E, '新規'!$F:$F, ""), "")</f>
        <v/>
      </c>
      <c r="J186" s="8"/>
      <c r="K186" s="8" t="str">
        <f t="array" ref="K186">IFERROR(XLOOKUP(H186, '新規'!$E:$E, '新規'!$O:$O, ""), "")</f>
        <v/>
      </c>
      <c r="L186" s="8" t="str">
        <f t="array" ref="L186">IFERROR(XLOOKUP(H186, '新規'!$E:$E, '新規'!$P:$P, ""), "")</f>
        <v/>
      </c>
      <c r="M186" s="590"/>
      <c r="N186" s="8" t="str">
        <f t="array" ref="N186">IFERROR(XLOOKUP(M186, '新規'!$E:$E, '新規'!$F:$F, ""), "")</f>
        <v/>
      </c>
      <c r="O186" s="8"/>
      <c r="P186" s="8" t="str">
        <f t="array" ref="P186">IFERROR(XLOOKUP(M186, '新規'!$E:$E, '新規'!$O:$O, ""), "")</f>
        <v/>
      </c>
      <c r="Q186" s="8" t="str">
        <f t="array" ref="Q186">IFERROR(XLOOKUP(M186, '新規'!$E:$E, '新規'!$P:$P, ""), "")</f>
        <v/>
      </c>
      <c r="R186" s="590"/>
      <c r="S186" s="8" t="str">
        <f t="array" ref="S186">IFERROR(XLOOKUP(R186, '新規'!$E:$E, '新規'!$F:$F, ""), "")</f>
        <v/>
      </c>
      <c r="T186" s="8"/>
      <c r="U186" s="8" t="str">
        <f t="array" ref="U186">IFERROR(XLOOKUP(R186, '新規'!$E:$E, '新規'!$O:$O, ""), "")</f>
        <v/>
      </c>
      <c r="V186" s="8" t="str">
        <f t="array" ref="V186">IFERROR(XLOOKUP(R186, '新規'!$E:$E, '新規'!$P:$P, ""), "")</f>
        <v/>
      </c>
      <c r="W186" s="590"/>
      <c r="X186" s="8" t="str">
        <f t="array" ref="X186">IFERROR(XLOOKUP(W186, '新規'!$E:$E, '新規'!$F:$F, ""), "")</f>
        <v/>
      </c>
      <c r="Y186" s="8"/>
      <c r="Z186" s="8" t="str">
        <f t="array" ref="Z186">IFERROR(XLOOKUP(W186, '新規'!$E:$E, '新規'!$O:$O, ""), "")</f>
        <v/>
      </c>
      <c r="AA186" s="8" t="str">
        <f t="array" ref="AA186">IFERROR(XLOOKUP(W186, '新規'!$E:$E, '新規'!$P:$P, ""), "")</f>
        <v/>
      </c>
      <c r="AB186" s="590"/>
      <c r="AC186" s="8" t="str">
        <f t="array" ref="AC186">IFERROR(XLOOKUP(AB186, '新規'!$E:$E, '新規'!$F:$F, ""), "")</f>
        <v/>
      </c>
      <c r="AD186" s="8"/>
      <c r="AE186" s="8" t="str">
        <f t="array" ref="AE186">IFERROR(XLOOKUP(AB186, '新規'!$E:$E, '新規'!$O:$O, ""), "")</f>
        <v/>
      </c>
      <c r="AF186" s="8" t="str">
        <f t="array" ref="AF186">IFERROR(XLOOKUP(AB186, '新規'!$E:$E, '新規'!$P:$P, ""), "")</f>
        <v/>
      </c>
      <c r="AG186" s="590"/>
      <c r="AH186" s="8" t="str">
        <f t="array" ref="AH186">IFERROR(XLOOKUP(AG186, '新規'!$E:$E, '新規'!$F:$F, ""), "")</f>
        <v/>
      </c>
      <c r="AI186" s="8"/>
      <c r="AJ186" s="8" t="str">
        <f t="array" ref="AJ186">IFERROR(XLOOKUP(AG186, '新規'!$E:$E, '新規'!$O:$O, ""), "")</f>
        <v/>
      </c>
      <c r="AK186" s="8" t="str">
        <f t="array" ref="AK186">IFERROR(XLOOKUP(AG186, '新規'!$E:$E, '新規'!$P:$P, ""), "")</f>
        <v/>
      </c>
    </row>
    <row r="187" ht="17.25" customHeight="1">
      <c r="A187" s="587"/>
      <c r="B187" s="592"/>
      <c r="C187" s="590"/>
      <c r="D187" s="593" t="str">
        <f>IFERROR(__xludf.DUMMYFUNCTION("IF(C187="""","""",IFERROR(INDEX(FILTER('特殊配信マスタ'!$F$3:$F$16,('特殊配信マスタ'!$A$3:$A$16=CHOOSE(WEEKDAY(C$1),""日"",""月"",""火"",""水"",""木"",""金"",""土""))*('特殊配信マスタ'!$B$3:$B$16=A$3)*('特殊配信マスタ'!$R$3:$R$16=MOD(INT((C$1-'特殊配信マスタ'!$A$1)/7),3)+1)),1),""""))"),"")</f>
        <v/>
      </c>
      <c r="E187" s="590"/>
      <c r="F187" s="593" t="str">
        <f>IFERROR(__xludf.DUMMYFUNCTION("IF(C187="""","""",IFERROR(INDEX(FILTER('特殊配信マスタ'!$O$3:$O$16,('特殊配信マスタ'!$A$3:$A$16=CHOOSE(WEEKDAY(C$1),""日"",""月"",""火"",""水"",""木"",""金"",""土""))*('特殊配信マスタ'!$B$3:$B$16=A$3)*('特殊配信マスタ'!$R$3:$R$16=MOD(INT((C$1-'特殊配信マスタ'!$A$1)/7),3)+1)),1),""""))"),"")</f>
        <v/>
      </c>
      <c r="G187" s="593" t="str">
        <f>IFERROR(__xludf.DUMMYFUNCTION("IF(C187="""","""",IFERROR(INDEX(FILTER('特殊配信マスタ'!$P$3:$P$16,('特殊配信マスタ'!$A$3:$A$16=CHOOSE(WEEKDAY(C$1),""日"",""月"",""火"",""水"",""木"",""金"",""土""))*('特殊配信マスタ'!$B$3:$B$16=A$3)*('特殊配信マスタ'!$R$3:$R$16=MOD(INT((C$1-'特殊配信マスタ'!$A$1)/7),3)+1)),1),""""))"),"")</f>
        <v/>
      </c>
      <c r="H187" s="590"/>
      <c r="I187" s="593" t="str">
        <f>IFERROR(__xludf.DUMMYFUNCTION("IF(H187="""","""",IFERROR(INDEX(FILTER('特殊配信マスタ'!$F$3:$F$16,('特殊配信マスタ'!$A$3:$A$16=CHOOSE(WEEKDAY(H$1),""日"",""月"",""火"",""水"",""木"",""金"",""土""))*('特殊配信マスタ'!$B$3:$B$16=F$3)*('特殊配信マスタ'!$R$3:$R$16=MOD(INT((H$1-'特殊配信マスタ'!$A$1)/7),3)+1)),1),""""))"),"")</f>
        <v/>
      </c>
      <c r="J187" s="590"/>
      <c r="K187" s="593" t="str">
        <f>IFERROR(__xludf.DUMMYFUNCTION("IF(H187="""","""",IFERROR(INDEX(FILTER('特殊配信マスタ'!$O$3:$O$16,('特殊配信マスタ'!$A$3:$A$16=CHOOSE(WEEKDAY(H$1),""日"",""月"",""火"",""水"",""木"",""金"",""土""))*('特殊配信マスタ'!$B$3:$B$16=F$3)*('特殊配信マスタ'!$R$3:$R$16=MOD(INT((H$1-'特殊配信マスタ'!$A$1)/7),3)+1)),1),""""))"),"")</f>
        <v/>
      </c>
      <c r="L187" s="593" t="str">
        <f>IFERROR(__xludf.DUMMYFUNCTION("IF(H187="""","""",IFERROR(INDEX(FILTER('特殊配信マスタ'!$P$3:$P$16,('特殊配信マスタ'!$A$3:$A$16=CHOOSE(WEEKDAY(H$1),""日"",""月"",""火"",""水"",""木"",""金"",""土""))*('特殊配信マスタ'!$B$3:$B$16=F$3)*('特殊配信マスタ'!$R$3:$R$16=MOD(INT((H$1-'特殊配信マスタ'!$A$1)/7),3)+1)),1),""""))"),"")</f>
        <v/>
      </c>
      <c r="M187" s="590"/>
      <c r="N187" s="593" t="str">
        <f>IFERROR(__xludf.DUMMYFUNCTION("IF(M187="""","""",IFERROR(INDEX(FILTER('特殊配信マスタ'!$F$3:$F$16,('特殊配信マスタ'!$A$3:$A$16=CHOOSE(WEEKDAY(M$1),""日"",""月"",""火"",""水"",""木"",""金"",""土""))*('特殊配信マスタ'!$B$3:$B$16=K$3)*('特殊配信マスタ'!$R$3:$R$16=MOD(INT((M$1-'特殊配信マスタ'!$A$1)/7),3)+1)),1),""""))"),"")</f>
        <v/>
      </c>
      <c r="O187" s="590"/>
      <c r="P187" s="593" t="str">
        <f>IFERROR(__xludf.DUMMYFUNCTION("IF(M187="""","""",IFERROR(INDEX(FILTER('特殊配信マスタ'!$O$3:$O$16,('特殊配信マスタ'!$A$3:$A$16=CHOOSE(WEEKDAY(M$1),""日"",""月"",""火"",""水"",""木"",""金"",""土""))*('特殊配信マスタ'!$B$3:$B$16=K$3)*('特殊配信マスタ'!$R$3:$R$16=MOD(INT((M$1-'特殊配信マスタ'!$A$1)/7),3)+1)),1),""""))"),"")</f>
        <v/>
      </c>
      <c r="Q187" s="593" t="str">
        <f>IFERROR(__xludf.DUMMYFUNCTION("IF(M187="""","""",IFERROR(INDEX(FILTER('特殊配信マスタ'!$P$3:$P$16,('特殊配信マスタ'!$A$3:$A$16=CHOOSE(WEEKDAY(M$1),""日"",""月"",""火"",""水"",""木"",""金"",""土""))*('特殊配信マスタ'!$B$3:$B$16=K$3)*('特殊配信マスタ'!$R$3:$R$16=MOD(INT((M$1-'特殊配信マスタ'!$A$1)/7),3)+1)),1),""""))"),"")</f>
        <v/>
      </c>
      <c r="R187" s="590"/>
      <c r="S187" s="593" t="str">
        <f>IFERROR(__xludf.DUMMYFUNCTION("IF(R187="""","""",IFERROR(INDEX(FILTER('特殊配信マスタ'!$F$3:$F$16,('特殊配信マスタ'!$A$3:$A$16=CHOOSE(WEEKDAY(R$1),""日"",""月"",""火"",""水"",""木"",""金"",""土""))*('特殊配信マスタ'!$B$3:$B$16=P$3)*('特殊配信マスタ'!$R$3:$R$16=MOD(INT((R$1-'特殊配信マスタ'!$A$1)/7),3)+1)),1),""""))"),"")</f>
        <v/>
      </c>
      <c r="T187" s="590"/>
      <c r="U187" s="593" t="str">
        <f>IFERROR(__xludf.DUMMYFUNCTION("IF(R187="""","""",IFERROR(INDEX(FILTER('特殊配信マスタ'!$O$3:$O$16,('特殊配信マスタ'!$A$3:$A$16=CHOOSE(WEEKDAY(R$1),""日"",""月"",""火"",""水"",""木"",""金"",""土""))*('特殊配信マスタ'!$B$3:$B$16=P$3)*('特殊配信マスタ'!$R$3:$R$16=MOD(INT((R$1-'特殊配信マスタ'!$A$1)/7),3)+1)),1),""""))"),"")</f>
        <v/>
      </c>
      <c r="V187" s="593" t="str">
        <f>IFERROR(__xludf.DUMMYFUNCTION("IF(R187="""","""",IFERROR(INDEX(FILTER('特殊配信マスタ'!$P$3:$P$16,('特殊配信マスタ'!$A$3:$A$16=CHOOSE(WEEKDAY(R$1),""日"",""月"",""火"",""水"",""木"",""金"",""土""))*('特殊配信マスタ'!$B$3:$B$16=P$3)*('特殊配信マスタ'!$R$3:$R$16=MOD(INT((R$1-'特殊配信マスタ'!$A$1)/7),3)+1)),1),""""))"),"")</f>
        <v/>
      </c>
      <c r="W187" s="590"/>
      <c r="X187" s="593" t="str">
        <f>IFERROR(__xludf.DUMMYFUNCTION("IF(W187="""","""",IFERROR(INDEX(FILTER('特殊配信マスタ'!$F$3:$F$16,('特殊配信マスタ'!$A$3:$A$16=CHOOSE(WEEKDAY(W$1),""日"",""月"",""火"",""水"",""木"",""金"",""土""))*('特殊配信マスタ'!$B$3:$B$16=U$3)*('特殊配信マスタ'!$R$3:$R$16=MOD(INT((W$1-'特殊配信マスタ'!$A$1)/7),3)+1)),1),""""))"),"")</f>
        <v/>
      </c>
      <c r="Y187" s="590"/>
      <c r="Z187" s="593" t="str">
        <f>IFERROR(__xludf.DUMMYFUNCTION("IF(W187="""","""",IFERROR(INDEX(FILTER('特殊配信マスタ'!$O$3:$O$16,('特殊配信マスタ'!$A$3:$A$16=CHOOSE(WEEKDAY(W$1),""日"",""月"",""火"",""水"",""木"",""金"",""土""))*('特殊配信マスタ'!$B$3:$B$16=U$3)*('特殊配信マスタ'!$R$3:$R$16=MOD(INT((W$1-'特殊配信マスタ'!$A$1)/7),3)+1)),1),""""))"),"")</f>
        <v/>
      </c>
      <c r="AA187" s="593" t="str">
        <f>IFERROR(__xludf.DUMMYFUNCTION("IF(W187="""","""",IFERROR(INDEX(FILTER('特殊配信マスタ'!$P$3:$P$16,('特殊配信マスタ'!$A$3:$A$16=CHOOSE(WEEKDAY(W$1),""日"",""月"",""火"",""水"",""木"",""金"",""土""))*('特殊配信マスタ'!$B$3:$B$16=U$3)*('特殊配信マスタ'!$R$3:$R$16=MOD(INT((W$1-'特殊配信マスタ'!$A$1)/7),3)+1)),1),""""))"),"")</f>
        <v/>
      </c>
      <c r="AB187" s="590"/>
      <c r="AC187" s="593" t="str">
        <f>IFERROR(__xludf.DUMMYFUNCTION("IF(AB187="""","""",IFERROR(INDEX(FILTER('特殊配信マスタ'!$F$3:$F$16,('特殊配信マスタ'!$A$3:$A$16=CHOOSE(WEEKDAY(AB$1),""日"",""月"",""火"",""水"",""木"",""金"",""土""))*('特殊配信マスタ'!$B$3:$B$16=Z$3)*('特殊配信マスタ'!$R$3:$R$16=MOD(INT((AB$1-'特殊配信マスタ'!$A$1)/7),3)+1)),1),""""))"),"")</f>
        <v/>
      </c>
      <c r="AD187" s="590"/>
      <c r="AE187" s="593" t="str">
        <f>IFERROR(__xludf.DUMMYFUNCTION("IF(AB187="""","""",IFERROR(INDEX(FILTER('特殊配信マスタ'!$O$3:$O$16,('特殊配信マスタ'!$A$3:$A$16=CHOOSE(WEEKDAY(AB$1),""日"",""月"",""火"",""水"",""木"",""金"",""土""))*('特殊配信マスタ'!$B$3:$B$16=Z$3)*('特殊配信マスタ'!$R$3:$R$16=MOD(INT((AB$1-'特殊配信マスタ'!$A$1)/7),3)+1)),1),""""))"),"")</f>
        <v/>
      </c>
      <c r="AF187" s="593" t="str">
        <f>IFERROR(__xludf.DUMMYFUNCTION("IF(AB187="""","""",IFERROR(INDEX(FILTER('特殊配信マスタ'!$P$3:$P$16,('特殊配信マスタ'!$A$3:$A$16=CHOOSE(WEEKDAY(AB$1),""日"",""月"",""火"",""水"",""木"",""金"",""土""))*('特殊配信マスタ'!$B$3:$B$16=Z$3)*('特殊配信マスタ'!$R$3:$R$16=MOD(INT((AB$1-'特殊配信マスタ'!$A$1)/7),3)+1)),1),""""))"),"")</f>
        <v/>
      </c>
      <c r="AG187" s="590"/>
      <c r="AH187" s="593" t="str">
        <f>IFERROR(__xludf.DUMMYFUNCTION("IF(AG187="""","""",IFERROR(INDEX(FILTER('特殊配信マスタ'!$F$3:$F$16,('特殊配信マスタ'!$A$3:$A$16=CHOOSE(WEEKDAY(AG$1),""日"",""月"",""火"",""水"",""木"",""金"",""土""))*('特殊配信マスタ'!$B$3:$B$16=AE$3)*('特殊配信マスタ'!$R$3:$R$16=MOD(INT((AG$1-'特殊配信マスタ'!$A$1)/7),3)+1)),1),""""))"),"")</f>
        <v/>
      </c>
      <c r="AI187" s="590"/>
      <c r="AJ187" s="593" t="str">
        <f>IFERROR(__xludf.DUMMYFUNCTION("IF(AG187="""","""",IFERROR(INDEX(FILTER('特殊配信マスタ'!$O$3:$O$16,('特殊配信マスタ'!$A$3:$A$16=CHOOSE(WEEKDAY(AG$1),""日"",""月"",""火"",""水"",""木"",""金"",""土""))*('特殊配信マスタ'!$B$3:$B$16=AE$3)*('特殊配信マスタ'!$R$3:$R$16=MOD(INT((AG$1-'特殊配信マスタ'!$A$1)/7),3)+1)),1),""""))"),"")</f>
        <v/>
      </c>
      <c r="AK187" s="593" t="str">
        <f>IFERROR(__xludf.DUMMYFUNCTION("IF(AG187="""","""",IFERROR(INDEX(FILTER('特殊配信マスタ'!$P$3:$P$16,('特殊配信マスタ'!$A$3:$A$16=CHOOSE(WEEKDAY(AG$1),""日"",""月"",""火"",""水"",""木"",""金"",""土""))*('特殊配信マスタ'!$B$3:$B$16=AE$3)*('特殊配信マスタ'!$R$3:$R$16=MOD(INT((AG$1-'特殊配信マスタ'!$A$1)/7),3)+1)),1),""""))"),"")</f>
        <v/>
      </c>
    </row>
    <row r="188" ht="17.25" customHeight="1">
      <c r="A188" s="587"/>
      <c r="B188" s="585" t="s">
        <v>1451</v>
      </c>
      <c r="C188" s="590" t="str">
        <f>IFERROR(__xludf.DUMMYFUNCTION("IFERROR(INDEX(FILTER('特殊配信マスタ'!$E$3:$E$16, (TEXT('特殊配信マスタ'!$A$3:$A$16,""ddd"")=TEXT(C$1,""ddd""))*(IFERROR(VALUE('特殊配信マスタ'!$B$3:$B$16),0)=VALUE(LOOKUP(2,1/($A$3:$A188&lt;&gt;""""),$A$3:$A188)))*('特殊配信マスタ'!$Q$3:$Q$16&lt;&gt;TRUE)), 1), """")"),"")</f>
        <v/>
      </c>
      <c r="D188" s="593" t="str">
        <f>IFERROR(__xludf.DUMMYFUNCTION("IF(C188="""","""",IFERROR(INDEX(FILTER('特殊配信マスタ'!$F$3:$F$16,('特殊配信マスタ'!$A$3:$A$16=CHOOSE(WEEKDAY(C$1),""日"",""月"",""火"",""水"",""木"",""金"",""土""))*('特殊配信マスタ'!$B$3:$B$16=A$3)*('特殊配信マスタ'!$R$3:$R$16=MOD(INT((C$1-'特殊配信マスタ'!$A$1)/7),3)+1)),1),""""))"),"")</f>
        <v/>
      </c>
      <c r="E188" s="590"/>
      <c r="F188" s="593" t="str">
        <f>IFERROR(__xludf.DUMMYFUNCTION("IF(C188="""","""",IFERROR(INDEX(FILTER('特殊配信マスタ'!$O$3:$O$16, '特殊配信マスタ'!$E$3:$E$16=C188),1),""""))"),"")</f>
        <v/>
      </c>
      <c r="G188" s="593" t="str">
        <f>IFERROR(__xludf.DUMMYFUNCTION("IF(C188="""","""",IFERROR(INDEX(FILTER('特殊配信マスタ'!$P$3:$P$16, '特殊配信マスタ'!$E$3:$E$16=C188),1),""""))"),"")</f>
        <v/>
      </c>
      <c r="H188" s="590" t="str">
        <f>IFERROR(__xludf.DUMMYFUNCTION("IFERROR(INDEX(FILTER('特殊配信マスタ'!$E$3:$E$16, (TEXT('特殊配信マスタ'!$A$3:$A$16,""ddd"")=TEXT(H$1,""ddd""))*(IFERROR(VALUE('特殊配信マスタ'!$B$3:$B$16),0)=VALUE(LOOKUP(2,1/($A$3:$A188&lt;&gt;""""),$A$3:$A188)))*('特殊配信マスタ'!$Q$3:$Q$16&lt;&gt;TRUE)), 1), """")"),"")</f>
        <v/>
      </c>
      <c r="I188" s="593" t="str">
        <f>IFERROR(__xludf.DUMMYFUNCTION("IF(H188="""","""",IFERROR(INDEX(FILTER('特殊配信マスタ'!$F$3:$F$16,('特殊配信マスタ'!$A$3:$A$16=CHOOSE(WEEKDAY(H$1),""日"",""月"",""火"",""水"",""木"",""金"",""土""))*('特殊配信マスタ'!$B$3:$B$16=F$3)*('特殊配信マスタ'!$R$3:$R$16=MOD(INT((H$1-'特殊配信マスタ'!$A$1)/7),3)+1)),1),""""))"),"")</f>
        <v/>
      </c>
      <c r="J188" s="590"/>
      <c r="K188" s="593" t="str">
        <f>IFERROR(__xludf.DUMMYFUNCTION("IF(H188="""","""",IFERROR(INDEX(FILTER('特殊配信マスタ'!$O$3:$O$16, '特殊配信マスタ'!$E$3:$E$16=H188),1),""""))"),"")</f>
        <v/>
      </c>
      <c r="L188" s="593" t="str">
        <f>IFERROR(__xludf.DUMMYFUNCTION("IF(H188="""","""",IFERROR(INDEX(FILTER('特殊配信マスタ'!$P$3:$P$16, '特殊配信マスタ'!$E$3:$E$16=H188),1),""""))"),"")</f>
        <v/>
      </c>
      <c r="M188" s="590" t="str">
        <f>IFERROR(__xludf.DUMMYFUNCTION("IFERROR(INDEX(FILTER('特殊配信マスタ'!$E$3:$E$16, (TEXT('特殊配信マスタ'!$A$3:$A$16,""ddd"")=TEXT(M$1,""ddd""))*(IFERROR(VALUE('特殊配信マスタ'!$B$3:$B$16),0)=VALUE(LOOKUP(2,1/($A$3:$A188&lt;&gt;""""),$A$3:$A188)))*('特殊配信マスタ'!$Q$3:$Q$16&lt;&gt;TRUE)), 1), """")"),"")</f>
        <v/>
      </c>
      <c r="N188" s="593" t="str">
        <f>IFERROR(__xludf.DUMMYFUNCTION("IF(M188="""","""",IFERROR(INDEX(FILTER('特殊配信マスタ'!$F$3:$F$16,('特殊配信マスタ'!$A$3:$A$16=CHOOSE(WEEKDAY(M$1),""日"",""月"",""火"",""水"",""木"",""金"",""土""))*('特殊配信マスタ'!$B$3:$B$16=K$3)*('特殊配信マスタ'!$R$3:$R$16=MOD(INT((M$1-'特殊配信マスタ'!$A$1)/7),3)+1)),1),""""))"),"")</f>
        <v/>
      </c>
      <c r="O188" s="590"/>
      <c r="P188" s="593" t="str">
        <f>IFERROR(__xludf.DUMMYFUNCTION("IF(M188="""","""",IFERROR(INDEX(FILTER('特殊配信マスタ'!$O$3:$O$16, '特殊配信マスタ'!$E$3:$E$16=M188),1),""""))"),"")</f>
        <v/>
      </c>
      <c r="Q188" s="593" t="str">
        <f>IFERROR(__xludf.DUMMYFUNCTION("IF(M188="""","""",IFERROR(INDEX(FILTER('特殊配信マスタ'!$P$3:$P$16, '特殊配信マスタ'!$E$3:$E$16=M188),1),""""))"),"")</f>
        <v/>
      </c>
      <c r="R188" s="590" t="str">
        <f>IFERROR(__xludf.DUMMYFUNCTION("IFERROR(INDEX(FILTER('特殊配信マスタ'!$E$3:$E$16, (TEXT('特殊配信マスタ'!$A$3:$A$16,""ddd"")=TEXT(R$1,""ddd""))*(IFERROR(VALUE('特殊配信マスタ'!$B$3:$B$16),0)=VALUE(LOOKUP(2,1/($A$3:$A188&lt;&gt;""""),$A$3:$A188)))*('特殊配信マスタ'!$Q$3:$Q$16&lt;&gt;TRUE)), 1), """")"),"")</f>
        <v/>
      </c>
      <c r="S188" s="593" t="str">
        <f>IFERROR(__xludf.DUMMYFUNCTION("IF(R188="""","""",IFERROR(INDEX(FILTER('特殊配信マスタ'!$F$3:$F$16,('特殊配信マスタ'!$A$3:$A$16=CHOOSE(WEEKDAY(R$1),""日"",""月"",""火"",""水"",""木"",""金"",""土""))*('特殊配信マスタ'!$B$3:$B$16=P$3)*('特殊配信マスタ'!$R$3:$R$16=MOD(INT((R$1-'特殊配信マスタ'!$A$1)/7),3)+1)),1),""""))"),"")</f>
        <v/>
      </c>
      <c r="T188" s="590"/>
      <c r="U188" s="593" t="str">
        <f>IFERROR(__xludf.DUMMYFUNCTION("IF(R188="""","""",IFERROR(INDEX(FILTER('特殊配信マスタ'!$O$3:$O$16, '特殊配信マスタ'!$E$3:$E$16=R188),1),""""))"),"")</f>
        <v/>
      </c>
      <c r="V188" s="593" t="str">
        <f>IFERROR(__xludf.DUMMYFUNCTION("IF(R188="""","""",IFERROR(INDEX(FILTER('特殊配信マスタ'!$P$3:$P$16, '特殊配信マスタ'!$E$3:$E$16=R188),1),""""))"),"")</f>
        <v/>
      </c>
      <c r="W188" s="590" t="str">
        <f>IFERROR(__xludf.DUMMYFUNCTION("IFERROR(INDEX(FILTER('特殊配信マスタ'!$E$3:$E$16, (TEXT('特殊配信マスタ'!$A$3:$A$16,""ddd"")=TEXT(W$1,""ddd""))*(IFERROR(VALUE('特殊配信マスタ'!$B$3:$B$16),0)=VALUE(LOOKUP(2,1/($A$3:$A188&lt;&gt;""""),$A$3:$A188)))*('特殊配信マスタ'!$Q$3:$Q$16&lt;&gt;TRUE)), 1), """")"),"")</f>
        <v/>
      </c>
      <c r="X188" s="593" t="str">
        <f>IFERROR(__xludf.DUMMYFUNCTION("IF(W188="""","""",IFERROR(INDEX(FILTER('特殊配信マスタ'!$F$3:$F$16,('特殊配信マスタ'!$A$3:$A$16=CHOOSE(WEEKDAY(W$1),""日"",""月"",""火"",""水"",""木"",""金"",""土""))*('特殊配信マスタ'!$B$3:$B$16=U$3)*('特殊配信マスタ'!$R$3:$R$16=MOD(INT((W$1-'特殊配信マスタ'!$A$1)/7),3)+1)),1),""""))"),"")</f>
        <v/>
      </c>
      <c r="Y188" s="590"/>
      <c r="Z188" s="593" t="str">
        <f>IFERROR(__xludf.DUMMYFUNCTION("IF(W188="""","""",IFERROR(INDEX(FILTER('特殊配信マスタ'!$O$3:$O$16, '特殊配信マスタ'!$E$3:$E$16=W188),1),""""))"),"")</f>
        <v/>
      </c>
      <c r="AA188" s="593" t="str">
        <f>IFERROR(__xludf.DUMMYFUNCTION("IF(W188="""","""",IFERROR(INDEX(FILTER('特殊配信マスタ'!$P$3:$P$16, '特殊配信マスタ'!$E$3:$E$16=W188),1),""""))"),"")</f>
        <v/>
      </c>
      <c r="AB188" s="590" t="str">
        <f>IFERROR(__xludf.DUMMYFUNCTION("IFERROR(INDEX(FILTER('特殊配信マスタ'!$E$3:$E$16, (TEXT('特殊配信マスタ'!$A$3:$A$16,""ddd"")=TEXT(AB$1,""ddd""))*(IFERROR(VALUE('特殊配信マスタ'!$B$3:$B$16),0)=VALUE(LOOKUP(2,1/($A$3:$A188&lt;&gt;""""),$A$3:$A188)))*('特殊配信マスタ'!$Q$3:$Q$16&lt;&gt;TRUE)), 1), """")"),"")</f>
        <v/>
      </c>
      <c r="AC188" s="593" t="str">
        <f>IFERROR(__xludf.DUMMYFUNCTION("IF(AB188="""","""",IFERROR(INDEX(FILTER('特殊配信マスタ'!$F$3:$F$16,('特殊配信マスタ'!$A$3:$A$16=CHOOSE(WEEKDAY(AB$1),""日"",""月"",""火"",""水"",""木"",""金"",""土""))*('特殊配信マスタ'!$B$3:$B$16=Z$3)*('特殊配信マスタ'!$R$3:$R$16=MOD(INT((AB$1-'特殊配信マスタ'!$A$1)/7),3)+1)),1),""""))"),"")</f>
        <v/>
      </c>
      <c r="AD188" s="590"/>
      <c r="AE188" s="593" t="str">
        <f>IFERROR(__xludf.DUMMYFUNCTION("IF(AB188="""","""",IFERROR(INDEX(FILTER('特殊配信マスタ'!$O$3:$O$16, '特殊配信マスタ'!$E$3:$E$16=AB188),1),""""))"),"")</f>
        <v/>
      </c>
      <c r="AF188" s="593" t="str">
        <f>IFERROR(__xludf.DUMMYFUNCTION("IF(AB188="""","""",IFERROR(INDEX(FILTER('特殊配信マスタ'!$P$3:$P$16, '特殊配信マスタ'!$E$3:$E$16=AB188),1),""""))"),"")</f>
        <v/>
      </c>
      <c r="AG188" s="590" t="str">
        <f>IFERROR(__xludf.DUMMYFUNCTION("IFERROR(INDEX(FILTER('特殊配信マスタ'!$E$3:$E$16, (TEXT('特殊配信マスタ'!$A$3:$A$16,""ddd"")=TEXT(AG$1,""ddd""))*(IFERROR(VALUE('特殊配信マスタ'!$B$3:$B$16),0)=VALUE(LOOKUP(2,1/($A$3:$A188&lt;&gt;""""),$A$3:$A188)))*('特殊配信マスタ'!$Q$3:$Q$16&lt;&gt;TRUE)), 1), """")"),"")</f>
        <v/>
      </c>
      <c r="AH188" s="593" t="str">
        <f>IFERROR(__xludf.DUMMYFUNCTION("IF(AG188="""","""",IFERROR(INDEX(FILTER('特殊配信マスタ'!$F$3:$F$16,('特殊配信マスタ'!$A$3:$A$16=CHOOSE(WEEKDAY(AG$1),""日"",""月"",""火"",""水"",""木"",""金"",""土""))*('特殊配信マスタ'!$B$3:$B$16=AE$3)*('特殊配信マスタ'!$R$3:$R$16=MOD(INT((AG$1-'特殊配信マスタ'!$A$1)/7),3)+1)),1),""""))"),"")</f>
        <v/>
      </c>
      <c r="AI188" s="590"/>
      <c r="AJ188" s="593" t="str">
        <f>IFERROR(__xludf.DUMMYFUNCTION("IF(AG188="""","""",IFERROR(INDEX(FILTER('特殊配信マスタ'!$O$3:$O$16, '特殊配信マスタ'!$E$3:$E$16=AG188),1),""""))"),"")</f>
        <v/>
      </c>
      <c r="AK188" s="593" t="str">
        <f>IFERROR(__xludf.DUMMYFUNCTION("IF(AG188="""","""",IFERROR(INDEX(FILTER('特殊配信マスタ'!$P$3:$P$16, '特殊配信マスタ'!$E$3:$E$16=AG188),1),""""))"),"")</f>
        <v/>
      </c>
    </row>
    <row r="189" ht="17.25" customHeight="1">
      <c r="A189" s="587"/>
      <c r="B189" s="588"/>
      <c r="C189" s="590" t="str">
        <f>IFERROR(__xludf.DUMMYFUNCTION("IFERROR(INDEX(FILTER('特殊配信マスタ'!$E$3:$E$16, (TEXT('特殊配信マスタ'!$A$3:$A$16,""ddd"")=TEXT(C$1,""ddd""))*(IFERROR(VALUE('特殊配信マスタ'!$B$3:$B$16),0)=VALUE(LOOKUP(2,1/($A$3:$A189&lt;&gt;""""),$A$3:$A189)))*('特殊配信マスタ'!$Q$3:$Q$16&lt;&gt;TRUE)), 2), """")"),"")</f>
        <v/>
      </c>
      <c r="D189" s="593" t="str">
        <f>IFERROR(__xludf.DUMMYFUNCTION("IF(C189="""","""",IFERROR(INDEX(FILTER('特殊配信マスタ'!$F$3:$F$16,('特殊配信マスタ'!$A$3:$A$16=CHOOSE(WEEKDAY(C$1),""日"",""月"",""火"",""水"",""木"",""金"",""土""))*('特殊配信マスタ'!$B$3:$B$16=A$3)*('特殊配信マスタ'!$R$3:$R$16=MOD(INT((C$1-'特殊配信マスタ'!$A$1)/7),3)+1)),1),""""))"),"")</f>
        <v/>
      </c>
      <c r="E189" s="590"/>
      <c r="F189" s="593" t="str">
        <f>IFERROR(__xludf.DUMMYFUNCTION("IF(C189="""","""",IFERROR(INDEX(FILTER('特殊配信マスタ'!$O$3:$O$16, '特殊配信マスタ'!$E$3:$E$16=C189),1),""""))"),"")</f>
        <v/>
      </c>
      <c r="G189" s="593" t="str">
        <f>IFERROR(__xludf.DUMMYFUNCTION("IF(C189="""","""",IFERROR(INDEX(FILTER('特殊配信マスタ'!$P$3:$P$16, '特殊配信マスタ'!$E$3:$E$16=C189),1),""""))"),"")</f>
        <v/>
      </c>
      <c r="H189" s="590" t="str">
        <f>IFERROR(__xludf.DUMMYFUNCTION("IFERROR(INDEX(FILTER('特殊配信マスタ'!$E$3:$E$16, (TEXT('特殊配信マスタ'!$A$3:$A$16,""ddd"")=TEXT(H$1,""ddd""))*(IFERROR(VALUE('特殊配信マスタ'!$B$3:$B$16),0)=VALUE(LOOKUP(2,1/($A$3:$A189&lt;&gt;""""),$A$3:$A189)))*('特殊配信マスタ'!$Q$3:$Q$16&lt;&gt;TRUE)), 2), """")"),"")</f>
        <v/>
      </c>
      <c r="I189" s="593" t="str">
        <f>IFERROR(__xludf.DUMMYFUNCTION("IF(H189="""","""",IFERROR(INDEX(FILTER('特殊配信マスタ'!$F$3:$F$16,('特殊配信マスタ'!$A$3:$A$16=CHOOSE(WEEKDAY(H$1),""日"",""月"",""火"",""水"",""木"",""金"",""土""))*('特殊配信マスタ'!$B$3:$B$16=F$3)*('特殊配信マスタ'!$R$3:$R$16=MOD(INT((H$1-'特殊配信マスタ'!$A$1)/7),3)+1)),1),""""))"),"")</f>
        <v/>
      </c>
      <c r="J189" s="590"/>
      <c r="K189" s="593" t="str">
        <f>IFERROR(__xludf.DUMMYFUNCTION("IF(H189="""","""",IFERROR(INDEX(FILTER('特殊配信マスタ'!$O$3:$O$16, '特殊配信マスタ'!$E$3:$E$16=H189),1),""""))"),"")</f>
        <v/>
      </c>
      <c r="L189" s="593" t="str">
        <f>IFERROR(__xludf.DUMMYFUNCTION("IF(H189="""","""",IFERROR(INDEX(FILTER('特殊配信マスタ'!$P$3:$P$16, '特殊配信マスタ'!$E$3:$E$16=H189),1),""""))"),"")</f>
        <v/>
      </c>
      <c r="M189" s="590" t="str">
        <f>IFERROR(__xludf.DUMMYFUNCTION("IFERROR(INDEX(FILTER('特殊配信マスタ'!$E$3:$E$16, (TEXT('特殊配信マスタ'!$A$3:$A$16,""ddd"")=TEXT(M$1,""ddd""))*(IFERROR(VALUE('特殊配信マスタ'!$B$3:$B$16),0)=VALUE(LOOKUP(2,1/($A$3:$A189&lt;&gt;""""),$A$3:$A189)))*('特殊配信マスタ'!$Q$3:$Q$16&lt;&gt;TRUE)), 2), """")"),"")</f>
        <v/>
      </c>
      <c r="N189" s="593" t="str">
        <f>IFERROR(__xludf.DUMMYFUNCTION("IF(M189="""","""",IFERROR(INDEX(FILTER('特殊配信マスタ'!$F$3:$F$16,('特殊配信マスタ'!$A$3:$A$16=CHOOSE(WEEKDAY(M$1),""日"",""月"",""火"",""水"",""木"",""金"",""土""))*('特殊配信マスタ'!$B$3:$B$16=K$3)*('特殊配信マスタ'!$R$3:$R$16=MOD(INT((M$1-'特殊配信マスタ'!$A$1)/7),3)+1)),1),""""))"),"")</f>
        <v/>
      </c>
      <c r="O189" s="590"/>
      <c r="P189" s="593" t="str">
        <f>IFERROR(__xludf.DUMMYFUNCTION("IF(M189="""","""",IFERROR(INDEX(FILTER('特殊配信マスタ'!$O$3:$O$16, '特殊配信マスタ'!$E$3:$E$16=M189),1),""""))"),"")</f>
        <v/>
      </c>
      <c r="Q189" s="593" t="str">
        <f>IFERROR(__xludf.DUMMYFUNCTION("IF(M189="""","""",IFERROR(INDEX(FILTER('特殊配信マスタ'!$P$3:$P$16, '特殊配信マスタ'!$E$3:$E$16=M189),1),""""))"),"")</f>
        <v/>
      </c>
      <c r="R189" s="590" t="str">
        <f>IFERROR(__xludf.DUMMYFUNCTION("IFERROR(INDEX(FILTER('特殊配信マスタ'!$E$3:$E$16, (TEXT('特殊配信マスタ'!$A$3:$A$16,""ddd"")=TEXT(R$1,""ddd""))*(IFERROR(VALUE('特殊配信マスタ'!$B$3:$B$16),0)=VALUE(LOOKUP(2,1/($A$3:$A189&lt;&gt;""""),$A$3:$A189)))*('特殊配信マスタ'!$Q$3:$Q$16&lt;&gt;TRUE)), 2), """")"),"")</f>
        <v/>
      </c>
      <c r="S189" s="593" t="str">
        <f>IFERROR(__xludf.DUMMYFUNCTION("IF(R189="""","""",IFERROR(INDEX(FILTER('特殊配信マスタ'!$F$3:$F$16,('特殊配信マスタ'!$A$3:$A$16=CHOOSE(WEEKDAY(R$1),""日"",""月"",""火"",""水"",""木"",""金"",""土""))*('特殊配信マスタ'!$B$3:$B$16=P$3)*('特殊配信マスタ'!$R$3:$R$16=MOD(INT((R$1-'特殊配信マスタ'!$A$1)/7),3)+1)),1),""""))"),"")</f>
        <v/>
      </c>
      <c r="T189" s="590"/>
      <c r="U189" s="593" t="str">
        <f>IFERROR(__xludf.DUMMYFUNCTION("IF(R189="""","""",IFERROR(INDEX(FILTER('特殊配信マスタ'!$O$3:$O$16, '特殊配信マスタ'!$E$3:$E$16=R189),1),""""))"),"")</f>
        <v/>
      </c>
      <c r="V189" s="593" t="str">
        <f>IFERROR(__xludf.DUMMYFUNCTION("IF(R189="""","""",IFERROR(INDEX(FILTER('特殊配信マスタ'!$P$3:$P$16, '特殊配信マスタ'!$E$3:$E$16=R189),1),""""))"),"")</f>
        <v/>
      </c>
      <c r="W189" s="590" t="str">
        <f>IFERROR(__xludf.DUMMYFUNCTION("IFERROR(INDEX(FILTER('特殊配信マスタ'!$E$3:$E$16, (TEXT('特殊配信マスタ'!$A$3:$A$16,""ddd"")=TEXT(W$1,""ddd""))*(IFERROR(VALUE('特殊配信マスタ'!$B$3:$B$16),0)=VALUE(LOOKUP(2,1/($A$3:$A189&lt;&gt;""""),$A$3:$A189)))*('特殊配信マスタ'!$Q$3:$Q$16&lt;&gt;TRUE)), 2), """")"),"")</f>
        <v/>
      </c>
      <c r="X189" s="593" t="str">
        <f>IFERROR(__xludf.DUMMYFUNCTION("IF(W189="""","""",IFERROR(INDEX(FILTER('特殊配信マスタ'!$F$3:$F$16,('特殊配信マスタ'!$A$3:$A$16=CHOOSE(WEEKDAY(W$1),""日"",""月"",""火"",""水"",""木"",""金"",""土""))*('特殊配信マスタ'!$B$3:$B$16=U$3)*('特殊配信マスタ'!$R$3:$R$16=MOD(INT((W$1-'特殊配信マスタ'!$A$1)/7),3)+1)),1),""""))"),"")</f>
        <v/>
      </c>
      <c r="Y189" s="590"/>
      <c r="Z189" s="593" t="str">
        <f>IFERROR(__xludf.DUMMYFUNCTION("IF(W189="""","""",IFERROR(INDEX(FILTER('特殊配信マスタ'!$O$3:$O$16, '特殊配信マスタ'!$E$3:$E$16=W189),1),""""))"),"")</f>
        <v/>
      </c>
      <c r="AA189" s="593" t="str">
        <f>IFERROR(__xludf.DUMMYFUNCTION("IF(W189="""","""",IFERROR(INDEX(FILTER('特殊配信マスタ'!$P$3:$P$16, '特殊配信マスタ'!$E$3:$E$16=W189),1),""""))"),"")</f>
        <v/>
      </c>
      <c r="AB189" s="590" t="str">
        <f>IFERROR(__xludf.DUMMYFUNCTION("IFERROR(INDEX(FILTER('特殊配信マスタ'!$E$3:$E$16, (TEXT('特殊配信マスタ'!$A$3:$A$16,""ddd"")=TEXT(AB$1,""ddd""))*(IFERROR(VALUE('特殊配信マスタ'!$B$3:$B$16),0)=VALUE(LOOKUP(2,1/($A$3:$A189&lt;&gt;""""),$A$3:$A189)))*('特殊配信マスタ'!$Q$3:$Q$16&lt;&gt;TRUE)), 2), """")"),"")</f>
        <v/>
      </c>
      <c r="AC189" s="593" t="str">
        <f>IFERROR(__xludf.DUMMYFUNCTION("IF(AB189="""","""",IFERROR(INDEX(FILTER('特殊配信マスタ'!$F$3:$F$16,('特殊配信マスタ'!$A$3:$A$16=CHOOSE(WEEKDAY(AB$1),""日"",""月"",""火"",""水"",""木"",""金"",""土""))*('特殊配信マスタ'!$B$3:$B$16=Z$3)*('特殊配信マスタ'!$R$3:$R$16=MOD(INT((AB$1-'特殊配信マスタ'!$A$1)/7),3)+1)),1),""""))"),"")</f>
        <v/>
      </c>
      <c r="AD189" s="590"/>
      <c r="AE189" s="593" t="str">
        <f>IFERROR(__xludf.DUMMYFUNCTION("IF(AB189="""","""",IFERROR(INDEX(FILTER('特殊配信マスタ'!$O$3:$O$16, '特殊配信マスタ'!$E$3:$E$16=AB189),1),""""))"),"")</f>
        <v/>
      </c>
      <c r="AF189" s="593" t="str">
        <f>IFERROR(__xludf.DUMMYFUNCTION("IF(AB189="""","""",IFERROR(INDEX(FILTER('特殊配信マスタ'!$P$3:$P$16, '特殊配信マスタ'!$E$3:$E$16=AB189),1),""""))"),"")</f>
        <v/>
      </c>
      <c r="AG189" s="590" t="str">
        <f>IFERROR(__xludf.DUMMYFUNCTION("IFERROR(INDEX(FILTER('特殊配信マスタ'!$E$3:$E$16, (TEXT('特殊配信マスタ'!$A$3:$A$16,""ddd"")=TEXT(AG$1,""ddd""))*(IFERROR(VALUE('特殊配信マスタ'!$B$3:$B$16),0)=VALUE(LOOKUP(2,1/($A$3:$A189&lt;&gt;""""),$A$3:$A189)))*('特殊配信マスタ'!$Q$3:$Q$16&lt;&gt;TRUE)), 2), """")"),"")</f>
        <v/>
      </c>
      <c r="AH189" s="593" t="str">
        <f>IFERROR(__xludf.DUMMYFUNCTION("IF(AG189="""","""",IFERROR(INDEX(FILTER('特殊配信マスタ'!$F$3:$F$16,('特殊配信マスタ'!$A$3:$A$16=CHOOSE(WEEKDAY(AG$1),""日"",""月"",""火"",""水"",""木"",""金"",""土""))*('特殊配信マスタ'!$B$3:$B$16=AE$3)*('特殊配信マスタ'!$R$3:$R$16=MOD(INT((AG$1-'特殊配信マスタ'!$A$1)/7),3)+1)),1),""""))"),"")</f>
        <v/>
      </c>
      <c r="AI189" s="590"/>
      <c r="AJ189" s="593" t="str">
        <f>IFERROR(__xludf.DUMMYFUNCTION("IF(AG189="""","""",IFERROR(INDEX(FILTER('特殊配信マスタ'!$O$3:$O$16, '特殊配信マスタ'!$E$3:$E$16=AG189),1),""""))"),"")</f>
        <v/>
      </c>
      <c r="AK189" s="593" t="str">
        <f>IFERROR(__xludf.DUMMYFUNCTION("IF(AG189="""","""",IFERROR(INDEX(FILTER('特殊配信マスタ'!$P$3:$P$16, '特殊配信マスタ'!$E$3:$E$16=AG189),1),""""))"),"")</f>
        <v/>
      </c>
    </row>
    <row r="190" ht="17.25" customHeight="1">
      <c r="A190" s="587"/>
      <c r="B190" s="588"/>
      <c r="C190" s="590" t="str">
        <f>IFERROR(__xludf.DUMMYFUNCTION("IFERROR(INDEX(FILTER('特殊配信マスタ'!$E$3:$E$16, (TEXT('特殊配信マスタ'!$A$3:$A$16,""ddd"")=TEXT(C$1,""ddd""))*(IFERROR(VALUE('特殊配信マスタ'!$B$3:$B$16),0)=VALUE(LOOKUP(2,1/($A$3:$A190&lt;&gt;""""),$A$3:$A190)))*('特殊配信マスタ'!$Q$3:$Q$16&lt;&gt;TRUE)), 3), """")"),"")</f>
        <v/>
      </c>
      <c r="D190" s="593"/>
      <c r="E190" s="590"/>
      <c r="F190" s="593" t="str">
        <f>IFERROR(__xludf.DUMMYFUNCTION("IF(C190="""","""",IFERROR(INDEX(FILTER('特殊配信マスタ'!$O$3:$O$16, '特殊配信マスタ'!$E$3:$E$16=C190),1),""""))"),"")</f>
        <v/>
      </c>
      <c r="G190" s="593" t="str">
        <f>IFERROR(__xludf.DUMMYFUNCTION("IF(C190="""","""",IFERROR(INDEX(FILTER('特殊配信マスタ'!$P$3:$P$16, '特殊配信マスタ'!$E$3:$E$16=C190),1),""""))"),"")</f>
        <v/>
      </c>
      <c r="H190" s="590" t="str">
        <f>IFERROR(__xludf.DUMMYFUNCTION("IFERROR(INDEX(FILTER('特殊配信マスタ'!$E$3:$E$16, (TEXT('特殊配信マスタ'!$A$3:$A$16,""ddd"")=TEXT(H$1,""ddd""))*(IFERROR(VALUE('特殊配信マスタ'!$B$3:$B$16),0)=VALUE(LOOKUP(2,1/($A$3:$A190&lt;&gt;""""),$A$3:$A190)))*('特殊配信マスタ'!$Q$3:$Q$16&lt;&gt;TRUE)), 3), """")"),"")</f>
        <v/>
      </c>
      <c r="I190" s="593"/>
      <c r="J190" s="590"/>
      <c r="K190" s="593" t="str">
        <f>IFERROR(__xludf.DUMMYFUNCTION("IF(H190="""","""",IFERROR(INDEX(FILTER('特殊配信マスタ'!$O$3:$O$16, '特殊配信マスタ'!$E$3:$E$16=H190),1),""""))"),"")</f>
        <v/>
      </c>
      <c r="L190" s="593" t="str">
        <f>IFERROR(__xludf.DUMMYFUNCTION("IF(H190="""","""",IFERROR(INDEX(FILTER('特殊配信マスタ'!$P$3:$P$16, '特殊配信マスタ'!$E$3:$E$16=H190),1),""""))"),"")</f>
        <v/>
      </c>
      <c r="M190" s="590" t="str">
        <f>IFERROR(__xludf.DUMMYFUNCTION("IFERROR(INDEX(FILTER('特殊配信マスタ'!$E$3:$E$16, (TEXT('特殊配信マスタ'!$A$3:$A$16,""ddd"")=TEXT(M$1,""ddd""))*(IFERROR(VALUE('特殊配信マスタ'!$B$3:$B$16),0)=VALUE(LOOKUP(2,1/($A$3:$A190&lt;&gt;""""),$A$3:$A190)))*('特殊配信マスタ'!$Q$3:$Q$16&lt;&gt;TRUE)), 3), """")"),"")</f>
        <v/>
      </c>
      <c r="N190" s="593"/>
      <c r="O190" s="590"/>
      <c r="P190" s="593" t="str">
        <f>IFERROR(__xludf.DUMMYFUNCTION("IF(M190="""","""",IFERROR(INDEX(FILTER('特殊配信マスタ'!$O$3:$O$16, '特殊配信マスタ'!$E$3:$E$16=M190),1),""""))"),"")</f>
        <v/>
      </c>
      <c r="Q190" s="593" t="str">
        <f>IFERROR(__xludf.DUMMYFUNCTION("IF(M190="""","""",IFERROR(INDEX(FILTER('特殊配信マスタ'!$P$3:$P$16, '特殊配信マスタ'!$E$3:$E$16=M190),1),""""))"),"")</f>
        <v/>
      </c>
      <c r="R190" s="590" t="str">
        <f>IFERROR(__xludf.DUMMYFUNCTION("IFERROR(INDEX(FILTER('特殊配信マスタ'!$E$3:$E$16, (TEXT('特殊配信マスタ'!$A$3:$A$16,""ddd"")=TEXT(R$1,""ddd""))*(IFERROR(VALUE('特殊配信マスタ'!$B$3:$B$16),0)=VALUE(LOOKUP(2,1/($A$3:$A190&lt;&gt;""""),$A$3:$A190)))*('特殊配信マスタ'!$Q$3:$Q$16&lt;&gt;TRUE)), 3), """")"),"")</f>
        <v/>
      </c>
      <c r="S190" s="593"/>
      <c r="T190" s="590"/>
      <c r="U190" s="593" t="str">
        <f>IFERROR(__xludf.DUMMYFUNCTION("IF(R190="""","""",IFERROR(INDEX(FILTER('特殊配信マスタ'!$O$3:$O$16, '特殊配信マスタ'!$E$3:$E$16=R190),1),""""))"),"")</f>
        <v/>
      </c>
      <c r="V190" s="593" t="str">
        <f>IFERROR(__xludf.DUMMYFUNCTION("IF(R190="""","""",IFERROR(INDEX(FILTER('特殊配信マスタ'!$P$3:$P$16, '特殊配信マスタ'!$E$3:$E$16=R190),1),""""))"),"")</f>
        <v/>
      </c>
      <c r="W190" s="590" t="str">
        <f>IFERROR(__xludf.DUMMYFUNCTION("IFERROR(INDEX(FILTER('特殊配信マスタ'!$E$3:$E$16, (TEXT('特殊配信マスタ'!$A$3:$A$16,""ddd"")=TEXT(W$1,""ddd""))*(IFERROR(VALUE('特殊配信マスタ'!$B$3:$B$16),0)=VALUE(LOOKUP(2,1/($A$3:$A190&lt;&gt;""""),$A$3:$A190)))*('特殊配信マスタ'!$Q$3:$Q$16&lt;&gt;TRUE)), 3), """")"),"")</f>
        <v/>
      </c>
      <c r="X190" s="593"/>
      <c r="Y190" s="590"/>
      <c r="Z190" s="593" t="str">
        <f>IFERROR(__xludf.DUMMYFUNCTION("IF(W190="""","""",IFERROR(INDEX(FILTER('特殊配信マスタ'!$O$3:$O$16, '特殊配信マスタ'!$E$3:$E$16=W190),1),""""))"),"")</f>
        <v/>
      </c>
      <c r="AA190" s="593" t="str">
        <f>IFERROR(__xludf.DUMMYFUNCTION("IF(W190="""","""",IFERROR(INDEX(FILTER('特殊配信マスタ'!$P$3:$P$16, '特殊配信マスタ'!$E$3:$E$16=W190),1),""""))"),"")</f>
        <v/>
      </c>
      <c r="AB190" s="590" t="str">
        <f>IFERROR(__xludf.DUMMYFUNCTION("IFERROR(INDEX(FILTER('特殊配信マスタ'!$E$3:$E$16, (TEXT('特殊配信マスタ'!$A$3:$A$16,""ddd"")=TEXT(AB$1,""ddd""))*(IFERROR(VALUE('特殊配信マスタ'!$B$3:$B$16),0)=VALUE(LOOKUP(2,1/($A$3:$A190&lt;&gt;""""),$A$3:$A190)))*('特殊配信マスタ'!$Q$3:$Q$16&lt;&gt;TRUE)), 3), """")"),"")</f>
        <v/>
      </c>
      <c r="AC190" s="593"/>
      <c r="AD190" s="590"/>
      <c r="AE190" s="593" t="str">
        <f>IFERROR(__xludf.DUMMYFUNCTION("IF(AB190="""","""",IFERROR(INDEX(FILTER('特殊配信マスタ'!$O$3:$O$16, '特殊配信マスタ'!$E$3:$E$16=AB190),1),""""))"),"")</f>
        <v/>
      </c>
      <c r="AF190" s="593" t="str">
        <f>IFERROR(__xludf.DUMMYFUNCTION("IF(AB190="""","""",IFERROR(INDEX(FILTER('特殊配信マスタ'!$P$3:$P$16, '特殊配信マスタ'!$E$3:$E$16=AB190),1),""""))"),"")</f>
        <v/>
      </c>
      <c r="AG190" s="590" t="str">
        <f>IFERROR(__xludf.DUMMYFUNCTION("IFERROR(INDEX(FILTER('特殊配信マスタ'!$E$3:$E$16, (TEXT('特殊配信マスタ'!$A$3:$A$16,""ddd"")=TEXT(AG$1,""ddd""))*(IFERROR(VALUE('特殊配信マスタ'!$B$3:$B$16),0)=VALUE(LOOKUP(2,1/($A$3:$A190&lt;&gt;""""),$A$3:$A190)))*('特殊配信マスタ'!$Q$3:$Q$16&lt;&gt;TRUE)), 3), """")"),"")</f>
        <v/>
      </c>
      <c r="AH190" s="593"/>
      <c r="AI190" s="590"/>
      <c r="AJ190" s="593" t="str">
        <f>IFERROR(__xludf.DUMMYFUNCTION("IF(AG190="""","""",IFERROR(INDEX(FILTER('特殊配信マスタ'!$O$3:$O$16, '特殊配信マスタ'!$E$3:$E$16=AG190),1),""""))"),"")</f>
        <v/>
      </c>
      <c r="AK190" s="593" t="str">
        <f>IFERROR(__xludf.DUMMYFUNCTION("IF(AG190="""","""",IFERROR(INDEX(FILTER('特殊配信マスタ'!$P$3:$P$16, '特殊配信マスタ'!$E$3:$E$16=AG190),1),""""))"),"")</f>
        <v/>
      </c>
    </row>
    <row r="191" ht="17.25" customHeight="1">
      <c r="A191" s="587"/>
      <c r="B191" s="588"/>
      <c r="C191" s="590" t="str">
        <f>IFERROR(__xludf.DUMMYFUNCTION("IFERROR(INDEX(FILTER('特殊配信マスタ'!$E$3:$E$16, (TEXT('特殊配信マスタ'!$A$3:$A$16,""ddd"")=TEXT(C$1,""ddd""))*(IFERROR(VALUE('特殊配信マスタ'!$B$3:$B$16),0)=VALUE(LOOKUP(2,1/($A$3:$A191&lt;&gt;""""),$A$3:$A191)))*('特殊配信マスタ'!$Q$3:$Q$16&lt;&gt;TRUE)), 4), """")"),"")</f>
        <v/>
      </c>
      <c r="D191" s="593" t="str">
        <f>IFERROR(__xludf.DUMMYFUNCTION("IF(C191="""","""",IFERROR(INDEX(FILTER('特殊配信マスタ'!$F$3:$F$16,('特殊配信マスタ'!$A$3:$A$16=CHOOSE(WEEKDAY(C$1),""日"",""月"",""火"",""水"",""木"",""金"",""土""))*('特殊配信マスタ'!$B$3:$B$16=A$3)*('特殊配信マスタ'!$R$3:$R$16=MOD(INT((C$1-'特殊配信マスタ'!$A$1)/7),3)+1)),1),""""))"),"")</f>
        <v/>
      </c>
      <c r="E191" s="590"/>
      <c r="F191" s="593" t="str">
        <f>IFERROR(__xludf.DUMMYFUNCTION("IF(C191="""","""",IFERROR(INDEX(FILTER('特殊配信マスタ'!$O$3:$O$16, '特殊配信マスタ'!$E$3:$E$16=C191),1),""""))"),"")</f>
        <v/>
      </c>
      <c r="G191" s="593" t="str">
        <f>IFERROR(__xludf.DUMMYFUNCTION("IF(C191="""","""",IFERROR(INDEX(FILTER('特殊配信マスタ'!$P$3:$P$16, '特殊配信マスタ'!$E$3:$E$16=C191),1),""""))"),"")</f>
        <v/>
      </c>
      <c r="H191" s="590" t="str">
        <f>IFERROR(__xludf.DUMMYFUNCTION("IFERROR(INDEX(FILTER('特殊配信マスタ'!$E$3:$E$16, (TEXT('特殊配信マスタ'!$A$3:$A$16,""ddd"")=TEXT(H$1,""ddd""))*(IFERROR(VALUE('特殊配信マスタ'!$B$3:$B$16),0)=VALUE(LOOKUP(2,1/($A$3:$A191&lt;&gt;""""),$A$3:$A191)))*('特殊配信マスタ'!$Q$3:$Q$16&lt;&gt;TRUE)), 4), """")"),"")</f>
        <v/>
      </c>
      <c r="I191" s="593" t="str">
        <f>IFERROR(__xludf.DUMMYFUNCTION("IF(H191="""","""",IFERROR(INDEX(FILTER('特殊配信マスタ'!$F$3:$F$16,('特殊配信マスタ'!$A$3:$A$16=CHOOSE(WEEKDAY(H$1),""日"",""月"",""火"",""水"",""木"",""金"",""土""))*('特殊配信マスタ'!$B$3:$B$16=F$3)*('特殊配信マスタ'!$R$3:$R$16=MOD(INT((H$1-'特殊配信マスタ'!$A$1)/7),3)+1)),1),""""))"),"")</f>
        <v/>
      </c>
      <c r="J191" s="590"/>
      <c r="K191" s="593" t="str">
        <f>IFERROR(__xludf.DUMMYFUNCTION("IF(H191="""","""",IFERROR(INDEX(FILTER('特殊配信マスタ'!$O$3:$O$16, '特殊配信マスタ'!$E$3:$E$16=H191),1),""""))"),"")</f>
        <v/>
      </c>
      <c r="L191" s="593" t="str">
        <f>IFERROR(__xludf.DUMMYFUNCTION("IF(H191="""","""",IFERROR(INDEX(FILTER('特殊配信マスタ'!$P$3:$P$16, '特殊配信マスタ'!$E$3:$E$16=H191),1),""""))"),"")</f>
        <v/>
      </c>
      <c r="M191" s="590" t="str">
        <f>IFERROR(__xludf.DUMMYFUNCTION("IFERROR(INDEX(FILTER('特殊配信マスタ'!$E$3:$E$16, (TEXT('特殊配信マスタ'!$A$3:$A$16,""ddd"")=TEXT(M$1,""ddd""))*(IFERROR(VALUE('特殊配信マスタ'!$B$3:$B$16),0)=VALUE(LOOKUP(2,1/($A$3:$A191&lt;&gt;""""),$A$3:$A191)))*('特殊配信マスタ'!$Q$3:$Q$16&lt;&gt;TRUE)), 4), """")"),"")</f>
        <v/>
      </c>
      <c r="N191" s="593" t="str">
        <f>IFERROR(__xludf.DUMMYFUNCTION("IF(M191="""","""",IFERROR(INDEX(FILTER('特殊配信マスタ'!$F$3:$F$16,('特殊配信マスタ'!$A$3:$A$16=CHOOSE(WEEKDAY(M$1),""日"",""月"",""火"",""水"",""木"",""金"",""土""))*('特殊配信マスタ'!$B$3:$B$16=K$3)*('特殊配信マスタ'!$R$3:$R$16=MOD(INT((M$1-'特殊配信マスタ'!$A$1)/7),3)+1)),1),""""))"),"")</f>
        <v/>
      </c>
      <c r="O191" s="590"/>
      <c r="P191" s="593" t="str">
        <f>IFERROR(__xludf.DUMMYFUNCTION("IF(M191="""","""",IFERROR(INDEX(FILTER('特殊配信マスタ'!$O$3:$O$16, '特殊配信マスタ'!$E$3:$E$16=M191),1),""""))"),"")</f>
        <v/>
      </c>
      <c r="Q191" s="593" t="str">
        <f>IFERROR(__xludf.DUMMYFUNCTION("IF(M191="""","""",IFERROR(INDEX(FILTER('特殊配信マスタ'!$P$3:$P$16, '特殊配信マスタ'!$E$3:$E$16=M191),1),""""))"),"")</f>
        <v/>
      </c>
      <c r="R191" s="590" t="str">
        <f>IFERROR(__xludf.DUMMYFUNCTION("IFERROR(INDEX(FILTER('特殊配信マスタ'!$E$3:$E$16, (TEXT('特殊配信マスタ'!$A$3:$A$16,""ddd"")=TEXT(R$1,""ddd""))*(IFERROR(VALUE('特殊配信マスタ'!$B$3:$B$16),0)=VALUE(LOOKUP(2,1/($A$3:$A191&lt;&gt;""""),$A$3:$A191)))*('特殊配信マスタ'!$Q$3:$Q$16&lt;&gt;TRUE)), 4), """")"),"")</f>
        <v/>
      </c>
      <c r="S191" s="593" t="str">
        <f>IFERROR(__xludf.DUMMYFUNCTION("IF(R191="""","""",IFERROR(INDEX(FILTER('特殊配信マスタ'!$F$3:$F$16,('特殊配信マスタ'!$A$3:$A$16=CHOOSE(WEEKDAY(R$1),""日"",""月"",""火"",""水"",""木"",""金"",""土""))*('特殊配信マスタ'!$B$3:$B$16=P$3)*('特殊配信マスタ'!$R$3:$R$16=MOD(INT((R$1-'特殊配信マスタ'!$A$1)/7),3)+1)),1),""""))"),"")</f>
        <v/>
      </c>
      <c r="T191" s="590"/>
      <c r="U191" s="593" t="str">
        <f>IFERROR(__xludf.DUMMYFUNCTION("IF(R191="""","""",IFERROR(INDEX(FILTER('特殊配信マスタ'!$O$3:$O$16, '特殊配信マスタ'!$E$3:$E$16=R191),1),""""))"),"")</f>
        <v/>
      </c>
      <c r="V191" s="593" t="str">
        <f>IFERROR(__xludf.DUMMYFUNCTION("IF(R191="""","""",IFERROR(INDEX(FILTER('特殊配信マスタ'!$P$3:$P$16, '特殊配信マスタ'!$E$3:$E$16=R191),1),""""))"),"")</f>
        <v/>
      </c>
      <c r="W191" s="590" t="str">
        <f>IFERROR(__xludf.DUMMYFUNCTION("IFERROR(INDEX(FILTER('特殊配信マスタ'!$E$3:$E$16, (TEXT('特殊配信マスタ'!$A$3:$A$16,""ddd"")=TEXT(W$1,""ddd""))*(IFERROR(VALUE('特殊配信マスタ'!$B$3:$B$16),0)=VALUE(LOOKUP(2,1/($A$3:$A191&lt;&gt;""""),$A$3:$A191)))*('特殊配信マスタ'!$Q$3:$Q$16&lt;&gt;TRUE)), 4), """")"),"")</f>
        <v/>
      </c>
      <c r="X191" s="593" t="str">
        <f>IFERROR(__xludf.DUMMYFUNCTION("IF(W191="""","""",IFERROR(INDEX(FILTER('特殊配信マスタ'!$F$3:$F$16,('特殊配信マスタ'!$A$3:$A$16=CHOOSE(WEEKDAY(W$1),""日"",""月"",""火"",""水"",""木"",""金"",""土""))*('特殊配信マスタ'!$B$3:$B$16=U$3)*('特殊配信マスタ'!$R$3:$R$16=MOD(INT((W$1-'特殊配信マスタ'!$A$1)/7),3)+1)),1),""""))"),"")</f>
        <v/>
      </c>
      <c r="Y191" s="590"/>
      <c r="Z191" s="593" t="str">
        <f>IFERROR(__xludf.DUMMYFUNCTION("IF(W191="""","""",IFERROR(INDEX(FILTER('特殊配信マスタ'!$O$3:$O$16, '特殊配信マスタ'!$E$3:$E$16=W191),1),""""))"),"")</f>
        <v/>
      </c>
      <c r="AA191" s="593" t="str">
        <f>IFERROR(__xludf.DUMMYFUNCTION("IF(W191="""","""",IFERROR(INDEX(FILTER('特殊配信マスタ'!$P$3:$P$16, '特殊配信マスタ'!$E$3:$E$16=W191),1),""""))"),"")</f>
        <v/>
      </c>
      <c r="AB191" s="590" t="str">
        <f>IFERROR(__xludf.DUMMYFUNCTION("IFERROR(INDEX(FILTER('特殊配信マスタ'!$E$3:$E$16, (TEXT('特殊配信マスタ'!$A$3:$A$16,""ddd"")=TEXT(AB$1,""ddd""))*(IFERROR(VALUE('特殊配信マスタ'!$B$3:$B$16),0)=VALUE(LOOKUP(2,1/($A$3:$A191&lt;&gt;""""),$A$3:$A191)))*('特殊配信マスタ'!$Q$3:$Q$16&lt;&gt;TRUE)), 4), """")"),"")</f>
        <v/>
      </c>
      <c r="AC191" s="593" t="str">
        <f>IFERROR(__xludf.DUMMYFUNCTION("IF(AB191="""","""",IFERROR(INDEX(FILTER('特殊配信マスタ'!$F$3:$F$16,('特殊配信マスタ'!$A$3:$A$16=CHOOSE(WEEKDAY(AB$1),""日"",""月"",""火"",""水"",""木"",""金"",""土""))*('特殊配信マスタ'!$B$3:$B$16=Z$3)*('特殊配信マスタ'!$R$3:$R$16=MOD(INT((AB$1-'特殊配信マスタ'!$A$1)/7),3)+1)),1),""""))"),"")</f>
        <v/>
      </c>
      <c r="AD191" s="590"/>
      <c r="AE191" s="593" t="str">
        <f>IFERROR(__xludf.DUMMYFUNCTION("IF(AB191="""","""",IFERROR(INDEX(FILTER('特殊配信マスタ'!$O$3:$O$16, '特殊配信マスタ'!$E$3:$E$16=AB191),1),""""))"),"")</f>
        <v/>
      </c>
      <c r="AF191" s="593" t="str">
        <f>IFERROR(__xludf.DUMMYFUNCTION("IF(AB191="""","""",IFERROR(INDEX(FILTER('特殊配信マスタ'!$P$3:$P$16, '特殊配信マスタ'!$E$3:$E$16=AB191),1),""""))"),"")</f>
        <v/>
      </c>
      <c r="AG191" s="590" t="str">
        <f>IFERROR(__xludf.DUMMYFUNCTION("IFERROR(INDEX(FILTER('特殊配信マスタ'!$E$3:$E$16, (TEXT('特殊配信マスタ'!$A$3:$A$16,""ddd"")=TEXT(AG$1,""ddd""))*(IFERROR(VALUE('特殊配信マスタ'!$B$3:$B$16),0)=VALUE(LOOKUP(2,1/($A$3:$A191&lt;&gt;""""),$A$3:$A191)))*('特殊配信マスタ'!$Q$3:$Q$16&lt;&gt;TRUE)), 4), """")"),"")</f>
        <v/>
      </c>
      <c r="AH191" s="593" t="str">
        <f>IFERROR(__xludf.DUMMYFUNCTION("IF(AG191="""","""",IFERROR(INDEX(FILTER('特殊配信マスタ'!$F$3:$F$16,('特殊配信マスタ'!$A$3:$A$16=CHOOSE(WEEKDAY(AG$1),""日"",""月"",""火"",""水"",""木"",""金"",""土""))*('特殊配信マスタ'!$B$3:$B$16=AE$3)*('特殊配信マスタ'!$R$3:$R$16=MOD(INT((AG$1-'特殊配信マスタ'!$A$1)/7),3)+1)),1),""""))"),"")</f>
        <v/>
      </c>
      <c r="AI191" s="590"/>
      <c r="AJ191" s="593" t="str">
        <f>IFERROR(__xludf.DUMMYFUNCTION("IF(AG191="""","""",IFERROR(INDEX(FILTER('特殊配信マスタ'!$O$3:$O$16, '特殊配信マスタ'!$E$3:$E$16=AG191),1),""""))"),"")</f>
        <v/>
      </c>
      <c r="AK191" s="593" t="str">
        <f>IFERROR(__xludf.DUMMYFUNCTION("IF(AG191="""","""",IFERROR(INDEX(FILTER('特殊配信マスタ'!$P$3:$P$16, '特殊配信マスタ'!$E$3:$E$16=AG191),1),""""))"),"")</f>
        <v/>
      </c>
    </row>
    <row r="192" ht="17.25" customHeight="1">
      <c r="A192" s="599"/>
      <c r="B192" s="592"/>
      <c r="C192" s="590" t="str">
        <f>IFERROR(__xludf.DUMMYFUNCTION("IFERROR(INDEX(FILTER('特殊配信マスタ'!$E$3:$E$16, (TEXT('特殊配信マスタ'!$A$3:$A$16,""ddd"")=TEXT(C$1,""ddd""))*(IFERROR(VALUE('特殊配信マスタ'!$B$3:$B$16),0)=VALUE(LOOKUP(2,1/($A$3:$A192&lt;&gt;""""),$A$3:$A192)))*('特殊配信マスタ'!$Q$3:$Q$16&lt;&gt;TRUE)), 5), """")"),"")</f>
        <v/>
      </c>
      <c r="D192" s="593" t="str">
        <f>IFERROR(__xludf.DUMMYFUNCTION("IF(C192="""","""",IFERROR(INDEX(FILTER('特殊配信マスタ'!$F$3:$F$16,('特殊配信マスタ'!$A$3:$A$16=CHOOSE(WEEKDAY(C$1),""日"",""月"",""火"",""水"",""木"",""金"",""土""))*('特殊配信マスタ'!$B$3:$B$16=A$3)*('特殊配信マスタ'!$R$3:$R$16=MOD(INT((C$1-'特殊配信マスタ'!$A$1)/7),3)+1)),1),""""))"),"")</f>
        <v/>
      </c>
      <c r="E192" s="590"/>
      <c r="F192" s="593" t="str">
        <f>IFERROR(__xludf.DUMMYFUNCTION("IF(C192="""","""",IFERROR(INDEX(FILTER('特殊配信マスタ'!$O$3:$O$16, '特殊配信マスタ'!$E$3:$E$16=C192),1),""""))"),"")</f>
        <v/>
      </c>
      <c r="G192" s="593" t="str">
        <f>IFERROR(__xludf.DUMMYFUNCTION("IF(C192="""","""",IFERROR(INDEX(FILTER('特殊配信マスタ'!$P$3:$P$16, '特殊配信マスタ'!$E$3:$E$16=C192),1),""""))"),"")</f>
        <v/>
      </c>
      <c r="H192" s="590" t="str">
        <f>IFERROR(__xludf.DUMMYFUNCTION("IFERROR(INDEX(FILTER('特殊配信マスタ'!$E$3:$E$16, (TEXT('特殊配信マスタ'!$A$3:$A$16,""ddd"")=TEXT(H$1,""ddd""))*(IFERROR(VALUE('特殊配信マスタ'!$B$3:$B$16),0)=VALUE(LOOKUP(2,1/($A$3:$A192&lt;&gt;""""),$A$3:$A192)))*('特殊配信マスタ'!$Q$3:$Q$16&lt;&gt;TRUE)), 5), """")"),"")</f>
        <v/>
      </c>
      <c r="I192" s="593" t="str">
        <f>IFERROR(__xludf.DUMMYFUNCTION("IF(H192="""","""",IFERROR(INDEX(FILTER('特殊配信マスタ'!$F$3:$F$16,('特殊配信マスタ'!$A$3:$A$16=CHOOSE(WEEKDAY(H$1),""日"",""月"",""火"",""水"",""木"",""金"",""土""))*('特殊配信マスタ'!$B$3:$B$16=F$3)*('特殊配信マスタ'!$R$3:$R$16=MOD(INT((H$1-'特殊配信マスタ'!$A$1)/7),3)+1)),1),""""))"),"")</f>
        <v/>
      </c>
      <c r="J192" s="590"/>
      <c r="K192" s="593" t="str">
        <f>IFERROR(__xludf.DUMMYFUNCTION("IF(H192="""","""",IFERROR(INDEX(FILTER('特殊配信マスタ'!$O$3:$O$16, '特殊配信マスタ'!$E$3:$E$16=H192),1),""""))"),"")</f>
        <v/>
      </c>
      <c r="L192" s="593" t="str">
        <f>IFERROR(__xludf.DUMMYFUNCTION("IF(H192="""","""",IFERROR(INDEX(FILTER('特殊配信マスタ'!$P$3:$P$16, '特殊配信マスタ'!$E$3:$E$16=H192),1),""""))"),"")</f>
        <v/>
      </c>
      <c r="M192" s="590" t="str">
        <f>IFERROR(__xludf.DUMMYFUNCTION("IFERROR(INDEX(FILTER('特殊配信マスタ'!$E$3:$E$16, (TEXT('特殊配信マスタ'!$A$3:$A$16,""ddd"")=TEXT(M$1,""ddd""))*(IFERROR(VALUE('特殊配信マスタ'!$B$3:$B$16),0)=VALUE(LOOKUP(2,1/($A$3:$A192&lt;&gt;""""),$A$3:$A192)))*('特殊配信マスタ'!$Q$3:$Q$16&lt;&gt;TRUE)), 5), """")"),"")</f>
        <v/>
      </c>
      <c r="N192" s="593" t="str">
        <f>IFERROR(__xludf.DUMMYFUNCTION("IF(M192="""","""",IFERROR(INDEX(FILTER('特殊配信マスタ'!$F$3:$F$16,('特殊配信マスタ'!$A$3:$A$16=CHOOSE(WEEKDAY(M$1),""日"",""月"",""火"",""水"",""木"",""金"",""土""))*('特殊配信マスタ'!$B$3:$B$16=K$3)*('特殊配信マスタ'!$R$3:$R$16=MOD(INT((M$1-'特殊配信マスタ'!$A$1)/7),3)+1)),1),""""))"),"")</f>
        <v/>
      </c>
      <c r="O192" s="590"/>
      <c r="P192" s="593" t="str">
        <f>IFERROR(__xludf.DUMMYFUNCTION("IF(M192="""","""",IFERROR(INDEX(FILTER('特殊配信マスタ'!$O$3:$O$16, '特殊配信マスタ'!$E$3:$E$16=M192),1),""""))"),"")</f>
        <v/>
      </c>
      <c r="Q192" s="593" t="str">
        <f>IFERROR(__xludf.DUMMYFUNCTION("IF(M192="""","""",IFERROR(INDEX(FILTER('特殊配信マスタ'!$P$3:$P$16, '特殊配信マスタ'!$E$3:$E$16=M192),1),""""))"),"")</f>
        <v/>
      </c>
      <c r="R192" s="590" t="str">
        <f>IFERROR(__xludf.DUMMYFUNCTION("IFERROR(INDEX(FILTER('特殊配信マスタ'!$E$3:$E$16, (TEXT('特殊配信マスタ'!$A$3:$A$16,""ddd"")=TEXT(R$1,""ddd""))*(IFERROR(VALUE('特殊配信マスタ'!$B$3:$B$16),0)=VALUE(LOOKUP(2,1/($A$3:$A192&lt;&gt;""""),$A$3:$A192)))*('特殊配信マスタ'!$Q$3:$Q$16&lt;&gt;TRUE)), 5), """")"),"")</f>
        <v/>
      </c>
      <c r="S192" s="593" t="str">
        <f>IFERROR(__xludf.DUMMYFUNCTION("IF(R192="""","""",IFERROR(INDEX(FILTER('特殊配信マスタ'!$F$3:$F$16,('特殊配信マスタ'!$A$3:$A$16=CHOOSE(WEEKDAY(R$1),""日"",""月"",""火"",""水"",""木"",""金"",""土""))*('特殊配信マスタ'!$B$3:$B$16=P$3)*('特殊配信マスタ'!$R$3:$R$16=MOD(INT((R$1-'特殊配信マスタ'!$A$1)/7),3)+1)),1),""""))"),"")</f>
        <v/>
      </c>
      <c r="T192" s="590"/>
      <c r="U192" s="593" t="str">
        <f>IFERROR(__xludf.DUMMYFUNCTION("IF(R192="""","""",IFERROR(INDEX(FILTER('特殊配信マスタ'!$O$3:$O$16, '特殊配信マスタ'!$E$3:$E$16=R192),1),""""))"),"")</f>
        <v/>
      </c>
      <c r="V192" s="593" t="str">
        <f>IFERROR(__xludf.DUMMYFUNCTION("IF(R192="""","""",IFERROR(INDEX(FILTER('特殊配信マスタ'!$P$3:$P$16, '特殊配信マスタ'!$E$3:$E$16=R192),1),""""))"),"")</f>
        <v/>
      </c>
      <c r="W192" s="590" t="str">
        <f>IFERROR(__xludf.DUMMYFUNCTION("IFERROR(INDEX(FILTER('特殊配信マスタ'!$E$3:$E$16, (TEXT('特殊配信マスタ'!$A$3:$A$16,""ddd"")=TEXT(W$1,""ddd""))*(IFERROR(VALUE('特殊配信マスタ'!$B$3:$B$16),0)=VALUE(LOOKUP(2,1/($A$3:$A192&lt;&gt;""""),$A$3:$A192)))*('特殊配信マスタ'!$Q$3:$Q$16&lt;&gt;TRUE)), 5), """")"),"")</f>
        <v/>
      </c>
      <c r="X192" s="593" t="str">
        <f>IFERROR(__xludf.DUMMYFUNCTION("IF(W192="""","""",IFERROR(INDEX(FILTER('特殊配信マスタ'!$F$3:$F$16,('特殊配信マスタ'!$A$3:$A$16=CHOOSE(WEEKDAY(W$1),""日"",""月"",""火"",""水"",""木"",""金"",""土""))*('特殊配信マスタ'!$B$3:$B$16=U$3)*('特殊配信マスタ'!$R$3:$R$16=MOD(INT((W$1-'特殊配信マスタ'!$A$1)/7),3)+1)),1),""""))"),"")</f>
        <v/>
      </c>
      <c r="Y192" s="590"/>
      <c r="Z192" s="593" t="str">
        <f>IFERROR(__xludf.DUMMYFUNCTION("IF(W192="""","""",IFERROR(INDEX(FILTER('特殊配信マスタ'!$O$3:$O$16, '特殊配信マスタ'!$E$3:$E$16=W192),1),""""))"),"")</f>
        <v/>
      </c>
      <c r="AA192" s="593" t="str">
        <f>IFERROR(__xludf.DUMMYFUNCTION("IF(W192="""","""",IFERROR(INDEX(FILTER('特殊配信マスタ'!$P$3:$P$16, '特殊配信マスタ'!$E$3:$E$16=W192),1),""""))"),"")</f>
        <v/>
      </c>
      <c r="AB192" s="590" t="str">
        <f>IFERROR(__xludf.DUMMYFUNCTION("IFERROR(INDEX(FILTER('特殊配信マスタ'!$E$3:$E$16, (TEXT('特殊配信マスタ'!$A$3:$A$16,""ddd"")=TEXT(AB$1,""ddd""))*(IFERROR(VALUE('特殊配信マスタ'!$B$3:$B$16),0)=VALUE(LOOKUP(2,1/($A$3:$A192&lt;&gt;""""),$A$3:$A192)))*('特殊配信マスタ'!$Q$3:$Q$16&lt;&gt;TRUE)), 5), """")"),"")</f>
        <v/>
      </c>
      <c r="AC192" s="593" t="str">
        <f>IFERROR(__xludf.DUMMYFUNCTION("IF(AB192="""","""",IFERROR(INDEX(FILTER('特殊配信マスタ'!$F$3:$F$16,('特殊配信マスタ'!$A$3:$A$16=CHOOSE(WEEKDAY(AB$1),""日"",""月"",""火"",""水"",""木"",""金"",""土""))*('特殊配信マスタ'!$B$3:$B$16=Z$3)*('特殊配信マスタ'!$R$3:$R$16=MOD(INT((AB$1-'特殊配信マスタ'!$A$1)/7),3)+1)),1),""""))"),"")</f>
        <v/>
      </c>
      <c r="AD192" s="590"/>
      <c r="AE192" s="593" t="str">
        <f>IFERROR(__xludf.DUMMYFUNCTION("IF(AB192="""","""",IFERROR(INDEX(FILTER('特殊配信マスタ'!$O$3:$O$16, '特殊配信マスタ'!$E$3:$E$16=AB192),1),""""))"),"")</f>
        <v/>
      </c>
      <c r="AF192" s="593" t="str">
        <f>IFERROR(__xludf.DUMMYFUNCTION("IF(AB192="""","""",IFERROR(INDEX(FILTER('特殊配信マスタ'!$P$3:$P$16, '特殊配信マスタ'!$E$3:$E$16=AB192),1),""""))"),"")</f>
        <v/>
      </c>
      <c r="AG192" s="590" t="str">
        <f>IFERROR(__xludf.DUMMYFUNCTION("IFERROR(INDEX(FILTER('特殊配信マスタ'!$E$3:$E$16, (TEXT('特殊配信マスタ'!$A$3:$A$16,""ddd"")=TEXT(AG$1,""ddd""))*(IFERROR(VALUE('特殊配信マスタ'!$B$3:$B$16),0)=VALUE(LOOKUP(2,1/($A$3:$A192&lt;&gt;""""),$A$3:$A192)))*('特殊配信マスタ'!$Q$3:$Q$16&lt;&gt;TRUE)), 5), """")"),"")</f>
        <v/>
      </c>
      <c r="AH192" s="593" t="str">
        <f>IFERROR(__xludf.DUMMYFUNCTION("IF(AG192="""","""",IFERROR(INDEX(FILTER('特殊配信マスタ'!$F$3:$F$16,('特殊配信マスタ'!$A$3:$A$16=CHOOSE(WEEKDAY(AG$1),""日"",""月"",""火"",""水"",""木"",""金"",""土""))*('特殊配信マスタ'!$B$3:$B$16=AE$3)*('特殊配信マスタ'!$R$3:$R$16=MOD(INT((AG$1-'特殊配信マスタ'!$A$1)/7),3)+1)),1),""""))"),"")</f>
        <v/>
      </c>
      <c r="AI192" s="590"/>
      <c r="AJ192" s="593" t="str">
        <f>IFERROR(__xludf.DUMMYFUNCTION("IF(AG192="""","""",IFERROR(INDEX(FILTER('特殊配信マスタ'!$O$3:$O$16, '特殊配信マスタ'!$E$3:$E$16=AG192),1),""""))"),"")</f>
        <v/>
      </c>
      <c r="AK192" s="593" t="str">
        <f>IFERROR(__xludf.DUMMYFUNCTION("IF(AG192="""","""",IFERROR(INDEX(FILTER('特殊配信マスタ'!$P$3:$P$16, '特殊配信マスタ'!$E$3:$E$16=AG192),1),""""))"),"")</f>
        <v/>
      </c>
    </row>
    <row r="193" ht="17.25" customHeight="1">
      <c r="A193" s="584">
        <f>A174+1</f>
        <v>18</v>
      </c>
      <c r="B193" s="585" t="s">
        <v>1450</v>
      </c>
      <c r="C193" s="600" t="str">
        <f>IFERROR(__xludf.DUMMYFUNCTION("IFERROR(FILTER('リスト'!$E$4:$E$349, (TEXT('リスト'!$A$4:$A$349,""ddd"")=TEXT(C$1, ""ddd""))*('リスト'!$B$4:$B$349=LOOKUP(2,1/($A$3:$A193&lt;&gt;""""),$A$3:$A193))*(('リスト'!$G$4:$G$349=""毎週配信"")+('リスト'!$G$4:$G$349=$A$1))), """")"),"☆エンジニア_経験_首都圏版")</f>
        <v>☆エンジニア_経験_首都圏版</v>
      </c>
      <c r="D193" s="8">
        <f t="array" ref="D193">IFERROR(XLOOKUP(C193, 'リスト'!$E:$E, 'リスト'!$F:$F, ""), "")</f>
        <v>0.1</v>
      </c>
      <c r="E193" s="8">
        <f>SUM(D193:D211)</f>
        <v>0.5</v>
      </c>
      <c r="F193" s="8" t="str">
        <f>IFERROR(__xludf.DUMMYFUNCTION("IF(C193="""","""",IFERROR(INDEX(FILTER('リスト'!$O$4:$O$349, 'リスト'!$E$4:$E$349=C193),1),""""))"),"部")</f>
        <v>部</v>
      </c>
      <c r="G193" s="8" t="str">
        <f>IFERROR(__xludf.DUMMYFUNCTION("IF(C193="""","""",IFERROR(INDEX(FILTER('リスト'!$P$4:$P$349, 'リスト'!$E$4:$E$349=C193),1),""""))"),"内")</f>
        <v>内</v>
      </c>
      <c r="H193" s="586" t="str">
        <f>IFERROR(__xludf.DUMMYFUNCTION("IFERROR(FILTER('リスト'!$E$4:$E$349, (TEXT('リスト'!$A$4:$A$349,""ddd"")=TEXT(H$1, ""ddd""))*('リスト'!$B$4:$B$349=LOOKUP(2,1/($A$3:$A193&lt;&gt;""""),$A$3:$A193))*(('リスト'!$G$4:$G$349=""毎週配信"")+('リスト'!$G$4:$G$349=$A$1))), """")"),"過去会員×フルリモート×未経験歓迎")</f>
        <v>過去会員×フルリモート×未経験歓迎</v>
      </c>
      <c r="I193" s="8">
        <f t="array" ref="I193">IFERROR(XLOOKUP(H193, 'リスト'!$E:$E, 'リスト'!$F:$F, ""), "")</f>
        <v>8.5</v>
      </c>
      <c r="J193" s="8">
        <f>SUM(I193:I211)</f>
        <v>10.6</v>
      </c>
      <c r="K193" s="8" t="str">
        <f>IFERROR(__xludf.DUMMYFUNCTION("IF(H193="""","""",IFERROR(INDEX(FILTER('リスト'!$O$4:$O$349, 'リスト'!$E$4:$E$349=H193),1),""""))"),"部")</f>
        <v>部</v>
      </c>
      <c r="L193" s="8" t="str">
        <f>IFERROR(__xludf.DUMMYFUNCTION("IF(H193="""","""",IFERROR(INDEX(FILTER('リスト'!$P$4:$P$349, 'リスト'!$E$4:$E$349=H193),1),""""))"),"石")</f>
        <v>石</v>
      </c>
      <c r="M193" s="586" t="str">
        <f>IFERROR(__xludf.DUMMYFUNCTION("IFERROR(FILTER('リスト'!$E$4:$E$349, (TEXT('リスト'!$A$4:$A$349,""ddd"")=TEXT(M$1, ""ddd""))*('リスト'!$B$4:$B$349=LOOKUP(2,1/($A$3:$A193&lt;&gt;""""),$A$3:$A193))*(('リスト'!$G$4:$G$349=""毎週配信"")+('リスト'!$G$4:$G$349=$A$1))), """")"),"TP部_働きやすい企業特集")</f>
        <v>TP部_働きやすい企業特集</v>
      </c>
      <c r="N193" s="8">
        <f t="array" ref="N193">IFERROR(XLOOKUP(M193, 'リスト'!$E:$E, 'リスト'!$F:$F, ""), "")</f>
        <v>1.6</v>
      </c>
      <c r="O193" s="8">
        <f>SUM(N193:N211)</f>
        <v>3.3</v>
      </c>
      <c r="P193" s="8" t="str">
        <f>IFERROR(__xludf.DUMMYFUNCTION("IF(M193="""","""",IFERROR(INDEX(FILTER('リスト'!$O$4:$O$349, 'リスト'!$E$4:$E$349=M193),1),""""))"),"武")</f>
        <v>武</v>
      </c>
      <c r="Q193" s="8" t="str">
        <f>IFERROR(__xludf.DUMMYFUNCTION("IF(M193="""","""",IFERROR(INDEX(FILTER('リスト'!$P$4:$P$349, 'リスト'!$E$4:$E$349=M193),1),""""))"),"部")</f>
        <v>部</v>
      </c>
      <c r="R193" s="586" t="str">
        <f>IFERROR(__xludf.DUMMYFUNCTION("IFERROR(FILTER('リスト'!$E$4:$E$349, (TEXT('リスト'!$A$4:$A$349,""ddd"")=TEXT(R$1, ""ddd""))*('リスト'!$B$4:$B$349=LOOKUP(2,1/($A$3:$A193&lt;&gt;""""),$A$3:$A193))*(('リスト'!$G$4:$G$349=""毎週配信"")+('リスト'!$G$4:$G$349=$A$1))), """")"),"")</f>
        <v/>
      </c>
      <c r="S193" s="8" t="str">
        <f t="array" ref="S193">IFERROR(XLOOKUP(R193, 'リスト'!$E:$E, 'リスト'!$F:$F, ""), "")</f>
        <v/>
      </c>
      <c r="T193" s="8">
        <f>SUM(S193:S211)</f>
        <v>0</v>
      </c>
      <c r="U193" s="8" t="str">
        <f>IFERROR(__xludf.DUMMYFUNCTION("IF(R193="""","""",IFERROR(INDEX(FILTER('リスト'!$O$4:$O$349, 'リスト'!$E$4:$E$349=R193),1),""""))"),"")</f>
        <v/>
      </c>
      <c r="V193" s="8" t="str">
        <f>IFERROR(__xludf.DUMMYFUNCTION("IF(R193="""","""",IFERROR(INDEX(FILTER('リスト'!$P$4:$P$349, 'リスト'!$E$4:$E$349=R193),1),""""))"),"")</f>
        <v/>
      </c>
      <c r="W193" s="586" t="str">
        <f>IFERROR(__xludf.DUMMYFUNCTION("IFERROR(FILTER('リスト'!$E$4:$E$349, (TEXT('リスト'!$A$4:$A$349,""ddd"")=TEXT(W$1, ""ddd""))*('リスト'!$B$4:$B$349=LOOKUP(2,1/($A$3:$A193&lt;&gt;""""),$A$3:$A193))*(('リスト'!$G$4:$G$349=""毎週配信"")+('リスト'!$G$4:$G$349=$A$1))), """")"),"関西限定事務求人特集")</f>
        <v>関西限定事務求人特集</v>
      </c>
      <c r="X193" s="8">
        <f t="array" ref="X193">IFERROR(XLOOKUP(W193, 'リスト'!$E:$E, 'リスト'!$F:$F, ""), "")</f>
        <v>0.6</v>
      </c>
      <c r="Y193" s="8">
        <f>SUM(X193:X211)</f>
        <v>3.1</v>
      </c>
      <c r="Z193" s="8" t="str">
        <f>IFERROR(__xludf.DUMMYFUNCTION("IF(W193="""","""",IFERROR(INDEX(FILTER('リスト'!$O$4:$O$349, 'リスト'!$E$4:$E$349=W193),1),""""))"),"R")</f>
        <v>R</v>
      </c>
      <c r="AA193" s="8" t="str">
        <f>IFERROR(__xludf.DUMMYFUNCTION("IF(W193="""","""",IFERROR(INDEX(FILTER('リスト'!$P$4:$P$349, 'リスト'!$E$4:$E$349=W193),1),""""))"),"")</f>
        <v/>
      </c>
      <c r="AB193" s="586" t="str">
        <f>IFERROR(__xludf.DUMMYFUNCTION("IFERROR(FILTER('リスト'!$E$4:$E$349, (TEXT('リスト'!$A$4:$A$349,""ddd"")=TEXT(AB$1, ""ddd""))*('リスト'!$B$4:$B$349=LOOKUP(2,1/($A$3:$A193&lt;&gt;""""),$A$3:$A193))*(('リスト'!$G$4:$G$349=""毎週配信"")+('リスト'!$G$4:$G$349=$A$1))), """")"),"コスメ業界_希望")</f>
        <v>コスメ業界_希望</v>
      </c>
      <c r="AC193" s="8">
        <f t="array" ref="AC193">IFERROR(XLOOKUP(AB193, 'リスト'!$E:$E, 'リスト'!$F:$F, ""), "")</f>
        <v>0.3</v>
      </c>
      <c r="AD193" s="8">
        <f>SUM(AC193:AC211)</f>
        <v>3.5</v>
      </c>
      <c r="AE193" s="8" t="str">
        <f>IFERROR(__xludf.DUMMYFUNCTION("IF(AB193="""","""",IFERROR(INDEX(FILTER('リスト'!$O$4:$O$349, 'リスト'!$E$4:$E$349=AB193),1),""""))"),"部")</f>
        <v>部</v>
      </c>
      <c r="AF193" s="8" t="str">
        <f>IFERROR(__xludf.DUMMYFUNCTION("IF(AB193="""","""",IFERROR(INDEX(FILTER('リスト'!$P$4:$P$349, 'リスト'!$E$4:$E$349=AB193),1),""""))"),"石")</f>
        <v>石</v>
      </c>
      <c r="AG193" s="586" t="str">
        <f>IFERROR(__xludf.DUMMYFUNCTION("IFERROR(FILTER('リスト'!$E$4:$E$349, (TEXT('リスト'!$A$4:$A$349,""ddd"")=TEXT(AG$1, ""ddd""))*('リスト'!$B$4:$B$349=LOOKUP(2,1/($A$3:$A193&lt;&gt;""""),$A$3:$A193))*(('リスト'!$G$4:$G$349=""毎週配信"")+('リスト'!$G$4:$G$349=$A$1))), """")"),"自己PR不要_フルリモート")</f>
        <v>自己PR不要_フルリモート</v>
      </c>
      <c r="AH193" s="8">
        <f t="array" ref="AH193">IFERROR(XLOOKUP(AG193, 'リスト'!$E:$E, 'リスト'!$F:$F, ""), "")</f>
        <v>2.2</v>
      </c>
      <c r="AI193" s="8">
        <f>SUM(AH193:AH211)</f>
        <v>3.6</v>
      </c>
      <c r="AJ193" s="8" t="str">
        <f>IFERROR(__xludf.DUMMYFUNCTION("IF(AG193="""","""",IFERROR(INDEX(FILTER('リスト'!$O$4:$O$349, 'リスト'!$E$4:$E$349=AG193),1),""""))"),"R")</f>
        <v>R</v>
      </c>
      <c r="AK193" s="8" t="str">
        <f>IFERROR(__xludf.DUMMYFUNCTION("IF(AG193="""","""",IFERROR(INDEX(FILTER('リスト'!$P$4:$P$349, 'リスト'!$E$4:$E$349=AG193),1),""""))"),"")</f>
        <v/>
      </c>
    </row>
    <row r="194" ht="17.25" customHeight="1">
      <c r="A194" s="587"/>
      <c r="B194" s="588"/>
      <c r="C194" s="586" t="str">
        <f>IFERROR(__xludf.DUMMYFUNCTION("""COMPUTED_VALUE"""),"☆エンジニア_未経験_首都圏版")</f>
        <v>☆エンジニア_未経験_首都圏版</v>
      </c>
      <c r="D194" s="8">
        <f t="array" ref="D194">IFERROR(XLOOKUP(C194, 'リスト'!$E:$E, 'リスト'!$F:$F, ""), "")</f>
        <v>0.4</v>
      </c>
      <c r="E194" s="8"/>
      <c r="F194" s="8" t="str">
        <f t="array" ref="F194">IFERROR(XLOOKUP(C194, 'リスト'!$E:$E, 'リスト'!$O:$O, ""), "")</f>
        <v>部</v>
      </c>
      <c r="G194" s="8" t="str">
        <f t="array" ref="G194">IFERROR(XLOOKUP(C194, 'リスト'!$E:$E, 'リスト'!$P:$P, ""), "")</f>
        <v>内</v>
      </c>
      <c r="H194" s="600" t="str">
        <f>IFERROR(__xludf.DUMMYFUNCTION("""COMPUTED_VALUE"""),"☆営業_経験_首都圏版")</f>
        <v>☆営業_経験_首都圏版</v>
      </c>
      <c r="I194" s="8">
        <f t="array" ref="I194">IFERROR(XLOOKUP(H194, 'リスト'!$E:$E, 'リスト'!$F:$F, ""), "")</f>
        <v>0.1</v>
      </c>
      <c r="J194" s="8"/>
      <c r="K194" s="8" t="str">
        <f t="array" ref="K194">IFERROR(XLOOKUP(H194, 'リスト'!$E:$E, 'リスト'!$O:$O, ""), "")</f>
        <v>部</v>
      </c>
      <c r="L194" s="8" t="str">
        <f t="array" ref="L194">IFERROR(XLOOKUP(H194, 'リスト'!$E:$E, 'リスト'!$P:$P, ""), "")</f>
        <v>荒</v>
      </c>
      <c r="M194" s="586" t="str">
        <f>IFERROR(__xludf.DUMMYFUNCTION("""COMPUTED_VALUE"""),"☆販サ_経験_35歳以上_首都圏版")</f>
        <v>☆販サ_経験_35歳以上_首都圏版</v>
      </c>
      <c r="N194" s="8">
        <f t="array" ref="N194">IFERROR(XLOOKUP(M194, 'リスト'!$E:$E, 'リスト'!$F:$F, ""), "")</f>
        <v>0.1</v>
      </c>
      <c r="O194" s="8"/>
      <c r="P194" s="8" t="str">
        <f t="array" ref="P194">IFERROR(XLOOKUP(M194, 'リスト'!$E:$E, 'リスト'!$O:$O, ""), "")</f>
        <v>部</v>
      </c>
      <c r="Q194" s="8" t="str">
        <f t="array" ref="Q194">IFERROR(XLOOKUP(M194, 'リスト'!$E:$E, 'リスト'!$P:$P, ""), "")</f>
        <v>平</v>
      </c>
      <c r="R194" s="586"/>
      <c r="S194" s="8" t="str">
        <f t="array" ref="S194">IFERROR(XLOOKUP(R194, 'リスト'!$E:$E, 'リスト'!$F:$F, ""), "")</f>
        <v/>
      </c>
      <c r="T194" s="8"/>
      <c r="U194" s="8" t="str">
        <f t="array" ref="U194">IFERROR(XLOOKUP(R194, 'リスト'!$E:$E, 'リスト'!$O:$O, ""), "")</f>
        <v/>
      </c>
      <c r="V194" s="8" t="str">
        <f t="array" ref="V194">IFERROR(XLOOKUP(R194, 'リスト'!$E:$E, 'リスト'!$P:$P, ""), "")</f>
        <v/>
      </c>
      <c r="W194" s="586" t="str">
        <f>IFERROR(__xludf.DUMMYFUNCTION("""COMPUTED_VALUE"""),"賞与3ヶ月以上×リモート_ランキング")</f>
        <v>賞与3ヶ月以上×リモート_ランキング</v>
      </c>
      <c r="X194" s="8">
        <f t="array" ref="X194">IFERROR(XLOOKUP(W194, 'リスト'!$E:$E, 'リスト'!$F:$F, ""), "")</f>
        <v>2.5</v>
      </c>
      <c r="Y194" s="8"/>
      <c r="Z194" s="8" t="str">
        <f t="array" ref="Z194">IFERROR(XLOOKUP(W194, 'リスト'!$E:$E, 'リスト'!$O:$O, ""), "")</f>
        <v>R</v>
      </c>
      <c r="AA194" s="8" t="str">
        <f t="array" ref="AA194">IFERROR(XLOOKUP(W194, 'リスト'!$E:$E, 'リスト'!$P:$P, ""), "")</f>
        <v/>
      </c>
      <c r="AB194" s="586" t="str">
        <f>IFERROR(__xludf.DUMMYFUNCTION("""COMPUTED_VALUE"""),"プライベート重視_35歳以上")</f>
        <v>プライベート重視_35歳以上</v>
      </c>
      <c r="AC194" s="8">
        <f t="array" ref="AC194">IFERROR(XLOOKUP(AB194, 'リスト'!$E:$E, 'リスト'!$F:$F, ""), "")</f>
        <v>0.9</v>
      </c>
      <c r="AD194" s="8"/>
      <c r="AE194" s="8" t="str">
        <f t="array" ref="AE194">IFERROR(XLOOKUP(AB194, 'リスト'!$E:$E, 'リスト'!$O:$O, ""), "")</f>
        <v>R</v>
      </c>
      <c r="AF194" s="8" t="str">
        <f t="array" ref="AF194">IFERROR(XLOOKUP(AB194, 'リスト'!$E:$E, 'リスト'!$P:$P, ""), "")</f>
        <v/>
      </c>
      <c r="AG194" s="586" t="str">
        <f>IFERROR(__xludf.DUMMYFUNCTION("""COMPUTED_VALUE"""),"事務_経験_35歳以上_首都圏版")</f>
        <v>事務_経験_35歳以上_首都圏版</v>
      </c>
      <c r="AH194" s="8">
        <f t="array" ref="AH194">IFERROR(XLOOKUP(AG194, 'リスト'!$E:$E, 'リスト'!$F:$F, ""), "")</f>
        <v>0.1</v>
      </c>
      <c r="AI194" s="8"/>
      <c r="AJ194" s="8" t="str">
        <f t="array" ref="AJ194">IFERROR(XLOOKUP(AG194, 'リスト'!$E:$E, 'リスト'!$O:$O, ""), "")</f>
        <v>R</v>
      </c>
      <c r="AK194" s="8" t="str">
        <f t="array" ref="AK194">IFERROR(XLOOKUP(AG194, 'リスト'!$E:$E, 'リスト'!$P:$P, ""), "")</f>
        <v/>
      </c>
    </row>
    <row r="195" ht="17.25" customHeight="1">
      <c r="A195" s="587"/>
      <c r="B195" s="588"/>
      <c r="C195" s="586"/>
      <c r="D195" s="8" t="str">
        <f t="array" ref="D195">IFERROR(XLOOKUP(C195, 'リスト'!$E:$E, 'リスト'!$F:$F, ""), "")</f>
        <v/>
      </c>
      <c r="E195" s="8"/>
      <c r="F195" s="8" t="str">
        <f t="array" ref="F195">IFERROR(XLOOKUP(C195, 'リスト'!$E:$E, 'リスト'!$O:$O, ""), "")</f>
        <v/>
      </c>
      <c r="G195" s="8" t="str">
        <f t="array" ref="G195">IFERROR(XLOOKUP(C195, 'リスト'!$E:$E, 'リスト'!$P:$P, ""), "")</f>
        <v/>
      </c>
      <c r="H195" s="586" t="str">
        <f>IFERROR(__xludf.DUMMYFUNCTION("""COMPUTED_VALUE"""),"☆営業_未経験_首都圏版")</f>
        <v>☆営業_未経験_首都圏版</v>
      </c>
      <c r="I195" s="8">
        <f t="array" ref="I195">IFERROR(XLOOKUP(H195, 'リスト'!$E:$E, 'リスト'!$F:$F, ""), "")</f>
        <v>0.3</v>
      </c>
      <c r="J195" s="8"/>
      <c r="K195" s="8" t="str">
        <f t="array" ref="K195">IFERROR(XLOOKUP(H195, 'リスト'!$E:$E, 'リスト'!$O:$O, ""), "")</f>
        <v>部</v>
      </c>
      <c r="L195" s="8" t="str">
        <f t="array" ref="L195">IFERROR(XLOOKUP(H195, 'リスト'!$E:$E, 'リスト'!$P:$P, ""), "")</f>
        <v>荒</v>
      </c>
      <c r="M195" s="586" t="str">
        <f>IFERROR(__xludf.DUMMYFUNCTION("""COMPUTED_VALUE"""),"☆販サ_経験_35歳以上_全国版")</f>
        <v>☆販サ_経験_35歳以上_全国版</v>
      </c>
      <c r="N195" s="8">
        <f t="array" ref="N195">IFERROR(XLOOKUP(M195, 'リスト'!$E:$E, 'リスト'!$F:$F, ""), "")</f>
        <v>0.2</v>
      </c>
      <c r="O195" s="8"/>
      <c r="P195" s="8" t="str">
        <f t="array" ref="P195">IFERROR(XLOOKUP(M195, 'リスト'!$E:$E, 'リスト'!$O:$O, ""), "")</f>
        <v>部</v>
      </c>
      <c r="Q195" s="8" t="str">
        <f t="array" ref="Q195">IFERROR(XLOOKUP(M195, 'リスト'!$E:$E, 'リスト'!$P:$P, ""), "")</f>
        <v>平</v>
      </c>
      <c r="R195" s="586"/>
      <c r="S195" s="8" t="str">
        <f t="array" ref="S195">IFERROR(XLOOKUP(R195, 'リスト'!$E:$E, 'リスト'!$F:$F, ""), "")</f>
        <v/>
      </c>
      <c r="T195" s="8"/>
      <c r="U195" s="8" t="str">
        <f t="array" ref="U195">IFERROR(XLOOKUP(R195, 'リスト'!$E:$E, 'リスト'!$O:$O, ""), "")</f>
        <v/>
      </c>
      <c r="V195" s="8" t="str">
        <f t="array" ref="V195">IFERROR(XLOOKUP(R195, 'リスト'!$E:$E, 'リスト'!$P:$P, ""), "")</f>
        <v/>
      </c>
      <c r="W195" s="586"/>
      <c r="X195" s="8" t="str">
        <f t="array" ref="X195">IFERROR(XLOOKUP(W195, 'リスト'!$E:$E, 'リスト'!$F:$F, ""), "")</f>
        <v/>
      </c>
      <c r="Y195" s="8"/>
      <c r="Z195" s="8" t="str">
        <f t="array" ref="Z195">IFERROR(XLOOKUP(W195, 'リスト'!$E:$E, 'リスト'!$O:$O, ""), "")</f>
        <v/>
      </c>
      <c r="AA195" s="8" t="str">
        <f t="array" ref="AA195">IFERROR(XLOOKUP(W195, 'リスト'!$E:$E, 'リスト'!$P:$P, ""), "")</f>
        <v/>
      </c>
      <c r="AB195" s="586" t="str">
        <f>IFERROR(__xludf.DUMMYFUNCTION("""COMPUTED_VALUE"""),"月曜日はリモート×フレックスで働く")</f>
        <v>月曜日はリモート×フレックスで働く</v>
      </c>
      <c r="AC195" s="8">
        <f t="array" ref="AC195">IFERROR(XLOOKUP(AB195, 'リスト'!$E:$E, 'リスト'!$F:$F, ""), "")</f>
        <v>2.3</v>
      </c>
      <c r="AD195" s="8"/>
      <c r="AE195" s="8" t="str">
        <f t="array" ref="AE195">IFERROR(XLOOKUP(AB195, 'リスト'!$E:$E, 'リスト'!$O:$O, ""), "")</f>
        <v>R</v>
      </c>
      <c r="AF195" s="8" t="str">
        <f t="array" ref="AF195">IFERROR(XLOOKUP(AB195, 'リスト'!$E:$E, 'リスト'!$P:$P, ""), "")</f>
        <v/>
      </c>
      <c r="AG195" s="586" t="str">
        <f>IFERROR(__xludf.DUMMYFUNCTION("""COMPUTED_VALUE"""),"事務_未経験_35歳以上_首都圏版")</f>
        <v>事務_未経験_35歳以上_首都圏版</v>
      </c>
      <c r="AH195" s="8">
        <f t="array" ref="AH195">IFERROR(XLOOKUP(AG195, 'リスト'!$E:$E, 'リスト'!$F:$F, ""), "")</f>
        <v>0.1</v>
      </c>
      <c r="AI195" s="8"/>
      <c r="AJ195" s="8" t="str">
        <f t="array" ref="AJ195">IFERROR(XLOOKUP(AG195, 'リスト'!$E:$E, 'リスト'!$O:$O, ""), "")</f>
        <v>R</v>
      </c>
      <c r="AK195" s="8" t="str">
        <f t="array" ref="AK195">IFERROR(XLOOKUP(AG195, 'リスト'!$E:$E, 'リスト'!$P:$P, ""), "")</f>
        <v/>
      </c>
    </row>
    <row r="196" ht="17.25" customHeight="1">
      <c r="A196" s="587"/>
      <c r="B196" s="588"/>
      <c r="C196" s="589"/>
      <c r="D196" s="8" t="str">
        <f t="array" ref="D196">IFERROR(XLOOKUP(C196, 'リスト'!$E:$E, 'リスト'!$F:$F, ""), "")</f>
        <v/>
      </c>
      <c r="E196" s="8"/>
      <c r="F196" s="8" t="str">
        <f t="array" ref="F196">IFERROR(XLOOKUP(C196, 'リスト'!$E:$E, 'リスト'!$O:$O, ""), "")</f>
        <v/>
      </c>
      <c r="G196" s="8" t="str">
        <f t="array" ref="G196">IFERROR(XLOOKUP(C196, 'リスト'!$E:$E, 'リスト'!$P:$P, ""), "")</f>
        <v/>
      </c>
      <c r="H196" s="589" t="str">
        <f>IFERROR(__xludf.DUMMYFUNCTION("""COMPUTED_VALUE"""),"駅直結_事務")</f>
        <v>駅直結_事務</v>
      </c>
      <c r="I196" s="8">
        <f t="array" ref="I196">IFERROR(XLOOKUP(H196, 'リスト'!$E:$E, 'リスト'!$F:$F, ""), "")</f>
        <v>1.7</v>
      </c>
      <c r="J196" s="8"/>
      <c r="K196" s="8" t="str">
        <f t="array" ref="K196">IFERROR(XLOOKUP(H196, 'リスト'!$E:$E, 'リスト'!$O:$O, ""), "")</f>
        <v>R</v>
      </c>
      <c r="L196" s="8" t="str">
        <f t="array" ref="L196">IFERROR(XLOOKUP(H196, 'リスト'!$E:$E, 'リスト'!$P:$P, ""), "")</f>
        <v/>
      </c>
      <c r="M196" s="603" t="str">
        <f>IFERROR(__xludf.DUMMYFUNCTION("""COMPUTED_VALUE"""),"☆販サ_経験_首都圏版")</f>
        <v>☆販サ_経験_首都圏版</v>
      </c>
      <c r="N196" s="8">
        <f t="array" ref="N196">IFERROR(XLOOKUP(M196, 'リスト'!$E:$E, 'リスト'!$F:$F, ""), "")</f>
        <v>0.2</v>
      </c>
      <c r="O196" s="8"/>
      <c r="P196" s="8" t="str">
        <f t="array" ref="P196">IFERROR(XLOOKUP(M196, 'リスト'!$E:$E, 'リスト'!$O:$O, ""), "")</f>
        <v>部</v>
      </c>
      <c r="Q196" s="8" t="str">
        <f t="array" ref="Q196">IFERROR(XLOOKUP(M196, 'リスト'!$E:$E, 'リスト'!$P:$P, ""), "")</f>
        <v>平</v>
      </c>
      <c r="R196" s="589"/>
      <c r="S196" s="8" t="str">
        <f t="array" ref="S196">IFERROR(XLOOKUP(R196, 'リスト'!$E:$E, 'リスト'!$F:$F, ""), "")</f>
        <v/>
      </c>
      <c r="T196" s="8"/>
      <c r="U196" s="8" t="str">
        <f t="array" ref="U196">IFERROR(XLOOKUP(R196, 'リスト'!$E:$E, 'リスト'!$O:$O, ""), "")</f>
        <v/>
      </c>
      <c r="V196" s="8" t="str">
        <f t="array" ref="V196">IFERROR(XLOOKUP(R196, 'リスト'!$E:$E, 'リスト'!$P:$P, ""), "")</f>
        <v/>
      </c>
      <c r="W196" s="589"/>
      <c r="X196" s="8" t="str">
        <f t="array" ref="X196">IFERROR(XLOOKUP(W196, 'リスト'!$E:$E, 'リスト'!$F:$F, ""), "")</f>
        <v/>
      </c>
      <c r="Y196" s="8"/>
      <c r="Z196" s="8" t="str">
        <f t="array" ref="Z196">IFERROR(XLOOKUP(W196, 'リスト'!$E:$E, 'リスト'!$O:$O, ""), "")</f>
        <v/>
      </c>
      <c r="AA196" s="8" t="str">
        <f t="array" ref="AA196">IFERROR(XLOOKUP(W196, 'リスト'!$E:$E, 'リスト'!$P:$P, ""), "")</f>
        <v/>
      </c>
      <c r="AB196" s="589"/>
      <c r="AC196" s="8" t="str">
        <f t="array" ref="AC196">IFERROR(XLOOKUP(AB196, 'リスト'!$E:$E, 'リスト'!$F:$F, ""), "")</f>
        <v/>
      </c>
      <c r="AD196" s="8"/>
      <c r="AE196" s="8" t="str">
        <f t="array" ref="AE196">IFERROR(XLOOKUP(AB196, 'リスト'!$E:$E, 'リスト'!$O:$O, ""), "")</f>
        <v/>
      </c>
      <c r="AF196" s="8" t="str">
        <f t="array" ref="AF196">IFERROR(XLOOKUP(AB196, 'リスト'!$E:$E, 'リスト'!$P:$P, ""), "")</f>
        <v/>
      </c>
      <c r="AG196" s="589" t="str">
        <f>IFERROR(__xludf.DUMMYFUNCTION("""COMPUTED_VALUE"""),"事務_未経験_休眠会員_首都圏版")</f>
        <v>事務_未経験_休眠会員_首都圏版</v>
      </c>
      <c r="AH196" s="8">
        <f t="array" ref="AH196">IFERROR(XLOOKUP(AG196, 'リスト'!$E:$E, 'リスト'!$F:$F, ""), "")</f>
        <v>1</v>
      </c>
      <c r="AI196" s="8"/>
      <c r="AJ196" s="8" t="str">
        <f t="array" ref="AJ196">IFERROR(XLOOKUP(AG196, 'リスト'!$E:$E, 'リスト'!$O:$O, ""), "")</f>
        <v>R</v>
      </c>
      <c r="AK196" s="8" t="str">
        <f t="array" ref="AK196">IFERROR(XLOOKUP(AG196, 'リスト'!$E:$E, 'リスト'!$P:$P, ""), "")</f>
        <v/>
      </c>
    </row>
    <row r="197" ht="17.25" customHeight="1">
      <c r="A197" s="587"/>
      <c r="B197" s="588"/>
      <c r="C197" s="590"/>
      <c r="D197" s="8" t="str">
        <f t="array" ref="D197">IFERROR(XLOOKUP(C197, 'リスト'!$E:$E, 'リスト'!$F:$F, ""), "")</f>
        <v/>
      </c>
      <c r="E197" s="8"/>
      <c r="F197" s="8" t="str">
        <f t="array" ref="F197">IFERROR(XLOOKUP(C197, 'リスト'!$E:$E, 'リスト'!$O:$O, ""), "")</f>
        <v/>
      </c>
      <c r="G197" s="8" t="str">
        <f t="array" ref="G197">IFERROR(XLOOKUP(C197, 'リスト'!$E:$E, 'リスト'!$P:$P, ""), "")</f>
        <v/>
      </c>
      <c r="H197" s="590"/>
      <c r="I197" s="8" t="str">
        <f t="array" ref="I197">IFERROR(XLOOKUP(H197, 'リスト'!$E:$E, 'リスト'!$F:$F, ""), "")</f>
        <v/>
      </c>
      <c r="J197" s="8"/>
      <c r="K197" s="8" t="str">
        <f t="array" ref="K197">IFERROR(XLOOKUP(H197, 'リスト'!$E:$E, 'リスト'!$O:$O, ""), "")</f>
        <v/>
      </c>
      <c r="L197" s="8" t="str">
        <f t="array" ref="L197">IFERROR(XLOOKUP(H197, 'リスト'!$E:$E, 'リスト'!$P:$P, ""), "")</f>
        <v/>
      </c>
      <c r="M197" s="590" t="str">
        <f>IFERROR(__xludf.DUMMYFUNCTION("""COMPUTED_VALUE"""),"☆販サ_経験_全国版")</f>
        <v>☆販サ_経験_全国版</v>
      </c>
      <c r="N197" s="8">
        <f t="array" ref="N197">IFERROR(XLOOKUP(M197, 'リスト'!$E:$E, 'リスト'!$F:$F, ""), "")</f>
        <v>0.3</v>
      </c>
      <c r="O197" s="8"/>
      <c r="P197" s="8" t="str">
        <f t="array" ref="P197">IFERROR(XLOOKUP(M197, 'リスト'!$E:$E, 'リスト'!$O:$O, ""), "")</f>
        <v>部</v>
      </c>
      <c r="Q197" s="8" t="str">
        <f t="array" ref="Q197">IFERROR(XLOOKUP(M197, 'リスト'!$E:$E, 'リスト'!$P:$P, ""), "")</f>
        <v>平</v>
      </c>
      <c r="R197" s="590"/>
      <c r="S197" s="8" t="str">
        <f t="array" ref="S197">IFERROR(XLOOKUP(R197, 'リスト'!$E:$E, 'リスト'!$F:$F, ""), "")</f>
        <v/>
      </c>
      <c r="T197" s="8"/>
      <c r="U197" s="8" t="str">
        <f t="array" ref="U197">IFERROR(XLOOKUP(R197, 'リスト'!$E:$E, 'リスト'!$O:$O, ""), "")</f>
        <v/>
      </c>
      <c r="V197" s="8" t="str">
        <f t="array" ref="V197">IFERROR(XLOOKUP(R197, 'リスト'!$E:$E, 'リスト'!$P:$P, ""), "")</f>
        <v/>
      </c>
      <c r="W197" s="590"/>
      <c r="X197" s="8" t="str">
        <f t="array" ref="X197">IFERROR(XLOOKUP(W197, 'リスト'!$E:$E, 'リスト'!$F:$F, ""), "")</f>
        <v/>
      </c>
      <c r="Y197" s="8"/>
      <c r="Z197" s="8" t="str">
        <f t="array" ref="Z197">IFERROR(XLOOKUP(W197, 'リスト'!$E:$E, 'リスト'!$O:$O, ""), "")</f>
        <v/>
      </c>
      <c r="AA197" s="8" t="str">
        <f t="array" ref="AA197">IFERROR(XLOOKUP(W197, 'リスト'!$E:$E, 'リスト'!$P:$P, ""), "")</f>
        <v/>
      </c>
      <c r="AB197" s="590"/>
      <c r="AC197" s="8" t="str">
        <f t="array" ref="AC197">IFERROR(XLOOKUP(AB197, 'リスト'!$E:$E, 'リスト'!$F:$F, ""), "")</f>
        <v/>
      </c>
      <c r="AD197" s="8"/>
      <c r="AE197" s="8" t="str">
        <f t="array" ref="AE197">IFERROR(XLOOKUP(AB197, 'リスト'!$E:$E, 'リスト'!$O:$O, ""), "")</f>
        <v/>
      </c>
      <c r="AF197" s="8" t="str">
        <f t="array" ref="AF197">IFERROR(XLOOKUP(AB197, 'リスト'!$E:$E, 'リスト'!$P:$P, ""), "")</f>
        <v/>
      </c>
      <c r="AG197" s="590" t="str">
        <f>IFERROR(__xludf.DUMMYFUNCTION("""COMPUTED_VALUE"""),"中国地方で働く")</f>
        <v>中国地方で働く</v>
      </c>
      <c r="AH197" s="8">
        <f t="array" ref="AH197">IFERROR(XLOOKUP(AG197, 'リスト'!$E:$E, 'リスト'!$F:$F, ""), "")</f>
        <v>0.2</v>
      </c>
      <c r="AI197" s="8"/>
      <c r="AJ197" s="8" t="str">
        <f t="array" ref="AJ197">IFERROR(XLOOKUP(AG197, 'リスト'!$E:$E, 'リスト'!$O:$O, ""), "")</f>
        <v>R</v>
      </c>
      <c r="AK197" s="8" t="str">
        <f t="array" ref="AK197">IFERROR(XLOOKUP(AG197, 'リスト'!$E:$E, 'リスト'!$P:$P, ""), "")</f>
        <v/>
      </c>
    </row>
    <row r="198" ht="17.25" customHeight="1">
      <c r="A198" s="587"/>
      <c r="B198" s="588"/>
      <c r="C198" s="590"/>
      <c r="D198" s="8" t="str">
        <f t="array" ref="D198">IFERROR(XLOOKUP(C198, 'リスト'!$E:$E, 'リスト'!$F:$F, ""), "")</f>
        <v/>
      </c>
      <c r="E198" s="8"/>
      <c r="F198" s="8" t="str">
        <f t="array" ref="F198">IFERROR(XLOOKUP(C198, 'リスト'!$E:$E, 'リスト'!$O:$O, ""), "")</f>
        <v/>
      </c>
      <c r="G198" s="8" t="str">
        <f t="array" ref="G198">IFERROR(XLOOKUP(C198, 'リスト'!$E:$E, 'リスト'!$P:$P, ""), "")</f>
        <v/>
      </c>
      <c r="H198" s="590"/>
      <c r="I198" s="8" t="str">
        <f t="array" ref="I198">IFERROR(XLOOKUP(H198, 'リスト'!$E:$E, 'リスト'!$F:$F, ""), "")</f>
        <v/>
      </c>
      <c r="J198" s="8"/>
      <c r="K198" s="8" t="str">
        <f t="array" ref="K198">IFERROR(XLOOKUP(H198, 'リスト'!$E:$E, 'リスト'!$O:$O, ""), "")</f>
        <v/>
      </c>
      <c r="L198" s="8" t="str">
        <f t="array" ref="L198">IFERROR(XLOOKUP(H198, 'リスト'!$E:$E, 'リスト'!$P:$P, ""), "")</f>
        <v/>
      </c>
      <c r="M198" s="590" t="str">
        <f>IFERROR(__xludf.DUMMYFUNCTION("""COMPUTED_VALUE"""),"☆販サ_未経験_35歳以上_首都圏版")</f>
        <v>☆販サ_未経験_35歳以上_首都圏版</v>
      </c>
      <c r="N198" s="8">
        <f t="array" ref="N198">IFERROR(XLOOKUP(M198, 'リスト'!$E:$E, 'リスト'!$F:$F, ""), "")</f>
        <v>0.2</v>
      </c>
      <c r="O198" s="8"/>
      <c r="P198" s="8" t="str">
        <f t="array" ref="P198">IFERROR(XLOOKUP(M198, 'リスト'!$E:$E, 'リスト'!$O:$O, ""), "")</f>
        <v>部</v>
      </c>
      <c r="Q198" s="8" t="str">
        <f t="array" ref="Q198">IFERROR(XLOOKUP(M198, 'リスト'!$E:$E, 'リスト'!$P:$P, ""), "")</f>
        <v>平</v>
      </c>
      <c r="R198" s="590"/>
      <c r="S198" s="8" t="str">
        <f t="array" ref="S198">IFERROR(XLOOKUP(R198, 'リスト'!$E:$E, 'リスト'!$F:$F, ""), "")</f>
        <v/>
      </c>
      <c r="T198" s="8"/>
      <c r="U198" s="8" t="str">
        <f t="array" ref="U198">IFERROR(XLOOKUP(R198, 'リスト'!$E:$E, 'リスト'!$O:$O, ""), "")</f>
        <v/>
      </c>
      <c r="V198" s="8" t="str">
        <f t="array" ref="V198">IFERROR(XLOOKUP(R198, 'リスト'!$E:$E, 'リスト'!$P:$P, ""), "")</f>
        <v/>
      </c>
      <c r="W198" s="590"/>
      <c r="X198" s="8" t="str">
        <f t="array" ref="X198">IFERROR(XLOOKUP(W198, 'リスト'!$E:$E, 'リスト'!$F:$F, ""), "")</f>
        <v/>
      </c>
      <c r="Y198" s="8"/>
      <c r="Z198" s="8" t="str">
        <f t="array" ref="Z198">IFERROR(XLOOKUP(W198, 'リスト'!$E:$E, 'リスト'!$O:$O, ""), "")</f>
        <v/>
      </c>
      <c r="AA198" s="8" t="str">
        <f t="array" ref="AA198">IFERROR(XLOOKUP(W198, 'リスト'!$E:$E, 'リスト'!$P:$P, ""), "")</f>
        <v/>
      </c>
      <c r="AB198" s="590"/>
      <c r="AC198" s="8" t="str">
        <f t="array" ref="AC198">IFERROR(XLOOKUP(AB198, 'リスト'!$E:$E, 'リスト'!$F:$F, ""), "")</f>
        <v/>
      </c>
      <c r="AD198" s="8"/>
      <c r="AE198" s="8" t="str">
        <f t="array" ref="AE198">IFERROR(XLOOKUP(AB198, 'リスト'!$E:$E, 'リスト'!$O:$O, ""), "")</f>
        <v/>
      </c>
      <c r="AF198" s="8" t="str">
        <f t="array" ref="AF198">IFERROR(XLOOKUP(AB198, 'リスト'!$E:$E, 'リスト'!$P:$P, ""), "")</f>
        <v/>
      </c>
      <c r="AG198" s="590"/>
      <c r="AH198" s="8" t="str">
        <f t="array" ref="AH198">IFERROR(XLOOKUP(AG198, 'リスト'!$E:$E, 'リスト'!$F:$F, ""), "")</f>
        <v/>
      </c>
      <c r="AI198" s="8"/>
      <c r="AJ198" s="8" t="str">
        <f t="array" ref="AJ198">IFERROR(XLOOKUP(AG198, 'リスト'!$E:$E, 'リスト'!$O:$O, ""), "")</f>
        <v/>
      </c>
      <c r="AK198" s="8" t="str">
        <f t="array" ref="AK198">IFERROR(XLOOKUP(AG198, 'リスト'!$E:$E, 'リスト'!$P:$P, ""), "")</f>
        <v/>
      </c>
    </row>
    <row r="199" ht="17.25" customHeight="1">
      <c r="A199" s="587"/>
      <c r="B199" s="588"/>
      <c r="C199" s="590"/>
      <c r="D199" s="8" t="str">
        <f t="array" ref="D199">IFERROR(XLOOKUP(C199, 'リスト'!$E:$E, 'リスト'!$F:$F, ""), "")</f>
        <v/>
      </c>
      <c r="E199" s="8"/>
      <c r="F199" s="8" t="str">
        <f t="array" ref="F199">IFERROR(XLOOKUP(C199, 'リスト'!$E:$E, 'リスト'!$O:$O, ""), "")</f>
        <v/>
      </c>
      <c r="G199" s="8" t="str">
        <f t="array" ref="G199">IFERROR(XLOOKUP(C199, 'リスト'!$E:$E, 'リスト'!$P:$P, ""), "")</f>
        <v/>
      </c>
      <c r="H199" s="590"/>
      <c r="I199" s="8" t="str">
        <f t="array" ref="I199">IFERROR(XLOOKUP(H199, 'リスト'!$E:$E, 'リスト'!$F:$F, ""), "")</f>
        <v/>
      </c>
      <c r="J199" s="8"/>
      <c r="K199" s="8" t="str">
        <f t="array" ref="K199">IFERROR(XLOOKUP(H199, 'リスト'!$E:$E, 'リスト'!$O:$O, ""), "")</f>
        <v/>
      </c>
      <c r="L199" s="8" t="str">
        <f t="array" ref="L199">IFERROR(XLOOKUP(H199, 'リスト'!$E:$E, 'リスト'!$P:$P, ""), "")</f>
        <v/>
      </c>
      <c r="M199" s="590" t="str">
        <f>IFERROR(__xludf.DUMMYFUNCTION("""COMPUTED_VALUE"""),"☆販サ_未経験_首都圏版")</f>
        <v>☆販サ_未経験_首都圏版</v>
      </c>
      <c r="N199" s="8">
        <f t="array" ref="N199">IFERROR(XLOOKUP(M199, 'リスト'!$E:$E, 'リスト'!$F:$F, ""), "")</f>
        <v>0.3</v>
      </c>
      <c r="O199" s="8"/>
      <c r="P199" s="8" t="str">
        <f t="array" ref="P199">IFERROR(XLOOKUP(M199, 'リスト'!$E:$E, 'リスト'!$O:$O, ""), "")</f>
        <v>部</v>
      </c>
      <c r="Q199" s="8" t="str">
        <f t="array" ref="Q199">IFERROR(XLOOKUP(M199, 'リスト'!$E:$E, 'リスト'!$P:$P, ""), "")</f>
        <v>平</v>
      </c>
      <c r="R199" s="590"/>
      <c r="S199" s="8" t="str">
        <f t="array" ref="S199">IFERROR(XLOOKUP(R199, 'リスト'!$E:$E, 'リスト'!$F:$F, ""), "")</f>
        <v/>
      </c>
      <c r="T199" s="8"/>
      <c r="U199" s="8" t="str">
        <f t="array" ref="U199">IFERROR(XLOOKUP(R199, 'リスト'!$E:$E, 'リスト'!$O:$O, ""), "")</f>
        <v/>
      </c>
      <c r="V199" s="8" t="str">
        <f t="array" ref="V199">IFERROR(XLOOKUP(R199, 'リスト'!$E:$E, 'リスト'!$P:$P, ""), "")</f>
        <v/>
      </c>
      <c r="W199" s="590"/>
      <c r="X199" s="8" t="str">
        <f t="array" ref="X199">IFERROR(XLOOKUP(W199, 'リスト'!$E:$E, 'リスト'!$F:$F, ""), "")</f>
        <v/>
      </c>
      <c r="Y199" s="8"/>
      <c r="Z199" s="8" t="str">
        <f t="array" ref="Z199">IFERROR(XLOOKUP(W199, 'リスト'!$E:$E, 'リスト'!$O:$O, ""), "")</f>
        <v/>
      </c>
      <c r="AA199" s="8" t="str">
        <f t="array" ref="AA199">IFERROR(XLOOKUP(W199, 'リスト'!$E:$E, 'リスト'!$P:$P, ""), "")</f>
        <v/>
      </c>
      <c r="AB199" s="590"/>
      <c r="AC199" s="8" t="str">
        <f t="array" ref="AC199">IFERROR(XLOOKUP(AB199, 'リスト'!$E:$E, 'リスト'!$F:$F, ""), "")</f>
        <v/>
      </c>
      <c r="AD199" s="8"/>
      <c r="AE199" s="8" t="str">
        <f t="array" ref="AE199">IFERROR(XLOOKUP(AB199, 'リスト'!$E:$E, 'リスト'!$O:$O, ""), "")</f>
        <v/>
      </c>
      <c r="AF199" s="8" t="str">
        <f t="array" ref="AF199">IFERROR(XLOOKUP(AB199, 'リスト'!$E:$E, 'リスト'!$P:$P, ""), "")</f>
        <v/>
      </c>
      <c r="AG199" s="590"/>
      <c r="AH199" s="8" t="str">
        <f t="array" ref="AH199">IFERROR(XLOOKUP(AG199, 'リスト'!$E:$E, 'リスト'!$F:$F, ""), "")</f>
        <v/>
      </c>
      <c r="AI199" s="8"/>
      <c r="AJ199" s="8" t="str">
        <f t="array" ref="AJ199">IFERROR(XLOOKUP(AG199, 'リスト'!$E:$E, 'リスト'!$O:$O, ""), "")</f>
        <v/>
      </c>
      <c r="AK199" s="8" t="str">
        <f t="array" ref="AK199">IFERROR(XLOOKUP(AG199, 'リスト'!$E:$E, 'リスト'!$P:$P, ""), "")</f>
        <v/>
      </c>
    </row>
    <row r="200" ht="17.25" customHeight="1">
      <c r="A200" s="587"/>
      <c r="B200" s="588"/>
      <c r="C200" s="590"/>
      <c r="D200" s="8" t="str">
        <f t="array" ref="D200">IFERROR(XLOOKUP(C200, 'リスト'!$E:$E, 'リスト'!$F:$F, ""), "")</f>
        <v/>
      </c>
      <c r="E200" s="8"/>
      <c r="F200" s="8" t="str">
        <f t="array" ref="F200">IFERROR(XLOOKUP(C200, 'リスト'!$E:$E, 'リスト'!$O:$O, ""), "")</f>
        <v/>
      </c>
      <c r="G200" s="8" t="str">
        <f t="array" ref="G200">IFERROR(XLOOKUP(C200, 'リスト'!$E:$E, 'リスト'!$P:$P, ""), "")</f>
        <v/>
      </c>
      <c r="H200" s="590"/>
      <c r="I200" s="8" t="str">
        <f t="array" ref="I200">IFERROR(XLOOKUP(H200, 'リスト'!$E:$E, 'リスト'!$F:$F, ""), "")</f>
        <v/>
      </c>
      <c r="J200" s="8"/>
      <c r="K200" s="8" t="str">
        <f t="array" ref="K200">IFERROR(XLOOKUP(H200, 'リスト'!$E:$E, 'リスト'!$O:$O, ""), "")</f>
        <v/>
      </c>
      <c r="L200" s="8" t="str">
        <f t="array" ref="L200">IFERROR(XLOOKUP(H200, 'リスト'!$E:$E, 'リスト'!$P:$P, ""), "")</f>
        <v/>
      </c>
      <c r="M200" s="590" t="str">
        <f>IFERROR(__xludf.DUMMYFUNCTION("""COMPUTED_VALUE"""),"40代事務ランキング")</f>
        <v>40代事務ランキング</v>
      </c>
      <c r="N200" s="8">
        <f t="array" ref="N200">IFERROR(XLOOKUP(M200, 'リスト'!$E:$E, 'リスト'!$F:$F, ""), "")</f>
        <v>0.4</v>
      </c>
      <c r="O200" s="8"/>
      <c r="P200" s="8" t="str">
        <f t="array" ref="P200">IFERROR(XLOOKUP(M200, 'リスト'!$E:$E, 'リスト'!$O:$O, ""), "")</f>
        <v>石</v>
      </c>
      <c r="Q200" s="8" t="str">
        <f t="array" ref="Q200">IFERROR(XLOOKUP(M200, 'リスト'!$E:$E, 'リスト'!$P:$P, ""), "")</f>
        <v>部</v>
      </c>
      <c r="R200" s="590"/>
      <c r="S200" s="8" t="str">
        <f t="array" ref="S200">IFERROR(XLOOKUP(R200, 'リスト'!$E:$E, 'リスト'!$F:$F, ""), "")</f>
        <v/>
      </c>
      <c r="T200" s="8"/>
      <c r="U200" s="8" t="str">
        <f t="array" ref="U200">IFERROR(XLOOKUP(R200, 'リスト'!$E:$E, 'リスト'!$O:$O, ""), "")</f>
        <v/>
      </c>
      <c r="V200" s="8" t="str">
        <f t="array" ref="V200">IFERROR(XLOOKUP(R200, 'リスト'!$E:$E, 'リスト'!$P:$P, ""), "")</f>
        <v/>
      </c>
      <c r="W200" s="590"/>
      <c r="X200" s="8" t="str">
        <f t="array" ref="X200">IFERROR(XLOOKUP(W200, 'リスト'!$E:$E, 'リスト'!$F:$F, ""), "")</f>
        <v/>
      </c>
      <c r="Y200" s="8"/>
      <c r="Z200" s="8" t="str">
        <f t="array" ref="Z200">IFERROR(XLOOKUP(W200, 'リスト'!$E:$E, 'リスト'!$O:$O, ""), "")</f>
        <v/>
      </c>
      <c r="AA200" s="8" t="str">
        <f t="array" ref="AA200">IFERROR(XLOOKUP(W200, 'リスト'!$E:$E, 'リスト'!$P:$P, ""), "")</f>
        <v/>
      </c>
      <c r="AB200" s="590"/>
      <c r="AC200" s="8" t="str">
        <f t="array" ref="AC200">IFERROR(XLOOKUP(AB200, 'リスト'!$E:$E, 'リスト'!$F:$F, ""), "")</f>
        <v/>
      </c>
      <c r="AD200" s="8"/>
      <c r="AE200" s="8" t="str">
        <f t="array" ref="AE200">IFERROR(XLOOKUP(AB200, 'リスト'!$E:$E, 'リスト'!$O:$O, ""), "")</f>
        <v/>
      </c>
      <c r="AF200" s="8" t="str">
        <f t="array" ref="AF200">IFERROR(XLOOKUP(AB200, 'リスト'!$E:$E, 'リスト'!$P:$P, ""), "")</f>
        <v/>
      </c>
      <c r="AG200" s="590"/>
      <c r="AH200" s="8" t="str">
        <f t="array" ref="AH200">IFERROR(XLOOKUP(AG200, 'リスト'!$E:$E, 'リスト'!$F:$F, ""), "")</f>
        <v/>
      </c>
      <c r="AI200" s="8"/>
      <c r="AJ200" s="8" t="str">
        <f t="array" ref="AJ200">IFERROR(XLOOKUP(AG200, 'リスト'!$E:$E, 'リスト'!$O:$O, ""), "")</f>
        <v/>
      </c>
      <c r="AK200" s="8" t="str">
        <f t="array" ref="AK200">IFERROR(XLOOKUP(AG200, 'リスト'!$E:$E, 'リスト'!$P:$P, ""), "")</f>
        <v/>
      </c>
    </row>
    <row r="201" ht="17.25" customHeight="1">
      <c r="A201" s="587"/>
      <c r="B201" s="592"/>
      <c r="C201" s="590"/>
      <c r="D201" s="8" t="str">
        <f t="array" ref="D201">IFERROR(XLOOKUP(C201, '新規'!$E:$E, '新規'!$F:$F, ""), "")</f>
        <v/>
      </c>
      <c r="E201" s="8"/>
      <c r="F201" s="8" t="str">
        <f t="array" ref="F201">IFERROR(XLOOKUP(C201, '新規'!$E:$E, '新規'!$O:$O, ""), "")</f>
        <v/>
      </c>
      <c r="G201" s="8" t="str">
        <f t="array" ref="G201">IFERROR(XLOOKUP(C201, '新規'!$E:$E, '新規'!$P:$P, ""), "")</f>
        <v/>
      </c>
      <c r="H201" s="590"/>
      <c r="I201" s="8" t="str">
        <f t="array" ref="I201">IFERROR(XLOOKUP(H201, '新規'!$E:$E, '新規'!$F:$F, ""), "")</f>
        <v/>
      </c>
      <c r="J201" s="8"/>
      <c r="K201" s="8" t="str">
        <f t="array" ref="K201">IFERROR(XLOOKUP(H201, '新規'!$E:$E, '新規'!$O:$O, ""), "")</f>
        <v/>
      </c>
      <c r="L201" s="8" t="str">
        <f t="array" ref="L201">IFERROR(XLOOKUP(H201, '新規'!$E:$E, '新規'!$P:$P, ""), "")</f>
        <v/>
      </c>
      <c r="M201" s="590"/>
      <c r="N201" s="8" t="str">
        <f t="array" ref="N201">IFERROR(XLOOKUP(M201, '新規'!$E:$E, '新規'!$F:$F, ""), "")</f>
        <v/>
      </c>
      <c r="O201" s="8"/>
      <c r="P201" s="8" t="str">
        <f t="array" ref="P201">IFERROR(XLOOKUP(M201, '新規'!$E:$E, '新規'!$O:$O, ""), "")</f>
        <v/>
      </c>
      <c r="Q201" s="8" t="str">
        <f t="array" ref="Q201">IFERROR(XLOOKUP(M201, '新規'!$E:$E, '新規'!$P:$P, ""), "")</f>
        <v/>
      </c>
      <c r="R201" s="590"/>
      <c r="S201" s="8" t="str">
        <f t="array" ref="S201">IFERROR(XLOOKUP(R201, '新規'!$E:$E, '新規'!$F:$F, ""), "")</f>
        <v/>
      </c>
      <c r="T201" s="8"/>
      <c r="U201" s="8" t="str">
        <f t="array" ref="U201">IFERROR(XLOOKUP(R201, '新規'!$E:$E, '新規'!$O:$O, ""), "")</f>
        <v/>
      </c>
      <c r="V201" s="8" t="str">
        <f t="array" ref="V201">IFERROR(XLOOKUP(R201, '新規'!$E:$E, '新規'!$P:$P, ""), "")</f>
        <v/>
      </c>
      <c r="W201" s="590"/>
      <c r="X201" s="8" t="str">
        <f t="array" ref="X201">IFERROR(XLOOKUP(W201, '新規'!$E:$E, '新規'!$F:$F, ""), "")</f>
        <v/>
      </c>
      <c r="Y201" s="8"/>
      <c r="Z201" s="8" t="str">
        <f t="array" ref="Z201">IFERROR(XLOOKUP(W201, '新規'!$E:$E, '新規'!$O:$O, ""), "")</f>
        <v/>
      </c>
      <c r="AA201" s="8" t="str">
        <f t="array" ref="AA201">IFERROR(XLOOKUP(W201, '新規'!$E:$E, '新規'!$P:$P, ""), "")</f>
        <v/>
      </c>
      <c r="AB201" s="590"/>
      <c r="AC201" s="8" t="str">
        <f t="array" ref="AC201">IFERROR(XLOOKUP(AB201, '新規'!$E:$E, '新規'!$F:$F, ""), "")</f>
        <v/>
      </c>
      <c r="AD201" s="8"/>
      <c r="AE201" s="8" t="str">
        <f t="array" ref="AE201">IFERROR(XLOOKUP(AB201, '新規'!$E:$E, '新規'!$O:$O, ""), "")</f>
        <v/>
      </c>
      <c r="AF201" s="8" t="str">
        <f t="array" ref="AF201">IFERROR(XLOOKUP(AB201, '新規'!$E:$E, '新規'!$P:$P, ""), "")</f>
        <v/>
      </c>
      <c r="AG201" s="590"/>
      <c r="AH201" s="8" t="str">
        <f t="array" ref="AH201">IFERROR(XLOOKUP(AG201, '新規'!$E:$E, '新規'!$F:$F, ""), "")</f>
        <v/>
      </c>
      <c r="AI201" s="8"/>
      <c r="AJ201" s="8" t="str">
        <f t="array" ref="AJ201">IFERROR(XLOOKUP(AG201, '新規'!$E:$E, '新規'!$O:$O, ""), "")</f>
        <v/>
      </c>
      <c r="AK201" s="8" t="str">
        <f t="array" ref="AK201">IFERROR(XLOOKUP(AG201, '新規'!$E:$E, '新規'!$P:$P, ""), "")</f>
        <v/>
      </c>
    </row>
    <row r="202" ht="17.25" customHeight="1">
      <c r="A202" s="587"/>
      <c r="B202" s="585" t="s">
        <v>78</v>
      </c>
      <c r="C202" s="590" t="str">
        <f>IFERROR(__xludf.DUMMYFUNCTION("IFERROR(FILTER('新規'!$E$3:$E$170, ('新規'!$B$3:$B$170=LOOKUP(2,1/($A$3:$A202&lt;&gt;""""),$A$3:$A202))*(('新規'!$A$3:$A$170=C$1)+(('新規'!$G$3:$G$170=""毎月配信"")*(TEXT('新規'!$A$3:$A$170,""ddd"")=TEXT(C$1, ""ddd""))))), """")"),"")</f>
        <v/>
      </c>
      <c r="D202" s="8" t="str">
        <f t="array" ref="D202">IFERROR(XLOOKUP(C202, '新規'!$E:$E, '新規'!$F:$F, ""), "")</f>
        <v/>
      </c>
      <c r="E202" s="8"/>
      <c r="F202" s="8" t="str">
        <f>IFERROR(__xludf.DUMMYFUNCTION("IF(C202="""","""",IFERROR(INDEX(FILTER('新規'!$O$3:$O$670, '新規'!$E$3:$E$670=C202),1),""""))"),"")</f>
        <v/>
      </c>
      <c r="G202" s="8" t="str">
        <f>IFERROR(__xludf.DUMMYFUNCTION("IF(C202="""","""",IFERROR(INDEX(FILTER('新規'!$P$3:$P$670, '新規'!$E$3:$E$670=C202),1),""""))"),"")</f>
        <v/>
      </c>
      <c r="H202" s="590" t="str">
        <f>IFERROR(__xludf.DUMMYFUNCTION("IFERROR(FILTER('新規'!$E$3:$E$170, ('新規'!$B$3:$B$170=LOOKUP(2,1/($A$3:$A202&lt;&gt;""""),$A$3:$A202))*(('新規'!$A$3:$A$170=H$1)+(('新規'!$G$3:$G$170=""毎月配信"")*(TEXT('新規'!$A$3:$A$170,""ddd"")=TEXT(H$1, ""ddd""))))), """")"),"")</f>
        <v/>
      </c>
      <c r="I202" s="8" t="str">
        <f t="array" ref="I202">IFERROR(XLOOKUP(H202, '新規'!$E:$E, '新規'!$F:$F, ""), "")</f>
        <v/>
      </c>
      <c r="J202" s="8"/>
      <c r="K202" s="8" t="str">
        <f>IFERROR(__xludf.DUMMYFUNCTION("IF(H202="""","""",IFERROR(INDEX(FILTER('新規'!$O$3:$O$670, '新規'!$E$3:$E$670=H202),1),""""))"),"")</f>
        <v/>
      </c>
      <c r="L202" s="8" t="str">
        <f>IFERROR(__xludf.DUMMYFUNCTION("IF(H202="""","""",IFERROR(INDEX(FILTER('新規'!$P$3:$P$670, '新規'!$E$3:$E$670=H202),1),""""))"),"")</f>
        <v/>
      </c>
      <c r="M202" s="590" t="str">
        <f>IFERROR(__xludf.DUMMYFUNCTION("IFERROR(FILTER('新規'!$E$3:$E$170, ('新規'!$B$3:$B$170=LOOKUP(2,1/($A$3:$A202&lt;&gt;""""),$A$3:$A202))*(('新規'!$A$3:$A$170=M$1)+(('新規'!$G$3:$G$170=""毎月配信"")*(TEXT('新規'!$A$3:$A$170,""ddd"")=TEXT(M$1, ""ddd""))))), """")"),"")</f>
        <v/>
      </c>
      <c r="N202" s="8" t="str">
        <f t="array" ref="N202">IFERROR(XLOOKUP(M202, '新規'!$E:$E, '新規'!$F:$F, ""), "")</f>
        <v/>
      </c>
      <c r="O202" s="8"/>
      <c r="P202" s="8" t="str">
        <f>IFERROR(__xludf.DUMMYFUNCTION("IF(M202="""","""",IFERROR(INDEX(FILTER('新規'!$O$3:$O$670, '新規'!$E$3:$E$670=M202),1),""""))"),"")</f>
        <v/>
      </c>
      <c r="Q202" s="8" t="str">
        <f>IFERROR(__xludf.DUMMYFUNCTION("IF(M202="""","""",IFERROR(INDEX(FILTER('新規'!$P$3:$P$670, '新規'!$E$3:$E$670=M202),1),""""))"),"")</f>
        <v/>
      </c>
      <c r="R202" s="590" t="str">
        <f>IFERROR(__xludf.DUMMYFUNCTION("IFERROR(FILTER('新規'!$E$3:$E$170, ('新規'!$B$3:$B$170=LOOKUP(2,1/($A$3:$A202&lt;&gt;""""),$A$3:$A202))*(('新規'!$A$3:$A$170=R$1)+(('新規'!$G$3:$G$170=""毎月配信"")*(TEXT('新規'!$A$3:$A$170,""ddd"")=TEXT(R$1, ""ddd""))))), """")"),"")</f>
        <v/>
      </c>
      <c r="S202" s="8" t="str">
        <f t="array" ref="S202">IFERROR(XLOOKUP(R202, '新規'!$E:$E, '新規'!$F:$F, ""), "")</f>
        <v/>
      </c>
      <c r="T202" s="8"/>
      <c r="U202" s="8" t="str">
        <f>IFERROR(__xludf.DUMMYFUNCTION("IF(R202="""","""",IFERROR(INDEX(FILTER('新規'!$O$3:$O$670, '新規'!$E$3:$E$670=R202),1),""""))"),"")</f>
        <v/>
      </c>
      <c r="V202" s="8" t="str">
        <f>IFERROR(__xludf.DUMMYFUNCTION("IF(R202="""","""",IFERROR(INDEX(FILTER('新規'!$P$3:$P$670, '新規'!$E$3:$E$670=R202),1),""""))"),"")</f>
        <v/>
      </c>
      <c r="W202" s="590" t="str">
        <f>IFERROR(__xludf.DUMMYFUNCTION("IFERROR(FILTER('新規'!$E$3:$E$170, ('新規'!$B$3:$B$170=LOOKUP(2,1/($A$3:$A202&lt;&gt;""""),$A$3:$A202))*(('新規'!$A$3:$A$170=W$1)+(('新規'!$G$3:$G$170=""毎月配信"")*(TEXT('新規'!$A$3:$A$170,""ddd"")=TEXT(W$1, ""ddd""))))), """")"),"")</f>
        <v/>
      </c>
      <c r="X202" s="8" t="str">
        <f t="array" ref="X202">IFERROR(XLOOKUP(W202, '新規'!$E:$E, '新規'!$F:$F, ""), "")</f>
        <v/>
      </c>
      <c r="Y202" s="8"/>
      <c r="Z202" s="8" t="str">
        <f>IFERROR(__xludf.DUMMYFUNCTION("IF(W202="""","""",IFERROR(INDEX(FILTER('新規'!$O$3:$O$670, '新規'!$E$3:$E$670=W202),1),""""))"),"")</f>
        <v/>
      </c>
      <c r="AA202" s="8" t="str">
        <f>IFERROR(__xludf.DUMMYFUNCTION("IF(W202="""","""",IFERROR(INDEX(FILTER('新規'!$P$3:$P$670, '新規'!$E$3:$E$670=W202),1),""""))"),"")</f>
        <v/>
      </c>
      <c r="AB202" s="590" t="str">
        <f>IFERROR(__xludf.DUMMYFUNCTION("IFERROR(FILTER('新規'!$E$3:$E$170, ('新規'!$B$3:$B$170=LOOKUP(2,1/($A$3:$A202&lt;&gt;""""),$A$3:$A202))*(('新規'!$A$3:$A$170=AB$1)+(('新規'!$G$3:$G$170=""毎月配信"")*(TEXT('新規'!$A$3:$A$170,""ddd"")=TEXT(AB$1, ""ddd""))))), """")"),"")</f>
        <v/>
      </c>
      <c r="AC202" s="8" t="str">
        <f t="array" ref="AC202">IFERROR(XLOOKUP(AB202, '新規'!$E:$E, '新規'!$F:$F, ""), "")</f>
        <v/>
      </c>
      <c r="AD202" s="8"/>
      <c r="AE202" s="8" t="str">
        <f>IFERROR(__xludf.DUMMYFUNCTION("IF(AB202="""","""",IFERROR(INDEX(FILTER('新規'!$O$3:$O$670, '新規'!$E$3:$E$670=AB202),1),""""))"),"")</f>
        <v/>
      </c>
      <c r="AF202" s="8" t="str">
        <f>IFERROR(__xludf.DUMMYFUNCTION("IF(AB202="""","""",IFERROR(INDEX(FILTER('新規'!$P$3:$P$670, '新規'!$E$3:$E$670=AB202),1),""""))"),"")</f>
        <v/>
      </c>
      <c r="AG202" s="590" t="str">
        <f>IFERROR(__xludf.DUMMYFUNCTION("IFERROR(FILTER('新規'!$E$3:$E$170, ('新規'!$B$3:$B$170=LOOKUP(2,1/($A$3:$A202&lt;&gt;""""),$A$3:$A202))*(('新規'!$A$3:$A$170=AG$1)+(('新規'!$G$3:$G$170=""毎月配信"")*(TEXT('新規'!$A$3:$A$170,""ddd"")=TEXT(AG$1, ""ddd""))))), """")"),"")</f>
        <v/>
      </c>
      <c r="AH202" s="8" t="str">
        <f t="array" ref="AH202">IFERROR(XLOOKUP(AG202, '新規'!$E:$E, '新規'!$F:$F, ""), "")</f>
        <v/>
      </c>
      <c r="AI202" s="8"/>
      <c r="AJ202" s="8" t="str">
        <f>IFERROR(__xludf.DUMMYFUNCTION("IF(AG202="""","""",IFERROR(INDEX(FILTER('新規'!$O$3:$O$670, '新規'!$E$3:$E$670=AG202),1),""""))"),"")</f>
        <v/>
      </c>
      <c r="AK202" s="8" t="str">
        <f>IFERROR(__xludf.DUMMYFUNCTION("IF(AG202="""","""",IFERROR(INDEX(FILTER('新規'!$P$3:$P$670, '新規'!$E$3:$E$670=AG202),1),""""))"),"")</f>
        <v/>
      </c>
    </row>
    <row r="203" ht="17.25" customHeight="1">
      <c r="A203" s="587"/>
      <c r="B203" s="588"/>
      <c r="C203" s="590"/>
      <c r="D203" s="8" t="str">
        <f t="array" ref="D203">IFERROR(XLOOKUP(C203, '新規'!$E:$E, '新規'!$F:$F, ""), "")</f>
        <v/>
      </c>
      <c r="E203" s="8"/>
      <c r="F203" s="8" t="str">
        <f t="array" ref="F203">IFERROR(XLOOKUP(C203, '新規'!$E:$E, '新規'!$O:$O, ""), "")</f>
        <v/>
      </c>
      <c r="G203" s="8" t="str">
        <f t="array" ref="G203">IFERROR(XLOOKUP(C203, '新規'!$E:$E, '新規'!$P:$P, ""), "")</f>
        <v/>
      </c>
      <c r="H203" s="590"/>
      <c r="I203" s="8" t="str">
        <f t="array" ref="I203">IFERROR(XLOOKUP(H203, '新規'!$E:$E, '新規'!$F:$F, ""), "")</f>
        <v/>
      </c>
      <c r="J203" s="8"/>
      <c r="K203" s="8" t="str">
        <f t="array" ref="K203">IFERROR(XLOOKUP(H203, '新規'!$E:$E, '新規'!$O:$O, ""), "")</f>
        <v/>
      </c>
      <c r="L203" s="8" t="str">
        <f t="array" ref="L203">IFERROR(XLOOKUP(H203, '新規'!$E:$E, '新規'!$P:$P, ""), "")</f>
        <v/>
      </c>
      <c r="M203" s="590"/>
      <c r="N203" s="8" t="str">
        <f t="array" ref="N203">IFERROR(XLOOKUP(M203, '新規'!$E:$E, '新規'!$F:$F, ""), "")</f>
        <v/>
      </c>
      <c r="O203" s="8"/>
      <c r="P203" s="8" t="str">
        <f t="array" ref="P203">IFERROR(XLOOKUP(M203, '新規'!$E:$E, '新規'!$O:$O, ""), "")</f>
        <v/>
      </c>
      <c r="Q203" s="8" t="str">
        <f t="array" ref="Q203">IFERROR(XLOOKUP(M203, '新規'!$E:$E, '新規'!$P:$P, ""), "")</f>
        <v/>
      </c>
      <c r="R203" s="590"/>
      <c r="S203" s="8" t="str">
        <f t="array" ref="S203">IFERROR(XLOOKUP(R203, '新規'!$E:$E, '新規'!$F:$F, ""), "")</f>
        <v/>
      </c>
      <c r="T203" s="8"/>
      <c r="U203" s="8" t="str">
        <f t="array" ref="U203">IFERROR(XLOOKUP(R203, '新規'!$E:$E, '新規'!$O:$O, ""), "")</f>
        <v/>
      </c>
      <c r="V203" s="8" t="str">
        <f t="array" ref="V203">IFERROR(XLOOKUP(R203, '新規'!$E:$E, '新規'!$P:$P, ""), "")</f>
        <v/>
      </c>
      <c r="W203" s="590"/>
      <c r="X203" s="8" t="str">
        <f t="array" ref="X203">IFERROR(XLOOKUP(W203, '新規'!$E:$E, '新規'!$F:$F, ""), "")</f>
        <v/>
      </c>
      <c r="Y203" s="8"/>
      <c r="Z203" s="8" t="str">
        <f t="array" ref="Z203">IFERROR(XLOOKUP(W203, '新規'!$E:$E, '新規'!$O:$O, ""), "")</f>
        <v/>
      </c>
      <c r="AA203" s="8" t="str">
        <f t="array" ref="AA203">IFERROR(XLOOKUP(W203, '新規'!$E:$E, '新規'!$P:$P, ""), "")</f>
        <v/>
      </c>
      <c r="AB203" s="590"/>
      <c r="AC203" s="8" t="str">
        <f t="array" ref="AC203">IFERROR(XLOOKUP(AB203, '新規'!$E:$E, '新規'!$F:$F, ""), "")</f>
        <v/>
      </c>
      <c r="AD203" s="8"/>
      <c r="AE203" s="8" t="str">
        <f t="array" ref="AE203">IFERROR(XLOOKUP(AB203, '新規'!$E:$E, '新規'!$O:$O, ""), "")</f>
        <v/>
      </c>
      <c r="AF203" s="8" t="str">
        <f t="array" ref="AF203">IFERROR(XLOOKUP(AB203, '新規'!$E:$E, '新規'!$P:$P, ""), "")</f>
        <v/>
      </c>
      <c r="AG203" s="590"/>
      <c r="AH203" s="8" t="str">
        <f t="array" ref="AH203">IFERROR(XLOOKUP(AG203, '新規'!$E:$E, '新規'!$F:$F, ""), "")</f>
        <v/>
      </c>
      <c r="AI203" s="8"/>
      <c r="AJ203" s="8" t="str">
        <f t="array" ref="AJ203">IFERROR(XLOOKUP(AG203, '新規'!$E:$E, '新規'!$O:$O, ""), "")</f>
        <v/>
      </c>
      <c r="AK203" s="8" t="str">
        <f t="array" ref="AK203">IFERROR(XLOOKUP(AG203, '新規'!$E:$E, '新規'!$P:$P, ""), "")</f>
        <v/>
      </c>
    </row>
    <row r="204" ht="17.25" customHeight="1">
      <c r="A204" s="587"/>
      <c r="B204" s="588"/>
      <c r="C204" s="590"/>
      <c r="D204" s="8" t="str">
        <f t="array" ref="D204">IFERROR(XLOOKUP(C204, '新規'!$E:$E, '新規'!$F:$F, ""), "")</f>
        <v/>
      </c>
      <c r="E204" s="8"/>
      <c r="F204" s="8" t="str">
        <f t="array" ref="F204">IFERROR(XLOOKUP(C204, '新規'!$E:$E, '新規'!$O:$O, ""), "")</f>
        <v/>
      </c>
      <c r="G204" s="8" t="str">
        <f t="array" ref="G204">IFERROR(XLOOKUP(C204, '新規'!$E:$E, '新規'!$P:$P, ""), "")</f>
        <v/>
      </c>
      <c r="H204" s="590"/>
      <c r="I204" s="8" t="str">
        <f t="array" ref="I204">IFERROR(XLOOKUP(H204, '新規'!$E:$E, '新規'!$F:$F, ""), "")</f>
        <v/>
      </c>
      <c r="J204" s="8"/>
      <c r="K204" s="8" t="str">
        <f t="array" ref="K204">IFERROR(XLOOKUP(H204, '新規'!$E:$E, '新規'!$O:$O, ""), "")</f>
        <v/>
      </c>
      <c r="L204" s="8" t="str">
        <f t="array" ref="L204">IFERROR(XLOOKUP(H204, '新規'!$E:$E, '新規'!$P:$P, ""), "")</f>
        <v/>
      </c>
      <c r="M204" s="590"/>
      <c r="N204" s="8" t="str">
        <f t="array" ref="N204">IFERROR(XLOOKUP(M204, '新規'!$E:$E, '新規'!$F:$F, ""), "")</f>
        <v/>
      </c>
      <c r="O204" s="8"/>
      <c r="P204" s="8" t="str">
        <f t="array" ref="P204">IFERROR(XLOOKUP(M204, '新規'!$E:$E, '新規'!$O:$O, ""), "")</f>
        <v/>
      </c>
      <c r="Q204" s="8" t="str">
        <f t="array" ref="Q204">IFERROR(XLOOKUP(M204, '新規'!$E:$E, '新規'!$P:$P, ""), "")</f>
        <v/>
      </c>
      <c r="R204" s="590"/>
      <c r="S204" s="8" t="str">
        <f t="array" ref="S204">IFERROR(XLOOKUP(R204, '新規'!$E:$E, '新規'!$F:$F, ""), "")</f>
        <v/>
      </c>
      <c r="T204" s="8"/>
      <c r="U204" s="8" t="str">
        <f t="array" ref="U204">IFERROR(XLOOKUP(R204, '新規'!$E:$E, '新規'!$O:$O, ""), "")</f>
        <v/>
      </c>
      <c r="V204" s="8" t="str">
        <f t="array" ref="V204">IFERROR(XLOOKUP(R204, '新規'!$E:$E, '新規'!$P:$P, ""), "")</f>
        <v/>
      </c>
      <c r="W204" s="590"/>
      <c r="X204" s="8" t="str">
        <f t="array" ref="X204">IFERROR(XLOOKUP(W204, '新規'!$E:$E, '新規'!$F:$F, ""), "")</f>
        <v/>
      </c>
      <c r="Y204" s="8"/>
      <c r="Z204" s="8" t="str">
        <f t="array" ref="Z204">IFERROR(XLOOKUP(W204, '新規'!$E:$E, '新規'!$O:$O, ""), "")</f>
        <v/>
      </c>
      <c r="AA204" s="8" t="str">
        <f t="array" ref="AA204">IFERROR(XLOOKUP(W204, '新規'!$E:$E, '新規'!$P:$P, ""), "")</f>
        <v/>
      </c>
      <c r="AB204" s="590"/>
      <c r="AC204" s="8" t="str">
        <f t="array" ref="AC204">IFERROR(XLOOKUP(AB204, '新規'!$E:$E, '新規'!$F:$F, ""), "")</f>
        <v/>
      </c>
      <c r="AD204" s="8"/>
      <c r="AE204" s="8" t="str">
        <f t="array" ref="AE204">IFERROR(XLOOKUP(AB204, '新規'!$E:$E, '新規'!$O:$O, ""), "")</f>
        <v/>
      </c>
      <c r="AF204" s="8" t="str">
        <f t="array" ref="AF204">IFERROR(XLOOKUP(AB204, '新規'!$E:$E, '新規'!$P:$P, ""), "")</f>
        <v/>
      </c>
      <c r="AG204" s="590"/>
      <c r="AH204" s="8" t="str">
        <f t="array" ref="AH204">IFERROR(XLOOKUP(AG204, '新規'!$E:$E, '新規'!$F:$F, ""), "")</f>
        <v/>
      </c>
      <c r="AI204" s="8"/>
      <c r="AJ204" s="8" t="str">
        <f t="array" ref="AJ204">IFERROR(XLOOKUP(AG204, '新規'!$E:$E, '新規'!$O:$O, ""), "")</f>
        <v/>
      </c>
      <c r="AK204" s="8" t="str">
        <f t="array" ref="AK204">IFERROR(XLOOKUP(AG204, '新規'!$E:$E, '新規'!$P:$P, ""), "")</f>
        <v/>
      </c>
    </row>
    <row r="205" ht="17.25" customHeight="1">
      <c r="A205" s="587"/>
      <c r="B205" s="588"/>
      <c r="C205" s="590"/>
      <c r="D205" s="8" t="str">
        <f t="array" ref="D205">IFERROR(XLOOKUP(C205, '新規'!$E:$E, '新規'!$F:$F, ""), "")</f>
        <v/>
      </c>
      <c r="E205" s="8"/>
      <c r="F205" s="8" t="str">
        <f t="array" ref="F205">IFERROR(XLOOKUP(C205, '新規'!$E:$E, '新規'!$O:$O, ""), "")</f>
        <v/>
      </c>
      <c r="G205" s="8" t="str">
        <f t="array" ref="G205">IFERROR(XLOOKUP(C205, '新規'!$E:$E, '新規'!$P:$P, ""), "")</f>
        <v/>
      </c>
      <c r="H205" s="590"/>
      <c r="I205" s="8" t="str">
        <f t="array" ref="I205">IFERROR(XLOOKUP(H205, '新規'!$E:$E, '新規'!$F:$F, ""), "")</f>
        <v/>
      </c>
      <c r="J205" s="8"/>
      <c r="K205" s="8" t="str">
        <f t="array" ref="K205">IFERROR(XLOOKUP(H205, '新規'!$E:$E, '新規'!$O:$O, ""), "")</f>
        <v/>
      </c>
      <c r="L205" s="8" t="str">
        <f t="array" ref="L205">IFERROR(XLOOKUP(H205, '新規'!$E:$E, '新規'!$P:$P, ""), "")</f>
        <v/>
      </c>
      <c r="M205" s="590"/>
      <c r="N205" s="8" t="str">
        <f t="array" ref="N205">IFERROR(XLOOKUP(M205, '新規'!$E:$E, '新規'!$F:$F, ""), "")</f>
        <v/>
      </c>
      <c r="O205" s="8"/>
      <c r="P205" s="8" t="str">
        <f t="array" ref="P205">IFERROR(XLOOKUP(M205, '新規'!$E:$E, '新規'!$O:$O, ""), "")</f>
        <v/>
      </c>
      <c r="Q205" s="8" t="str">
        <f t="array" ref="Q205">IFERROR(XLOOKUP(M205, '新規'!$E:$E, '新規'!$P:$P, ""), "")</f>
        <v/>
      </c>
      <c r="R205" s="590"/>
      <c r="S205" s="8" t="str">
        <f t="array" ref="S205">IFERROR(XLOOKUP(R205, '新規'!$E:$E, '新規'!$F:$F, ""), "")</f>
        <v/>
      </c>
      <c r="T205" s="8"/>
      <c r="U205" s="8" t="str">
        <f t="array" ref="U205">IFERROR(XLOOKUP(R205, '新規'!$E:$E, '新規'!$O:$O, ""), "")</f>
        <v/>
      </c>
      <c r="V205" s="8" t="str">
        <f t="array" ref="V205">IFERROR(XLOOKUP(R205, '新規'!$E:$E, '新規'!$P:$P, ""), "")</f>
        <v/>
      </c>
      <c r="W205" s="590"/>
      <c r="X205" s="8" t="str">
        <f t="array" ref="X205">IFERROR(XLOOKUP(W205, '新規'!$E:$E, '新規'!$F:$F, ""), "")</f>
        <v/>
      </c>
      <c r="Y205" s="8"/>
      <c r="Z205" s="8" t="str">
        <f t="array" ref="Z205">IFERROR(XLOOKUP(W205, '新規'!$E:$E, '新規'!$O:$O, ""), "")</f>
        <v/>
      </c>
      <c r="AA205" s="8" t="str">
        <f t="array" ref="AA205">IFERROR(XLOOKUP(W205, '新規'!$E:$E, '新規'!$P:$P, ""), "")</f>
        <v/>
      </c>
      <c r="AB205" s="590"/>
      <c r="AC205" s="8" t="str">
        <f t="array" ref="AC205">IFERROR(XLOOKUP(AB205, '新規'!$E:$E, '新規'!$F:$F, ""), "")</f>
        <v/>
      </c>
      <c r="AD205" s="8"/>
      <c r="AE205" s="8" t="str">
        <f t="array" ref="AE205">IFERROR(XLOOKUP(AB205, '新規'!$E:$E, '新規'!$O:$O, ""), "")</f>
        <v/>
      </c>
      <c r="AF205" s="8" t="str">
        <f t="array" ref="AF205">IFERROR(XLOOKUP(AB205, '新規'!$E:$E, '新規'!$P:$P, ""), "")</f>
        <v/>
      </c>
      <c r="AG205" s="590"/>
      <c r="AH205" s="8" t="str">
        <f t="array" ref="AH205">IFERROR(XLOOKUP(AG205, '新規'!$E:$E, '新規'!$F:$F, ""), "")</f>
        <v/>
      </c>
      <c r="AI205" s="8"/>
      <c r="AJ205" s="8" t="str">
        <f t="array" ref="AJ205">IFERROR(XLOOKUP(AG205, '新規'!$E:$E, '新規'!$O:$O, ""), "")</f>
        <v/>
      </c>
      <c r="AK205" s="8" t="str">
        <f t="array" ref="AK205">IFERROR(XLOOKUP(AG205, '新規'!$E:$E, '新規'!$P:$P, ""), "")</f>
        <v/>
      </c>
    </row>
    <row r="206" ht="17.25" customHeight="1">
      <c r="A206" s="587"/>
      <c r="B206" s="592"/>
      <c r="C206" s="590"/>
      <c r="D206" s="593" t="str">
        <f>IFERROR(__xludf.DUMMYFUNCTION("IF(C206="""","""",IFERROR(INDEX(FILTER('特殊配信マスタ'!$F$3:$F$16,('特殊配信マスタ'!$A$3:$A$16=CHOOSE(WEEKDAY(C$1),""日"",""月"",""火"",""水"",""木"",""金"",""土""))*('特殊配信マスタ'!$B$3:$B$16=A$3)*('特殊配信マスタ'!$R$3:$R$16=MOD(INT((C$1-'特殊配信マスタ'!$A$1)/7),3)+1)),1),""""))"),"")</f>
        <v/>
      </c>
      <c r="E206" s="590"/>
      <c r="F206" s="593" t="str">
        <f>IFERROR(__xludf.DUMMYFUNCTION("IF(C206="""","""",IFERROR(INDEX(FILTER('特殊配信マスタ'!$O$3:$O$16,('特殊配信マスタ'!$A$3:$A$16=CHOOSE(WEEKDAY(C$1),""日"",""月"",""火"",""水"",""木"",""金"",""土""))*('特殊配信マスタ'!$B$3:$B$16=A$3)*('特殊配信マスタ'!$R$3:$R$16=MOD(INT((C$1-'特殊配信マスタ'!$A$1)/7),3)+1)),1),""""))"),"")</f>
        <v/>
      </c>
      <c r="G206" s="593" t="str">
        <f>IFERROR(__xludf.DUMMYFUNCTION("IF(C206="""","""",IFERROR(INDEX(FILTER('特殊配信マスタ'!$P$3:$P$16,('特殊配信マスタ'!$A$3:$A$16=CHOOSE(WEEKDAY(C$1),""日"",""月"",""火"",""水"",""木"",""金"",""土""))*('特殊配信マスタ'!$B$3:$B$16=A$3)*('特殊配信マスタ'!$R$3:$R$16=MOD(INT((C$1-'特殊配信マスタ'!$A$1)/7),3)+1)),1),""""))"),"")</f>
        <v/>
      </c>
      <c r="H206" s="590"/>
      <c r="I206" s="593" t="str">
        <f>IFERROR(__xludf.DUMMYFUNCTION("IF(H206="""","""",IFERROR(INDEX(FILTER('特殊配信マスタ'!$F$3:$F$16,('特殊配信マスタ'!$A$3:$A$16=CHOOSE(WEEKDAY(H$1),""日"",""月"",""火"",""水"",""木"",""金"",""土""))*('特殊配信マスタ'!$B$3:$B$16=F$3)*('特殊配信マスタ'!$R$3:$R$16=MOD(INT((H$1-'特殊配信マスタ'!$A$1)/7),3)+1)),1),""""))"),"")</f>
        <v/>
      </c>
      <c r="J206" s="590"/>
      <c r="K206" s="593" t="str">
        <f>IFERROR(__xludf.DUMMYFUNCTION("IF(H206="""","""",IFERROR(INDEX(FILTER('特殊配信マスタ'!$O$3:$O$16,('特殊配信マスタ'!$A$3:$A$16=CHOOSE(WEEKDAY(H$1),""日"",""月"",""火"",""水"",""木"",""金"",""土""))*('特殊配信マスタ'!$B$3:$B$16=F$3)*('特殊配信マスタ'!$R$3:$R$16=MOD(INT((H$1-'特殊配信マスタ'!$A$1)/7),3)+1)),1),""""))"),"")</f>
        <v/>
      </c>
      <c r="L206" s="593" t="str">
        <f>IFERROR(__xludf.DUMMYFUNCTION("IF(H206="""","""",IFERROR(INDEX(FILTER('特殊配信マスタ'!$P$3:$P$16,('特殊配信マスタ'!$A$3:$A$16=CHOOSE(WEEKDAY(H$1),""日"",""月"",""火"",""水"",""木"",""金"",""土""))*('特殊配信マスタ'!$B$3:$B$16=F$3)*('特殊配信マスタ'!$R$3:$R$16=MOD(INT((H$1-'特殊配信マスタ'!$A$1)/7),3)+1)),1),""""))"),"")</f>
        <v/>
      </c>
      <c r="M206" s="590"/>
      <c r="N206" s="593" t="str">
        <f>IFERROR(__xludf.DUMMYFUNCTION("IF(M206="""","""",IFERROR(INDEX(FILTER('特殊配信マスタ'!$F$3:$F$16,('特殊配信マスタ'!$A$3:$A$16=CHOOSE(WEEKDAY(M$1),""日"",""月"",""火"",""水"",""木"",""金"",""土""))*('特殊配信マスタ'!$B$3:$B$16=K$3)*('特殊配信マスタ'!$R$3:$R$16=MOD(INT((M$1-'特殊配信マスタ'!$A$1)/7),3)+1)),1),""""))"),"")</f>
        <v/>
      </c>
      <c r="O206" s="590"/>
      <c r="P206" s="593" t="str">
        <f>IFERROR(__xludf.DUMMYFUNCTION("IF(M206="""","""",IFERROR(INDEX(FILTER('特殊配信マスタ'!$O$3:$O$16,('特殊配信マスタ'!$A$3:$A$16=CHOOSE(WEEKDAY(M$1),""日"",""月"",""火"",""水"",""木"",""金"",""土""))*('特殊配信マスタ'!$B$3:$B$16=K$3)*('特殊配信マスタ'!$R$3:$R$16=MOD(INT((M$1-'特殊配信マスタ'!$A$1)/7),3)+1)),1),""""))"),"")</f>
        <v/>
      </c>
      <c r="Q206" s="593" t="str">
        <f>IFERROR(__xludf.DUMMYFUNCTION("IF(M206="""","""",IFERROR(INDEX(FILTER('特殊配信マスタ'!$P$3:$P$16,('特殊配信マスタ'!$A$3:$A$16=CHOOSE(WEEKDAY(M$1),""日"",""月"",""火"",""水"",""木"",""金"",""土""))*('特殊配信マスタ'!$B$3:$B$16=K$3)*('特殊配信マスタ'!$R$3:$R$16=MOD(INT((M$1-'特殊配信マスタ'!$A$1)/7),3)+1)),1),""""))"),"")</f>
        <v/>
      </c>
      <c r="R206" s="590"/>
      <c r="S206" s="593" t="str">
        <f>IFERROR(__xludf.DUMMYFUNCTION("IF(R206="""","""",IFERROR(INDEX(FILTER('特殊配信マスタ'!$F$3:$F$16,('特殊配信マスタ'!$A$3:$A$16=CHOOSE(WEEKDAY(R$1),""日"",""月"",""火"",""水"",""木"",""金"",""土""))*('特殊配信マスタ'!$B$3:$B$16=P$3)*('特殊配信マスタ'!$R$3:$R$16=MOD(INT((R$1-'特殊配信マスタ'!$A$1)/7),3)+1)),1),""""))"),"")</f>
        <v/>
      </c>
      <c r="T206" s="590"/>
      <c r="U206" s="593" t="str">
        <f>IFERROR(__xludf.DUMMYFUNCTION("IF(R206="""","""",IFERROR(INDEX(FILTER('特殊配信マスタ'!$O$3:$O$16,('特殊配信マスタ'!$A$3:$A$16=CHOOSE(WEEKDAY(R$1),""日"",""月"",""火"",""水"",""木"",""金"",""土""))*('特殊配信マスタ'!$B$3:$B$16=P$3)*('特殊配信マスタ'!$R$3:$R$16=MOD(INT((R$1-'特殊配信マスタ'!$A$1)/7),3)+1)),1),""""))"),"")</f>
        <v/>
      </c>
      <c r="V206" s="593" t="str">
        <f>IFERROR(__xludf.DUMMYFUNCTION("IF(R206="""","""",IFERROR(INDEX(FILTER('特殊配信マスタ'!$P$3:$P$16,('特殊配信マスタ'!$A$3:$A$16=CHOOSE(WEEKDAY(R$1),""日"",""月"",""火"",""水"",""木"",""金"",""土""))*('特殊配信マスタ'!$B$3:$B$16=P$3)*('特殊配信マスタ'!$R$3:$R$16=MOD(INT((R$1-'特殊配信マスタ'!$A$1)/7),3)+1)),1),""""))"),"")</f>
        <v/>
      </c>
      <c r="W206" s="590"/>
      <c r="X206" s="593" t="str">
        <f>IFERROR(__xludf.DUMMYFUNCTION("IF(W206="""","""",IFERROR(INDEX(FILTER('特殊配信マスタ'!$F$3:$F$16,('特殊配信マスタ'!$A$3:$A$16=CHOOSE(WEEKDAY(W$1),""日"",""月"",""火"",""水"",""木"",""金"",""土""))*('特殊配信マスタ'!$B$3:$B$16=U$3)*('特殊配信マスタ'!$R$3:$R$16=MOD(INT((W$1-'特殊配信マスタ'!$A$1)/7),3)+1)),1),""""))"),"")</f>
        <v/>
      </c>
      <c r="Y206" s="590"/>
      <c r="Z206" s="593" t="str">
        <f>IFERROR(__xludf.DUMMYFUNCTION("IF(W206="""","""",IFERROR(INDEX(FILTER('特殊配信マスタ'!$O$3:$O$16,('特殊配信マスタ'!$A$3:$A$16=CHOOSE(WEEKDAY(W$1),""日"",""月"",""火"",""水"",""木"",""金"",""土""))*('特殊配信マスタ'!$B$3:$B$16=U$3)*('特殊配信マスタ'!$R$3:$R$16=MOD(INT((W$1-'特殊配信マスタ'!$A$1)/7),3)+1)),1),""""))"),"")</f>
        <v/>
      </c>
      <c r="AA206" s="593" t="str">
        <f>IFERROR(__xludf.DUMMYFUNCTION("IF(W206="""","""",IFERROR(INDEX(FILTER('特殊配信マスタ'!$P$3:$P$16,('特殊配信マスタ'!$A$3:$A$16=CHOOSE(WEEKDAY(W$1),""日"",""月"",""火"",""水"",""木"",""金"",""土""))*('特殊配信マスタ'!$B$3:$B$16=U$3)*('特殊配信マスタ'!$R$3:$R$16=MOD(INT((W$1-'特殊配信マスタ'!$A$1)/7),3)+1)),1),""""))"),"")</f>
        <v/>
      </c>
      <c r="AB206" s="590"/>
      <c r="AC206" s="593" t="str">
        <f>IFERROR(__xludf.DUMMYFUNCTION("IF(AB206="""","""",IFERROR(INDEX(FILTER('特殊配信マスタ'!$F$3:$F$16,('特殊配信マスタ'!$A$3:$A$16=CHOOSE(WEEKDAY(AB$1),""日"",""月"",""火"",""水"",""木"",""金"",""土""))*('特殊配信マスタ'!$B$3:$B$16=Z$3)*('特殊配信マスタ'!$R$3:$R$16=MOD(INT((AB$1-'特殊配信マスタ'!$A$1)/7),3)+1)),1),""""))"),"")</f>
        <v/>
      </c>
      <c r="AD206" s="590"/>
      <c r="AE206" s="593" t="str">
        <f>IFERROR(__xludf.DUMMYFUNCTION("IF(AB206="""","""",IFERROR(INDEX(FILTER('特殊配信マスタ'!$O$3:$O$16,('特殊配信マスタ'!$A$3:$A$16=CHOOSE(WEEKDAY(AB$1),""日"",""月"",""火"",""水"",""木"",""金"",""土""))*('特殊配信マスタ'!$B$3:$B$16=Z$3)*('特殊配信マスタ'!$R$3:$R$16=MOD(INT((AB$1-'特殊配信マスタ'!$A$1)/7),3)+1)),1),""""))"),"")</f>
        <v/>
      </c>
      <c r="AF206" s="593" t="str">
        <f>IFERROR(__xludf.DUMMYFUNCTION("IF(AB206="""","""",IFERROR(INDEX(FILTER('特殊配信マスタ'!$P$3:$P$16,('特殊配信マスタ'!$A$3:$A$16=CHOOSE(WEEKDAY(AB$1),""日"",""月"",""火"",""水"",""木"",""金"",""土""))*('特殊配信マスタ'!$B$3:$B$16=Z$3)*('特殊配信マスタ'!$R$3:$R$16=MOD(INT((AB$1-'特殊配信マスタ'!$A$1)/7),3)+1)),1),""""))"),"")</f>
        <v/>
      </c>
      <c r="AG206" s="590"/>
      <c r="AH206" s="593" t="str">
        <f>IFERROR(__xludf.DUMMYFUNCTION("IF(AG206="""","""",IFERROR(INDEX(FILTER('特殊配信マスタ'!$F$3:$F$16,('特殊配信マスタ'!$A$3:$A$16=CHOOSE(WEEKDAY(AG$1),""日"",""月"",""火"",""水"",""木"",""金"",""土""))*('特殊配信マスタ'!$B$3:$B$16=AE$3)*('特殊配信マスタ'!$R$3:$R$16=MOD(INT((AG$1-'特殊配信マスタ'!$A$1)/7),3)+1)),1),""""))"),"")</f>
        <v/>
      </c>
      <c r="AI206" s="590"/>
      <c r="AJ206" s="593" t="str">
        <f>IFERROR(__xludf.DUMMYFUNCTION("IF(AG206="""","""",IFERROR(INDEX(FILTER('特殊配信マスタ'!$O$3:$O$16,('特殊配信マスタ'!$A$3:$A$16=CHOOSE(WEEKDAY(AG$1),""日"",""月"",""火"",""水"",""木"",""金"",""土""))*('特殊配信マスタ'!$B$3:$B$16=AE$3)*('特殊配信マスタ'!$R$3:$R$16=MOD(INT((AG$1-'特殊配信マスタ'!$A$1)/7),3)+1)),1),""""))"),"")</f>
        <v/>
      </c>
      <c r="AK206" s="593" t="str">
        <f>IFERROR(__xludf.DUMMYFUNCTION("IF(AG206="""","""",IFERROR(INDEX(FILTER('特殊配信マスタ'!$P$3:$P$16,('特殊配信マスタ'!$A$3:$A$16=CHOOSE(WEEKDAY(AG$1),""日"",""月"",""火"",""水"",""木"",""金"",""土""))*('特殊配信マスタ'!$B$3:$B$16=AE$3)*('特殊配信マスタ'!$R$3:$R$16=MOD(INT((AG$1-'特殊配信マスタ'!$A$1)/7),3)+1)),1),""""))"),"")</f>
        <v/>
      </c>
    </row>
    <row r="207" ht="17.25" customHeight="1">
      <c r="A207" s="587"/>
      <c r="B207" s="585" t="s">
        <v>1451</v>
      </c>
      <c r="C207" s="590" t="str">
        <f>IFERROR(__xludf.DUMMYFUNCTION("IFERROR(INDEX(FILTER('特殊配信マスタ'!$E$3:$E$16, (TEXT('特殊配信マスタ'!$A$3:$A$16,""ddd"")=TEXT(C$1,""ddd""))*(IFERROR(VALUE('特殊配信マスタ'!$B$3:$B$16),0)=VALUE(LOOKUP(2,1/($A$3:$A207&lt;&gt;""""),$A$3:$A207)))*('特殊配信マスタ'!$Q$3:$Q$16&lt;&gt;TRUE)), 1), """")"),"")</f>
        <v/>
      </c>
      <c r="D207" s="593" t="str">
        <f>IFERROR(__xludf.DUMMYFUNCTION("IF(C207="""","""",IFERROR(INDEX(FILTER('特殊配信マスタ'!$F$3:$F$16,('特殊配信マスタ'!$A$3:$A$16=CHOOSE(WEEKDAY(C$1),""日"",""月"",""火"",""水"",""木"",""金"",""土""))*('特殊配信マスタ'!$B$3:$B$16=A$3)*('特殊配信マスタ'!$R$3:$R$16=MOD(INT((C$1-'特殊配信マスタ'!$A$1)/7),3)+1)),1),""""))"),"")</f>
        <v/>
      </c>
      <c r="E207" s="590"/>
      <c r="F207" s="593" t="str">
        <f>IFERROR(__xludf.DUMMYFUNCTION("IF(C207="""","""",IFERROR(INDEX(FILTER('特殊配信マスタ'!$O$3:$O$16, '特殊配信マスタ'!$E$3:$E$16=C207),1),""""))"),"")</f>
        <v/>
      </c>
      <c r="G207" s="593" t="str">
        <f>IFERROR(__xludf.DUMMYFUNCTION("IF(C207="""","""",IFERROR(INDEX(FILTER('特殊配信マスタ'!$P$3:$P$16, '特殊配信マスタ'!$E$3:$E$16=C207),1),""""))"),"")</f>
        <v/>
      </c>
      <c r="H207" s="590" t="str">
        <f>IFERROR(__xludf.DUMMYFUNCTION("IFERROR(INDEX(FILTER('特殊配信マスタ'!$E$3:$E$16, (TEXT('特殊配信マスタ'!$A$3:$A$16,""ddd"")=TEXT(H$1,""ddd""))*(IFERROR(VALUE('特殊配信マスタ'!$B$3:$B$16),0)=VALUE(LOOKUP(2,1/($A$3:$A207&lt;&gt;""""),$A$3:$A207)))*('特殊配信マスタ'!$Q$3:$Q$16&lt;&gt;TRUE)), 1), """")"),"")</f>
        <v/>
      </c>
      <c r="I207" s="593" t="str">
        <f>IFERROR(__xludf.DUMMYFUNCTION("IF(H207="""","""",IFERROR(INDEX(FILTER('特殊配信マスタ'!$F$3:$F$16,('特殊配信マスタ'!$A$3:$A$16=CHOOSE(WEEKDAY(H$1),""日"",""月"",""火"",""水"",""木"",""金"",""土""))*('特殊配信マスタ'!$B$3:$B$16=F$3)*('特殊配信マスタ'!$R$3:$R$16=MOD(INT((H$1-'特殊配信マスタ'!$A$1)/7),3)+1)),1),""""))"),"")</f>
        <v/>
      </c>
      <c r="J207" s="590"/>
      <c r="K207" s="593" t="str">
        <f>IFERROR(__xludf.DUMMYFUNCTION("IF(H207="""","""",IFERROR(INDEX(FILTER('特殊配信マスタ'!$O$3:$O$16, '特殊配信マスタ'!$E$3:$E$16=H207),1),""""))"),"")</f>
        <v/>
      </c>
      <c r="L207" s="593" t="str">
        <f>IFERROR(__xludf.DUMMYFUNCTION("IF(H207="""","""",IFERROR(INDEX(FILTER('特殊配信マスタ'!$P$3:$P$16, '特殊配信マスタ'!$E$3:$E$16=H207),1),""""))"),"")</f>
        <v/>
      </c>
      <c r="M207" s="590" t="str">
        <f>IFERROR(__xludf.DUMMYFUNCTION("IFERROR(INDEX(FILTER('特殊配信マスタ'!$E$3:$E$16, (TEXT('特殊配信マスタ'!$A$3:$A$16,""ddd"")=TEXT(M$1,""ddd""))*(IFERROR(VALUE('特殊配信マスタ'!$B$3:$B$16),0)=VALUE(LOOKUP(2,1/($A$3:$A207&lt;&gt;""""),$A$3:$A207)))*('特殊配信マスタ'!$Q$3:$Q$16&lt;&gt;TRUE)), 1), """")"),"")</f>
        <v/>
      </c>
      <c r="N207" s="593" t="str">
        <f>IFERROR(__xludf.DUMMYFUNCTION("IF(M207="""","""",IFERROR(INDEX(FILTER('特殊配信マスタ'!$F$3:$F$16,('特殊配信マスタ'!$A$3:$A$16=CHOOSE(WEEKDAY(M$1),""日"",""月"",""火"",""水"",""木"",""金"",""土""))*('特殊配信マスタ'!$B$3:$B$16=K$3)*('特殊配信マスタ'!$R$3:$R$16=MOD(INT((M$1-'特殊配信マスタ'!$A$1)/7),3)+1)),1),""""))"),"")</f>
        <v/>
      </c>
      <c r="O207" s="590"/>
      <c r="P207" s="593" t="str">
        <f>IFERROR(__xludf.DUMMYFUNCTION("IF(M207="""","""",IFERROR(INDEX(FILTER('特殊配信マスタ'!$O$3:$O$16, '特殊配信マスタ'!$E$3:$E$16=M207),1),""""))"),"")</f>
        <v/>
      </c>
      <c r="Q207" s="593" t="str">
        <f>IFERROR(__xludf.DUMMYFUNCTION("IF(M207="""","""",IFERROR(INDEX(FILTER('特殊配信マスタ'!$P$3:$P$16, '特殊配信マスタ'!$E$3:$E$16=M207),1),""""))"),"")</f>
        <v/>
      </c>
      <c r="R207" s="590" t="str">
        <f>IFERROR(__xludf.DUMMYFUNCTION("IFERROR(INDEX(FILTER('特殊配信マスタ'!$E$3:$E$16, (TEXT('特殊配信マスタ'!$A$3:$A$16,""ddd"")=TEXT(R$1,""ddd""))*(IFERROR(VALUE('特殊配信マスタ'!$B$3:$B$16),0)=VALUE(LOOKUP(2,1/($A$3:$A207&lt;&gt;""""),$A$3:$A207)))*('特殊配信マスタ'!$Q$3:$Q$16&lt;&gt;TRUE)), 1), """")"),"")</f>
        <v/>
      </c>
      <c r="S207" s="593" t="str">
        <f>IFERROR(__xludf.DUMMYFUNCTION("IF(R207="""","""",IFERROR(INDEX(FILTER('特殊配信マスタ'!$F$3:$F$16,('特殊配信マスタ'!$A$3:$A$16=CHOOSE(WEEKDAY(R$1),""日"",""月"",""火"",""水"",""木"",""金"",""土""))*('特殊配信マスタ'!$B$3:$B$16=P$3)*('特殊配信マスタ'!$R$3:$R$16=MOD(INT((R$1-'特殊配信マスタ'!$A$1)/7),3)+1)),1),""""))"),"")</f>
        <v/>
      </c>
      <c r="T207" s="590"/>
      <c r="U207" s="593" t="str">
        <f>IFERROR(__xludf.DUMMYFUNCTION("IF(R207="""","""",IFERROR(INDEX(FILTER('特殊配信マスタ'!$O$3:$O$16, '特殊配信マスタ'!$E$3:$E$16=R207),1),""""))"),"")</f>
        <v/>
      </c>
      <c r="V207" s="593" t="str">
        <f>IFERROR(__xludf.DUMMYFUNCTION("IF(R207="""","""",IFERROR(INDEX(FILTER('特殊配信マスタ'!$P$3:$P$16, '特殊配信マスタ'!$E$3:$E$16=R207),1),""""))"),"")</f>
        <v/>
      </c>
      <c r="W207" s="590" t="str">
        <f>IFERROR(__xludf.DUMMYFUNCTION("IFERROR(INDEX(FILTER('特殊配信マスタ'!$E$3:$E$16, (TEXT('特殊配信マスタ'!$A$3:$A$16,""ddd"")=TEXT(W$1,""ddd""))*(IFERROR(VALUE('特殊配信マスタ'!$B$3:$B$16),0)=VALUE(LOOKUP(2,1/($A$3:$A207&lt;&gt;""""),$A$3:$A207)))*('特殊配信マスタ'!$Q$3:$Q$16&lt;&gt;TRUE)), 1), """")"),"")</f>
        <v/>
      </c>
      <c r="X207" s="593" t="str">
        <f>IFERROR(__xludf.DUMMYFUNCTION("IF(W207="""","""",IFERROR(INDEX(FILTER('特殊配信マスタ'!$F$3:$F$16,('特殊配信マスタ'!$A$3:$A$16=CHOOSE(WEEKDAY(W$1),""日"",""月"",""火"",""水"",""木"",""金"",""土""))*('特殊配信マスタ'!$B$3:$B$16=U$3)*('特殊配信マスタ'!$R$3:$R$16=MOD(INT((W$1-'特殊配信マスタ'!$A$1)/7),3)+1)),1),""""))"),"")</f>
        <v/>
      </c>
      <c r="Y207" s="590"/>
      <c r="Z207" s="593" t="str">
        <f>IFERROR(__xludf.DUMMYFUNCTION("IF(W207="""","""",IFERROR(INDEX(FILTER('特殊配信マスタ'!$O$3:$O$16, '特殊配信マスタ'!$E$3:$E$16=W207),1),""""))"),"")</f>
        <v/>
      </c>
      <c r="AA207" s="593" t="str">
        <f>IFERROR(__xludf.DUMMYFUNCTION("IF(W207="""","""",IFERROR(INDEX(FILTER('特殊配信マスタ'!$P$3:$P$16, '特殊配信マスタ'!$E$3:$E$16=W207),1),""""))"),"")</f>
        <v/>
      </c>
      <c r="AB207" s="590" t="str">
        <f>IFERROR(__xludf.DUMMYFUNCTION("IFERROR(INDEX(FILTER('特殊配信マスタ'!$E$3:$E$16, (TEXT('特殊配信マスタ'!$A$3:$A$16,""ddd"")=TEXT(AB$1,""ddd""))*(IFERROR(VALUE('特殊配信マスタ'!$B$3:$B$16),0)=VALUE(LOOKUP(2,1/($A$3:$A207&lt;&gt;""""),$A$3:$A207)))*('特殊配信マスタ'!$Q$3:$Q$16&lt;&gt;TRUE)), 1), """")"),"")</f>
        <v/>
      </c>
      <c r="AC207" s="593" t="str">
        <f>IFERROR(__xludf.DUMMYFUNCTION("IF(AB207="""","""",IFERROR(INDEX(FILTER('特殊配信マスタ'!$F$3:$F$16,('特殊配信マスタ'!$A$3:$A$16=CHOOSE(WEEKDAY(AB$1),""日"",""月"",""火"",""水"",""木"",""金"",""土""))*('特殊配信マスタ'!$B$3:$B$16=Z$3)*('特殊配信マスタ'!$R$3:$R$16=MOD(INT((AB$1-'特殊配信マスタ'!$A$1)/7),3)+1)),1),""""))"),"")</f>
        <v/>
      </c>
      <c r="AD207" s="590"/>
      <c r="AE207" s="593" t="str">
        <f>IFERROR(__xludf.DUMMYFUNCTION("IF(AB207="""","""",IFERROR(INDEX(FILTER('特殊配信マスタ'!$O$3:$O$16, '特殊配信マスタ'!$E$3:$E$16=AB207),1),""""))"),"")</f>
        <v/>
      </c>
      <c r="AF207" s="593" t="str">
        <f>IFERROR(__xludf.DUMMYFUNCTION("IF(AB207="""","""",IFERROR(INDEX(FILTER('特殊配信マスタ'!$P$3:$P$16, '特殊配信マスタ'!$E$3:$E$16=AB207),1),""""))"),"")</f>
        <v/>
      </c>
      <c r="AG207" s="590" t="str">
        <f>IFERROR(__xludf.DUMMYFUNCTION("IFERROR(INDEX(FILTER('特殊配信マスタ'!$E$3:$E$16, (TEXT('特殊配信マスタ'!$A$3:$A$16,""ddd"")=TEXT(AG$1,""ddd""))*(IFERROR(VALUE('特殊配信マスタ'!$B$3:$B$16),0)=VALUE(LOOKUP(2,1/($A$3:$A207&lt;&gt;""""),$A$3:$A207)))*('特殊配信マスタ'!$Q$3:$Q$16&lt;&gt;TRUE)), 1), """")"),"")</f>
        <v/>
      </c>
      <c r="AH207" s="593" t="str">
        <f>IFERROR(__xludf.DUMMYFUNCTION("IF(AG207="""","""",IFERROR(INDEX(FILTER('特殊配信マスタ'!$F$3:$F$16,('特殊配信マスタ'!$A$3:$A$16=CHOOSE(WEEKDAY(AG$1),""日"",""月"",""火"",""水"",""木"",""金"",""土""))*('特殊配信マスタ'!$B$3:$B$16=AE$3)*('特殊配信マスタ'!$R$3:$R$16=MOD(INT((AG$1-'特殊配信マスタ'!$A$1)/7),3)+1)),1),""""))"),"")</f>
        <v/>
      </c>
      <c r="AI207" s="590"/>
      <c r="AJ207" s="593" t="str">
        <f>IFERROR(__xludf.DUMMYFUNCTION("IF(AG207="""","""",IFERROR(INDEX(FILTER('特殊配信マスタ'!$O$3:$O$16, '特殊配信マスタ'!$E$3:$E$16=AG207),1),""""))"),"")</f>
        <v/>
      </c>
      <c r="AK207" s="593" t="str">
        <f>IFERROR(__xludf.DUMMYFUNCTION("IF(AG207="""","""",IFERROR(INDEX(FILTER('特殊配信マスタ'!$P$3:$P$16, '特殊配信マスタ'!$E$3:$E$16=AG207),1),""""))"),"")</f>
        <v/>
      </c>
    </row>
    <row r="208" ht="17.25" customHeight="1">
      <c r="A208" s="587"/>
      <c r="B208" s="588"/>
      <c r="C208" s="590" t="str">
        <f>IFERROR(__xludf.DUMMYFUNCTION("IFERROR(INDEX(FILTER('特殊配信マスタ'!$E$3:$E$16, (TEXT('特殊配信マスタ'!$A$3:$A$16,""ddd"")=TEXT(C$1,""ddd""))*(IFERROR(VALUE('特殊配信マスタ'!$B$3:$B$16),0)=VALUE(LOOKUP(2,1/($A$3:$A208&lt;&gt;""""),$A$3:$A208)))*('特殊配信マスタ'!$Q$3:$Q$16&lt;&gt;TRUE)), 2), """")"),"")</f>
        <v/>
      </c>
      <c r="D208" s="593" t="str">
        <f>IFERROR(__xludf.DUMMYFUNCTION("IF(C208="""","""",IFERROR(INDEX(FILTER('特殊配信マスタ'!$F$3:$F$16,('特殊配信マスタ'!$A$3:$A$16=CHOOSE(WEEKDAY(C$1),""日"",""月"",""火"",""水"",""木"",""金"",""土""))*('特殊配信マスタ'!$B$3:$B$16=A$3)*('特殊配信マスタ'!$R$3:$R$16=MOD(INT((C$1-'特殊配信マスタ'!$A$1)/7),3)+1)),1),""""))"),"")</f>
        <v/>
      </c>
      <c r="E208" s="590"/>
      <c r="F208" s="593" t="str">
        <f>IFERROR(__xludf.DUMMYFUNCTION("IF(C208="""","""",IFERROR(INDEX(FILTER('特殊配信マスタ'!$O$3:$O$16, '特殊配信マスタ'!$E$3:$E$16=C208),1),""""))"),"")</f>
        <v/>
      </c>
      <c r="G208" s="593" t="str">
        <f>IFERROR(__xludf.DUMMYFUNCTION("IF(C208="""","""",IFERROR(INDEX(FILTER('特殊配信マスタ'!$P$3:$P$16, '特殊配信マスタ'!$E$3:$E$16=C208),1),""""))"),"")</f>
        <v/>
      </c>
      <c r="H208" s="590" t="str">
        <f>IFERROR(__xludf.DUMMYFUNCTION("IFERROR(INDEX(FILTER('特殊配信マスタ'!$E$3:$E$16, (TEXT('特殊配信マスタ'!$A$3:$A$16,""ddd"")=TEXT(H$1,""ddd""))*(IFERROR(VALUE('特殊配信マスタ'!$B$3:$B$16),0)=VALUE(LOOKUP(2,1/($A$3:$A208&lt;&gt;""""),$A$3:$A208)))*('特殊配信マスタ'!$Q$3:$Q$16&lt;&gt;TRUE)), 2), """")"),"")</f>
        <v/>
      </c>
      <c r="I208" s="593" t="str">
        <f>IFERROR(__xludf.DUMMYFUNCTION("IF(H208="""","""",IFERROR(INDEX(FILTER('特殊配信マスタ'!$F$3:$F$16,('特殊配信マスタ'!$A$3:$A$16=CHOOSE(WEEKDAY(H$1),""日"",""月"",""火"",""水"",""木"",""金"",""土""))*('特殊配信マスタ'!$B$3:$B$16=F$3)*('特殊配信マスタ'!$R$3:$R$16=MOD(INT((H$1-'特殊配信マスタ'!$A$1)/7),3)+1)),1),""""))"),"")</f>
        <v/>
      </c>
      <c r="J208" s="590"/>
      <c r="K208" s="593" t="str">
        <f>IFERROR(__xludf.DUMMYFUNCTION("IF(H208="""","""",IFERROR(INDEX(FILTER('特殊配信マスタ'!$O$3:$O$16, '特殊配信マスタ'!$E$3:$E$16=H208),1),""""))"),"")</f>
        <v/>
      </c>
      <c r="L208" s="593" t="str">
        <f>IFERROR(__xludf.DUMMYFUNCTION("IF(H208="""","""",IFERROR(INDEX(FILTER('特殊配信マスタ'!$P$3:$P$16, '特殊配信マスタ'!$E$3:$E$16=H208),1),""""))"),"")</f>
        <v/>
      </c>
      <c r="M208" s="590" t="str">
        <f>IFERROR(__xludf.DUMMYFUNCTION("IFERROR(INDEX(FILTER('特殊配信マスタ'!$E$3:$E$16, (TEXT('特殊配信マスタ'!$A$3:$A$16,""ddd"")=TEXT(M$1,""ddd""))*(IFERROR(VALUE('特殊配信マスタ'!$B$3:$B$16),0)=VALUE(LOOKUP(2,1/($A$3:$A208&lt;&gt;""""),$A$3:$A208)))*('特殊配信マスタ'!$Q$3:$Q$16&lt;&gt;TRUE)), 2), """")"),"")</f>
        <v/>
      </c>
      <c r="N208" s="593" t="str">
        <f>IFERROR(__xludf.DUMMYFUNCTION("IF(M208="""","""",IFERROR(INDEX(FILTER('特殊配信マスタ'!$F$3:$F$16,('特殊配信マスタ'!$A$3:$A$16=CHOOSE(WEEKDAY(M$1),""日"",""月"",""火"",""水"",""木"",""金"",""土""))*('特殊配信マスタ'!$B$3:$B$16=K$3)*('特殊配信マスタ'!$R$3:$R$16=MOD(INT((M$1-'特殊配信マスタ'!$A$1)/7),3)+1)),1),""""))"),"")</f>
        <v/>
      </c>
      <c r="O208" s="590"/>
      <c r="P208" s="593" t="str">
        <f>IFERROR(__xludf.DUMMYFUNCTION("IF(M208="""","""",IFERROR(INDEX(FILTER('特殊配信マスタ'!$O$3:$O$16, '特殊配信マスタ'!$E$3:$E$16=M208),1),""""))"),"")</f>
        <v/>
      </c>
      <c r="Q208" s="593" t="str">
        <f>IFERROR(__xludf.DUMMYFUNCTION("IF(M208="""","""",IFERROR(INDEX(FILTER('特殊配信マスタ'!$P$3:$P$16, '特殊配信マスタ'!$E$3:$E$16=M208),1),""""))"),"")</f>
        <v/>
      </c>
      <c r="R208" s="590" t="str">
        <f>IFERROR(__xludf.DUMMYFUNCTION("IFERROR(INDEX(FILTER('特殊配信マスタ'!$E$3:$E$16, (TEXT('特殊配信マスタ'!$A$3:$A$16,""ddd"")=TEXT(R$1,""ddd""))*(IFERROR(VALUE('特殊配信マスタ'!$B$3:$B$16),0)=VALUE(LOOKUP(2,1/($A$3:$A208&lt;&gt;""""),$A$3:$A208)))*('特殊配信マスタ'!$Q$3:$Q$16&lt;&gt;TRUE)), 2), """")"),"")</f>
        <v/>
      </c>
      <c r="S208" s="593" t="str">
        <f>IFERROR(__xludf.DUMMYFUNCTION("IF(R208="""","""",IFERROR(INDEX(FILTER('特殊配信マスタ'!$F$3:$F$16,('特殊配信マスタ'!$A$3:$A$16=CHOOSE(WEEKDAY(R$1),""日"",""月"",""火"",""水"",""木"",""金"",""土""))*('特殊配信マスタ'!$B$3:$B$16=P$3)*('特殊配信マスタ'!$R$3:$R$16=MOD(INT((R$1-'特殊配信マスタ'!$A$1)/7),3)+1)),1),""""))"),"")</f>
        <v/>
      </c>
      <c r="T208" s="590"/>
      <c r="U208" s="593" t="str">
        <f>IFERROR(__xludf.DUMMYFUNCTION("IF(R208="""","""",IFERROR(INDEX(FILTER('特殊配信マスタ'!$O$3:$O$16, '特殊配信マスタ'!$E$3:$E$16=R208),1),""""))"),"")</f>
        <v/>
      </c>
      <c r="V208" s="593" t="str">
        <f>IFERROR(__xludf.DUMMYFUNCTION("IF(R208="""","""",IFERROR(INDEX(FILTER('特殊配信マスタ'!$P$3:$P$16, '特殊配信マスタ'!$E$3:$E$16=R208),1),""""))"),"")</f>
        <v/>
      </c>
      <c r="W208" s="590" t="str">
        <f>IFERROR(__xludf.DUMMYFUNCTION("IFERROR(INDEX(FILTER('特殊配信マスタ'!$E$3:$E$16, (TEXT('特殊配信マスタ'!$A$3:$A$16,""ddd"")=TEXT(W$1,""ddd""))*(IFERROR(VALUE('特殊配信マスタ'!$B$3:$B$16),0)=VALUE(LOOKUP(2,1/($A$3:$A208&lt;&gt;""""),$A$3:$A208)))*('特殊配信マスタ'!$Q$3:$Q$16&lt;&gt;TRUE)), 2), """")"),"")</f>
        <v/>
      </c>
      <c r="X208" s="593" t="str">
        <f>IFERROR(__xludf.DUMMYFUNCTION("IF(W208="""","""",IFERROR(INDEX(FILTER('特殊配信マスタ'!$F$3:$F$16,('特殊配信マスタ'!$A$3:$A$16=CHOOSE(WEEKDAY(W$1),""日"",""月"",""火"",""水"",""木"",""金"",""土""))*('特殊配信マスタ'!$B$3:$B$16=U$3)*('特殊配信マスタ'!$R$3:$R$16=MOD(INT((W$1-'特殊配信マスタ'!$A$1)/7),3)+1)),1),""""))"),"")</f>
        <v/>
      </c>
      <c r="Y208" s="590"/>
      <c r="Z208" s="593" t="str">
        <f>IFERROR(__xludf.DUMMYFUNCTION("IF(W208="""","""",IFERROR(INDEX(FILTER('特殊配信マスタ'!$O$3:$O$16, '特殊配信マスタ'!$E$3:$E$16=W208),1),""""))"),"")</f>
        <v/>
      </c>
      <c r="AA208" s="593" t="str">
        <f>IFERROR(__xludf.DUMMYFUNCTION("IF(W208="""","""",IFERROR(INDEX(FILTER('特殊配信マスタ'!$P$3:$P$16, '特殊配信マスタ'!$E$3:$E$16=W208),1),""""))"),"")</f>
        <v/>
      </c>
      <c r="AB208" s="590" t="str">
        <f>IFERROR(__xludf.DUMMYFUNCTION("IFERROR(INDEX(FILTER('特殊配信マスタ'!$E$3:$E$16, (TEXT('特殊配信マスタ'!$A$3:$A$16,""ddd"")=TEXT(AB$1,""ddd""))*(IFERROR(VALUE('特殊配信マスタ'!$B$3:$B$16),0)=VALUE(LOOKUP(2,1/($A$3:$A208&lt;&gt;""""),$A$3:$A208)))*('特殊配信マスタ'!$Q$3:$Q$16&lt;&gt;TRUE)), 2), """")"),"")</f>
        <v/>
      </c>
      <c r="AC208" s="593" t="str">
        <f>IFERROR(__xludf.DUMMYFUNCTION("IF(AB208="""","""",IFERROR(INDEX(FILTER('特殊配信マスタ'!$F$3:$F$16,('特殊配信マスタ'!$A$3:$A$16=CHOOSE(WEEKDAY(AB$1),""日"",""月"",""火"",""水"",""木"",""金"",""土""))*('特殊配信マスタ'!$B$3:$B$16=Z$3)*('特殊配信マスタ'!$R$3:$R$16=MOD(INT((AB$1-'特殊配信マスタ'!$A$1)/7),3)+1)),1),""""))"),"")</f>
        <v/>
      </c>
      <c r="AD208" s="590"/>
      <c r="AE208" s="593" t="str">
        <f>IFERROR(__xludf.DUMMYFUNCTION("IF(AB208="""","""",IFERROR(INDEX(FILTER('特殊配信マスタ'!$O$3:$O$16, '特殊配信マスタ'!$E$3:$E$16=AB208),1),""""))"),"")</f>
        <v/>
      </c>
      <c r="AF208" s="593" t="str">
        <f>IFERROR(__xludf.DUMMYFUNCTION("IF(AB208="""","""",IFERROR(INDEX(FILTER('特殊配信マスタ'!$P$3:$P$16, '特殊配信マスタ'!$E$3:$E$16=AB208),1),""""))"),"")</f>
        <v/>
      </c>
      <c r="AG208" s="590" t="str">
        <f>IFERROR(__xludf.DUMMYFUNCTION("IFERROR(INDEX(FILTER('特殊配信マスタ'!$E$3:$E$16, (TEXT('特殊配信マスタ'!$A$3:$A$16,""ddd"")=TEXT(AG$1,""ddd""))*(IFERROR(VALUE('特殊配信マスタ'!$B$3:$B$16),0)=VALUE(LOOKUP(2,1/($A$3:$A208&lt;&gt;""""),$A$3:$A208)))*('特殊配信マスタ'!$Q$3:$Q$16&lt;&gt;TRUE)), 2), """")"),"")</f>
        <v/>
      </c>
      <c r="AH208" s="593" t="str">
        <f>IFERROR(__xludf.DUMMYFUNCTION("IF(AG208="""","""",IFERROR(INDEX(FILTER('特殊配信マスタ'!$F$3:$F$16,('特殊配信マスタ'!$A$3:$A$16=CHOOSE(WEEKDAY(AG$1),""日"",""月"",""火"",""水"",""木"",""金"",""土""))*('特殊配信マスタ'!$B$3:$B$16=AE$3)*('特殊配信マスタ'!$R$3:$R$16=MOD(INT((AG$1-'特殊配信マスタ'!$A$1)/7),3)+1)),1),""""))"),"")</f>
        <v/>
      </c>
      <c r="AI208" s="590"/>
      <c r="AJ208" s="593" t="str">
        <f>IFERROR(__xludf.DUMMYFUNCTION("IF(AG208="""","""",IFERROR(INDEX(FILTER('特殊配信マスタ'!$O$3:$O$16, '特殊配信マスタ'!$E$3:$E$16=AG208),1),""""))"),"")</f>
        <v/>
      </c>
      <c r="AK208" s="593" t="str">
        <f>IFERROR(__xludf.DUMMYFUNCTION("IF(AG208="""","""",IFERROR(INDEX(FILTER('特殊配信マスタ'!$P$3:$P$16, '特殊配信マスタ'!$E$3:$E$16=AG208),1),""""))"),"")</f>
        <v/>
      </c>
    </row>
    <row r="209" ht="17.25" customHeight="1">
      <c r="A209" s="587"/>
      <c r="B209" s="588"/>
      <c r="C209" s="590" t="str">
        <f>IFERROR(__xludf.DUMMYFUNCTION("IFERROR(INDEX(FILTER('特殊配信マスタ'!$E$3:$E$16, (TEXT('特殊配信マスタ'!$A$3:$A$16,""ddd"")=TEXT(C$1,""ddd""))*(IFERROR(VALUE('特殊配信マスタ'!$B$3:$B$16),0)=VALUE(LOOKUP(2,1/($A$3:$A209&lt;&gt;""""),$A$3:$A209)))*('特殊配信マスタ'!$Q$3:$Q$16&lt;&gt;TRUE)), 3), """")"),"")</f>
        <v/>
      </c>
      <c r="D209" s="593"/>
      <c r="E209" s="590"/>
      <c r="F209" s="593" t="str">
        <f>IFERROR(__xludf.DUMMYFUNCTION("IF(C209="""","""",IFERROR(INDEX(FILTER('特殊配信マスタ'!$O$3:$O$16, '特殊配信マスタ'!$E$3:$E$16=C209),1),""""))"),"")</f>
        <v/>
      </c>
      <c r="G209" s="593" t="str">
        <f>IFERROR(__xludf.DUMMYFUNCTION("IF(C209="""","""",IFERROR(INDEX(FILTER('特殊配信マスタ'!$P$3:$P$16, '特殊配信マスタ'!$E$3:$E$16=C209),1),""""))"),"")</f>
        <v/>
      </c>
      <c r="H209" s="590" t="str">
        <f>IFERROR(__xludf.DUMMYFUNCTION("IFERROR(INDEX(FILTER('特殊配信マスタ'!$E$3:$E$16, (TEXT('特殊配信マスタ'!$A$3:$A$16,""ddd"")=TEXT(H$1,""ddd""))*(IFERROR(VALUE('特殊配信マスタ'!$B$3:$B$16),0)=VALUE(LOOKUP(2,1/($A$3:$A209&lt;&gt;""""),$A$3:$A209)))*('特殊配信マスタ'!$Q$3:$Q$16&lt;&gt;TRUE)), 3), """")"),"")</f>
        <v/>
      </c>
      <c r="I209" s="593"/>
      <c r="J209" s="590"/>
      <c r="K209" s="593" t="str">
        <f>IFERROR(__xludf.DUMMYFUNCTION("IF(H209="""","""",IFERROR(INDEX(FILTER('特殊配信マスタ'!$O$3:$O$16, '特殊配信マスタ'!$E$3:$E$16=H209),1),""""))"),"")</f>
        <v/>
      </c>
      <c r="L209" s="593" t="str">
        <f>IFERROR(__xludf.DUMMYFUNCTION("IF(H209="""","""",IFERROR(INDEX(FILTER('特殊配信マスタ'!$P$3:$P$16, '特殊配信マスタ'!$E$3:$E$16=H209),1),""""))"),"")</f>
        <v/>
      </c>
      <c r="M209" s="590" t="str">
        <f>IFERROR(__xludf.DUMMYFUNCTION("IFERROR(INDEX(FILTER('特殊配信マスタ'!$E$3:$E$16, (TEXT('特殊配信マスタ'!$A$3:$A$16,""ddd"")=TEXT(M$1,""ddd""))*(IFERROR(VALUE('特殊配信マスタ'!$B$3:$B$16),0)=VALUE(LOOKUP(2,1/($A$3:$A209&lt;&gt;""""),$A$3:$A209)))*('特殊配信マスタ'!$Q$3:$Q$16&lt;&gt;TRUE)), 3), """")"),"")</f>
        <v/>
      </c>
      <c r="N209" s="593"/>
      <c r="O209" s="590"/>
      <c r="P209" s="593" t="str">
        <f>IFERROR(__xludf.DUMMYFUNCTION("IF(M209="""","""",IFERROR(INDEX(FILTER('特殊配信マスタ'!$O$3:$O$16, '特殊配信マスタ'!$E$3:$E$16=M209),1),""""))"),"")</f>
        <v/>
      </c>
      <c r="Q209" s="593" t="str">
        <f>IFERROR(__xludf.DUMMYFUNCTION("IF(M209="""","""",IFERROR(INDEX(FILTER('特殊配信マスタ'!$P$3:$P$16, '特殊配信マスタ'!$E$3:$E$16=M209),1),""""))"),"")</f>
        <v/>
      </c>
      <c r="R209" s="590" t="str">
        <f>IFERROR(__xludf.DUMMYFUNCTION("IFERROR(INDEX(FILTER('特殊配信マスタ'!$E$3:$E$16, (TEXT('特殊配信マスタ'!$A$3:$A$16,""ddd"")=TEXT(R$1,""ddd""))*(IFERROR(VALUE('特殊配信マスタ'!$B$3:$B$16),0)=VALUE(LOOKUP(2,1/($A$3:$A209&lt;&gt;""""),$A$3:$A209)))*('特殊配信マスタ'!$Q$3:$Q$16&lt;&gt;TRUE)), 3), """")"),"")</f>
        <v/>
      </c>
      <c r="S209" s="593"/>
      <c r="T209" s="590"/>
      <c r="U209" s="593" t="str">
        <f>IFERROR(__xludf.DUMMYFUNCTION("IF(R209="""","""",IFERROR(INDEX(FILTER('特殊配信マスタ'!$O$3:$O$16, '特殊配信マスタ'!$E$3:$E$16=R209),1),""""))"),"")</f>
        <v/>
      </c>
      <c r="V209" s="593" t="str">
        <f>IFERROR(__xludf.DUMMYFUNCTION("IF(R209="""","""",IFERROR(INDEX(FILTER('特殊配信マスタ'!$P$3:$P$16, '特殊配信マスタ'!$E$3:$E$16=R209),1),""""))"),"")</f>
        <v/>
      </c>
      <c r="W209" s="590" t="str">
        <f>IFERROR(__xludf.DUMMYFUNCTION("IFERROR(INDEX(FILTER('特殊配信マスタ'!$E$3:$E$16, (TEXT('特殊配信マスタ'!$A$3:$A$16,""ddd"")=TEXT(W$1,""ddd""))*(IFERROR(VALUE('特殊配信マスタ'!$B$3:$B$16),0)=VALUE(LOOKUP(2,1/($A$3:$A209&lt;&gt;""""),$A$3:$A209)))*('特殊配信マスタ'!$Q$3:$Q$16&lt;&gt;TRUE)), 3), """")"),"")</f>
        <v/>
      </c>
      <c r="X209" s="593"/>
      <c r="Y209" s="590"/>
      <c r="Z209" s="593" t="str">
        <f>IFERROR(__xludf.DUMMYFUNCTION("IF(W209="""","""",IFERROR(INDEX(FILTER('特殊配信マスタ'!$O$3:$O$16, '特殊配信マスタ'!$E$3:$E$16=W209),1),""""))"),"")</f>
        <v/>
      </c>
      <c r="AA209" s="593" t="str">
        <f>IFERROR(__xludf.DUMMYFUNCTION("IF(W209="""","""",IFERROR(INDEX(FILTER('特殊配信マスタ'!$P$3:$P$16, '特殊配信マスタ'!$E$3:$E$16=W209),1),""""))"),"")</f>
        <v/>
      </c>
      <c r="AB209" s="590" t="str">
        <f>IFERROR(__xludf.DUMMYFUNCTION("IFERROR(INDEX(FILTER('特殊配信マスタ'!$E$3:$E$16, (TEXT('特殊配信マスタ'!$A$3:$A$16,""ddd"")=TEXT(AB$1,""ddd""))*(IFERROR(VALUE('特殊配信マスタ'!$B$3:$B$16),0)=VALUE(LOOKUP(2,1/($A$3:$A209&lt;&gt;""""),$A$3:$A209)))*('特殊配信マスタ'!$Q$3:$Q$16&lt;&gt;TRUE)), 3), """")"),"")</f>
        <v/>
      </c>
      <c r="AC209" s="593"/>
      <c r="AD209" s="590"/>
      <c r="AE209" s="593" t="str">
        <f>IFERROR(__xludf.DUMMYFUNCTION("IF(AB209="""","""",IFERROR(INDEX(FILTER('特殊配信マスタ'!$O$3:$O$16, '特殊配信マスタ'!$E$3:$E$16=AB209),1),""""))"),"")</f>
        <v/>
      </c>
      <c r="AF209" s="593" t="str">
        <f>IFERROR(__xludf.DUMMYFUNCTION("IF(AB209="""","""",IFERROR(INDEX(FILTER('特殊配信マスタ'!$P$3:$P$16, '特殊配信マスタ'!$E$3:$E$16=AB209),1),""""))"),"")</f>
        <v/>
      </c>
      <c r="AG209" s="590" t="str">
        <f>IFERROR(__xludf.DUMMYFUNCTION("IFERROR(INDEX(FILTER('特殊配信マスタ'!$E$3:$E$16, (TEXT('特殊配信マスタ'!$A$3:$A$16,""ddd"")=TEXT(AG$1,""ddd""))*(IFERROR(VALUE('特殊配信マスタ'!$B$3:$B$16),0)=VALUE(LOOKUP(2,1/($A$3:$A209&lt;&gt;""""),$A$3:$A209)))*('特殊配信マスタ'!$Q$3:$Q$16&lt;&gt;TRUE)), 3), """")"),"")</f>
        <v/>
      </c>
      <c r="AH209" s="593"/>
      <c r="AI209" s="590"/>
      <c r="AJ209" s="593" t="str">
        <f>IFERROR(__xludf.DUMMYFUNCTION("IF(AG209="""","""",IFERROR(INDEX(FILTER('特殊配信マスタ'!$O$3:$O$16, '特殊配信マスタ'!$E$3:$E$16=AG209),1),""""))"),"")</f>
        <v/>
      </c>
      <c r="AK209" s="593" t="str">
        <f>IFERROR(__xludf.DUMMYFUNCTION("IF(AG209="""","""",IFERROR(INDEX(FILTER('特殊配信マスタ'!$P$3:$P$16, '特殊配信マスタ'!$E$3:$E$16=AG209),1),""""))"),"")</f>
        <v/>
      </c>
    </row>
    <row r="210" ht="17.25" customHeight="1">
      <c r="A210" s="587"/>
      <c r="B210" s="588"/>
      <c r="C210" s="590" t="str">
        <f>IFERROR(__xludf.DUMMYFUNCTION("IFERROR(INDEX(FILTER('特殊配信マスタ'!$E$3:$E$16, (TEXT('特殊配信マスタ'!$A$3:$A$16,""ddd"")=TEXT(C$1,""ddd""))*(IFERROR(VALUE('特殊配信マスタ'!$B$3:$B$16),0)=VALUE(LOOKUP(2,1/($A$3:$A210&lt;&gt;""""),$A$3:$A210)))*('特殊配信マスタ'!$Q$3:$Q$16&lt;&gt;TRUE)), 4), """")"),"")</f>
        <v/>
      </c>
      <c r="D210" s="593" t="str">
        <f>IFERROR(__xludf.DUMMYFUNCTION("IF(C210="""","""",IFERROR(INDEX(FILTER('特殊配信マスタ'!$F$3:$F$16,('特殊配信マスタ'!$A$3:$A$16=CHOOSE(WEEKDAY(C$1),""日"",""月"",""火"",""水"",""木"",""金"",""土""))*('特殊配信マスタ'!$B$3:$B$16=A$3)*('特殊配信マスタ'!$R$3:$R$16=MOD(INT((C$1-'特殊配信マスタ'!$A$1)/7),3)+1)),1),""""))"),"")</f>
        <v/>
      </c>
      <c r="E210" s="590"/>
      <c r="F210" s="593" t="str">
        <f>IFERROR(__xludf.DUMMYFUNCTION("IF(C210="""","""",IFERROR(INDEX(FILTER('特殊配信マスタ'!$O$3:$O$16, '特殊配信マスタ'!$E$3:$E$16=C210),1),""""))"),"")</f>
        <v/>
      </c>
      <c r="G210" s="593" t="str">
        <f>IFERROR(__xludf.DUMMYFUNCTION("IF(C210="""","""",IFERROR(INDEX(FILTER('特殊配信マスタ'!$P$3:$P$16, '特殊配信マスタ'!$E$3:$E$16=C210),1),""""))"),"")</f>
        <v/>
      </c>
      <c r="H210" s="590" t="str">
        <f>IFERROR(__xludf.DUMMYFUNCTION("IFERROR(INDEX(FILTER('特殊配信マスタ'!$E$3:$E$16, (TEXT('特殊配信マスタ'!$A$3:$A$16,""ddd"")=TEXT(H$1,""ddd""))*(IFERROR(VALUE('特殊配信マスタ'!$B$3:$B$16),0)=VALUE(LOOKUP(2,1/($A$3:$A210&lt;&gt;""""),$A$3:$A210)))*('特殊配信マスタ'!$Q$3:$Q$16&lt;&gt;TRUE)), 4), """")"),"")</f>
        <v/>
      </c>
      <c r="I210" s="593" t="str">
        <f>IFERROR(__xludf.DUMMYFUNCTION("IF(H210="""","""",IFERROR(INDEX(FILTER('特殊配信マスタ'!$F$3:$F$16,('特殊配信マスタ'!$A$3:$A$16=CHOOSE(WEEKDAY(H$1),""日"",""月"",""火"",""水"",""木"",""金"",""土""))*('特殊配信マスタ'!$B$3:$B$16=F$3)*('特殊配信マスタ'!$R$3:$R$16=MOD(INT((H$1-'特殊配信マスタ'!$A$1)/7),3)+1)),1),""""))"),"")</f>
        <v/>
      </c>
      <c r="J210" s="590"/>
      <c r="K210" s="593" t="str">
        <f>IFERROR(__xludf.DUMMYFUNCTION("IF(H210="""","""",IFERROR(INDEX(FILTER('特殊配信マスタ'!$O$3:$O$16, '特殊配信マスタ'!$E$3:$E$16=H210),1),""""))"),"")</f>
        <v/>
      </c>
      <c r="L210" s="593" t="str">
        <f>IFERROR(__xludf.DUMMYFUNCTION("IF(H210="""","""",IFERROR(INDEX(FILTER('特殊配信マスタ'!$P$3:$P$16, '特殊配信マスタ'!$E$3:$E$16=H210),1),""""))"),"")</f>
        <v/>
      </c>
      <c r="M210" s="590" t="str">
        <f>IFERROR(__xludf.DUMMYFUNCTION("IFERROR(INDEX(FILTER('特殊配信マスタ'!$E$3:$E$16, (TEXT('特殊配信マスタ'!$A$3:$A$16,""ddd"")=TEXT(M$1,""ddd""))*(IFERROR(VALUE('特殊配信マスタ'!$B$3:$B$16),0)=VALUE(LOOKUP(2,1/($A$3:$A210&lt;&gt;""""),$A$3:$A210)))*('特殊配信マスタ'!$Q$3:$Q$16&lt;&gt;TRUE)), 4), """")"),"")</f>
        <v/>
      </c>
      <c r="N210" s="593" t="str">
        <f>IFERROR(__xludf.DUMMYFUNCTION("IF(M210="""","""",IFERROR(INDEX(FILTER('特殊配信マスタ'!$F$3:$F$16,('特殊配信マスタ'!$A$3:$A$16=CHOOSE(WEEKDAY(M$1),""日"",""月"",""火"",""水"",""木"",""金"",""土""))*('特殊配信マスタ'!$B$3:$B$16=K$3)*('特殊配信マスタ'!$R$3:$R$16=MOD(INT((M$1-'特殊配信マスタ'!$A$1)/7),3)+1)),1),""""))"),"")</f>
        <v/>
      </c>
      <c r="O210" s="590"/>
      <c r="P210" s="593" t="str">
        <f>IFERROR(__xludf.DUMMYFUNCTION("IF(M210="""","""",IFERROR(INDEX(FILTER('特殊配信マスタ'!$O$3:$O$16, '特殊配信マスタ'!$E$3:$E$16=M210),1),""""))"),"")</f>
        <v/>
      </c>
      <c r="Q210" s="593" t="str">
        <f>IFERROR(__xludf.DUMMYFUNCTION("IF(M210="""","""",IFERROR(INDEX(FILTER('特殊配信マスタ'!$P$3:$P$16, '特殊配信マスタ'!$E$3:$E$16=M210),1),""""))"),"")</f>
        <v/>
      </c>
      <c r="R210" s="590" t="str">
        <f>IFERROR(__xludf.DUMMYFUNCTION("IFERROR(INDEX(FILTER('特殊配信マスタ'!$E$3:$E$16, (TEXT('特殊配信マスタ'!$A$3:$A$16,""ddd"")=TEXT(R$1,""ddd""))*(IFERROR(VALUE('特殊配信マスタ'!$B$3:$B$16),0)=VALUE(LOOKUP(2,1/($A$3:$A210&lt;&gt;""""),$A$3:$A210)))*('特殊配信マスタ'!$Q$3:$Q$16&lt;&gt;TRUE)), 4), """")"),"")</f>
        <v/>
      </c>
      <c r="S210" s="593" t="str">
        <f>IFERROR(__xludf.DUMMYFUNCTION("IF(R210="""","""",IFERROR(INDEX(FILTER('特殊配信マスタ'!$F$3:$F$16,('特殊配信マスタ'!$A$3:$A$16=CHOOSE(WEEKDAY(R$1),""日"",""月"",""火"",""水"",""木"",""金"",""土""))*('特殊配信マスタ'!$B$3:$B$16=P$3)*('特殊配信マスタ'!$R$3:$R$16=MOD(INT((R$1-'特殊配信マスタ'!$A$1)/7),3)+1)),1),""""))"),"")</f>
        <v/>
      </c>
      <c r="T210" s="590"/>
      <c r="U210" s="593" t="str">
        <f>IFERROR(__xludf.DUMMYFUNCTION("IF(R210="""","""",IFERROR(INDEX(FILTER('特殊配信マスタ'!$O$3:$O$16, '特殊配信マスタ'!$E$3:$E$16=R210),1),""""))"),"")</f>
        <v/>
      </c>
      <c r="V210" s="593" t="str">
        <f>IFERROR(__xludf.DUMMYFUNCTION("IF(R210="""","""",IFERROR(INDEX(FILTER('特殊配信マスタ'!$P$3:$P$16, '特殊配信マスタ'!$E$3:$E$16=R210),1),""""))"),"")</f>
        <v/>
      </c>
      <c r="W210" s="590" t="str">
        <f>IFERROR(__xludf.DUMMYFUNCTION("IFERROR(INDEX(FILTER('特殊配信マスタ'!$E$3:$E$16, (TEXT('特殊配信マスタ'!$A$3:$A$16,""ddd"")=TEXT(W$1,""ddd""))*(IFERROR(VALUE('特殊配信マスタ'!$B$3:$B$16),0)=VALUE(LOOKUP(2,1/($A$3:$A210&lt;&gt;""""),$A$3:$A210)))*('特殊配信マスタ'!$Q$3:$Q$16&lt;&gt;TRUE)), 4), """")"),"")</f>
        <v/>
      </c>
      <c r="X210" s="593" t="str">
        <f>IFERROR(__xludf.DUMMYFUNCTION("IF(W210="""","""",IFERROR(INDEX(FILTER('特殊配信マスタ'!$F$3:$F$16,('特殊配信マスタ'!$A$3:$A$16=CHOOSE(WEEKDAY(W$1),""日"",""月"",""火"",""水"",""木"",""金"",""土""))*('特殊配信マスタ'!$B$3:$B$16=U$3)*('特殊配信マスタ'!$R$3:$R$16=MOD(INT((W$1-'特殊配信マスタ'!$A$1)/7),3)+1)),1),""""))"),"")</f>
        <v/>
      </c>
      <c r="Y210" s="590"/>
      <c r="Z210" s="593" t="str">
        <f>IFERROR(__xludf.DUMMYFUNCTION("IF(W210="""","""",IFERROR(INDEX(FILTER('特殊配信マスタ'!$O$3:$O$16, '特殊配信マスタ'!$E$3:$E$16=W210),1),""""))"),"")</f>
        <v/>
      </c>
      <c r="AA210" s="593" t="str">
        <f>IFERROR(__xludf.DUMMYFUNCTION("IF(W210="""","""",IFERROR(INDEX(FILTER('特殊配信マスタ'!$P$3:$P$16, '特殊配信マスタ'!$E$3:$E$16=W210),1),""""))"),"")</f>
        <v/>
      </c>
      <c r="AB210" s="590" t="str">
        <f>IFERROR(__xludf.DUMMYFUNCTION("IFERROR(INDEX(FILTER('特殊配信マスタ'!$E$3:$E$16, (TEXT('特殊配信マスタ'!$A$3:$A$16,""ddd"")=TEXT(AB$1,""ddd""))*(IFERROR(VALUE('特殊配信マスタ'!$B$3:$B$16),0)=VALUE(LOOKUP(2,1/($A$3:$A210&lt;&gt;""""),$A$3:$A210)))*('特殊配信マスタ'!$Q$3:$Q$16&lt;&gt;TRUE)), 4), """")"),"")</f>
        <v/>
      </c>
      <c r="AC210" s="593" t="str">
        <f>IFERROR(__xludf.DUMMYFUNCTION("IF(AB210="""","""",IFERROR(INDEX(FILTER('特殊配信マスタ'!$F$3:$F$16,('特殊配信マスタ'!$A$3:$A$16=CHOOSE(WEEKDAY(AB$1),""日"",""月"",""火"",""水"",""木"",""金"",""土""))*('特殊配信マスタ'!$B$3:$B$16=Z$3)*('特殊配信マスタ'!$R$3:$R$16=MOD(INT((AB$1-'特殊配信マスタ'!$A$1)/7),3)+1)),1),""""))"),"")</f>
        <v/>
      </c>
      <c r="AD210" s="590"/>
      <c r="AE210" s="593" t="str">
        <f>IFERROR(__xludf.DUMMYFUNCTION("IF(AB210="""","""",IFERROR(INDEX(FILTER('特殊配信マスタ'!$O$3:$O$16, '特殊配信マスタ'!$E$3:$E$16=AB210),1),""""))"),"")</f>
        <v/>
      </c>
      <c r="AF210" s="593" t="str">
        <f>IFERROR(__xludf.DUMMYFUNCTION("IF(AB210="""","""",IFERROR(INDEX(FILTER('特殊配信マスタ'!$P$3:$P$16, '特殊配信マスタ'!$E$3:$E$16=AB210),1),""""))"),"")</f>
        <v/>
      </c>
      <c r="AG210" s="590" t="str">
        <f>IFERROR(__xludf.DUMMYFUNCTION("IFERROR(INDEX(FILTER('特殊配信マスタ'!$E$3:$E$16, (TEXT('特殊配信マスタ'!$A$3:$A$16,""ddd"")=TEXT(AG$1,""ddd""))*(IFERROR(VALUE('特殊配信マスタ'!$B$3:$B$16),0)=VALUE(LOOKUP(2,1/($A$3:$A210&lt;&gt;""""),$A$3:$A210)))*('特殊配信マスタ'!$Q$3:$Q$16&lt;&gt;TRUE)), 4), """")"),"")</f>
        <v/>
      </c>
      <c r="AH210" s="593" t="str">
        <f>IFERROR(__xludf.DUMMYFUNCTION("IF(AG210="""","""",IFERROR(INDEX(FILTER('特殊配信マスタ'!$F$3:$F$16,('特殊配信マスタ'!$A$3:$A$16=CHOOSE(WEEKDAY(AG$1),""日"",""月"",""火"",""水"",""木"",""金"",""土""))*('特殊配信マスタ'!$B$3:$B$16=AE$3)*('特殊配信マスタ'!$R$3:$R$16=MOD(INT((AG$1-'特殊配信マスタ'!$A$1)/7),3)+1)),1),""""))"),"")</f>
        <v/>
      </c>
      <c r="AI210" s="590"/>
      <c r="AJ210" s="593" t="str">
        <f>IFERROR(__xludf.DUMMYFUNCTION("IF(AG210="""","""",IFERROR(INDEX(FILTER('特殊配信マスタ'!$O$3:$O$16, '特殊配信マスタ'!$E$3:$E$16=AG210),1),""""))"),"")</f>
        <v/>
      </c>
      <c r="AK210" s="593" t="str">
        <f>IFERROR(__xludf.DUMMYFUNCTION("IF(AG210="""","""",IFERROR(INDEX(FILTER('特殊配信マスタ'!$P$3:$P$16, '特殊配信マスタ'!$E$3:$E$16=AG210),1),""""))"),"")</f>
        <v/>
      </c>
    </row>
    <row r="211" ht="17.25" customHeight="1">
      <c r="A211" s="599"/>
      <c r="B211" s="592"/>
      <c r="C211" s="590" t="str">
        <f>IFERROR(__xludf.DUMMYFUNCTION("IFERROR(INDEX(FILTER('特殊配信マスタ'!$E$3:$E$16, (TEXT('特殊配信マスタ'!$A$3:$A$16,""ddd"")=TEXT(C$1,""ddd""))*(IFERROR(VALUE('特殊配信マスタ'!$B$3:$B$16),0)=VALUE(LOOKUP(2,1/($A$3:$A211&lt;&gt;""""),$A$3:$A211)))*('特殊配信マスタ'!$Q$3:$Q$16&lt;&gt;TRUE)), 5), """")"),"")</f>
        <v/>
      </c>
      <c r="D211" s="593" t="str">
        <f>IFERROR(__xludf.DUMMYFUNCTION("IF(C211="""","""",IFERROR(INDEX(FILTER('特殊配信マスタ'!$F$3:$F$16,('特殊配信マスタ'!$A$3:$A$16=CHOOSE(WEEKDAY(C$1),""日"",""月"",""火"",""水"",""木"",""金"",""土""))*('特殊配信マスタ'!$B$3:$B$16=A$3)*('特殊配信マスタ'!$R$3:$R$16=MOD(INT((C$1-'特殊配信マスタ'!$A$1)/7),3)+1)),1),""""))"),"")</f>
        <v/>
      </c>
      <c r="E211" s="590"/>
      <c r="F211" s="593" t="str">
        <f>IFERROR(__xludf.DUMMYFUNCTION("IF(C211="""","""",IFERROR(INDEX(FILTER('特殊配信マスタ'!$O$3:$O$16, '特殊配信マスタ'!$E$3:$E$16=C211),1),""""))"),"")</f>
        <v/>
      </c>
      <c r="G211" s="593" t="str">
        <f>IFERROR(__xludf.DUMMYFUNCTION("IF(C211="""","""",IFERROR(INDEX(FILTER('特殊配信マスタ'!$P$3:$P$16, '特殊配信マスタ'!$E$3:$E$16=C211),1),""""))"),"")</f>
        <v/>
      </c>
      <c r="H211" s="590" t="str">
        <f>IFERROR(__xludf.DUMMYFUNCTION("IFERROR(INDEX(FILTER('特殊配信マスタ'!$E$3:$E$16, (TEXT('特殊配信マスタ'!$A$3:$A$16,""ddd"")=TEXT(H$1,""ddd""))*(IFERROR(VALUE('特殊配信マスタ'!$B$3:$B$16),0)=VALUE(LOOKUP(2,1/($A$3:$A211&lt;&gt;""""),$A$3:$A211)))*('特殊配信マスタ'!$Q$3:$Q$16&lt;&gt;TRUE)), 5), """")"),"")</f>
        <v/>
      </c>
      <c r="I211" s="593" t="str">
        <f>IFERROR(__xludf.DUMMYFUNCTION("IF(H211="""","""",IFERROR(INDEX(FILTER('特殊配信マスタ'!$F$3:$F$16,('特殊配信マスタ'!$A$3:$A$16=CHOOSE(WEEKDAY(H$1),""日"",""月"",""火"",""水"",""木"",""金"",""土""))*('特殊配信マスタ'!$B$3:$B$16=F$3)*('特殊配信マスタ'!$R$3:$R$16=MOD(INT((H$1-'特殊配信マスタ'!$A$1)/7),3)+1)),1),""""))"),"")</f>
        <v/>
      </c>
      <c r="J211" s="590"/>
      <c r="K211" s="593" t="str">
        <f>IFERROR(__xludf.DUMMYFUNCTION("IF(H211="""","""",IFERROR(INDEX(FILTER('特殊配信マスタ'!$O$3:$O$16, '特殊配信マスタ'!$E$3:$E$16=H211),1),""""))"),"")</f>
        <v/>
      </c>
      <c r="L211" s="593" t="str">
        <f>IFERROR(__xludf.DUMMYFUNCTION("IF(H211="""","""",IFERROR(INDEX(FILTER('特殊配信マスタ'!$P$3:$P$16, '特殊配信マスタ'!$E$3:$E$16=H211),1),""""))"),"")</f>
        <v/>
      </c>
      <c r="M211" s="590" t="str">
        <f>IFERROR(__xludf.DUMMYFUNCTION("IFERROR(INDEX(FILTER('特殊配信マスタ'!$E$3:$E$16, (TEXT('特殊配信マスタ'!$A$3:$A$16,""ddd"")=TEXT(M$1,""ddd""))*(IFERROR(VALUE('特殊配信マスタ'!$B$3:$B$16),0)=VALUE(LOOKUP(2,1/($A$3:$A211&lt;&gt;""""),$A$3:$A211)))*('特殊配信マスタ'!$Q$3:$Q$16&lt;&gt;TRUE)), 5), """")"),"")</f>
        <v/>
      </c>
      <c r="N211" s="593" t="str">
        <f>IFERROR(__xludf.DUMMYFUNCTION("IF(M211="""","""",IFERROR(INDEX(FILTER('特殊配信マスタ'!$F$3:$F$16,('特殊配信マスタ'!$A$3:$A$16=CHOOSE(WEEKDAY(M$1),""日"",""月"",""火"",""水"",""木"",""金"",""土""))*('特殊配信マスタ'!$B$3:$B$16=K$3)*('特殊配信マスタ'!$R$3:$R$16=MOD(INT((M$1-'特殊配信マスタ'!$A$1)/7),3)+1)),1),""""))"),"")</f>
        <v/>
      </c>
      <c r="O211" s="590"/>
      <c r="P211" s="593" t="str">
        <f>IFERROR(__xludf.DUMMYFUNCTION("IF(M211="""","""",IFERROR(INDEX(FILTER('特殊配信マスタ'!$O$3:$O$16, '特殊配信マスタ'!$E$3:$E$16=M211),1),""""))"),"")</f>
        <v/>
      </c>
      <c r="Q211" s="593" t="str">
        <f>IFERROR(__xludf.DUMMYFUNCTION("IF(M211="""","""",IFERROR(INDEX(FILTER('特殊配信マスタ'!$P$3:$P$16, '特殊配信マスタ'!$E$3:$E$16=M211),1),""""))"),"")</f>
        <v/>
      </c>
      <c r="R211" s="590" t="str">
        <f>IFERROR(__xludf.DUMMYFUNCTION("IFERROR(INDEX(FILTER('特殊配信マスタ'!$E$3:$E$16, (TEXT('特殊配信マスタ'!$A$3:$A$16,""ddd"")=TEXT(R$1,""ddd""))*(IFERROR(VALUE('特殊配信マスタ'!$B$3:$B$16),0)=VALUE(LOOKUP(2,1/($A$3:$A211&lt;&gt;""""),$A$3:$A211)))*('特殊配信マスタ'!$Q$3:$Q$16&lt;&gt;TRUE)), 5), """")"),"")</f>
        <v/>
      </c>
      <c r="S211" s="593" t="str">
        <f>IFERROR(__xludf.DUMMYFUNCTION("IF(R211="""","""",IFERROR(INDEX(FILTER('特殊配信マスタ'!$F$3:$F$16,('特殊配信マスタ'!$A$3:$A$16=CHOOSE(WEEKDAY(R$1),""日"",""月"",""火"",""水"",""木"",""金"",""土""))*('特殊配信マスタ'!$B$3:$B$16=P$3)*('特殊配信マスタ'!$R$3:$R$16=MOD(INT((R$1-'特殊配信マスタ'!$A$1)/7),3)+1)),1),""""))"),"")</f>
        <v/>
      </c>
      <c r="T211" s="590"/>
      <c r="U211" s="593" t="str">
        <f>IFERROR(__xludf.DUMMYFUNCTION("IF(R211="""","""",IFERROR(INDEX(FILTER('特殊配信マスタ'!$O$3:$O$16, '特殊配信マスタ'!$E$3:$E$16=R211),1),""""))"),"")</f>
        <v/>
      </c>
      <c r="V211" s="593" t="str">
        <f>IFERROR(__xludf.DUMMYFUNCTION("IF(R211="""","""",IFERROR(INDEX(FILTER('特殊配信マスタ'!$P$3:$P$16, '特殊配信マスタ'!$E$3:$E$16=R211),1),""""))"),"")</f>
        <v/>
      </c>
      <c r="W211" s="590" t="str">
        <f>IFERROR(__xludf.DUMMYFUNCTION("IFERROR(INDEX(FILTER('特殊配信マスタ'!$E$3:$E$16, (TEXT('特殊配信マスタ'!$A$3:$A$16,""ddd"")=TEXT(W$1,""ddd""))*(IFERROR(VALUE('特殊配信マスタ'!$B$3:$B$16),0)=VALUE(LOOKUP(2,1/($A$3:$A211&lt;&gt;""""),$A$3:$A211)))*('特殊配信マスタ'!$Q$3:$Q$16&lt;&gt;TRUE)), 5), """")"),"")</f>
        <v/>
      </c>
      <c r="X211" s="593" t="str">
        <f>IFERROR(__xludf.DUMMYFUNCTION("IF(W211="""","""",IFERROR(INDEX(FILTER('特殊配信マスタ'!$F$3:$F$16,('特殊配信マスタ'!$A$3:$A$16=CHOOSE(WEEKDAY(W$1),""日"",""月"",""火"",""水"",""木"",""金"",""土""))*('特殊配信マスタ'!$B$3:$B$16=U$3)*('特殊配信マスタ'!$R$3:$R$16=MOD(INT((W$1-'特殊配信マスタ'!$A$1)/7),3)+1)),1),""""))"),"")</f>
        <v/>
      </c>
      <c r="Y211" s="590"/>
      <c r="Z211" s="593" t="str">
        <f>IFERROR(__xludf.DUMMYFUNCTION("IF(W211="""","""",IFERROR(INDEX(FILTER('特殊配信マスタ'!$O$3:$O$16, '特殊配信マスタ'!$E$3:$E$16=W211),1),""""))"),"")</f>
        <v/>
      </c>
      <c r="AA211" s="593" t="str">
        <f>IFERROR(__xludf.DUMMYFUNCTION("IF(W211="""","""",IFERROR(INDEX(FILTER('特殊配信マスタ'!$P$3:$P$16, '特殊配信マスタ'!$E$3:$E$16=W211),1),""""))"),"")</f>
        <v/>
      </c>
      <c r="AB211" s="590" t="str">
        <f>IFERROR(__xludf.DUMMYFUNCTION("IFERROR(INDEX(FILTER('特殊配信マスタ'!$E$3:$E$16, (TEXT('特殊配信マスタ'!$A$3:$A$16,""ddd"")=TEXT(AB$1,""ddd""))*(IFERROR(VALUE('特殊配信マスタ'!$B$3:$B$16),0)=VALUE(LOOKUP(2,1/($A$3:$A211&lt;&gt;""""),$A$3:$A211)))*('特殊配信マスタ'!$Q$3:$Q$16&lt;&gt;TRUE)), 5), """")"),"")</f>
        <v/>
      </c>
      <c r="AC211" s="593" t="str">
        <f>IFERROR(__xludf.DUMMYFUNCTION("IF(AB211="""","""",IFERROR(INDEX(FILTER('特殊配信マスタ'!$F$3:$F$16,('特殊配信マスタ'!$A$3:$A$16=CHOOSE(WEEKDAY(AB$1),""日"",""月"",""火"",""水"",""木"",""金"",""土""))*('特殊配信マスタ'!$B$3:$B$16=Z$3)*('特殊配信マスタ'!$R$3:$R$16=MOD(INT((AB$1-'特殊配信マスタ'!$A$1)/7),3)+1)),1),""""))"),"")</f>
        <v/>
      </c>
      <c r="AD211" s="590"/>
      <c r="AE211" s="593" t="str">
        <f>IFERROR(__xludf.DUMMYFUNCTION("IF(AB211="""","""",IFERROR(INDEX(FILTER('特殊配信マスタ'!$O$3:$O$16, '特殊配信マスタ'!$E$3:$E$16=AB211),1),""""))"),"")</f>
        <v/>
      </c>
      <c r="AF211" s="593" t="str">
        <f>IFERROR(__xludf.DUMMYFUNCTION("IF(AB211="""","""",IFERROR(INDEX(FILTER('特殊配信マスタ'!$P$3:$P$16, '特殊配信マスタ'!$E$3:$E$16=AB211),1),""""))"),"")</f>
        <v/>
      </c>
      <c r="AG211" s="590" t="str">
        <f>IFERROR(__xludf.DUMMYFUNCTION("IFERROR(INDEX(FILTER('特殊配信マスタ'!$E$3:$E$16, (TEXT('特殊配信マスタ'!$A$3:$A$16,""ddd"")=TEXT(AG$1,""ddd""))*(IFERROR(VALUE('特殊配信マスタ'!$B$3:$B$16),0)=VALUE(LOOKUP(2,1/($A$3:$A211&lt;&gt;""""),$A$3:$A211)))*('特殊配信マスタ'!$Q$3:$Q$16&lt;&gt;TRUE)), 5), """")"),"")</f>
        <v/>
      </c>
      <c r="AH211" s="593" t="str">
        <f>IFERROR(__xludf.DUMMYFUNCTION("IF(AG211="""","""",IFERROR(INDEX(FILTER('特殊配信マスタ'!$F$3:$F$16,('特殊配信マスタ'!$A$3:$A$16=CHOOSE(WEEKDAY(AG$1),""日"",""月"",""火"",""水"",""木"",""金"",""土""))*('特殊配信マスタ'!$B$3:$B$16=AE$3)*('特殊配信マスタ'!$R$3:$R$16=MOD(INT((AG$1-'特殊配信マスタ'!$A$1)/7),3)+1)),1),""""))"),"")</f>
        <v/>
      </c>
      <c r="AI211" s="590"/>
      <c r="AJ211" s="593" t="str">
        <f>IFERROR(__xludf.DUMMYFUNCTION("IF(AG211="""","""",IFERROR(INDEX(FILTER('特殊配信マスタ'!$O$3:$O$16, '特殊配信マスタ'!$E$3:$E$16=AG211),1),""""))"),"")</f>
        <v/>
      </c>
      <c r="AK211" s="593" t="str">
        <f>IFERROR(__xludf.DUMMYFUNCTION("IF(AG211="""","""",IFERROR(INDEX(FILTER('特殊配信マスタ'!$P$3:$P$16, '特殊配信マスタ'!$E$3:$E$16=AG211),1),""""))"),"")</f>
        <v/>
      </c>
    </row>
    <row r="212" ht="17.25" customHeight="1">
      <c r="A212" s="584">
        <f>A193+1</f>
        <v>19</v>
      </c>
      <c r="B212" s="585" t="s">
        <v>1450</v>
      </c>
      <c r="C212" s="586" t="str">
        <f>IFERROR(__xludf.DUMMYFUNCTION("IFERROR(FILTER('リスト'!$E$4:$E$349, (TEXT('リスト'!$A$4:$A$349,""ddd"")=TEXT(C$1, ""ddd""))*('リスト'!$B$4:$B$349=LOOKUP(2,1/($A$3:$A212&lt;&gt;""""),$A$3:$A212))*(('リスト'!$G$4:$G$349=""毎週配信"")+('リスト'!$G$4:$G$349=$A$1))), """")"),"35歳以上向け_関西 A")</f>
        <v>35歳以上向け_関西 A</v>
      </c>
      <c r="D212" s="8">
        <f t="array" ref="D212">IFERROR(XLOOKUP(C212, 'リスト'!$E:$E, 'リスト'!$F:$F, ""), "")</f>
        <v>0.3</v>
      </c>
      <c r="E212" s="8">
        <f>SUM(D212:D230)</f>
        <v>13.4</v>
      </c>
      <c r="F212" s="8" t="str">
        <f>IFERROR(__xludf.DUMMYFUNCTION("IF(C212="""","""",IFERROR(INDEX(FILTER('リスト'!$O$4:$O$349, 'リスト'!$E$4:$E$349=C212),1),""""))"),"R")</f>
        <v>R</v>
      </c>
      <c r="G212" s="8" t="str">
        <f>IFERROR(__xludf.DUMMYFUNCTION("IF(C212="""","""",IFERROR(INDEX(FILTER('リスト'!$P$4:$P$349, 'リスト'!$E$4:$E$349=C212),1),""""))"),"")</f>
        <v/>
      </c>
      <c r="H212" s="586" t="str">
        <f>IFERROR(__xludf.DUMMYFUNCTION("IFERROR(FILTER('リスト'!$E$4:$E$349, (TEXT('リスト'!$A$4:$A$349,""ddd"")=TEXT(H$1, ""ddd""))*('リスト'!$B$4:$B$349=LOOKUP(2,1/($A$3:$A212&lt;&gt;""""),$A$3:$A212))*(('リスト'!$G$4:$G$349=""毎週配信"")+('リスト'!$G$4:$G$349=$A$1))), """")"),"フルリモート×正社員")</f>
        <v>フルリモート×正社員</v>
      </c>
      <c r="I212" s="8">
        <f t="array" ref="I212">IFERROR(XLOOKUP(H212, 'リスト'!$E:$E, 'リスト'!$F:$F, ""), "")</f>
        <v>3</v>
      </c>
      <c r="J212" s="8">
        <f>SUM(I212:I230)</f>
        <v>6.5</v>
      </c>
      <c r="K212" s="8" t="str">
        <f>IFERROR(__xludf.DUMMYFUNCTION("IF(H212="""","""",IFERROR(INDEX(FILTER('リスト'!$O$4:$O$349, 'リスト'!$E$4:$E$349=H212),1),""""))"),"R")</f>
        <v>R</v>
      </c>
      <c r="L212" s="8" t="str">
        <f>IFERROR(__xludf.DUMMYFUNCTION("IF(H212="""","""",IFERROR(INDEX(FILTER('リスト'!$P$4:$P$349, 'リスト'!$E$4:$E$349=H212),1),""""))"),"")</f>
        <v/>
      </c>
      <c r="M212" s="586" t="str">
        <f>IFERROR(__xludf.DUMMYFUNCTION("IFERROR(FILTER('リスト'!$E$4:$E$349, (TEXT('リスト'!$A$4:$A$349,""ddd"")=TEXT(M$1, ""ddd""))*('リスト'!$B$4:$B$349=LOOKUP(2,1/($A$3:$A212&lt;&gt;""""),$A$3:$A212))*(('リスト'!$G$4:$G$349=""毎週配信"")+('リスト'!$G$4:$G$349=$A$1))), """")"),"埼玉_路線")</f>
        <v>埼玉_路線</v>
      </c>
      <c r="N212" s="8">
        <f t="array" ref="N212">IFERROR(XLOOKUP(M212, 'リスト'!$E:$E, 'リスト'!$F:$F, ""), "")</f>
        <v>0.7</v>
      </c>
      <c r="O212" s="8">
        <f>SUM(N212:N230)</f>
        <v>4.3</v>
      </c>
      <c r="P212" s="8" t="str">
        <f>IFERROR(__xludf.DUMMYFUNCTION("IF(M212="""","""",IFERROR(INDEX(FILTER('リスト'!$O$4:$O$349, 'リスト'!$E$4:$E$349=M212),1),""""))"),"部")</f>
        <v>部</v>
      </c>
      <c r="Q212" s="8" t="str">
        <f>IFERROR(__xludf.DUMMYFUNCTION("IF(M212="""","""",IFERROR(INDEX(FILTER('リスト'!$P$4:$P$349, 'リスト'!$E$4:$E$349=M212),1),""""))"),"内")</f>
        <v>内</v>
      </c>
      <c r="R212" s="600" t="str">
        <f>IFERROR(__xludf.DUMMYFUNCTION("IFERROR(FILTER('リスト'!$E$4:$E$349, (TEXT('リスト'!$A$4:$A$349,""ddd"")=TEXT(R$1, ""ddd""))*('リスト'!$B$4:$B$349=LOOKUP(2,1/($A$3:$A212&lt;&gt;""""),$A$3:$A212))*(('リスト'!$G$4:$G$349=""毎週配信"")+('リスト'!$G$4:$G$349=$A$1))), """")"),"TP部_リモート×未経験OKの求人特集")</f>
        <v>TP部_リモート×未経験OKの求人特集</v>
      </c>
      <c r="S212" s="8">
        <f t="array" ref="S212">IFERROR(XLOOKUP(R212, 'リスト'!$E:$E, 'リスト'!$F:$F, ""), "")</f>
        <v>1.9</v>
      </c>
      <c r="T212" s="8">
        <f>SUM(S212:S230)</f>
        <v>3.4</v>
      </c>
      <c r="U212" s="8" t="str">
        <f>IFERROR(__xludf.DUMMYFUNCTION("IF(R212="""","""",IFERROR(INDEX(FILTER('リスト'!$O$4:$O$349, 'リスト'!$E$4:$E$349=R212),1),""""))"),"部")</f>
        <v>部</v>
      </c>
      <c r="V212" s="8" t="str">
        <f>IFERROR(__xludf.DUMMYFUNCTION("IF(R212="""","""",IFERROR(INDEX(FILTER('リスト'!$P$4:$P$349, 'リスト'!$E$4:$E$349=R212),1),""""))"),"石")</f>
        <v>石</v>
      </c>
      <c r="W212" s="586" t="str">
        <f>IFERROR(__xludf.DUMMYFUNCTION("IFERROR(FILTER('リスト'!$E$4:$E$349, (TEXT('リスト'!$A$4:$A$349,""ddd"")=TEXT(W$1, ""ddd""))*('リスト'!$B$4:$B$349=LOOKUP(2,1/($A$3:$A212&lt;&gt;""""),$A$3:$A212))*(('リスト'!$G$4:$G$349=""毎週配信"")+('リスト'!$G$4:$G$349=$A$1))), """")"),"美容業界×未経験歓迎")</f>
        <v>美容業界×未経験歓迎</v>
      </c>
      <c r="X212" s="8">
        <f t="array" ref="X212">IFERROR(XLOOKUP(W212, 'リスト'!$E:$E, 'リスト'!$F:$F, ""), "")</f>
        <v>0.3</v>
      </c>
      <c r="Y212" s="8">
        <f>SUM(X212:X230)</f>
        <v>7</v>
      </c>
      <c r="Z212" s="8" t="str">
        <f>IFERROR(__xludf.DUMMYFUNCTION("IF(W212="""","""",IFERROR(INDEX(FILTER('リスト'!$O$4:$O$349, 'リスト'!$E$4:$E$349=W212),1),""""))"),"部")</f>
        <v>部</v>
      </c>
      <c r="AA212" s="8" t="str">
        <f>IFERROR(__xludf.DUMMYFUNCTION("IF(W212="""","""",IFERROR(INDEX(FILTER('リスト'!$P$4:$P$349, 'リスト'!$E$4:$E$349=W212),1),""""))"),"石")</f>
        <v>石</v>
      </c>
      <c r="AB212" s="586" t="str">
        <f>IFERROR(__xludf.DUMMYFUNCTION("IFERROR(FILTER('リスト'!$E$4:$E$349, (TEXT('リスト'!$A$4:$A$349,""ddd"")=TEXT(AB$1, ""ddd""))*('リスト'!$B$4:$B$349=LOOKUP(2,1/($A$3:$A212&lt;&gt;""""),$A$3:$A212))*(('リスト'!$G$4:$G$349=""毎週配信"")+('リスト'!$G$4:$G$349=$A$1))), """")"),"☆TP部メルマガ")</f>
        <v>☆TP部メルマガ</v>
      </c>
      <c r="AC212" s="8">
        <f t="array" ref="AC212">IFERROR(XLOOKUP(AB212, 'リスト'!$E:$E, 'リスト'!$F:$F, ""), "")</f>
        <v>1.3</v>
      </c>
      <c r="AD212" s="8">
        <f>SUM(AC212:AC230)</f>
        <v>6.1</v>
      </c>
      <c r="AE212" s="8" t="str">
        <f>IFERROR(__xludf.DUMMYFUNCTION("IF(AB212="""","""",IFERROR(INDEX(FILTER('リスト'!$O$4:$O$349, 'リスト'!$E$4:$E$349=AB212),1),""""))"),"荒")</f>
        <v>荒</v>
      </c>
      <c r="AF212" s="8" t="str">
        <f>IFERROR(__xludf.DUMMYFUNCTION("IF(AB212="""","""",IFERROR(INDEX(FILTER('リスト'!$P$4:$P$349, 'リスト'!$E$4:$E$349=AB212),1),""""))"),"平")</f>
        <v>平</v>
      </c>
      <c r="AG212" s="586" t="str">
        <f>IFERROR(__xludf.DUMMYFUNCTION("IFERROR(FILTER('リスト'!$E$4:$E$349, (TEXT('リスト'!$A$4:$A$349,""ddd"")=TEXT(AG$1, ""ddd""))*('リスト'!$B$4:$B$349=LOOKUP(2,1/($A$3:$A212&lt;&gt;""""),$A$3:$A212))*(('リスト'!$G$4:$G$349=""毎週配信"")+('リスト'!$G$4:$G$349=$A$1))), """")"),"超好条件_営業")</f>
        <v>超好条件_営業</v>
      </c>
      <c r="AH212" s="8">
        <f t="array" ref="AH212">IFERROR(XLOOKUP(AG212, 'リスト'!$E:$E, 'リスト'!$F:$F, ""), "")</f>
        <v>0.9</v>
      </c>
      <c r="AI212" s="8">
        <f>SUM(AH212:AH230)</f>
        <v>3.4</v>
      </c>
      <c r="AJ212" s="8" t="str">
        <f>IFERROR(__xludf.DUMMYFUNCTION("IF(AG212="""","""",IFERROR(INDEX(FILTER('リスト'!$O$4:$O$349, 'リスト'!$E$4:$E$349=AG212),1),""""))"),"部")</f>
        <v>部</v>
      </c>
      <c r="AK212" s="8" t="str">
        <f>IFERROR(__xludf.DUMMYFUNCTION("IF(AG212="""","""",IFERROR(INDEX(FILTER('リスト'!$P$4:$P$349, 'リスト'!$E$4:$E$349=AG212),1),""""))"),"石")</f>
        <v>石</v>
      </c>
    </row>
    <row r="213" ht="17.25" customHeight="1">
      <c r="A213" s="587"/>
      <c r="B213" s="588"/>
      <c r="C213" s="586" t="str">
        <f>IFERROR(__xludf.DUMMYFUNCTION("""COMPUTED_VALUE"""),"40代ラスト転職")</f>
        <v>40代ラスト転職</v>
      </c>
      <c r="D213" s="8">
        <f t="array" ref="D213">IFERROR(XLOOKUP(C213, 'リスト'!$E:$E, 'リスト'!$F:$F, ""), "")</f>
        <v>0.9</v>
      </c>
      <c r="E213" s="8"/>
      <c r="F213" s="8" t="str">
        <f t="array" ref="F213">IFERROR(XLOOKUP(C213, 'リスト'!$E:$E, 'リスト'!$O:$O, ""), "")</f>
        <v>R</v>
      </c>
      <c r="G213" s="8" t="str">
        <f t="array" ref="G213">IFERROR(XLOOKUP(C213, 'リスト'!$E:$E, 'リスト'!$P:$P, ""), "")</f>
        <v/>
      </c>
      <c r="H213" s="586" t="str">
        <f>IFERROR(__xludf.DUMMYFUNCTION("""COMPUTED_VALUE"""),"渋谷・恵比寿勤務_事務")</f>
        <v>渋谷・恵比寿勤務_事務</v>
      </c>
      <c r="I213" s="8">
        <f t="array" ref="I213">IFERROR(XLOOKUP(H213, 'リスト'!$E:$E, 'リスト'!$F:$F, ""), "")</f>
        <v>1.2</v>
      </c>
      <c r="J213" s="8"/>
      <c r="K213" s="8" t="str">
        <f t="array" ref="K213">IFERROR(XLOOKUP(H213, 'リスト'!$E:$E, 'リスト'!$O:$O, ""), "")</f>
        <v>R</v>
      </c>
      <c r="L213" s="8" t="str">
        <f t="array" ref="L213">IFERROR(XLOOKUP(H213, 'リスト'!$E:$E, 'リスト'!$P:$P, ""), "")</f>
        <v/>
      </c>
      <c r="M213" s="586" t="str">
        <f>IFERROR(__xludf.DUMMYFUNCTION("""COMPUTED_VALUE"""),"神奈川_路線")</f>
        <v>神奈川_路線</v>
      </c>
      <c r="N213" s="8">
        <f t="array" ref="N213">IFERROR(XLOOKUP(M213, 'リスト'!$E:$E, 'リスト'!$F:$F, ""), "")</f>
        <v>0.9</v>
      </c>
      <c r="O213" s="8"/>
      <c r="P213" s="8" t="str">
        <f t="array" ref="P213">IFERROR(XLOOKUP(M213, 'リスト'!$E:$E, 'リスト'!$O:$O, ""), "")</f>
        <v>部</v>
      </c>
      <c r="Q213" s="8" t="str">
        <f t="array" ref="Q213">IFERROR(XLOOKUP(M213, 'リスト'!$E:$E, 'リスト'!$P:$P, ""), "")</f>
        <v>内</v>
      </c>
      <c r="R213" s="586" t="str">
        <f>IFERROR(__xludf.DUMMYFUNCTION("""COMPUTED_VALUE"""),"経験_アパレル・コスメ")</f>
        <v>経験_アパレル・コスメ</v>
      </c>
      <c r="S213" s="8">
        <f t="array" ref="S213">IFERROR(XLOOKUP(R213, 'リスト'!$E:$E, 'リスト'!$F:$F, ""), "")</f>
        <v>0.2</v>
      </c>
      <c r="T213" s="8"/>
      <c r="U213" s="8" t="str">
        <f t="array" ref="U213">IFERROR(XLOOKUP(R213, 'リスト'!$E:$E, 'リスト'!$O:$O, ""), "")</f>
        <v>R</v>
      </c>
      <c r="V213" s="8" t="str">
        <f t="array" ref="V213">IFERROR(XLOOKUP(R213, 'リスト'!$E:$E, 'リスト'!$P:$P, ""), "")</f>
        <v/>
      </c>
      <c r="W213" s="586" t="str">
        <f>IFERROR(__xludf.DUMMYFUNCTION("""COMPUTED_VALUE"""),"フルリモート×未経験歓迎")</f>
        <v>フルリモート×未経験歓迎</v>
      </c>
      <c r="X213" s="8">
        <f t="array" ref="X213">IFERROR(XLOOKUP(W213, 'リスト'!$E:$E, 'リスト'!$F:$F, ""), "")</f>
        <v>6.7</v>
      </c>
      <c r="Y213" s="8"/>
      <c r="Z213" s="8" t="str">
        <f t="array" ref="Z213">IFERROR(XLOOKUP(W213, 'リスト'!$E:$E, 'リスト'!$O:$O, ""), "")</f>
        <v>R</v>
      </c>
      <c r="AA213" s="8" t="str">
        <f t="array" ref="AA213">IFERROR(XLOOKUP(W213, 'リスト'!$E:$E, 'リスト'!$P:$P, ""), "")</f>
        <v/>
      </c>
      <c r="AB213" s="586" t="str">
        <f>IFERROR(__xludf.DUMMYFUNCTION("""COMPUTED_VALUE"""),"☆TP部メルマガ_未就業")</f>
        <v>☆TP部メルマガ_未就業</v>
      </c>
      <c r="AC213" s="8">
        <f t="array" ref="AC213">IFERROR(XLOOKUP(AB213, 'リスト'!$E:$E, 'リスト'!$F:$F, ""), "")</f>
        <v>0.5</v>
      </c>
      <c r="AD213" s="8"/>
      <c r="AE213" s="8" t="str">
        <f t="array" ref="AE213">IFERROR(XLOOKUP(AB213, 'リスト'!$E:$E, 'リスト'!$O:$O, ""), "")</f>
        <v>荒</v>
      </c>
      <c r="AF213" s="8" t="str">
        <f t="array" ref="AF213">IFERROR(XLOOKUP(AB213, 'リスト'!$E:$E, 'リスト'!$P:$P, ""), "")</f>
        <v>平</v>
      </c>
      <c r="AG213" s="586" t="str">
        <f>IFERROR(__xludf.DUMMYFUNCTION("""COMPUTED_VALUE"""),"自己PR不要_35歳以上")</f>
        <v>自己PR不要_35歳以上</v>
      </c>
      <c r="AH213" s="8">
        <f t="array" ref="AH213">IFERROR(XLOOKUP(AG213, 'リスト'!$E:$E, 'リスト'!$F:$F, ""), "")</f>
        <v>0.4</v>
      </c>
      <c r="AI213" s="8"/>
      <c r="AJ213" s="8" t="str">
        <f t="array" ref="AJ213">IFERROR(XLOOKUP(AG213, 'リスト'!$E:$E, 'リスト'!$O:$O, ""), "")</f>
        <v>R</v>
      </c>
      <c r="AK213" s="8" t="str">
        <f t="array" ref="AK213">IFERROR(XLOOKUP(AG213, 'リスト'!$E:$E, 'リスト'!$P:$P, ""), "")</f>
        <v/>
      </c>
    </row>
    <row r="214" ht="17.25" customHeight="1">
      <c r="A214" s="587"/>
      <c r="B214" s="588"/>
      <c r="C214" s="586" t="str">
        <f>IFERROR(__xludf.DUMMYFUNCTION("""COMPUTED_VALUE"""),"TP部_営業_現住所")</f>
        <v>TP部_営業_現住所</v>
      </c>
      <c r="D214" s="8">
        <f t="array" ref="D214">IFERROR(XLOOKUP(C214, 'リスト'!$E:$E, 'リスト'!$F:$F, ""), "")</f>
        <v>2</v>
      </c>
      <c r="E214" s="8"/>
      <c r="F214" s="8" t="str">
        <f t="array" ref="F214">IFERROR(XLOOKUP(C214, 'リスト'!$E:$E, 'リスト'!$O:$O, ""), "")</f>
        <v>R</v>
      </c>
      <c r="G214" s="8" t="str">
        <f t="array" ref="G214">IFERROR(XLOOKUP(C214, 'リスト'!$E:$E, 'リスト'!$P:$P, ""), "")</f>
        <v/>
      </c>
      <c r="H214" s="586" t="str">
        <f>IFERROR(__xludf.DUMMYFUNCTION("""COMPUTED_VALUE"""),"未経験_研修・資格_エンジニア系_首都圏")</f>
        <v>未経験_研修・資格_エンジニア系_首都圏</v>
      </c>
      <c r="I214" s="8">
        <f t="array" ref="I214">IFERROR(XLOOKUP(H214, 'リスト'!$E:$E, 'リスト'!$F:$F, ""), "")</f>
        <v>0.3</v>
      </c>
      <c r="J214" s="8"/>
      <c r="K214" s="8" t="str">
        <f t="array" ref="K214">IFERROR(XLOOKUP(H214, 'リスト'!$E:$E, 'リスト'!$O:$O, ""), "")</f>
        <v>R</v>
      </c>
      <c r="L214" s="8" t="str">
        <f t="array" ref="L214">IFERROR(XLOOKUP(H214, 'リスト'!$E:$E, 'リスト'!$P:$P, ""), "")</f>
        <v/>
      </c>
      <c r="M214" s="586" t="str">
        <f>IFERROR(__xludf.DUMMYFUNCTION("""COMPUTED_VALUE"""),"千葉_路線")</f>
        <v>千葉_路線</v>
      </c>
      <c r="N214" s="8">
        <f t="array" ref="N214">IFERROR(XLOOKUP(M214, 'リスト'!$E:$E, 'リスト'!$F:$F, ""), "")</f>
        <v>0.6</v>
      </c>
      <c r="O214" s="8"/>
      <c r="P214" s="8" t="str">
        <f t="array" ref="P214">IFERROR(XLOOKUP(M214, 'リスト'!$E:$E, 'リスト'!$O:$O, ""), "")</f>
        <v>部</v>
      </c>
      <c r="Q214" s="8" t="str">
        <f t="array" ref="Q214">IFERROR(XLOOKUP(M214, 'リスト'!$E:$E, 'リスト'!$P:$P, ""), "")</f>
        <v>内</v>
      </c>
      <c r="R214" s="586" t="str">
        <f>IFERROR(__xludf.DUMMYFUNCTION("""COMPUTED_VALUE"""),"経験_一般事務")</f>
        <v>経験_一般事務</v>
      </c>
      <c r="S214" s="8">
        <f t="array" ref="S214">IFERROR(XLOOKUP(R214, 'リスト'!$E:$E, 'リスト'!$F:$F, ""), "")</f>
        <v>0.7</v>
      </c>
      <c r="T214" s="8"/>
      <c r="U214" s="8" t="str">
        <f t="array" ref="U214">IFERROR(XLOOKUP(R214, 'リスト'!$E:$E, 'リスト'!$O:$O, ""), "")</f>
        <v>R</v>
      </c>
      <c r="V214" s="8" t="str">
        <f t="array" ref="V214">IFERROR(XLOOKUP(R214, 'リスト'!$E:$E, 'リスト'!$P:$P, ""), "")</f>
        <v/>
      </c>
      <c r="W214" s="586"/>
      <c r="X214" s="8" t="str">
        <f t="array" ref="X214">IFERROR(XLOOKUP(W214, 'リスト'!$E:$E, 'リスト'!$F:$F, ""), "")</f>
        <v/>
      </c>
      <c r="Y214" s="8"/>
      <c r="Z214" s="8" t="str">
        <f t="array" ref="Z214">IFERROR(XLOOKUP(W214, 'リスト'!$E:$E, 'リスト'!$O:$O, ""), "")</f>
        <v/>
      </c>
      <c r="AA214" s="8" t="str">
        <f t="array" ref="AA214">IFERROR(XLOOKUP(W214, 'リスト'!$E:$E, 'リスト'!$P:$P, ""), "")</f>
        <v/>
      </c>
      <c r="AB214" s="586" t="str">
        <f>IFERROR(__xludf.DUMMYFUNCTION("""COMPUTED_VALUE"""),"ランキング_販サ（フロント）_希望")</f>
        <v>ランキング_販サ（フロント）_希望</v>
      </c>
      <c r="AC214" s="8">
        <f t="array" ref="AC214">IFERROR(XLOOKUP(AB214, 'リスト'!$E:$E, 'リスト'!$F:$F, ""), "")</f>
        <v>0.3</v>
      </c>
      <c r="AD214" s="8"/>
      <c r="AE214" s="8" t="str">
        <f t="array" ref="AE214">IFERROR(XLOOKUP(AB214, 'リスト'!$E:$E, 'リスト'!$O:$O, ""), "")</f>
        <v>R</v>
      </c>
      <c r="AF214" s="8" t="str">
        <f t="array" ref="AF214">IFERROR(XLOOKUP(AB214, 'リスト'!$E:$E, 'リスト'!$P:$P, ""), "")</f>
        <v/>
      </c>
      <c r="AG214" s="586" t="str">
        <f>IFERROR(__xludf.DUMMYFUNCTION("""COMPUTED_VALUE"""),"関西‗超好条件_事務")</f>
        <v>関西‗超好条件_事務</v>
      </c>
      <c r="AH214" s="8">
        <f t="array" ref="AH214">IFERROR(XLOOKUP(AG214, 'リスト'!$E:$E, 'リスト'!$F:$F, ""), "")</f>
        <v>0.7</v>
      </c>
      <c r="AI214" s="8"/>
      <c r="AJ214" s="8" t="str">
        <f t="array" ref="AJ214">IFERROR(XLOOKUP(AG214, 'リスト'!$E:$E, 'リスト'!$O:$O, ""), "")</f>
        <v>部</v>
      </c>
      <c r="AK214" s="8" t="str">
        <f t="array" ref="AK214">IFERROR(XLOOKUP(AG214, 'リスト'!$E:$E, 'リスト'!$P:$P, ""), "")</f>
        <v>武</v>
      </c>
    </row>
    <row r="215" ht="17.25" customHeight="1">
      <c r="A215" s="587"/>
      <c r="B215" s="588"/>
      <c r="C215" s="589" t="str">
        <f>IFERROR(__xludf.DUMMYFUNCTION("""COMPUTED_VALUE"""),"フルリモート_全国_エンジニア")</f>
        <v>フルリモート_全国_エンジニア</v>
      </c>
      <c r="D215" s="8">
        <f t="array" ref="D215">IFERROR(XLOOKUP(C215, 'リスト'!$E:$E, 'リスト'!$F:$F, ""), "")</f>
        <v>1.3</v>
      </c>
      <c r="E215" s="8"/>
      <c r="F215" s="8" t="str">
        <f t="array" ref="F215">IFERROR(XLOOKUP(C215, 'リスト'!$E:$E, 'リスト'!$O:$O, ""), "")</f>
        <v>R</v>
      </c>
      <c r="G215" s="8" t="str">
        <f t="array" ref="G215">IFERROR(XLOOKUP(C215, 'リスト'!$E:$E, 'リスト'!$P:$P, ""), "")</f>
        <v/>
      </c>
      <c r="H215" s="589" t="str">
        <f>IFERROR(__xludf.DUMMYFUNCTION("""COMPUTED_VALUE"""),"六本木勤務")</f>
        <v>六本木勤務</v>
      </c>
      <c r="I215" s="8">
        <f t="array" ref="I215">IFERROR(XLOOKUP(H215, 'リスト'!$E:$E, 'リスト'!$F:$F, ""), "")</f>
        <v>2</v>
      </c>
      <c r="J215" s="8"/>
      <c r="K215" s="8" t="str">
        <f t="array" ref="K215">IFERROR(XLOOKUP(H215, 'リスト'!$E:$E, 'リスト'!$O:$O, ""), "")</f>
        <v>R</v>
      </c>
      <c r="L215" s="8" t="str">
        <f t="array" ref="L215">IFERROR(XLOOKUP(H215, 'リスト'!$E:$E, 'リスト'!$P:$P, ""), "")</f>
        <v/>
      </c>
      <c r="M215" s="589" t="str">
        <f>IFERROR(__xludf.DUMMYFUNCTION("""COMPUTED_VALUE"""),"大阪_路線")</f>
        <v>大阪_路線</v>
      </c>
      <c r="N215" s="8">
        <f t="array" ref="N215">IFERROR(XLOOKUP(M215, 'リスト'!$E:$E, 'リスト'!$F:$F, ""), "")</f>
        <v>0.7</v>
      </c>
      <c r="O215" s="8"/>
      <c r="P215" s="8" t="str">
        <f t="array" ref="P215">IFERROR(XLOOKUP(M215, 'リスト'!$E:$E, 'リスト'!$O:$O, ""), "")</f>
        <v>部</v>
      </c>
      <c r="Q215" s="8" t="str">
        <f t="array" ref="Q215">IFERROR(XLOOKUP(M215, 'リスト'!$E:$E, 'リスト'!$P:$P, ""), "")</f>
        <v>内</v>
      </c>
      <c r="R215" s="589" t="str">
        <f>IFERROR(__xludf.DUMMYFUNCTION("""COMPUTED_VALUE"""),"経験_営業")</f>
        <v>経験_営業</v>
      </c>
      <c r="S215" s="8">
        <f t="array" ref="S215">IFERROR(XLOOKUP(R215, 'リスト'!$E:$E, 'リスト'!$F:$F, ""), "")</f>
        <v>0.6</v>
      </c>
      <c r="T215" s="8"/>
      <c r="U215" s="8" t="str">
        <f t="array" ref="U215">IFERROR(XLOOKUP(R215, 'リスト'!$E:$E, 'リスト'!$O:$O, ""), "")</f>
        <v>R</v>
      </c>
      <c r="V215" s="8" t="str">
        <f t="array" ref="V215">IFERROR(XLOOKUP(R215, 'リスト'!$E:$E, 'リスト'!$P:$P, ""), "")</f>
        <v/>
      </c>
      <c r="W215" s="589"/>
      <c r="X215" s="8" t="str">
        <f t="array" ref="X215">IFERROR(XLOOKUP(W215, 'リスト'!$E:$E, 'リスト'!$F:$F, ""), "")</f>
        <v/>
      </c>
      <c r="Y215" s="8"/>
      <c r="Z215" s="8" t="str">
        <f t="array" ref="Z215">IFERROR(XLOOKUP(W215, 'リスト'!$E:$E, 'リスト'!$O:$O, ""), "")</f>
        <v/>
      </c>
      <c r="AA215" s="8" t="str">
        <f t="array" ref="AA215">IFERROR(XLOOKUP(W215, 'リスト'!$E:$E, 'リスト'!$P:$P, ""), "")</f>
        <v/>
      </c>
      <c r="AB215" s="589" t="str">
        <f>IFERROR(__xludf.DUMMYFUNCTION("""COMPUTED_VALUE"""),"上場_営業経験")</f>
        <v>上場_営業経験</v>
      </c>
      <c r="AC215" s="8">
        <f t="array" ref="AC215">IFERROR(XLOOKUP(AB215, 'リスト'!$E:$E, 'リスト'!$F:$F, ""), "")</f>
        <v>0.7</v>
      </c>
      <c r="AD215" s="8"/>
      <c r="AE215" s="8" t="str">
        <f t="array" ref="AE215">IFERROR(XLOOKUP(AB215, 'リスト'!$E:$E, 'リスト'!$O:$O, ""), "")</f>
        <v>R</v>
      </c>
      <c r="AF215" s="8" t="str">
        <f t="array" ref="AF215">IFERROR(XLOOKUP(AB215, 'リスト'!$E:$E, 'リスト'!$P:$P, ""), "")</f>
        <v/>
      </c>
      <c r="AG215" s="589" t="str">
        <f>IFERROR(__xludf.DUMMYFUNCTION("""COMPUTED_VALUE"""),"全国_超好条件_事務")</f>
        <v>全国_超好条件_事務</v>
      </c>
      <c r="AH215" s="8">
        <f t="array" ref="AH215">IFERROR(XLOOKUP(AG215, 'リスト'!$E:$E, 'リスト'!$F:$F, ""), "")</f>
        <v>1</v>
      </c>
      <c r="AI215" s="8"/>
      <c r="AJ215" s="8" t="str">
        <f t="array" ref="AJ215">IFERROR(XLOOKUP(AG215, 'リスト'!$E:$E, 'リスト'!$O:$O, ""), "")</f>
        <v>R</v>
      </c>
      <c r="AK215" s="8" t="str">
        <f t="array" ref="AK215">IFERROR(XLOOKUP(AG215, 'リスト'!$E:$E, 'リスト'!$P:$P, ""), "")</f>
        <v/>
      </c>
    </row>
    <row r="216" ht="17.25" customHeight="1">
      <c r="A216" s="587"/>
      <c r="B216" s="588"/>
      <c r="C216" s="590" t="str">
        <f>IFERROR(__xludf.DUMMYFUNCTION("""COMPUTED_VALUE"""),"フルリモート_全国_営業")</f>
        <v>フルリモート_全国_営業</v>
      </c>
      <c r="D216" s="8">
        <f t="array" ref="D216">IFERROR(XLOOKUP(C216, 'リスト'!$E:$E, 'リスト'!$F:$F, ""), "")</f>
        <v>1.8</v>
      </c>
      <c r="E216" s="8"/>
      <c r="F216" s="8" t="str">
        <f t="array" ref="F216">IFERROR(XLOOKUP(C216, 'リスト'!$E:$E, 'リスト'!$O:$O, ""), "")</f>
        <v>R</v>
      </c>
      <c r="G216" s="8" t="str">
        <f t="array" ref="G216">IFERROR(XLOOKUP(C216, 'リスト'!$E:$E, 'リスト'!$P:$P, ""), "")</f>
        <v/>
      </c>
      <c r="H216" s="590"/>
      <c r="I216" s="8" t="str">
        <f t="array" ref="I216">IFERROR(XLOOKUP(H216, 'リスト'!$E:$E, 'リスト'!$F:$F, ""), "")</f>
        <v/>
      </c>
      <c r="J216" s="8"/>
      <c r="K216" s="8" t="str">
        <f t="array" ref="K216">IFERROR(XLOOKUP(H216, 'リスト'!$E:$E, 'リスト'!$O:$O, ""), "")</f>
        <v/>
      </c>
      <c r="L216" s="8" t="str">
        <f t="array" ref="L216">IFERROR(XLOOKUP(H216, 'リスト'!$E:$E, 'リスト'!$P:$P, ""), "")</f>
        <v/>
      </c>
      <c r="M216" s="590" t="str">
        <f>IFERROR(__xludf.DUMMYFUNCTION("""COMPUTED_VALUE"""),"東京_路線_事務")</f>
        <v>東京_路線_事務</v>
      </c>
      <c r="N216" s="8">
        <f t="array" ref="N216">IFERROR(XLOOKUP(M216, 'リスト'!$E:$E, 'リスト'!$F:$F, ""), "")</f>
        <v>1</v>
      </c>
      <c r="O216" s="8"/>
      <c r="P216" s="8" t="str">
        <f t="array" ref="P216">IFERROR(XLOOKUP(M216, 'リスト'!$E:$E, 'リスト'!$O:$O, ""), "")</f>
        <v>部</v>
      </c>
      <c r="Q216" s="8" t="str">
        <f t="array" ref="Q216">IFERROR(XLOOKUP(M216, 'リスト'!$E:$E, 'リスト'!$P:$P, ""), "")</f>
        <v>内</v>
      </c>
      <c r="R216" s="590"/>
      <c r="S216" s="8" t="str">
        <f t="array" ref="S216">IFERROR(XLOOKUP(R216, 'リスト'!$E:$E, 'リスト'!$F:$F, ""), "")</f>
        <v/>
      </c>
      <c r="T216" s="8"/>
      <c r="U216" s="8" t="str">
        <f t="array" ref="U216">IFERROR(XLOOKUP(R216, 'リスト'!$E:$E, 'リスト'!$O:$O, ""), "")</f>
        <v/>
      </c>
      <c r="V216" s="8" t="str">
        <f t="array" ref="V216">IFERROR(XLOOKUP(R216, 'リスト'!$E:$E, 'リスト'!$P:$P, ""), "")</f>
        <v/>
      </c>
      <c r="W216" s="590"/>
      <c r="X216" s="8" t="str">
        <f t="array" ref="X216">IFERROR(XLOOKUP(W216, 'リスト'!$E:$E, 'リスト'!$F:$F, ""), "")</f>
        <v/>
      </c>
      <c r="Y216" s="8"/>
      <c r="Z216" s="8" t="str">
        <f t="array" ref="Z216">IFERROR(XLOOKUP(W216, 'リスト'!$E:$E, 'リスト'!$O:$O, ""), "")</f>
        <v/>
      </c>
      <c r="AA216" s="8" t="str">
        <f t="array" ref="AA216">IFERROR(XLOOKUP(W216, 'リスト'!$E:$E, 'リスト'!$P:$P, ""), "")</f>
        <v/>
      </c>
      <c r="AB216" s="590" t="str">
        <f>IFERROR(__xludf.DUMMYFUNCTION("""COMPUTED_VALUE"""),"上場_事務経験")</f>
        <v>上場_事務経験</v>
      </c>
      <c r="AC216" s="8">
        <f t="array" ref="AC216">IFERROR(XLOOKUP(AB216, 'リスト'!$E:$E, 'リスト'!$F:$F, ""), "")</f>
        <v>1.9</v>
      </c>
      <c r="AD216" s="8"/>
      <c r="AE216" s="8" t="str">
        <f t="array" ref="AE216">IFERROR(XLOOKUP(AB216, 'リスト'!$E:$E, 'リスト'!$O:$O, ""), "")</f>
        <v>R</v>
      </c>
      <c r="AF216" s="8" t="str">
        <f t="array" ref="AF216">IFERROR(XLOOKUP(AB216, 'リスト'!$E:$E, 'リスト'!$P:$P, ""), "")</f>
        <v/>
      </c>
      <c r="AG216" s="590" t="str">
        <f>IFERROR(__xludf.DUMMYFUNCTION("""COMPUTED_VALUE"""),"超好条件_エンジニア")</f>
        <v>超好条件_エンジニア</v>
      </c>
      <c r="AH216" s="8">
        <f t="array" ref="AH216">IFERROR(XLOOKUP(AG216, 'リスト'!$E:$E, 'リスト'!$F:$F, ""), "")</f>
        <v>0.4</v>
      </c>
      <c r="AI216" s="8"/>
      <c r="AJ216" s="8" t="str">
        <f t="array" ref="AJ216">IFERROR(XLOOKUP(AG216, 'リスト'!$E:$E, 'リスト'!$O:$O, ""), "")</f>
        <v>部</v>
      </c>
      <c r="AK216" s="8" t="str">
        <f t="array" ref="AK216">IFERROR(XLOOKUP(AG216, 'リスト'!$E:$E, 'リスト'!$P:$P, ""), "")</f>
        <v>石</v>
      </c>
    </row>
    <row r="217" ht="17.25" customHeight="1">
      <c r="A217" s="587"/>
      <c r="B217" s="588"/>
      <c r="C217" s="590" t="str">
        <f>IFERROR(__xludf.DUMMYFUNCTION("""COMPUTED_VALUE"""),"フルリモート_全国_事務")</f>
        <v>フルリモート_全国_事務</v>
      </c>
      <c r="D217" s="8">
        <f t="array" ref="D217">IFERROR(XLOOKUP(C217, 'リスト'!$E:$E, 'リスト'!$F:$F, ""), "")</f>
        <v>5.5</v>
      </c>
      <c r="E217" s="8"/>
      <c r="F217" s="8" t="str">
        <f t="array" ref="F217">IFERROR(XLOOKUP(C217, 'リスト'!$E:$E, 'リスト'!$O:$O, ""), "")</f>
        <v>R</v>
      </c>
      <c r="G217" s="8" t="str">
        <f t="array" ref="G217">IFERROR(XLOOKUP(C217, 'リスト'!$E:$E, 'リスト'!$P:$P, ""), "")</f>
        <v/>
      </c>
      <c r="H217" s="590"/>
      <c r="I217" s="8" t="str">
        <f t="array" ref="I217">IFERROR(XLOOKUP(H217, 'リスト'!$E:$E, 'リスト'!$F:$F, ""), "")</f>
        <v/>
      </c>
      <c r="J217" s="8"/>
      <c r="K217" s="8" t="str">
        <f t="array" ref="K217">IFERROR(XLOOKUP(H217, 'リスト'!$E:$E, 'リスト'!$O:$O, ""), "")</f>
        <v/>
      </c>
      <c r="L217" s="8" t="str">
        <f t="array" ref="L217">IFERROR(XLOOKUP(H217, 'リスト'!$E:$E, 'リスト'!$P:$P, ""), "")</f>
        <v/>
      </c>
      <c r="M217" s="590" t="str">
        <f>IFERROR(__xludf.DUMMYFUNCTION("""COMPUTED_VALUE"""),"未経験エンジニア希望向け_首都圏")</f>
        <v>未経験エンジニア希望向け_首都圏</v>
      </c>
      <c r="N217" s="8">
        <f t="array" ref="N217">IFERROR(XLOOKUP(M217, 'リスト'!$E:$E, 'リスト'!$F:$F, ""), "")</f>
        <v>0.4</v>
      </c>
      <c r="O217" s="8"/>
      <c r="P217" s="8" t="str">
        <f t="array" ref="P217">IFERROR(XLOOKUP(M217, 'リスト'!$E:$E, 'リスト'!$O:$O, ""), "")</f>
        <v>R</v>
      </c>
      <c r="Q217" s="8" t="str">
        <f t="array" ref="Q217">IFERROR(XLOOKUP(M217, 'リスト'!$E:$E, 'リスト'!$P:$P, ""), "")</f>
        <v/>
      </c>
      <c r="R217" s="590"/>
      <c r="S217" s="8" t="str">
        <f t="array" ref="S217">IFERROR(XLOOKUP(R217, 'リスト'!$E:$E, 'リスト'!$F:$F, ""), "")</f>
        <v/>
      </c>
      <c r="T217" s="8"/>
      <c r="U217" s="8" t="str">
        <f t="array" ref="U217">IFERROR(XLOOKUP(R217, 'リスト'!$E:$E, 'リスト'!$O:$O, ""), "")</f>
        <v/>
      </c>
      <c r="V217" s="8" t="str">
        <f t="array" ref="V217">IFERROR(XLOOKUP(R217, 'リスト'!$E:$E, 'リスト'!$P:$P, ""), "")</f>
        <v/>
      </c>
      <c r="W217" s="590"/>
      <c r="X217" s="8" t="str">
        <f t="array" ref="X217">IFERROR(XLOOKUP(W217, 'リスト'!$E:$E, 'リスト'!$F:$F, ""), "")</f>
        <v/>
      </c>
      <c r="Y217" s="8"/>
      <c r="Z217" s="8" t="str">
        <f t="array" ref="Z217">IFERROR(XLOOKUP(W217, 'リスト'!$E:$E, 'リスト'!$O:$O, ""), "")</f>
        <v/>
      </c>
      <c r="AA217" s="8" t="str">
        <f t="array" ref="AA217">IFERROR(XLOOKUP(W217, 'リスト'!$E:$E, 'リスト'!$P:$P, ""), "")</f>
        <v/>
      </c>
      <c r="AB217" s="590" t="str">
        <f>IFERROR(__xludf.DUMMYFUNCTION("""COMPUTED_VALUE"""),"上場_販サ経験")</f>
        <v>上場_販サ経験</v>
      </c>
      <c r="AC217" s="8">
        <f t="array" ref="AC217">IFERROR(XLOOKUP(AB217, 'リスト'!$E:$E, 'リスト'!$F:$F, ""), "")</f>
        <v>1.4</v>
      </c>
      <c r="AD217" s="8"/>
      <c r="AE217" s="8" t="str">
        <f t="array" ref="AE217">IFERROR(XLOOKUP(AB217, 'リスト'!$E:$E, 'リスト'!$O:$O, ""), "")</f>
        <v>R</v>
      </c>
      <c r="AF217" s="8" t="str">
        <f t="array" ref="AF217">IFERROR(XLOOKUP(AB217, 'リスト'!$E:$E, 'リスト'!$P:$P, ""), "")</f>
        <v/>
      </c>
      <c r="AG217" s="590"/>
      <c r="AH217" s="8" t="str">
        <f t="array" ref="AH217">IFERROR(XLOOKUP(AG217, 'リスト'!$E:$E, 'リスト'!$F:$F, ""), "")</f>
        <v/>
      </c>
      <c r="AI217" s="8"/>
      <c r="AJ217" s="8" t="str">
        <f t="array" ref="AJ217">IFERROR(XLOOKUP(AG217, 'リスト'!$E:$E, 'リスト'!$O:$O, ""), "")</f>
        <v/>
      </c>
      <c r="AK217" s="8" t="str">
        <f t="array" ref="AK217">IFERROR(XLOOKUP(AG217, 'リスト'!$E:$E, 'リスト'!$P:$P, ""), "")</f>
        <v/>
      </c>
    </row>
    <row r="218" ht="17.25" customHeight="1">
      <c r="A218" s="587"/>
      <c r="B218" s="588"/>
      <c r="C218" s="590" t="str">
        <f>IFERROR(__xludf.DUMMYFUNCTION("""COMPUTED_VALUE"""),"未経験_研修・資格_事務系_関西")</f>
        <v>未経験_研修・資格_事務系_関西</v>
      </c>
      <c r="D218" s="8">
        <f t="array" ref="D218">IFERROR(XLOOKUP(C218, 'リスト'!$E:$E, 'リスト'!$F:$F, ""), "")</f>
        <v>0.3</v>
      </c>
      <c r="E218" s="8"/>
      <c r="F218" s="8" t="str">
        <f t="array" ref="F218">IFERROR(XLOOKUP(C218, 'リスト'!$E:$E, 'リスト'!$O:$O, ""), "")</f>
        <v>R</v>
      </c>
      <c r="G218" s="8" t="str">
        <f t="array" ref="G218">IFERROR(XLOOKUP(C218, 'リスト'!$E:$E, 'リスト'!$P:$P, ""), "")</f>
        <v/>
      </c>
      <c r="H218" s="590"/>
      <c r="I218" s="8" t="str">
        <f t="array" ref="I218">IFERROR(XLOOKUP(H218, 'リスト'!$E:$E, 'リスト'!$F:$F, ""), "")</f>
        <v/>
      </c>
      <c r="J218" s="8"/>
      <c r="K218" s="8" t="str">
        <f t="array" ref="K218">IFERROR(XLOOKUP(H218, 'リスト'!$E:$E, 'リスト'!$O:$O, ""), "")</f>
        <v/>
      </c>
      <c r="L218" s="8" t="str">
        <f t="array" ref="L218">IFERROR(XLOOKUP(H218, 'リスト'!$E:$E, 'リスト'!$P:$P, ""), "")</f>
        <v/>
      </c>
      <c r="M218" s="590"/>
      <c r="N218" s="8" t="str">
        <f t="array" ref="N218">IFERROR(XLOOKUP(M218, 'リスト'!$E:$E, 'リスト'!$F:$F, ""), "")</f>
        <v/>
      </c>
      <c r="O218" s="8"/>
      <c r="P218" s="8" t="str">
        <f t="array" ref="P218">IFERROR(XLOOKUP(M218, 'リスト'!$E:$E, 'リスト'!$O:$O, ""), "")</f>
        <v/>
      </c>
      <c r="Q218" s="8" t="str">
        <f t="array" ref="Q218">IFERROR(XLOOKUP(M218, 'リスト'!$E:$E, 'リスト'!$P:$P, ""), "")</f>
        <v/>
      </c>
      <c r="R218" s="590"/>
      <c r="S218" s="8" t="str">
        <f t="array" ref="S218">IFERROR(XLOOKUP(R218, 'リスト'!$E:$E, 'リスト'!$F:$F, ""), "")</f>
        <v/>
      </c>
      <c r="T218" s="8"/>
      <c r="U218" s="8" t="str">
        <f t="array" ref="U218">IFERROR(XLOOKUP(R218, 'リスト'!$E:$E, 'リスト'!$O:$O, ""), "")</f>
        <v/>
      </c>
      <c r="V218" s="8" t="str">
        <f t="array" ref="V218">IFERROR(XLOOKUP(R218, 'リスト'!$E:$E, 'リスト'!$P:$P, ""), "")</f>
        <v/>
      </c>
      <c r="W218" s="590"/>
      <c r="X218" s="8" t="str">
        <f t="array" ref="X218">IFERROR(XLOOKUP(W218, 'リスト'!$E:$E, 'リスト'!$F:$F, ""), "")</f>
        <v/>
      </c>
      <c r="Y218" s="8"/>
      <c r="Z218" s="8" t="str">
        <f t="array" ref="Z218">IFERROR(XLOOKUP(W218, 'リスト'!$E:$E, 'リスト'!$O:$O, ""), "")</f>
        <v/>
      </c>
      <c r="AA218" s="8" t="str">
        <f t="array" ref="AA218">IFERROR(XLOOKUP(W218, 'リスト'!$E:$E, 'リスト'!$P:$P, ""), "")</f>
        <v/>
      </c>
      <c r="AB218" s="590"/>
      <c r="AC218" s="8" t="str">
        <f t="array" ref="AC218">IFERROR(XLOOKUP(AB218, 'リスト'!$E:$E, 'リスト'!$F:$F, ""), "")</f>
        <v/>
      </c>
      <c r="AD218" s="8"/>
      <c r="AE218" s="8" t="str">
        <f t="array" ref="AE218">IFERROR(XLOOKUP(AB218, 'リスト'!$E:$E, 'リスト'!$O:$O, ""), "")</f>
        <v/>
      </c>
      <c r="AF218" s="8" t="str">
        <f t="array" ref="AF218">IFERROR(XLOOKUP(AB218, 'リスト'!$E:$E, 'リスト'!$P:$P, ""), "")</f>
        <v/>
      </c>
      <c r="AG218" s="590"/>
      <c r="AH218" s="8" t="str">
        <f t="array" ref="AH218">IFERROR(XLOOKUP(AG218, 'リスト'!$E:$E, 'リスト'!$F:$F, ""), "")</f>
        <v/>
      </c>
      <c r="AI218" s="8"/>
      <c r="AJ218" s="8" t="str">
        <f t="array" ref="AJ218">IFERROR(XLOOKUP(AG218, 'リスト'!$E:$E, 'リスト'!$O:$O, ""), "")</f>
        <v/>
      </c>
      <c r="AK218" s="8" t="str">
        <f t="array" ref="AK218">IFERROR(XLOOKUP(AG218, 'リスト'!$E:$E, 'リスト'!$P:$P, ""), "")</f>
        <v/>
      </c>
    </row>
    <row r="219" ht="17.25" customHeight="1">
      <c r="A219" s="587"/>
      <c r="B219" s="588"/>
      <c r="C219" s="590" t="str">
        <f>IFERROR(__xludf.DUMMYFUNCTION("""COMPUTED_VALUE"""),"未経験_研修・資格_事務系_首都圏")</f>
        <v>未経験_研修・資格_事務系_首都圏</v>
      </c>
      <c r="D219" s="8">
        <f t="array" ref="D219">IFERROR(XLOOKUP(C219, 'リスト'!$E:$E, 'リスト'!$F:$F, ""), "")</f>
        <v>1.3</v>
      </c>
      <c r="E219" s="8"/>
      <c r="F219" s="8" t="str">
        <f t="array" ref="F219">IFERROR(XLOOKUP(C219, 'リスト'!$E:$E, 'リスト'!$O:$O, ""), "")</f>
        <v>R</v>
      </c>
      <c r="G219" s="8" t="str">
        <f t="array" ref="G219">IFERROR(XLOOKUP(C219, 'リスト'!$E:$E, 'リスト'!$P:$P, ""), "")</f>
        <v/>
      </c>
      <c r="H219" s="590"/>
      <c r="I219" s="8" t="str">
        <f t="array" ref="I219">IFERROR(XLOOKUP(H219, 'リスト'!$E:$E, 'リスト'!$F:$F, ""), "")</f>
        <v/>
      </c>
      <c r="J219" s="8"/>
      <c r="K219" s="8" t="str">
        <f t="array" ref="K219">IFERROR(XLOOKUP(H219, 'リスト'!$E:$E, 'リスト'!$O:$O, ""), "")</f>
        <v/>
      </c>
      <c r="L219" s="8" t="str">
        <f t="array" ref="L219">IFERROR(XLOOKUP(H219, 'リスト'!$E:$E, 'リスト'!$P:$P, ""), "")</f>
        <v/>
      </c>
      <c r="M219" s="590"/>
      <c r="N219" s="8" t="str">
        <f t="array" ref="N219">IFERROR(XLOOKUP(M219, 'リスト'!$E:$E, 'リスト'!$F:$F, ""), "")</f>
        <v/>
      </c>
      <c r="O219" s="8"/>
      <c r="P219" s="8" t="str">
        <f t="array" ref="P219">IFERROR(XLOOKUP(M219, 'リスト'!$E:$E, 'リスト'!$O:$O, ""), "")</f>
        <v/>
      </c>
      <c r="Q219" s="8" t="str">
        <f t="array" ref="Q219">IFERROR(XLOOKUP(M219, 'リスト'!$E:$E, 'リスト'!$P:$P, ""), "")</f>
        <v/>
      </c>
      <c r="R219" s="590"/>
      <c r="S219" s="8" t="str">
        <f t="array" ref="S219">IFERROR(XLOOKUP(R219, 'リスト'!$E:$E, 'リスト'!$F:$F, ""), "")</f>
        <v/>
      </c>
      <c r="T219" s="8"/>
      <c r="U219" s="8" t="str">
        <f t="array" ref="U219">IFERROR(XLOOKUP(R219, 'リスト'!$E:$E, 'リスト'!$O:$O, ""), "")</f>
        <v/>
      </c>
      <c r="V219" s="8" t="str">
        <f t="array" ref="V219">IFERROR(XLOOKUP(R219, 'リスト'!$E:$E, 'リスト'!$P:$P, ""), "")</f>
        <v/>
      </c>
      <c r="W219" s="590"/>
      <c r="X219" s="8" t="str">
        <f t="array" ref="X219">IFERROR(XLOOKUP(W219, 'リスト'!$E:$E, 'リスト'!$F:$F, ""), "")</f>
        <v/>
      </c>
      <c r="Y219" s="8"/>
      <c r="Z219" s="8" t="str">
        <f t="array" ref="Z219">IFERROR(XLOOKUP(W219, 'リスト'!$E:$E, 'リスト'!$O:$O, ""), "")</f>
        <v/>
      </c>
      <c r="AA219" s="8" t="str">
        <f t="array" ref="AA219">IFERROR(XLOOKUP(W219, 'リスト'!$E:$E, 'リスト'!$P:$P, ""), "")</f>
        <v/>
      </c>
      <c r="AB219" s="590"/>
      <c r="AC219" s="8" t="str">
        <f t="array" ref="AC219">IFERROR(XLOOKUP(AB219, 'リスト'!$E:$E, 'リスト'!$F:$F, ""), "")</f>
        <v/>
      </c>
      <c r="AD219" s="8"/>
      <c r="AE219" s="8" t="str">
        <f t="array" ref="AE219">IFERROR(XLOOKUP(AB219, 'リスト'!$E:$E, 'リスト'!$O:$O, ""), "")</f>
        <v/>
      </c>
      <c r="AF219" s="8" t="str">
        <f t="array" ref="AF219">IFERROR(XLOOKUP(AB219, 'リスト'!$E:$E, 'リスト'!$P:$P, ""), "")</f>
        <v/>
      </c>
      <c r="AG219" s="590"/>
      <c r="AH219" s="8" t="str">
        <f t="array" ref="AH219">IFERROR(XLOOKUP(AG219, 'リスト'!$E:$E, 'リスト'!$F:$F, ""), "")</f>
        <v/>
      </c>
      <c r="AI219" s="8"/>
      <c r="AJ219" s="8" t="str">
        <f t="array" ref="AJ219">IFERROR(XLOOKUP(AG219, 'リスト'!$E:$E, 'リスト'!$O:$O, ""), "")</f>
        <v/>
      </c>
      <c r="AK219" s="8" t="str">
        <f t="array" ref="AK219">IFERROR(XLOOKUP(AG219, 'リスト'!$E:$E, 'リスト'!$P:$P, ""), "")</f>
        <v/>
      </c>
    </row>
    <row r="220" ht="17.25" customHeight="1">
      <c r="A220" s="587"/>
      <c r="B220" s="592"/>
      <c r="C220" s="590"/>
      <c r="D220" s="8" t="str">
        <f t="array" ref="D220">IFERROR(XLOOKUP(C220, '新規'!$E:$E, '新規'!$F:$F, ""), "")</f>
        <v/>
      </c>
      <c r="E220" s="8"/>
      <c r="F220" s="8" t="str">
        <f t="array" ref="F220">IFERROR(XLOOKUP(C220, '新規'!$E:$E, '新規'!$O:$O, ""), "")</f>
        <v/>
      </c>
      <c r="G220" s="8" t="str">
        <f t="array" ref="G220">IFERROR(XLOOKUP(C220, '新規'!$E:$E, '新規'!$P:$P, ""), "")</f>
        <v/>
      </c>
      <c r="H220" s="590"/>
      <c r="I220" s="8" t="str">
        <f t="array" ref="I220">IFERROR(XLOOKUP(H220, '新規'!$E:$E, '新規'!$F:$F, ""), "")</f>
        <v/>
      </c>
      <c r="J220" s="8"/>
      <c r="K220" s="8" t="str">
        <f t="array" ref="K220">IFERROR(XLOOKUP(H220, '新規'!$E:$E, '新規'!$O:$O, ""), "")</f>
        <v/>
      </c>
      <c r="L220" s="8" t="str">
        <f t="array" ref="L220">IFERROR(XLOOKUP(H220, '新規'!$E:$E, '新規'!$P:$P, ""), "")</f>
        <v/>
      </c>
      <c r="M220" s="590"/>
      <c r="N220" s="8" t="str">
        <f t="array" ref="N220">IFERROR(XLOOKUP(M220, '新規'!$E:$E, '新規'!$F:$F, ""), "")</f>
        <v/>
      </c>
      <c r="O220" s="8"/>
      <c r="P220" s="8" t="str">
        <f t="array" ref="P220">IFERROR(XLOOKUP(M220, '新規'!$E:$E, '新規'!$O:$O, ""), "")</f>
        <v/>
      </c>
      <c r="Q220" s="8" t="str">
        <f t="array" ref="Q220">IFERROR(XLOOKUP(M220, '新規'!$E:$E, '新規'!$P:$P, ""), "")</f>
        <v/>
      </c>
      <c r="R220" s="590"/>
      <c r="S220" s="8" t="str">
        <f t="array" ref="S220">IFERROR(XLOOKUP(R220, '新規'!$E:$E, '新規'!$F:$F, ""), "")</f>
        <v/>
      </c>
      <c r="T220" s="8"/>
      <c r="U220" s="8" t="str">
        <f t="array" ref="U220">IFERROR(XLOOKUP(R220, '新規'!$E:$E, '新規'!$O:$O, ""), "")</f>
        <v/>
      </c>
      <c r="V220" s="8" t="str">
        <f t="array" ref="V220">IFERROR(XLOOKUP(R220, '新規'!$E:$E, '新規'!$P:$P, ""), "")</f>
        <v/>
      </c>
      <c r="W220" s="590"/>
      <c r="X220" s="8" t="str">
        <f t="array" ref="X220">IFERROR(XLOOKUP(W220, '新規'!$E:$E, '新規'!$F:$F, ""), "")</f>
        <v/>
      </c>
      <c r="Y220" s="8"/>
      <c r="Z220" s="8" t="str">
        <f t="array" ref="Z220">IFERROR(XLOOKUP(W220, '新規'!$E:$E, '新規'!$O:$O, ""), "")</f>
        <v/>
      </c>
      <c r="AA220" s="8" t="str">
        <f t="array" ref="AA220">IFERROR(XLOOKUP(W220, '新規'!$E:$E, '新規'!$P:$P, ""), "")</f>
        <v/>
      </c>
      <c r="AB220" s="590"/>
      <c r="AC220" s="8" t="str">
        <f t="array" ref="AC220">IFERROR(XLOOKUP(AB220, '新規'!$E:$E, '新規'!$F:$F, ""), "")</f>
        <v/>
      </c>
      <c r="AD220" s="8"/>
      <c r="AE220" s="8" t="str">
        <f t="array" ref="AE220">IFERROR(XLOOKUP(AB220, '新規'!$E:$E, '新規'!$O:$O, ""), "")</f>
        <v/>
      </c>
      <c r="AF220" s="8" t="str">
        <f t="array" ref="AF220">IFERROR(XLOOKUP(AB220, '新規'!$E:$E, '新規'!$P:$P, ""), "")</f>
        <v/>
      </c>
      <c r="AG220" s="590"/>
      <c r="AH220" s="8" t="str">
        <f t="array" ref="AH220">IFERROR(XLOOKUP(AG220, '新規'!$E:$E, '新規'!$F:$F, ""), "")</f>
        <v/>
      </c>
      <c r="AI220" s="8"/>
      <c r="AJ220" s="8" t="str">
        <f t="array" ref="AJ220">IFERROR(XLOOKUP(AG220, '新規'!$E:$E, '新規'!$O:$O, ""), "")</f>
        <v/>
      </c>
      <c r="AK220" s="8" t="str">
        <f t="array" ref="AK220">IFERROR(XLOOKUP(AG220, '新規'!$E:$E, '新規'!$P:$P, ""), "")</f>
        <v/>
      </c>
    </row>
    <row r="221" ht="17.25" customHeight="1">
      <c r="A221" s="587"/>
      <c r="B221" s="585" t="s">
        <v>78</v>
      </c>
      <c r="C221" s="590" t="str">
        <f>IFERROR(__xludf.DUMMYFUNCTION("IFERROR(FILTER('新規'!$E$2:$E$70, '新規'!$B$2:$B$70 = $A212, (('新規'!$A$2:$A$70 = C$1) + (('新規'!$G$2:$G$70 = ""毎月配信"") * ('新規'!$A$2:$A$70 = CHOOSE(WEEKDAY(C$1), ""日"", ""月"", ""火"", ""水"", ""木"", ""金"", ""土"")))) &gt; 0), """")"),"")</f>
        <v/>
      </c>
      <c r="D221" s="8" t="str">
        <f t="array" ref="D221">IFERROR(XLOOKUP(C221, '新規'!$E:$E, '新規'!$F:$F, ""), "")</f>
        <v/>
      </c>
      <c r="E221" s="8"/>
      <c r="F221" s="8" t="str">
        <f t="array" ref="F221">IFERROR(XLOOKUP(C221, '新規'!$E:$E, '新規'!$O:$O, ""), "")</f>
        <v/>
      </c>
      <c r="G221" s="8" t="str">
        <f t="array" ref="G221">IFERROR(XLOOKUP(C221, '新規'!$E:$E, '新規'!$P:$P, ""), "")</f>
        <v/>
      </c>
      <c r="H221" s="590" t="str">
        <f>IFERROR(__xludf.DUMMYFUNCTION("IFERROR(FILTER('新規'!$E$2:$E$70, '新規'!$B$2:$B$70 = $A212, (('新規'!$A$2:$A$70 = H$1) + (('新規'!$G$2:$G$70 = ""毎月配信"") * ('新規'!$A$2:$A$70 = CHOOSE(WEEKDAY(H$1), ""日"", ""月"", ""火"", ""水"", ""木"", ""金"", ""土"")))) &gt; 0), """")"),"")</f>
        <v/>
      </c>
      <c r="I221" s="8" t="str">
        <f t="array" ref="I221">IFERROR(XLOOKUP(H221, '新規'!$E:$E, '新規'!$F:$F, ""), "")</f>
        <v/>
      </c>
      <c r="J221" s="8"/>
      <c r="K221" s="8" t="str">
        <f t="array" ref="K221">IFERROR(XLOOKUP(H221, '新規'!$E:$E, '新規'!$O:$O, ""), "")</f>
        <v/>
      </c>
      <c r="L221" s="8" t="str">
        <f t="array" ref="L221">IFERROR(XLOOKUP(H221, '新規'!$E:$E, '新規'!$P:$P, ""), "")</f>
        <v/>
      </c>
      <c r="M221" s="590" t="str">
        <f>IFERROR(__xludf.DUMMYFUNCTION("IFERROR(FILTER('新規'!$E$2:$E$70, '新規'!$B$2:$B$70 = $A212, (('新規'!$A$2:$A$70 = M$1) + (('新規'!$G$2:$G$70 = ""毎月配信"") * ('新規'!$A$2:$A$70 = CHOOSE(WEEKDAY(M$1), ""日"", ""月"", ""火"", ""水"", ""木"", ""金"", ""土"")))) &gt; 0), """")"),"")</f>
        <v/>
      </c>
      <c r="N221" s="8" t="str">
        <f t="array" ref="N221">IFERROR(XLOOKUP(M221, '新規'!$E:$E, '新規'!$F:$F, ""), "")</f>
        <v/>
      </c>
      <c r="O221" s="8"/>
      <c r="P221" s="8" t="str">
        <f t="array" ref="P221">IFERROR(XLOOKUP(M221, '新規'!$E:$E, '新規'!$O:$O, ""), "")</f>
        <v/>
      </c>
      <c r="Q221" s="8" t="str">
        <f t="array" ref="Q221">IFERROR(XLOOKUP(M221, '新規'!$E:$E, '新規'!$P:$P, ""), "")</f>
        <v/>
      </c>
      <c r="R221" s="590" t="str">
        <f>IFERROR(__xludf.DUMMYFUNCTION("IFERROR(FILTER('新規'!$E$2:$E$70, '新規'!$B$2:$B$70 = $A212, (('新規'!$A$2:$A$70 = R$1) + (('新規'!$G$2:$G$70 = ""毎月配信"") * ('新規'!$A$2:$A$70 = CHOOSE(WEEKDAY(R$1), ""日"", ""月"", ""火"", ""水"", ""木"", ""金"", ""土"")))) &gt; 0), """")"),"")</f>
        <v/>
      </c>
      <c r="S221" s="8" t="str">
        <f t="array" ref="S221">IFERROR(XLOOKUP(R221, '新規'!$E:$E, '新規'!$F:$F, ""), "")</f>
        <v/>
      </c>
      <c r="T221" s="8"/>
      <c r="U221" s="8" t="str">
        <f t="array" ref="U221">IFERROR(XLOOKUP(R221, '新規'!$E:$E, '新規'!$O:$O, ""), "")</f>
        <v/>
      </c>
      <c r="V221" s="8" t="str">
        <f t="array" ref="V221">IFERROR(XLOOKUP(R221, '新規'!$E:$E, '新規'!$P:$P, ""), "")</f>
        <v/>
      </c>
      <c r="W221" s="590" t="str">
        <f>IFERROR(__xludf.DUMMYFUNCTION("IFERROR(FILTER('新規'!$E$2:$E$70, '新規'!$B$2:$B$70 = $A212, (('新規'!$A$2:$A$70 = W$1) + (('新規'!$G$2:$G$70 = ""毎月配信"") * ('新規'!$A$2:$A$70 = CHOOSE(WEEKDAY(W$1), ""日"", ""月"", ""火"", ""水"", ""木"", ""金"", ""土"")))) &gt; 0), """")"),"")</f>
        <v/>
      </c>
      <c r="X221" s="8" t="str">
        <f t="array" ref="X221">IFERROR(XLOOKUP(W221, '新規'!$E:$E, '新規'!$F:$F, ""), "")</f>
        <v/>
      </c>
      <c r="Y221" s="8"/>
      <c r="Z221" s="8" t="str">
        <f t="array" ref="Z221">IFERROR(XLOOKUP(W221, '新規'!$E:$E, '新規'!$O:$O, ""), "")</f>
        <v/>
      </c>
      <c r="AA221" s="8" t="str">
        <f t="array" ref="AA221">IFERROR(XLOOKUP(W221, '新規'!$E:$E, '新規'!$P:$P, ""), "")</f>
        <v/>
      </c>
      <c r="AB221" s="590" t="str">
        <f>IFERROR(__xludf.DUMMYFUNCTION("IFERROR(FILTER('新規'!$E$2:$E$70, '新規'!$B$2:$B$70 = $A212, (('新規'!$A$2:$A$70 = AB$1) + (('新規'!$G$2:$G$70 = ""毎月配信"") * ('新規'!$A$2:$A$70 = CHOOSE(WEEKDAY(AB$1), ""日"", ""月"", ""火"", ""水"", ""木"", ""金"", ""土"")))) &gt; 0), """")"),"")</f>
        <v/>
      </c>
      <c r="AC221" s="8" t="str">
        <f t="array" ref="AC221">IFERROR(XLOOKUP(AB221, '新規'!$E:$E, '新規'!$F:$F, ""), "")</f>
        <v/>
      </c>
      <c r="AD221" s="8"/>
      <c r="AE221" s="8" t="str">
        <f t="array" ref="AE221">IFERROR(XLOOKUP(AB221, '新規'!$E:$E, '新規'!$O:$O, ""), "")</f>
        <v/>
      </c>
      <c r="AF221" s="8" t="str">
        <f t="array" ref="AF221">IFERROR(XLOOKUP(AB221, '新規'!$E:$E, '新規'!$P:$P, ""), "")</f>
        <v/>
      </c>
      <c r="AG221" s="590" t="str">
        <f>IFERROR(__xludf.DUMMYFUNCTION("IFERROR(FILTER('新規'!$E$2:$E$70, '新規'!$B$2:$B$70 = $A212, (('新規'!$A$2:$A$70 = AG$1) + (('新規'!$G$2:$G$70 = ""毎月配信"") * ('新規'!$A$2:$A$70 = CHOOSE(WEEKDAY(AG$1), ""日"", ""月"", ""火"", ""水"", ""木"", ""金"", ""土"")))) &gt; 0), """")"),"")</f>
        <v/>
      </c>
      <c r="AH221" s="8" t="str">
        <f t="array" ref="AH221">IFERROR(XLOOKUP(AG221, '新規'!$E:$E, '新規'!$F:$F, ""), "")</f>
        <v/>
      </c>
      <c r="AI221" s="8"/>
      <c r="AJ221" s="8" t="str">
        <f t="array" ref="AJ221">IFERROR(XLOOKUP(AG221, '新規'!$E:$E, '新規'!$O:$O, ""), "")</f>
        <v/>
      </c>
      <c r="AK221" s="8" t="str">
        <f t="array" ref="AK221">IFERROR(XLOOKUP(AG221, '新規'!$E:$E, '新規'!$P:$P, ""), "")</f>
        <v/>
      </c>
    </row>
    <row r="222" ht="17.25" customHeight="1">
      <c r="A222" s="587"/>
      <c r="B222" s="588"/>
      <c r="C222" s="590"/>
      <c r="D222" s="8" t="str">
        <f t="array" ref="D222">IFERROR(XLOOKUP(C222, '新規'!$E:$E, '新規'!$F:$F, ""), "")</f>
        <v/>
      </c>
      <c r="E222" s="8"/>
      <c r="F222" s="8" t="str">
        <f t="array" ref="F222">IFERROR(XLOOKUP(C222, '新規'!$E:$E, '新規'!$O:$O, ""), "")</f>
        <v/>
      </c>
      <c r="G222" s="8" t="str">
        <f t="array" ref="G222">IFERROR(XLOOKUP(C222, '新規'!$E:$E, '新規'!$P:$P, ""), "")</f>
        <v/>
      </c>
      <c r="H222" s="590"/>
      <c r="I222" s="8" t="str">
        <f t="array" ref="I222">IFERROR(XLOOKUP(H222, '新規'!$E:$E, '新規'!$F:$F, ""), "")</f>
        <v/>
      </c>
      <c r="J222" s="8"/>
      <c r="K222" s="8" t="str">
        <f t="array" ref="K222">IFERROR(XLOOKUP(H222, '新規'!$E:$E, '新規'!$O:$O, ""), "")</f>
        <v/>
      </c>
      <c r="L222" s="8" t="str">
        <f t="array" ref="L222">IFERROR(XLOOKUP(H222, '新規'!$E:$E, '新規'!$P:$P, ""), "")</f>
        <v/>
      </c>
      <c r="M222" s="590"/>
      <c r="N222" s="8" t="str">
        <f t="array" ref="N222">IFERROR(XLOOKUP(M222, '新規'!$E:$E, '新規'!$F:$F, ""), "")</f>
        <v/>
      </c>
      <c r="O222" s="8"/>
      <c r="P222" s="8" t="str">
        <f t="array" ref="P222">IFERROR(XLOOKUP(M222, '新規'!$E:$E, '新規'!$O:$O, ""), "")</f>
        <v/>
      </c>
      <c r="Q222" s="8" t="str">
        <f t="array" ref="Q222">IFERROR(XLOOKUP(M222, '新規'!$E:$E, '新規'!$P:$P, ""), "")</f>
        <v/>
      </c>
      <c r="R222" s="590"/>
      <c r="S222" s="8" t="str">
        <f t="array" ref="S222">IFERROR(XLOOKUP(R222, '新規'!$E:$E, '新規'!$F:$F, ""), "")</f>
        <v/>
      </c>
      <c r="T222" s="8"/>
      <c r="U222" s="8" t="str">
        <f t="array" ref="U222">IFERROR(XLOOKUP(R222, '新規'!$E:$E, '新規'!$O:$O, ""), "")</f>
        <v/>
      </c>
      <c r="V222" s="8" t="str">
        <f t="array" ref="V222">IFERROR(XLOOKUP(R222, '新規'!$E:$E, '新規'!$P:$P, ""), "")</f>
        <v/>
      </c>
      <c r="W222" s="590"/>
      <c r="X222" s="8" t="str">
        <f t="array" ref="X222">IFERROR(XLOOKUP(W222, '新規'!$E:$E, '新規'!$F:$F, ""), "")</f>
        <v/>
      </c>
      <c r="Y222" s="8"/>
      <c r="Z222" s="8" t="str">
        <f t="array" ref="Z222">IFERROR(XLOOKUP(W222, '新規'!$E:$E, '新規'!$O:$O, ""), "")</f>
        <v/>
      </c>
      <c r="AA222" s="8" t="str">
        <f t="array" ref="AA222">IFERROR(XLOOKUP(W222, '新規'!$E:$E, '新規'!$P:$P, ""), "")</f>
        <v/>
      </c>
      <c r="AB222" s="590"/>
      <c r="AC222" s="8" t="str">
        <f t="array" ref="AC222">IFERROR(XLOOKUP(AB222, '新規'!$E:$E, '新規'!$F:$F, ""), "")</f>
        <v/>
      </c>
      <c r="AD222" s="8"/>
      <c r="AE222" s="8" t="str">
        <f t="array" ref="AE222">IFERROR(XLOOKUP(AB222, '新規'!$E:$E, '新規'!$O:$O, ""), "")</f>
        <v/>
      </c>
      <c r="AF222" s="8" t="str">
        <f t="array" ref="AF222">IFERROR(XLOOKUP(AB222, '新規'!$E:$E, '新規'!$P:$P, ""), "")</f>
        <v/>
      </c>
      <c r="AG222" s="590"/>
      <c r="AH222" s="8" t="str">
        <f t="array" ref="AH222">IFERROR(XLOOKUP(AG222, '新規'!$E:$E, '新規'!$F:$F, ""), "")</f>
        <v/>
      </c>
      <c r="AI222" s="8"/>
      <c r="AJ222" s="8" t="str">
        <f t="array" ref="AJ222">IFERROR(XLOOKUP(AG222, '新規'!$E:$E, '新規'!$O:$O, ""), "")</f>
        <v/>
      </c>
      <c r="AK222" s="8" t="str">
        <f t="array" ref="AK222">IFERROR(XLOOKUP(AG222, '新規'!$E:$E, '新規'!$P:$P, ""), "")</f>
        <v/>
      </c>
    </row>
    <row r="223" ht="17.25" customHeight="1">
      <c r="A223" s="587"/>
      <c r="B223" s="588"/>
      <c r="C223" s="590"/>
      <c r="D223" s="8" t="str">
        <f t="array" ref="D223">IFERROR(XLOOKUP(C223, '新規'!$E:$E, '新規'!$F:$F, ""), "")</f>
        <v/>
      </c>
      <c r="E223" s="8"/>
      <c r="F223" s="8" t="str">
        <f t="array" ref="F223">IFERROR(XLOOKUP(C223, '新規'!$E:$E, '新規'!$O:$O, ""), "")</f>
        <v/>
      </c>
      <c r="G223" s="8" t="str">
        <f t="array" ref="G223">IFERROR(XLOOKUP(C223, '新規'!$E:$E, '新規'!$P:$P, ""), "")</f>
        <v/>
      </c>
      <c r="H223" s="590"/>
      <c r="I223" s="8" t="str">
        <f t="array" ref="I223">IFERROR(XLOOKUP(H223, '新規'!$E:$E, '新規'!$F:$F, ""), "")</f>
        <v/>
      </c>
      <c r="J223" s="8"/>
      <c r="K223" s="8" t="str">
        <f t="array" ref="K223">IFERROR(XLOOKUP(H223, '新規'!$E:$E, '新規'!$O:$O, ""), "")</f>
        <v/>
      </c>
      <c r="L223" s="8" t="str">
        <f t="array" ref="L223">IFERROR(XLOOKUP(H223, '新規'!$E:$E, '新規'!$P:$P, ""), "")</f>
        <v/>
      </c>
      <c r="M223" s="590"/>
      <c r="N223" s="8" t="str">
        <f t="array" ref="N223">IFERROR(XLOOKUP(M223, '新規'!$E:$E, '新規'!$F:$F, ""), "")</f>
        <v/>
      </c>
      <c r="O223" s="8"/>
      <c r="P223" s="8" t="str">
        <f t="array" ref="P223">IFERROR(XLOOKUP(M223, '新規'!$E:$E, '新規'!$O:$O, ""), "")</f>
        <v/>
      </c>
      <c r="Q223" s="8" t="str">
        <f t="array" ref="Q223">IFERROR(XLOOKUP(M223, '新規'!$E:$E, '新規'!$P:$P, ""), "")</f>
        <v/>
      </c>
      <c r="R223" s="590"/>
      <c r="S223" s="8" t="str">
        <f t="array" ref="S223">IFERROR(XLOOKUP(R223, '新規'!$E:$E, '新規'!$F:$F, ""), "")</f>
        <v/>
      </c>
      <c r="T223" s="8"/>
      <c r="U223" s="8" t="str">
        <f t="array" ref="U223">IFERROR(XLOOKUP(R223, '新規'!$E:$E, '新規'!$O:$O, ""), "")</f>
        <v/>
      </c>
      <c r="V223" s="8" t="str">
        <f t="array" ref="V223">IFERROR(XLOOKUP(R223, '新規'!$E:$E, '新規'!$P:$P, ""), "")</f>
        <v/>
      </c>
      <c r="W223" s="590"/>
      <c r="X223" s="8" t="str">
        <f t="array" ref="X223">IFERROR(XLOOKUP(W223, '新規'!$E:$E, '新規'!$F:$F, ""), "")</f>
        <v/>
      </c>
      <c r="Y223" s="8"/>
      <c r="Z223" s="8" t="str">
        <f t="array" ref="Z223">IFERROR(XLOOKUP(W223, '新規'!$E:$E, '新規'!$O:$O, ""), "")</f>
        <v/>
      </c>
      <c r="AA223" s="8" t="str">
        <f t="array" ref="AA223">IFERROR(XLOOKUP(W223, '新規'!$E:$E, '新規'!$P:$P, ""), "")</f>
        <v/>
      </c>
      <c r="AB223" s="590"/>
      <c r="AC223" s="8" t="str">
        <f t="array" ref="AC223">IFERROR(XLOOKUP(AB223, '新規'!$E:$E, '新規'!$F:$F, ""), "")</f>
        <v/>
      </c>
      <c r="AD223" s="8"/>
      <c r="AE223" s="8" t="str">
        <f t="array" ref="AE223">IFERROR(XLOOKUP(AB223, '新規'!$E:$E, '新規'!$O:$O, ""), "")</f>
        <v/>
      </c>
      <c r="AF223" s="8" t="str">
        <f t="array" ref="AF223">IFERROR(XLOOKUP(AB223, '新規'!$E:$E, '新規'!$P:$P, ""), "")</f>
        <v/>
      </c>
      <c r="AG223" s="590"/>
      <c r="AH223" s="8" t="str">
        <f t="array" ref="AH223">IFERROR(XLOOKUP(AG223, '新規'!$E:$E, '新規'!$F:$F, ""), "")</f>
        <v/>
      </c>
      <c r="AI223" s="8"/>
      <c r="AJ223" s="8" t="str">
        <f t="array" ref="AJ223">IFERROR(XLOOKUP(AG223, '新規'!$E:$E, '新規'!$O:$O, ""), "")</f>
        <v/>
      </c>
      <c r="AK223" s="8" t="str">
        <f t="array" ref="AK223">IFERROR(XLOOKUP(AG223, '新規'!$E:$E, '新規'!$P:$P, ""), "")</f>
        <v/>
      </c>
    </row>
    <row r="224" ht="17.25" customHeight="1">
      <c r="A224" s="587"/>
      <c r="B224" s="588"/>
      <c r="C224" s="590"/>
      <c r="D224" s="8" t="str">
        <f t="array" ref="D224">IFERROR(XLOOKUP(C224, '新規'!$E:$E, '新規'!$F:$F, ""), "")</f>
        <v/>
      </c>
      <c r="E224" s="8"/>
      <c r="F224" s="8" t="str">
        <f t="array" ref="F224">IFERROR(XLOOKUP(C224, '新規'!$E:$E, '新規'!$O:$O, ""), "")</f>
        <v/>
      </c>
      <c r="G224" s="8" t="str">
        <f t="array" ref="G224">IFERROR(XLOOKUP(C224, '新規'!$E:$E, '新規'!$P:$P, ""), "")</f>
        <v/>
      </c>
      <c r="H224" s="590"/>
      <c r="I224" s="8" t="str">
        <f t="array" ref="I224">IFERROR(XLOOKUP(H224, '新規'!$E:$E, '新規'!$F:$F, ""), "")</f>
        <v/>
      </c>
      <c r="J224" s="8"/>
      <c r="K224" s="8" t="str">
        <f t="array" ref="K224">IFERROR(XLOOKUP(H224, '新規'!$E:$E, '新規'!$O:$O, ""), "")</f>
        <v/>
      </c>
      <c r="L224" s="8" t="str">
        <f t="array" ref="L224">IFERROR(XLOOKUP(H224, '新規'!$E:$E, '新規'!$P:$P, ""), "")</f>
        <v/>
      </c>
      <c r="M224" s="590"/>
      <c r="N224" s="8" t="str">
        <f t="array" ref="N224">IFERROR(XLOOKUP(M224, '新規'!$E:$E, '新規'!$F:$F, ""), "")</f>
        <v/>
      </c>
      <c r="O224" s="8"/>
      <c r="P224" s="8" t="str">
        <f t="array" ref="P224">IFERROR(XLOOKUP(M224, '新規'!$E:$E, '新規'!$O:$O, ""), "")</f>
        <v/>
      </c>
      <c r="Q224" s="8" t="str">
        <f t="array" ref="Q224">IFERROR(XLOOKUP(M224, '新規'!$E:$E, '新規'!$P:$P, ""), "")</f>
        <v/>
      </c>
      <c r="R224" s="590"/>
      <c r="S224" s="8" t="str">
        <f t="array" ref="S224">IFERROR(XLOOKUP(R224, '新規'!$E:$E, '新規'!$F:$F, ""), "")</f>
        <v/>
      </c>
      <c r="T224" s="8"/>
      <c r="U224" s="8" t="str">
        <f t="array" ref="U224">IFERROR(XLOOKUP(R224, '新規'!$E:$E, '新規'!$O:$O, ""), "")</f>
        <v/>
      </c>
      <c r="V224" s="8" t="str">
        <f t="array" ref="V224">IFERROR(XLOOKUP(R224, '新規'!$E:$E, '新規'!$P:$P, ""), "")</f>
        <v/>
      </c>
      <c r="W224" s="590"/>
      <c r="X224" s="8" t="str">
        <f t="array" ref="X224">IFERROR(XLOOKUP(W224, '新規'!$E:$E, '新規'!$F:$F, ""), "")</f>
        <v/>
      </c>
      <c r="Y224" s="8"/>
      <c r="Z224" s="8" t="str">
        <f t="array" ref="Z224">IFERROR(XLOOKUP(W224, '新規'!$E:$E, '新規'!$O:$O, ""), "")</f>
        <v/>
      </c>
      <c r="AA224" s="8" t="str">
        <f t="array" ref="AA224">IFERROR(XLOOKUP(W224, '新規'!$E:$E, '新規'!$P:$P, ""), "")</f>
        <v/>
      </c>
      <c r="AB224" s="590"/>
      <c r="AC224" s="8" t="str">
        <f t="array" ref="AC224">IFERROR(XLOOKUP(AB224, '新規'!$E:$E, '新規'!$F:$F, ""), "")</f>
        <v/>
      </c>
      <c r="AD224" s="8"/>
      <c r="AE224" s="8" t="str">
        <f t="array" ref="AE224">IFERROR(XLOOKUP(AB224, '新規'!$E:$E, '新規'!$O:$O, ""), "")</f>
        <v/>
      </c>
      <c r="AF224" s="8" t="str">
        <f t="array" ref="AF224">IFERROR(XLOOKUP(AB224, '新規'!$E:$E, '新規'!$P:$P, ""), "")</f>
        <v/>
      </c>
      <c r="AG224" s="590"/>
      <c r="AH224" s="8" t="str">
        <f t="array" ref="AH224">IFERROR(XLOOKUP(AG224, '新規'!$E:$E, '新規'!$F:$F, ""), "")</f>
        <v/>
      </c>
      <c r="AI224" s="8"/>
      <c r="AJ224" s="8" t="str">
        <f t="array" ref="AJ224">IFERROR(XLOOKUP(AG224, '新規'!$E:$E, '新規'!$O:$O, ""), "")</f>
        <v/>
      </c>
      <c r="AK224" s="8" t="str">
        <f t="array" ref="AK224">IFERROR(XLOOKUP(AG224, '新規'!$E:$E, '新規'!$P:$P, ""), "")</f>
        <v/>
      </c>
    </row>
    <row r="225" ht="17.25" customHeight="1">
      <c r="A225" s="587"/>
      <c r="B225" s="592"/>
      <c r="C225" s="590"/>
      <c r="D225" s="593" t="str">
        <f>IFERROR(__xludf.DUMMYFUNCTION("IF(C225="""","""",IFERROR(INDEX(FILTER('特殊配信マスタ'!$F$3:$F$16,('特殊配信マスタ'!$A$3:$A$16=CHOOSE(WEEKDAY(C$1),""日"",""月"",""火"",""水"",""木"",""金"",""土""))*('特殊配信マスタ'!$B$3:$B$16=A$3)*('特殊配信マスタ'!$R$3:$R$16=MOD(INT((C$1-'特殊配信マスタ'!$A$1)/7),3)+1)),1),""""))"),"")</f>
        <v/>
      </c>
      <c r="E225" s="590"/>
      <c r="F225" s="593" t="str">
        <f>IFERROR(__xludf.DUMMYFUNCTION("IF(C225="""","""",IFERROR(INDEX(FILTER('特殊配信マスタ'!$O$3:$O$16,('特殊配信マスタ'!$A$3:$A$16=CHOOSE(WEEKDAY(C$1),""日"",""月"",""火"",""水"",""木"",""金"",""土""))*('特殊配信マスタ'!$B$3:$B$16=A$3)*('特殊配信マスタ'!$R$3:$R$16=MOD(INT((C$1-'特殊配信マスタ'!$A$1)/7),3)+1)),1),""""))"),"")</f>
        <v/>
      </c>
      <c r="G225" s="593" t="str">
        <f>IFERROR(__xludf.DUMMYFUNCTION("IF(C225="""","""",IFERROR(INDEX(FILTER('特殊配信マスタ'!$P$3:$P$16,('特殊配信マスタ'!$A$3:$A$16=CHOOSE(WEEKDAY(C$1),""日"",""月"",""火"",""水"",""木"",""金"",""土""))*('特殊配信マスタ'!$B$3:$B$16=A$3)*('特殊配信マスタ'!$R$3:$R$16=MOD(INT((C$1-'特殊配信マスタ'!$A$1)/7),3)+1)),1),""""))"),"")</f>
        <v/>
      </c>
      <c r="H225" s="590"/>
      <c r="I225" s="593" t="str">
        <f>IFERROR(__xludf.DUMMYFUNCTION("IF(H225="""","""",IFERROR(INDEX(FILTER('特殊配信マスタ'!$F$3:$F$16,('特殊配信マスタ'!$A$3:$A$16=CHOOSE(WEEKDAY(H$1),""日"",""月"",""火"",""水"",""木"",""金"",""土""))*('特殊配信マスタ'!$B$3:$B$16=F$3)*('特殊配信マスタ'!$R$3:$R$16=MOD(INT((H$1-'特殊配信マスタ'!$A$1)/7),3)+1)),1),""""))"),"")</f>
        <v/>
      </c>
      <c r="J225" s="590"/>
      <c r="K225" s="593" t="str">
        <f>IFERROR(__xludf.DUMMYFUNCTION("IF(H225="""","""",IFERROR(INDEX(FILTER('特殊配信マスタ'!$O$3:$O$16,('特殊配信マスタ'!$A$3:$A$16=CHOOSE(WEEKDAY(H$1),""日"",""月"",""火"",""水"",""木"",""金"",""土""))*('特殊配信マスタ'!$B$3:$B$16=F$3)*('特殊配信マスタ'!$R$3:$R$16=MOD(INT((H$1-'特殊配信マスタ'!$A$1)/7),3)+1)),1),""""))"),"")</f>
        <v/>
      </c>
      <c r="L225" s="593" t="str">
        <f>IFERROR(__xludf.DUMMYFUNCTION("IF(H225="""","""",IFERROR(INDEX(FILTER('特殊配信マスタ'!$P$3:$P$16,('特殊配信マスタ'!$A$3:$A$16=CHOOSE(WEEKDAY(H$1),""日"",""月"",""火"",""水"",""木"",""金"",""土""))*('特殊配信マスタ'!$B$3:$B$16=F$3)*('特殊配信マスタ'!$R$3:$R$16=MOD(INT((H$1-'特殊配信マスタ'!$A$1)/7),3)+1)),1),""""))"),"")</f>
        <v/>
      </c>
      <c r="M225" s="590"/>
      <c r="N225" s="593" t="str">
        <f>IFERROR(__xludf.DUMMYFUNCTION("IF(M225="""","""",IFERROR(INDEX(FILTER('特殊配信マスタ'!$F$3:$F$16,('特殊配信マスタ'!$A$3:$A$16=CHOOSE(WEEKDAY(M$1),""日"",""月"",""火"",""水"",""木"",""金"",""土""))*('特殊配信マスタ'!$B$3:$B$16=K$3)*('特殊配信マスタ'!$R$3:$R$16=MOD(INT((M$1-'特殊配信マスタ'!$A$1)/7),3)+1)),1),""""))"),"")</f>
        <v/>
      </c>
      <c r="O225" s="590"/>
      <c r="P225" s="593" t="str">
        <f>IFERROR(__xludf.DUMMYFUNCTION("IF(M225="""","""",IFERROR(INDEX(FILTER('特殊配信マスタ'!$O$3:$O$16,('特殊配信マスタ'!$A$3:$A$16=CHOOSE(WEEKDAY(M$1),""日"",""月"",""火"",""水"",""木"",""金"",""土""))*('特殊配信マスタ'!$B$3:$B$16=K$3)*('特殊配信マスタ'!$R$3:$R$16=MOD(INT((M$1-'特殊配信マスタ'!$A$1)/7),3)+1)),1),""""))"),"")</f>
        <v/>
      </c>
      <c r="Q225" s="593" t="str">
        <f>IFERROR(__xludf.DUMMYFUNCTION("IF(M225="""","""",IFERROR(INDEX(FILTER('特殊配信マスタ'!$P$3:$P$16,('特殊配信マスタ'!$A$3:$A$16=CHOOSE(WEEKDAY(M$1),""日"",""月"",""火"",""水"",""木"",""金"",""土""))*('特殊配信マスタ'!$B$3:$B$16=K$3)*('特殊配信マスタ'!$R$3:$R$16=MOD(INT((M$1-'特殊配信マスタ'!$A$1)/7),3)+1)),1),""""))"),"")</f>
        <v/>
      </c>
      <c r="R225" s="590"/>
      <c r="S225" s="593" t="str">
        <f>IFERROR(__xludf.DUMMYFUNCTION("IF(R225="""","""",IFERROR(INDEX(FILTER('特殊配信マスタ'!$F$3:$F$16,('特殊配信マスタ'!$A$3:$A$16=CHOOSE(WEEKDAY(R$1),""日"",""月"",""火"",""水"",""木"",""金"",""土""))*('特殊配信マスタ'!$B$3:$B$16=P$3)*('特殊配信マスタ'!$R$3:$R$16=MOD(INT((R$1-'特殊配信マスタ'!$A$1)/7),3)+1)),1),""""))"),"")</f>
        <v/>
      </c>
      <c r="T225" s="590"/>
      <c r="U225" s="593" t="str">
        <f>IFERROR(__xludf.DUMMYFUNCTION("IF(R225="""","""",IFERROR(INDEX(FILTER('特殊配信マスタ'!$O$3:$O$16,('特殊配信マスタ'!$A$3:$A$16=CHOOSE(WEEKDAY(R$1),""日"",""月"",""火"",""水"",""木"",""金"",""土""))*('特殊配信マスタ'!$B$3:$B$16=P$3)*('特殊配信マスタ'!$R$3:$R$16=MOD(INT((R$1-'特殊配信マスタ'!$A$1)/7),3)+1)),1),""""))"),"")</f>
        <v/>
      </c>
      <c r="V225" s="593" t="str">
        <f>IFERROR(__xludf.DUMMYFUNCTION("IF(R225="""","""",IFERROR(INDEX(FILTER('特殊配信マスタ'!$P$3:$P$16,('特殊配信マスタ'!$A$3:$A$16=CHOOSE(WEEKDAY(R$1),""日"",""月"",""火"",""水"",""木"",""金"",""土""))*('特殊配信マスタ'!$B$3:$B$16=P$3)*('特殊配信マスタ'!$R$3:$R$16=MOD(INT((R$1-'特殊配信マスタ'!$A$1)/7),3)+1)),1),""""))"),"")</f>
        <v/>
      </c>
      <c r="W225" s="590"/>
      <c r="X225" s="593" t="str">
        <f>IFERROR(__xludf.DUMMYFUNCTION("IF(W225="""","""",IFERROR(INDEX(FILTER('特殊配信マスタ'!$F$3:$F$16,('特殊配信マスタ'!$A$3:$A$16=CHOOSE(WEEKDAY(W$1),""日"",""月"",""火"",""水"",""木"",""金"",""土""))*('特殊配信マスタ'!$B$3:$B$16=U$3)*('特殊配信マスタ'!$R$3:$R$16=MOD(INT((W$1-'特殊配信マスタ'!$A$1)/7),3)+1)),1),""""))"),"")</f>
        <v/>
      </c>
      <c r="Y225" s="590"/>
      <c r="Z225" s="593" t="str">
        <f>IFERROR(__xludf.DUMMYFUNCTION("IF(W225="""","""",IFERROR(INDEX(FILTER('特殊配信マスタ'!$O$3:$O$16,('特殊配信マスタ'!$A$3:$A$16=CHOOSE(WEEKDAY(W$1),""日"",""月"",""火"",""水"",""木"",""金"",""土""))*('特殊配信マスタ'!$B$3:$B$16=U$3)*('特殊配信マスタ'!$R$3:$R$16=MOD(INT((W$1-'特殊配信マスタ'!$A$1)/7),3)+1)),1),""""))"),"")</f>
        <v/>
      </c>
      <c r="AA225" s="593" t="str">
        <f>IFERROR(__xludf.DUMMYFUNCTION("IF(W225="""","""",IFERROR(INDEX(FILTER('特殊配信マスタ'!$P$3:$P$16,('特殊配信マスタ'!$A$3:$A$16=CHOOSE(WEEKDAY(W$1),""日"",""月"",""火"",""水"",""木"",""金"",""土""))*('特殊配信マスタ'!$B$3:$B$16=U$3)*('特殊配信マスタ'!$R$3:$R$16=MOD(INT((W$1-'特殊配信マスタ'!$A$1)/7),3)+1)),1),""""))"),"")</f>
        <v/>
      </c>
      <c r="AB225" s="590"/>
      <c r="AC225" s="593" t="str">
        <f>IFERROR(__xludf.DUMMYFUNCTION("IF(AB225="""","""",IFERROR(INDEX(FILTER('特殊配信マスタ'!$F$3:$F$16,('特殊配信マスタ'!$A$3:$A$16=CHOOSE(WEEKDAY(AB$1),""日"",""月"",""火"",""水"",""木"",""金"",""土""))*('特殊配信マスタ'!$B$3:$B$16=Z$3)*('特殊配信マスタ'!$R$3:$R$16=MOD(INT((AB$1-'特殊配信マスタ'!$A$1)/7),3)+1)),1),""""))"),"")</f>
        <v/>
      </c>
      <c r="AD225" s="590"/>
      <c r="AE225" s="593" t="str">
        <f>IFERROR(__xludf.DUMMYFUNCTION("IF(AB225="""","""",IFERROR(INDEX(FILTER('特殊配信マスタ'!$O$3:$O$16,('特殊配信マスタ'!$A$3:$A$16=CHOOSE(WEEKDAY(AB$1),""日"",""月"",""火"",""水"",""木"",""金"",""土""))*('特殊配信マスタ'!$B$3:$B$16=Z$3)*('特殊配信マスタ'!$R$3:$R$16=MOD(INT((AB$1-'特殊配信マスタ'!$A$1)/7),3)+1)),1),""""))"),"")</f>
        <v/>
      </c>
      <c r="AF225" s="593" t="str">
        <f>IFERROR(__xludf.DUMMYFUNCTION("IF(AB225="""","""",IFERROR(INDEX(FILTER('特殊配信マスタ'!$P$3:$P$16,('特殊配信マスタ'!$A$3:$A$16=CHOOSE(WEEKDAY(AB$1),""日"",""月"",""火"",""水"",""木"",""金"",""土""))*('特殊配信マスタ'!$B$3:$B$16=Z$3)*('特殊配信マスタ'!$R$3:$R$16=MOD(INT((AB$1-'特殊配信マスタ'!$A$1)/7),3)+1)),1),""""))"),"")</f>
        <v/>
      </c>
      <c r="AG225" s="590"/>
      <c r="AH225" s="593" t="str">
        <f>IFERROR(__xludf.DUMMYFUNCTION("IF(AG225="""","""",IFERROR(INDEX(FILTER('特殊配信マスタ'!$F$3:$F$16,('特殊配信マスタ'!$A$3:$A$16=CHOOSE(WEEKDAY(AG$1),""日"",""月"",""火"",""水"",""木"",""金"",""土""))*('特殊配信マスタ'!$B$3:$B$16=AE$3)*('特殊配信マスタ'!$R$3:$R$16=MOD(INT((AG$1-'特殊配信マスタ'!$A$1)/7),3)+1)),1),""""))"),"")</f>
        <v/>
      </c>
      <c r="AI225" s="590"/>
      <c r="AJ225" s="593" t="str">
        <f>IFERROR(__xludf.DUMMYFUNCTION("IF(AG225="""","""",IFERROR(INDEX(FILTER('特殊配信マスタ'!$O$3:$O$16,('特殊配信マスタ'!$A$3:$A$16=CHOOSE(WEEKDAY(AG$1),""日"",""月"",""火"",""水"",""木"",""金"",""土""))*('特殊配信マスタ'!$B$3:$B$16=AE$3)*('特殊配信マスタ'!$R$3:$R$16=MOD(INT((AG$1-'特殊配信マスタ'!$A$1)/7),3)+1)),1),""""))"),"")</f>
        <v/>
      </c>
      <c r="AK225" s="593" t="str">
        <f>IFERROR(__xludf.DUMMYFUNCTION("IF(AG225="""","""",IFERROR(INDEX(FILTER('特殊配信マスタ'!$P$3:$P$16,('特殊配信マスタ'!$A$3:$A$16=CHOOSE(WEEKDAY(AG$1),""日"",""月"",""火"",""水"",""木"",""金"",""土""))*('特殊配信マスタ'!$B$3:$B$16=AE$3)*('特殊配信マスタ'!$R$3:$R$16=MOD(INT((AG$1-'特殊配信マスタ'!$A$1)/7),3)+1)),1),""""))"),"")</f>
        <v/>
      </c>
    </row>
    <row r="226" ht="17.25" customHeight="1">
      <c r="A226" s="587"/>
      <c r="B226" s="585" t="s">
        <v>1451</v>
      </c>
      <c r="C226" s="590" t="str">
        <f>IFERROR(__xludf.DUMMYFUNCTION("IFERROR(
    FILTER(
      '特殊配信マスタ'!$E$3:$E$16,
      ('特殊配信マスタ'!$A$3:$A$16=CHOOSE(WEEKDAY(C$1),""日"",""月"",""火"",""水"",""木"",""金"",""土""))*
      (VALUE('特殊配信マスタ'!$B$3:$B$16)=VALUE(LOOKUP(2,1/(IFERROR($A$1:INDEX($A:$A,ROW()),"""")&lt;&gt;""""),IFERROR($A$1:IN"&amp;"DEX($A:$A,ROW()),""""))))*
      (VALUE('特殊配信マスタ'!$R$3:$R$16)=MOD(INT((C$1-'特殊配信マスタ'!$A$1)/7),3)+1)*
      ('特殊配信マスタ'!$Q$3:$Q$16=FALSE)
    ),
    """"
  )"),"")</f>
        <v/>
      </c>
      <c r="D226" s="593" t="str">
        <f>IFERROR(__xludf.DUMMYFUNCTION("IF(C226="""","""",IFERROR(INDEX(FILTER('特殊配信マスタ'!$F$3:$F$16,('特殊配信マスタ'!$A$3:$A$16=CHOOSE(WEEKDAY(C$1),""日"",""月"",""火"",""水"",""木"",""金"",""土""))*('特殊配信マスタ'!$B$3:$B$16=A$3)*('特殊配信マスタ'!$R$3:$R$16=MOD(INT((C$1-'特殊配信マスタ'!$A$1)/7),3)+1)),1),""""))"),"")</f>
        <v/>
      </c>
      <c r="E226" s="590"/>
      <c r="F226" s="593" t="str">
        <f>IFERROR(__xludf.DUMMYFUNCTION("IF(C226="""","""",IFERROR(INDEX(FILTER('特殊配信マスタ'!$O$3:$O$16,('特殊配信マスタ'!$A$3:$A$16=CHOOSE(WEEKDAY(C$1),""日"",""月"",""火"",""水"",""木"",""金"",""土""))*('特殊配信マスタ'!$B$3:$B$16=A$3)*('特殊配信マスタ'!$R$3:$R$16=MOD(INT((C$1-'特殊配信マスタ'!$A$1)/7),3)+1)),1),""""))"),"")</f>
        <v/>
      </c>
      <c r="G226" s="593" t="str">
        <f>IFERROR(__xludf.DUMMYFUNCTION("IF(C226="""","""",IFERROR(INDEX(FILTER('特殊配信マスタ'!$P$3:$P$16,('特殊配信マスタ'!$A$3:$A$16=CHOOSE(WEEKDAY(C$1),""日"",""月"",""火"",""水"",""木"",""金"",""土""))*('特殊配信マスタ'!$B$3:$B$16=A$3)*('特殊配信マスタ'!$R$3:$R$16=MOD(INT((C$1-'特殊配信マスタ'!$A$1)/7),3)+1)),1),""""))"),"")</f>
        <v/>
      </c>
      <c r="H226" s="590" t="str">
        <f>IFERROR(__xludf.DUMMYFUNCTION("IFERROR(
    FILTER(
      '特殊配信マスタ'!$E$3:$E$16,
      ('特殊配信マスタ'!$A$3:$A$16=CHOOSE(WEEKDAY(H$1),""日"",""月"",""火"",""水"",""木"",""金"",""土""))*
      (VALUE('特殊配信マスタ'!$B$3:$B$16)=VALUE(LOOKUP(2,1/(IFERROR($A$1:INDEX($A:$A,ROW()),"""")&lt;&gt;""""),IFERROR($A$1:IN"&amp;"DEX($A:$A,ROW()),""""))))*
      (VALUE('特殊配信マスタ'!$R$3:$R$16)=MOD(INT((H$1-'特殊配信マスタ'!$A$1)/7),3)+1)*
      ('特殊配信マスタ'!$Q$3:$Q$16=FALSE)
    ),
    """"
  )"),"")</f>
        <v/>
      </c>
      <c r="I226" s="593" t="str">
        <f>IFERROR(__xludf.DUMMYFUNCTION("IF(H226="""","""",IFERROR(INDEX(FILTER('特殊配信マスタ'!$F$3:$F$16,('特殊配信マスタ'!$A$3:$A$16=CHOOSE(WEEKDAY(H$1),""日"",""月"",""火"",""水"",""木"",""金"",""土""))*('特殊配信マスタ'!$B$3:$B$16=F$3)*('特殊配信マスタ'!$R$3:$R$16=MOD(INT((H$1-'特殊配信マスタ'!$A$1)/7),3)+1)),1),""""))"),"")</f>
        <v/>
      </c>
      <c r="J226" s="590"/>
      <c r="K226" s="593" t="str">
        <f>IFERROR(__xludf.DUMMYFUNCTION("IF(H226="""","""",IFERROR(INDEX(FILTER('特殊配信マスタ'!$O$3:$O$16,('特殊配信マスタ'!$A$3:$A$16=CHOOSE(WEEKDAY(H$1),""日"",""月"",""火"",""水"",""木"",""金"",""土""))*('特殊配信マスタ'!$B$3:$B$16=F$3)*('特殊配信マスタ'!$R$3:$R$16=MOD(INT((H$1-'特殊配信マスタ'!$A$1)/7),3)+1)),1),""""))"),"")</f>
        <v/>
      </c>
      <c r="L226" s="593" t="str">
        <f>IFERROR(__xludf.DUMMYFUNCTION("IF(H226="""","""",IFERROR(INDEX(FILTER('特殊配信マスタ'!$P$3:$P$16,('特殊配信マスタ'!$A$3:$A$16=CHOOSE(WEEKDAY(H$1),""日"",""月"",""火"",""水"",""木"",""金"",""土""))*('特殊配信マスタ'!$B$3:$B$16=F$3)*('特殊配信マスタ'!$R$3:$R$16=MOD(INT((H$1-'特殊配信マスタ'!$A$1)/7),3)+1)),1),""""))"),"")</f>
        <v/>
      </c>
      <c r="M226" s="590" t="str">
        <f>IFERROR(__xludf.DUMMYFUNCTION("IFERROR(
    FILTER(
      '特殊配信マスタ'!$E$3:$E$16,
      ('特殊配信マスタ'!$A$3:$A$16=CHOOSE(WEEKDAY(M$1),""日"",""月"",""火"",""水"",""木"",""金"",""土""))*
      (VALUE('特殊配信マスタ'!$B$3:$B$16)=VALUE(LOOKUP(2,1/(IFERROR($A$1:INDEX($A:$A,ROW()),"""")&lt;&gt;""""),IFERROR($A$1:IN"&amp;"DEX($A:$A,ROW()),""""))))*
      (VALUE('特殊配信マスタ'!$R$3:$R$16)=MOD(INT((M$1-'特殊配信マスタ'!$A$1)/7),3)+1)*
      ('特殊配信マスタ'!$Q$3:$Q$16=FALSE)
    ),
    """"
  )"),"")</f>
        <v/>
      </c>
      <c r="N226" s="593" t="str">
        <f>IFERROR(__xludf.DUMMYFUNCTION("IF(M226="""","""",IFERROR(INDEX(FILTER('特殊配信マスタ'!$F$3:$F$16,('特殊配信マスタ'!$A$3:$A$16=CHOOSE(WEEKDAY(M$1),""日"",""月"",""火"",""水"",""木"",""金"",""土""))*('特殊配信マスタ'!$B$3:$B$16=K$3)*('特殊配信マスタ'!$R$3:$R$16=MOD(INT((M$1-'特殊配信マスタ'!$A$1)/7),3)+1)),1),""""))"),"")</f>
        <v/>
      </c>
      <c r="O226" s="590"/>
      <c r="P226" s="593" t="str">
        <f>IFERROR(__xludf.DUMMYFUNCTION("IF(M226="""","""",IFERROR(INDEX(FILTER('特殊配信マスタ'!$O$3:$O$16,('特殊配信マスタ'!$A$3:$A$16=CHOOSE(WEEKDAY(M$1),""日"",""月"",""火"",""水"",""木"",""金"",""土""))*('特殊配信マスタ'!$B$3:$B$16=K$3)*('特殊配信マスタ'!$R$3:$R$16=MOD(INT((M$1-'特殊配信マスタ'!$A$1)/7),3)+1)),1),""""))"),"")</f>
        <v/>
      </c>
      <c r="Q226" s="593" t="str">
        <f>IFERROR(__xludf.DUMMYFUNCTION("IF(M226="""","""",IFERROR(INDEX(FILTER('特殊配信マスタ'!$P$3:$P$16,('特殊配信マスタ'!$A$3:$A$16=CHOOSE(WEEKDAY(M$1),""日"",""月"",""火"",""水"",""木"",""金"",""土""))*('特殊配信マスタ'!$B$3:$B$16=K$3)*('特殊配信マスタ'!$R$3:$R$16=MOD(INT((M$1-'特殊配信マスタ'!$A$1)/7),3)+1)),1),""""))"),"")</f>
        <v/>
      </c>
      <c r="R226" s="590" t="str">
        <f>IFERROR(__xludf.DUMMYFUNCTION("IFERROR(
    FILTER(
      '特殊配信マスタ'!$E$3:$E$16,
      ('特殊配信マスタ'!$A$3:$A$16=CHOOSE(WEEKDAY(R$1),""日"",""月"",""火"",""水"",""木"",""金"",""土""))*
      (VALUE('特殊配信マスタ'!$B$3:$B$16)=VALUE(LOOKUP(2,1/(IFERROR($A$1:INDEX($A:$A,ROW()),"""")&lt;&gt;""""),IFERROR($A$1:IN"&amp;"DEX($A:$A,ROW()),""""))))*
      (VALUE('特殊配信マスタ'!$R$3:$R$16)=MOD(INT((R$1-'特殊配信マスタ'!$A$1)/7),3)+1)*
      ('特殊配信マスタ'!$Q$3:$Q$16=FALSE)
    ),
    """"
  )"),"")</f>
        <v/>
      </c>
      <c r="S226" s="593" t="str">
        <f>IFERROR(__xludf.DUMMYFUNCTION("IF(R226="""","""",IFERROR(INDEX(FILTER('特殊配信マスタ'!$F$3:$F$16,('特殊配信マスタ'!$A$3:$A$16=CHOOSE(WEEKDAY(R$1),""日"",""月"",""火"",""水"",""木"",""金"",""土""))*('特殊配信マスタ'!$B$3:$B$16=P$3)*('特殊配信マスタ'!$R$3:$R$16=MOD(INT((R$1-'特殊配信マスタ'!$A$1)/7),3)+1)),1),""""))"),"")</f>
        <v/>
      </c>
      <c r="T226" s="590"/>
      <c r="U226" s="593" t="str">
        <f>IFERROR(__xludf.DUMMYFUNCTION("IF(R226="""","""",IFERROR(INDEX(FILTER('特殊配信マスタ'!$O$3:$O$16,('特殊配信マスタ'!$A$3:$A$16=CHOOSE(WEEKDAY(R$1),""日"",""月"",""火"",""水"",""木"",""金"",""土""))*('特殊配信マスタ'!$B$3:$B$16=P$3)*('特殊配信マスタ'!$R$3:$R$16=MOD(INT((R$1-'特殊配信マスタ'!$A$1)/7),3)+1)),1),""""))"),"")</f>
        <v/>
      </c>
      <c r="V226" s="593" t="str">
        <f>IFERROR(__xludf.DUMMYFUNCTION("IF(R226="""","""",IFERROR(INDEX(FILTER('特殊配信マスタ'!$P$3:$P$16,('特殊配信マスタ'!$A$3:$A$16=CHOOSE(WEEKDAY(R$1),""日"",""月"",""火"",""水"",""木"",""金"",""土""))*('特殊配信マスタ'!$B$3:$B$16=P$3)*('特殊配信マスタ'!$R$3:$R$16=MOD(INT((R$1-'特殊配信マスタ'!$A$1)/7),3)+1)),1),""""))"),"")</f>
        <v/>
      </c>
      <c r="W226" s="590" t="str">
        <f>IFERROR(__xludf.DUMMYFUNCTION("IFERROR(
    FILTER(
      '特殊配信マスタ'!$E$3:$E$16,
      ('特殊配信マスタ'!$A$3:$A$16=CHOOSE(WEEKDAY(W$1),""日"",""月"",""火"",""水"",""木"",""金"",""土""))*
      (VALUE('特殊配信マスタ'!$B$3:$B$16)=VALUE(LOOKUP(2,1/(IFERROR($A$1:INDEX($A:$A,ROW()),"""")&lt;&gt;""""),IFERROR($A$1:IN"&amp;"DEX($A:$A,ROW()),""""))))*
      (VALUE('特殊配信マスタ'!$R$3:$R$16)=MOD(INT((W$1-'特殊配信マスタ'!$A$1)/7),3)+1)*
      ('特殊配信マスタ'!$Q$3:$Q$16=FALSE)
    ),
    """"
  )"),"")</f>
        <v/>
      </c>
      <c r="X226" s="593" t="str">
        <f>IFERROR(__xludf.DUMMYFUNCTION("IF(W226="""","""",IFERROR(INDEX(FILTER('特殊配信マスタ'!$F$3:$F$16,('特殊配信マスタ'!$A$3:$A$16=CHOOSE(WEEKDAY(W$1),""日"",""月"",""火"",""水"",""木"",""金"",""土""))*('特殊配信マスタ'!$B$3:$B$16=U$3)*('特殊配信マスタ'!$R$3:$R$16=MOD(INT((W$1-'特殊配信マスタ'!$A$1)/7),3)+1)),1),""""))"),"")</f>
        <v/>
      </c>
      <c r="Y226" s="590"/>
      <c r="Z226" s="593" t="str">
        <f>IFERROR(__xludf.DUMMYFUNCTION("IF(W226="""","""",IFERROR(INDEX(FILTER('特殊配信マスタ'!$O$3:$O$16,('特殊配信マスタ'!$A$3:$A$16=CHOOSE(WEEKDAY(W$1),""日"",""月"",""火"",""水"",""木"",""金"",""土""))*('特殊配信マスタ'!$B$3:$B$16=U$3)*('特殊配信マスタ'!$R$3:$R$16=MOD(INT((W$1-'特殊配信マスタ'!$A$1)/7),3)+1)),1),""""))"),"")</f>
        <v/>
      </c>
      <c r="AA226" s="593" t="str">
        <f>IFERROR(__xludf.DUMMYFUNCTION("IF(W226="""","""",IFERROR(INDEX(FILTER('特殊配信マスタ'!$P$3:$P$16,('特殊配信マスタ'!$A$3:$A$16=CHOOSE(WEEKDAY(W$1),""日"",""月"",""火"",""水"",""木"",""金"",""土""))*('特殊配信マスタ'!$B$3:$B$16=U$3)*('特殊配信マスタ'!$R$3:$R$16=MOD(INT((W$1-'特殊配信マスタ'!$A$1)/7),3)+1)),1),""""))"),"")</f>
        <v/>
      </c>
      <c r="AB226" s="590" t="str">
        <f>IFERROR(__xludf.DUMMYFUNCTION("IFERROR(
    FILTER(
      '特殊配信マスタ'!$E$3:$E$16,
      ('特殊配信マスタ'!$A$3:$A$16=CHOOSE(WEEKDAY(AB$1),""日"",""月"",""火"",""水"",""木"",""金"",""土""))*
      (VALUE('特殊配信マスタ'!$B$3:$B$16)=VALUE(LOOKUP(2,1/(IFERROR($A$1:INDEX($A:$A,ROW()),"""")&lt;&gt;""""),IFERROR($A$1:I"&amp;"NDEX($A:$A,ROW()),""""))))*
      (VALUE('特殊配信マスタ'!$R$3:$R$16)=MOD(INT((AB$1-'特殊配信マスタ'!$A$1)/7),3)+1)*
      ('特殊配信マスタ'!$Q$3:$Q$16=FALSE)
    ),
    """"
  )"),"")</f>
        <v/>
      </c>
      <c r="AC226" s="593" t="str">
        <f>IFERROR(__xludf.DUMMYFUNCTION("IF(AB226="""","""",IFERROR(INDEX(FILTER('特殊配信マスタ'!$F$3:$F$16,('特殊配信マスタ'!$A$3:$A$16=CHOOSE(WEEKDAY(AB$1),""日"",""月"",""火"",""水"",""木"",""金"",""土""))*('特殊配信マスタ'!$B$3:$B$16=Z$3)*('特殊配信マスタ'!$R$3:$R$16=MOD(INT((AB$1-'特殊配信マスタ'!$A$1)/7),3)+1)),1),""""))"),"")</f>
        <v/>
      </c>
      <c r="AD226" s="590"/>
      <c r="AE226" s="593" t="str">
        <f>IFERROR(__xludf.DUMMYFUNCTION("IF(AB226="""","""",IFERROR(INDEX(FILTER('特殊配信マスタ'!$O$3:$O$16,('特殊配信マスタ'!$A$3:$A$16=CHOOSE(WEEKDAY(AB$1),""日"",""月"",""火"",""水"",""木"",""金"",""土""))*('特殊配信マスタ'!$B$3:$B$16=Z$3)*('特殊配信マスタ'!$R$3:$R$16=MOD(INT((AB$1-'特殊配信マスタ'!$A$1)/7),3)+1)),1),""""))"),"")</f>
        <v/>
      </c>
      <c r="AF226" s="593" t="str">
        <f>IFERROR(__xludf.DUMMYFUNCTION("IF(AB226="""","""",IFERROR(INDEX(FILTER('特殊配信マスタ'!$P$3:$P$16,('特殊配信マスタ'!$A$3:$A$16=CHOOSE(WEEKDAY(AB$1),""日"",""月"",""火"",""水"",""木"",""金"",""土""))*('特殊配信マスタ'!$B$3:$B$16=Z$3)*('特殊配信マスタ'!$R$3:$R$16=MOD(INT((AB$1-'特殊配信マスタ'!$A$1)/7),3)+1)),1),""""))"),"")</f>
        <v/>
      </c>
      <c r="AG226" s="590" t="str">
        <f>IFERROR(__xludf.DUMMYFUNCTION("IFERROR(
    FILTER(
      '特殊配信マスタ'!$E$3:$E$16,
      ('特殊配信マスタ'!$A$3:$A$16=CHOOSE(WEEKDAY(AG$1),""日"",""月"",""火"",""水"",""木"",""金"",""土""))*
      (VALUE('特殊配信マスタ'!$B$3:$B$16)=VALUE(LOOKUP(2,1/(IFERROR($A$1:INDEX($A:$A,ROW()),"""")&lt;&gt;""""),IFERROR($A$1:I"&amp;"NDEX($A:$A,ROW()),""""))))*
      (VALUE('特殊配信マスタ'!$R$3:$R$16)=MOD(INT((AG$1-'特殊配信マスタ'!$A$1)/7),3)+1)*
      ('特殊配信マスタ'!$Q$3:$Q$16=FALSE)
    ),
    """"
  )"),"")</f>
        <v/>
      </c>
      <c r="AH226" s="593" t="str">
        <f>IFERROR(__xludf.DUMMYFUNCTION("IF(AG226="""","""",IFERROR(INDEX(FILTER('特殊配信マスタ'!$F$3:$F$16,('特殊配信マスタ'!$A$3:$A$16=CHOOSE(WEEKDAY(AG$1),""日"",""月"",""火"",""水"",""木"",""金"",""土""))*('特殊配信マスタ'!$B$3:$B$16=AE$3)*('特殊配信マスタ'!$R$3:$R$16=MOD(INT((AG$1-'特殊配信マスタ'!$A$1)/7),3)+1)),1),""""))"),"")</f>
        <v/>
      </c>
      <c r="AI226" s="590"/>
      <c r="AJ226" s="593" t="str">
        <f>IFERROR(__xludf.DUMMYFUNCTION("IF(AG226="""","""",IFERROR(INDEX(FILTER('特殊配信マスタ'!$O$3:$O$16,('特殊配信マスタ'!$A$3:$A$16=CHOOSE(WEEKDAY(AG$1),""日"",""月"",""火"",""水"",""木"",""金"",""土""))*('特殊配信マスタ'!$B$3:$B$16=AE$3)*('特殊配信マスタ'!$R$3:$R$16=MOD(INT((AG$1-'特殊配信マスタ'!$A$1)/7),3)+1)),1),""""))"),"")</f>
        <v/>
      </c>
      <c r="AK226" s="593" t="str">
        <f>IFERROR(__xludf.DUMMYFUNCTION("IF(AG226="""","""",IFERROR(INDEX(FILTER('特殊配信マスタ'!$P$3:$P$16,('特殊配信マスタ'!$A$3:$A$16=CHOOSE(WEEKDAY(AG$1),""日"",""月"",""火"",""水"",""木"",""金"",""土""))*('特殊配信マスタ'!$B$3:$B$16=AE$3)*('特殊配信マスタ'!$R$3:$R$16=MOD(INT((AG$1-'特殊配信マスタ'!$A$1)/7),3)+1)),1),""""))"),"")</f>
        <v/>
      </c>
    </row>
    <row r="227" ht="17.25" customHeight="1">
      <c r="A227" s="587"/>
      <c r="B227" s="588"/>
      <c r="C227" s="590"/>
      <c r="D227" s="593" t="str">
        <f>IFERROR(__xludf.DUMMYFUNCTION("IF(C227="""","""",IFERROR(INDEX(FILTER('特殊配信マスタ'!$F$3:$F$16,('特殊配信マスタ'!$A$3:$A$16=CHOOSE(WEEKDAY(C$1),""日"",""月"",""火"",""水"",""木"",""金"",""土""))*('特殊配信マスタ'!$B$3:$B$16=A$3)*('特殊配信マスタ'!$R$3:$R$16=MOD(INT((C$1-'特殊配信マスタ'!$A$1)/7),3)+1)),1),""""))"),"")</f>
        <v/>
      </c>
      <c r="E227" s="590"/>
      <c r="F227" s="593" t="str">
        <f>IFERROR(__xludf.DUMMYFUNCTION("IF(C227="""","""",IFERROR(INDEX(FILTER('特殊配信マスタ'!$O$3:$O$16,('特殊配信マスタ'!$A$3:$A$16=CHOOSE(WEEKDAY(C$1),""日"",""月"",""火"",""水"",""木"",""金"",""土""))*('特殊配信マスタ'!$B$3:$B$16=A$3)*('特殊配信マスタ'!$R$3:$R$16=MOD(INT((C$1-'特殊配信マスタ'!$A$1)/7),3)+1)),1),""""))"),"")</f>
        <v/>
      </c>
      <c r="G227" s="593" t="str">
        <f>IFERROR(__xludf.DUMMYFUNCTION("IF(C227="""","""",IFERROR(INDEX(FILTER('特殊配信マスタ'!$P$3:$P$16,('特殊配信マスタ'!$A$3:$A$16=CHOOSE(WEEKDAY(C$1),""日"",""月"",""火"",""水"",""木"",""金"",""土""))*('特殊配信マスタ'!$B$3:$B$16=A$3)*('特殊配信マスタ'!$R$3:$R$16=MOD(INT((C$1-'特殊配信マスタ'!$A$1)/7),3)+1)),1),""""))"),"")</f>
        <v/>
      </c>
      <c r="H227" s="590"/>
      <c r="I227" s="593" t="str">
        <f>IFERROR(__xludf.DUMMYFUNCTION("IF(H227="""","""",IFERROR(INDEX(FILTER('特殊配信マスタ'!$F$3:$F$16,('特殊配信マスタ'!$A$3:$A$16=CHOOSE(WEEKDAY(H$1),""日"",""月"",""火"",""水"",""木"",""金"",""土""))*('特殊配信マスタ'!$B$3:$B$16=F$3)*('特殊配信マスタ'!$R$3:$R$16=MOD(INT((H$1-'特殊配信マスタ'!$A$1)/7),3)+1)),1),""""))"),"")</f>
        <v/>
      </c>
      <c r="J227" s="590"/>
      <c r="K227" s="593" t="str">
        <f>IFERROR(__xludf.DUMMYFUNCTION("IF(H227="""","""",IFERROR(INDEX(FILTER('特殊配信マスタ'!$O$3:$O$16,('特殊配信マスタ'!$A$3:$A$16=CHOOSE(WEEKDAY(H$1),""日"",""月"",""火"",""水"",""木"",""金"",""土""))*('特殊配信マスタ'!$B$3:$B$16=F$3)*('特殊配信マスタ'!$R$3:$R$16=MOD(INT((H$1-'特殊配信マスタ'!$A$1)/7),3)+1)),1),""""))"),"")</f>
        <v/>
      </c>
      <c r="L227" s="593" t="str">
        <f>IFERROR(__xludf.DUMMYFUNCTION("IF(H227="""","""",IFERROR(INDEX(FILTER('特殊配信マスタ'!$P$3:$P$16,('特殊配信マスタ'!$A$3:$A$16=CHOOSE(WEEKDAY(H$1),""日"",""月"",""火"",""水"",""木"",""金"",""土""))*('特殊配信マスタ'!$B$3:$B$16=F$3)*('特殊配信マスタ'!$R$3:$R$16=MOD(INT((H$1-'特殊配信マスタ'!$A$1)/7),3)+1)),1),""""))"),"")</f>
        <v/>
      </c>
      <c r="M227" s="590"/>
      <c r="N227" s="593" t="str">
        <f>IFERROR(__xludf.DUMMYFUNCTION("IF(M227="""","""",IFERROR(INDEX(FILTER('特殊配信マスタ'!$F$3:$F$16,('特殊配信マスタ'!$A$3:$A$16=CHOOSE(WEEKDAY(M$1),""日"",""月"",""火"",""水"",""木"",""金"",""土""))*('特殊配信マスタ'!$B$3:$B$16=K$3)*('特殊配信マスタ'!$R$3:$R$16=MOD(INT((M$1-'特殊配信マスタ'!$A$1)/7),3)+1)),1),""""))"),"")</f>
        <v/>
      </c>
      <c r="O227" s="590"/>
      <c r="P227" s="593" t="str">
        <f>IFERROR(__xludf.DUMMYFUNCTION("IF(M227="""","""",IFERROR(INDEX(FILTER('特殊配信マスタ'!$O$3:$O$16,('特殊配信マスタ'!$A$3:$A$16=CHOOSE(WEEKDAY(M$1),""日"",""月"",""火"",""水"",""木"",""金"",""土""))*('特殊配信マスタ'!$B$3:$B$16=K$3)*('特殊配信マスタ'!$R$3:$R$16=MOD(INT((M$1-'特殊配信マスタ'!$A$1)/7),3)+1)),1),""""))"),"")</f>
        <v/>
      </c>
      <c r="Q227" s="593" t="str">
        <f>IFERROR(__xludf.DUMMYFUNCTION("IF(M227="""","""",IFERROR(INDEX(FILTER('特殊配信マスタ'!$P$3:$P$16,('特殊配信マスタ'!$A$3:$A$16=CHOOSE(WEEKDAY(M$1),""日"",""月"",""火"",""水"",""木"",""金"",""土""))*('特殊配信マスタ'!$B$3:$B$16=K$3)*('特殊配信マスタ'!$R$3:$R$16=MOD(INT((M$1-'特殊配信マスタ'!$A$1)/7),3)+1)),1),""""))"),"")</f>
        <v/>
      </c>
      <c r="R227" s="590"/>
      <c r="S227" s="593" t="str">
        <f>IFERROR(__xludf.DUMMYFUNCTION("IF(R227="""","""",IFERROR(INDEX(FILTER('特殊配信マスタ'!$F$3:$F$16,('特殊配信マスタ'!$A$3:$A$16=CHOOSE(WEEKDAY(R$1),""日"",""月"",""火"",""水"",""木"",""金"",""土""))*('特殊配信マスタ'!$B$3:$B$16=P$3)*('特殊配信マスタ'!$R$3:$R$16=MOD(INT((R$1-'特殊配信マスタ'!$A$1)/7),3)+1)),1),""""))"),"")</f>
        <v/>
      </c>
      <c r="T227" s="590"/>
      <c r="U227" s="593" t="str">
        <f>IFERROR(__xludf.DUMMYFUNCTION("IF(R227="""","""",IFERROR(INDEX(FILTER('特殊配信マスタ'!$O$3:$O$16,('特殊配信マスタ'!$A$3:$A$16=CHOOSE(WEEKDAY(R$1),""日"",""月"",""火"",""水"",""木"",""金"",""土""))*('特殊配信マスタ'!$B$3:$B$16=P$3)*('特殊配信マスタ'!$R$3:$R$16=MOD(INT((R$1-'特殊配信マスタ'!$A$1)/7),3)+1)),1),""""))"),"")</f>
        <v/>
      </c>
      <c r="V227" s="593" t="str">
        <f>IFERROR(__xludf.DUMMYFUNCTION("IF(R227="""","""",IFERROR(INDEX(FILTER('特殊配信マスタ'!$P$3:$P$16,('特殊配信マスタ'!$A$3:$A$16=CHOOSE(WEEKDAY(R$1),""日"",""月"",""火"",""水"",""木"",""金"",""土""))*('特殊配信マスタ'!$B$3:$B$16=P$3)*('特殊配信マスタ'!$R$3:$R$16=MOD(INT((R$1-'特殊配信マスタ'!$A$1)/7),3)+1)),1),""""))"),"")</f>
        <v/>
      </c>
      <c r="W227" s="590"/>
      <c r="X227" s="593" t="str">
        <f>IFERROR(__xludf.DUMMYFUNCTION("IF(W227="""","""",IFERROR(INDEX(FILTER('特殊配信マスタ'!$F$3:$F$16,('特殊配信マスタ'!$A$3:$A$16=CHOOSE(WEEKDAY(W$1),""日"",""月"",""火"",""水"",""木"",""金"",""土""))*('特殊配信マスタ'!$B$3:$B$16=U$3)*('特殊配信マスタ'!$R$3:$R$16=MOD(INT((W$1-'特殊配信マスタ'!$A$1)/7),3)+1)),1),""""))"),"")</f>
        <v/>
      </c>
      <c r="Y227" s="590"/>
      <c r="Z227" s="593" t="str">
        <f>IFERROR(__xludf.DUMMYFUNCTION("IF(W227="""","""",IFERROR(INDEX(FILTER('特殊配信マスタ'!$O$3:$O$16,('特殊配信マスタ'!$A$3:$A$16=CHOOSE(WEEKDAY(W$1),""日"",""月"",""火"",""水"",""木"",""金"",""土""))*('特殊配信マスタ'!$B$3:$B$16=U$3)*('特殊配信マスタ'!$R$3:$R$16=MOD(INT((W$1-'特殊配信マスタ'!$A$1)/7),3)+1)),1),""""))"),"")</f>
        <v/>
      </c>
      <c r="AA227" s="593" t="str">
        <f>IFERROR(__xludf.DUMMYFUNCTION("IF(W227="""","""",IFERROR(INDEX(FILTER('特殊配信マスタ'!$P$3:$P$16,('特殊配信マスタ'!$A$3:$A$16=CHOOSE(WEEKDAY(W$1),""日"",""月"",""火"",""水"",""木"",""金"",""土""))*('特殊配信マスタ'!$B$3:$B$16=U$3)*('特殊配信マスタ'!$R$3:$R$16=MOD(INT((W$1-'特殊配信マスタ'!$A$1)/7),3)+1)),1),""""))"),"")</f>
        <v/>
      </c>
      <c r="AB227" s="590"/>
      <c r="AC227" s="593" t="str">
        <f>IFERROR(__xludf.DUMMYFUNCTION("IF(AB227="""","""",IFERROR(INDEX(FILTER('特殊配信マスタ'!$F$3:$F$16,('特殊配信マスタ'!$A$3:$A$16=CHOOSE(WEEKDAY(AB$1),""日"",""月"",""火"",""水"",""木"",""金"",""土""))*('特殊配信マスタ'!$B$3:$B$16=Z$3)*('特殊配信マスタ'!$R$3:$R$16=MOD(INT((AB$1-'特殊配信マスタ'!$A$1)/7),3)+1)),1),""""))"),"")</f>
        <v/>
      </c>
      <c r="AD227" s="590"/>
      <c r="AE227" s="593" t="str">
        <f>IFERROR(__xludf.DUMMYFUNCTION("IF(AB227="""","""",IFERROR(INDEX(FILTER('特殊配信マスタ'!$O$3:$O$16,('特殊配信マスタ'!$A$3:$A$16=CHOOSE(WEEKDAY(AB$1),""日"",""月"",""火"",""水"",""木"",""金"",""土""))*('特殊配信マスタ'!$B$3:$B$16=Z$3)*('特殊配信マスタ'!$R$3:$R$16=MOD(INT((AB$1-'特殊配信マスタ'!$A$1)/7),3)+1)),1),""""))"),"")</f>
        <v/>
      </c>
      <c r="AF227" s="593" t="str">
        <f>IFERROR(__xludf.DUMMYFUNCTION("IF(AB227="""","""",IFERROR(INDEX(FILTER('特殊配信マスタ'!$P$3:$P$16,('特殊配信マスタ'!$A$3:$A$16=CHOOSE(WEEKDAY(AB$1),""日"",""月"",""火"",""水"",""木"",""金"",""土""))*('特殊配信マスタ'!$B$3:$B$16=Z$3)*('特殊配信マスタ'!$R$3:$R$16=MOD(INT((AB$1-'特殊配信マスタ'!$A$1)/7),3)+1)),1),""""))"),"")</f>
        <v/>
      </c>
      <c r="AG227" s="590"/>
      <c r="AH227" s="593" t="str">
        <f>IFERROR(__xludf.DUMMYFUNCTION("IF(AG227="""","""",IFERROR(INDEX(FILTER('特殊配信マスタ'!$F$3:$F$16,('特殊配信マスタ'!$A$3:$A$16=CHOOSE(WEEKDAY(AG$1),""日"",""月"",""火"",""水"",""木"",""金"",""土""))*('特殊配信マスタ'!$B$3:$B$16=AE$3)*('特殊配信マスタ'!$R$3:$R$16=MOD(INT((AG$1-'特殊配信マスタ'!$A$1)/7),3)+1)),1),""""))"),"")</f>
        <v/>
      </c>
      <c r="AI227" s="590"/>
      <c r="AJ227" s="593" t="str">
        <f>IFERROR(__xludf.DUMMYFUNCTION("IF(AG227="""","""",IFERROR(INDEX(FILTER('特殊配信マスタ'!$O$3:$O$16,('特殊配信マスタ'!$A$3:$A$16=CHOOSE(WEEKDAY(AG$1),""日"",""月"",""火"",""水"",""木"",""金"",""土""))*('特殊配信マスタ'!$B$3:$B$16=AE$3)*('特殊配信マスタ'!$R$3:$R$16=MOD(INT((AG$1-'特殊配信マスタ'!$A$1)/7),3)+1)),1),""""))"),"")</f>
        <v/>
      </c>
      <c r="AK227" s="593" t="str">
        <f>IFERROR(__xludf.DUMMYFUNCTION("IF(AG227="""","""",IFERROR(INDEX(FILTER('特殊配信マスタ'!$P$3:$P$16,('特殊配信マスタ'!$A$3:$A$16=CHOOSE(WEEKDAY(AG$1),""日"",""月"",""火"",""水"",""木"",""金"",""土""))*('特殊配信マスタ'!$B$3:$B$16=AE$3)*('特殊配信マスタ'!$R$3:$R$16=MOD(INT((AG$1-'特殊配信マスタ'!$A$1)/7),3)+1)),1),""""))"),"")</f>
        <v/>
      </c>
    </row>
    <row r="228" ht="17.25" customHeight="1">
      <c r="A228" s="587"/>
      <c r="B228" s="588"/>
      <c r="C22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D228" s="593"/>
      <c r="E228" s="590"/>
      <c r="F228" s="593"/>
      <c r="G228" s="593"/>
      <c r="H22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I228" s="593"/>
      <c r="J228" s="590"/>
      <c r="K228" s="593"/>
      <c r="L228" s="593"/>
      <c r="M22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N228" s="593"/>
      <c r="O228" s="590"/>
      <c r="P228" s="593"/>
      <c r="Q228" s="593"/>
      <c r="R22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S228" s="593"/>
      <c r="T228" s="590"/>
      <c r="U228" s="593"/>
      <c r="V228" s="593"/>
      <c r="W22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X228" s="593"/>
      <c r="Y228" s="590"/>
      <c r="Z228" s="593"/>
      <c r="AA228" s="593"/>
      <c r="AB22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C228" s="593"/>
      <c r="AD228" s="590"/>
      <c r="AE228" s="593"/>
      <c r="AF228" s="593"/>
      <c r="AG22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H228" s="593"/>
      <c r="AI228" s="590"/>
      <c r="AJ228" s="593"/>
      <c r="AK228" s="593"/>
    </row>
    <row r="229" ht="17.25" customHeight="1">
      <c r="A229" s="587"/>
      <c r="B229" s="588"/>
      <c r="C22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D229" s="593" t="str">
        <f>IFERROR(__xludf.DUMMYFUNCTION("IF(C229="""","""",IFERROR(INDEX(FILTER('特殊配信マスタ'!$F$3:$F$16,('特殊配信マスタ'!$A$3:$A$16=CHOOSE(WEEKDAY(C$1),""日"",""月"",""火"",""水"",""木"",""金"",""土""))*('特殊配信マスタ'!$B$3:$B$16=A$3)*('特殊配信マスタ'!$R$3:$R$16=MOD(INT((C$1-'特殊配信マスタ'!$A$1)/7),3)+1)),1),""""))"),"")</f>
        <v/>
      </c>
      <c r="E229" s="590"/>
      <c r="F229" s="593" t="str">
        <f>IFERROR(__xludf.DUMMYFUNCTION("IF(C229="""","""",IFERROR(INDEX(FILTER('特殊配信マスタ'!$O$3:$O$16,('特殊配信マスタ'!$A$3:$A$16=CHOOSE(WEEKDAY(C$1),""日"",""月"",""火"",""水"",""木"",""金"",""土""))*('特殊配信マスタ'!$B$3:$B$16=A$3)*('特殊配信マスタ'!$R$3:$R$16=MOD(INT((C$1-'特殊配信マスタ'!$A$1)/7),3)+1)),1),""""))"),"")</f>
        <v/>
      </c>
      <c r="G229" s="593" t="str">
        <f>IFERROR(__xludf.DUMMYFUNCTION("IF(C229="""","""",IFERROR(INDEX(FILTER('特殊配信マスタ'!$P$3:$P$16,('特殊配信マスタ'!$A$3:$A$16=CHOOSE(WEEKDAY(C$1),""日"",""月"",""火"",""水"",""木"",""金"",""土""))*('特殊配信マスタ'!$B$3:$B$16=A$3)*('特殊配信マスタ'!$R$3:$R$16=MOD(INT((C$1-'特殊配信マスタ'!$A$1)/7),3)+1)),1),""""))"),"")</f>
        <v/>
      </c>
      <c r="H22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I229" s="593" t="str">
        <f>IFERROR(__xludf.DUMMYFUNCTION("IF(H229="""","""",IFERROR(INDEX(FILTER('特殊配信マスタ'!$F$3:$F$16,('特殊配信マスタ'!$A$3:$A$16=CHOOSE(WEEKDAY(H$1),""日"",""月"",""火"",""水"",""木"",""金"",""土""))*('特殊配信マスタ'!$B$3:$B$16=F$3)*('特殊配信マスタ'!$R$3:$R$16=MOD(INT((H$1-'特殊配信マスタ'!$A$1)/7),3)+1)),1),""""))"),"")</f>
        <v/>
      </c>
      <c r="J229" s="590"/>
      <c r="K229" s="593" t="str">
        <f>IFERROR(__xludf.DUMMYFUNCTION("IF(H229="""","""",IFERROR(INDEX(FILTER('特殊配信マスタ'!$O$3:$O$16,('特殊配信マスタ'!$A$3:$A$16=CHOOSE(WEEKDAY(H$1),""日"",""月"",""火"",""水"",""木"",""金"",""土""))*('特殊配信マスタ'!$B$3:$B$16=F$3)*('特殊配信マスタ'!$R$3:$R$16=MOD(INT((H$1-'特殊配信マスタ'!$A$1)/7),3)+1)),1),""""))"),"")</f>
        <v/>
      </c>
      <c r="L229" s="593" t="str">
        <f>IFERROR(__xludf.DUMMYFUNCTION("IF(H229="""","""",IFERROR(INDEX(FILTER('特殊配信マスタ'!$P$3:$P$16,('特殊配信マスタ'!$A$3:$A$16=CHOOSE(WEEKDAY(H$1),""日"",""月"",""火"",""水"",""木"",""金"",""土""))*('特殊配信マスタ'!$B$3:$B$16=F$3)*('特殊配信マスタ'!$R$3:$R$16=MOD(INT((H$1-'特殊配信マスタ'!$A$1)/7),3)+1)),1),""""))"),"")</f>
        <v/>
      </c>
      <c r="M22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N229" s="593" t="str">
        <f>IFERROR(__xludf.DUMMYFUNCTION("IF(M229="""","""",IFERROR(INDEX(FILTER('特殊配信マスタ'!$F$3:$F$16,('特殊配信マスタ'!$A$3:$A$16=CHOOSE(WEEKDAY(M$1),""日"",""月"",""火"",""水"",""木"",""金"",""土""))*('特殊配信マスタ'!$B$3:$B$16=K$3)*('特殊配信マスタ'!$R$3:$R$16=MOD(INT((M$1-'特殊配信マスタ'!$A$1)/7),3)+1)),1),""""))"),"")</f>
        <v/>
      </c>
      <c r="O229" s="590"/>
      <c r="P229" s="593" t="str">
        <f>IFERROR(__xludf.DUMMYFUNCTION("IF(M229="""","""",IFERROR(INDEX(FILTER('特殊配信マスタ'!$O$3:$O$16,('特殊配信マスタ'!$A$3:$A$16=CHOOSE(WEEKDAY(M$1),""日"",""月"",""火"",""水"",""木"",""金"",""土""))*('特殊配信マスタ'!$B$3:$B$16=K$3)*('特殊配信マスタ'!$R$3:$R$16=MOD(INT((M$1-'特殊配信マスタ'!$A$1)/7),3)+1)),1),""""))"),"")</f>
        <v/>
      </c>
      <c r="Q229" s="593" t="str">
        <f>IFERROR(__xludf.DUMMYFUNCTION("IF(M229="""","""",IFERROR(INDEX(FILTER('特殊配信マスタ'!$P$3:$P$16,('特殊配信マスタ'!$A$3:$A$16=CHOOSE(WEEKDAY(M$1),""日"",""月"",""火"",""水"",""木"",""金"",""土""))*('特殊配信マスタ'!$B$3:$B$16=K$3)*('特殊配信マスタ'!$R$3:$R$16=MOD(INT((M$1-'特殊配信マスタ'!$A$1)/7),3)+1)),1),""""))"),"")</f>
        <v/>
      </c>
      <c r="R22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S229" s="593" t="str">
        <f>IFERROR(__xludf.DUMMYFUNCTION("IF(R229="""","""",IFERROR(INDEX(FILTER('特殊配信マスタ'!$F$3:$F$16,('特殊配信マスタ'!$A$3:$A$16=CHOOSE(WEEKDAY(R$1),""日"",""月"",""火"",""水"",""木"",""金"",""土""))*('特殊配信マスタ'!$B$3:$B$16=P$3)*('特殊配信マスタ'!$R$3:$R$16=MOD(INT((R$1-'特殊配信マスタ'!$A$1)/7),3)+1)),1),""""))"),"")</f>
        <v/>
      </c>
      <c r="T229" s="590"/>
      <c r="U229" s="593" t="str">
        <f>IFERROR(__xludf.DUMMYFUNCTION("IF(R229="""","""",IFERROR(INDEX(FILTER('特殊配信マスタ'!$O$3:$O$16,('特殊配信マスタ'!$A$3:$A$16=CHOOSE(WEEKDAY(R$1),""日"",""月"",""火"",""水"",""木"",""金"",""土""))*('特殊配信マスタ'!$B$3:$B$16=P$3)*('特殊配信マスタ'!$R$3:$R$16=MOD(INT((R$1-'特殊配信マスタ'!$A$1)/7),3)+1)),1),""""))"),"")</f>
        <v/>
      </c>
      <c r="V229" s="593" t="str">
        <f>IFERROR(__xludf.DUMMYFUNCTION("IF(R229="""","""",IFERROR(INDEX(FILTER('特殊配信マスタ'!$P$3:$P$16,('特殊配信マスタ'!$A$3:$A$16=CHOOSE(WEEKDAY(R$1),""日"",""月"",""火"",""水"",""木"",""金"",""土""))*('特殊配信マスタ'!$B$3:$B$16=P$3)*('特殊配信マスタ'!$R$3:$R$16=MOD(INT((R$1-'特殊配信マスタ'!$A$1)/7),3)+1)),1),""""))"),"")</f>
        <v/>
      </c>
      <c r="W22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X229" s="593" t="str">
        <f>IFERROR(__xludf.DUMMYFUNCTION("IF(W229="""","""",IFERROR(INDEX(FILTER('特殊配信マスタ'!$F$3:$F$16,('特殊配信マスタ'!$A$3:$A$16=CHOOSE(WEEKDAY(W$1),""日"",""月"",""火"",""水"",""木"",""金"",""土""))*('特殊配信マスタ'!$B$3:$B$16=U$3)*('特殊配信マスタ'!$R$3:$R$16=MOD(INT((W$1-'特殊配信マスタ'!$A$1)/7),3)+1)),1),""""))"),"")</f>
        <v/>
      </c>
      <c r="Y229" s="590"/>
      <c r="Z229" s="593" t="str">
        <f>IFERROR(__xludf.DUMMYFUNCTION("IF(W229="""","""",IFERROR(INDEX(FILTER('特殊配信マスタ'!$O$3:$O$16,('特殊配信マスタ'!$A$3:$A$16=CHOOSE(WEEKDAY(W$1),""日"",""月"",""火"",""水"",""木"",""金"",""土""))*('特殊配信マスタ'!$B$3:$B$16=U$3)*('特殊配信マスタ'!$R$3:$R$16=MOD(INT((W$1-'特殊配信マスタ'!$A$1)/7),3)+1)),1),""""))"),"")</f>
        <v/>
      </c>
      <c r="AA229" s="593" t="str">
        <f>IFERROR(__xludf.DUMMYFUNCTION("IF(W229="""","""",IFERROR(INDEX(FILTER('特殊配信マスタ'!$P$3:$P$16,('特殊配信マスタ'!$A$3:$A$16=CHOOSE(WEEKDAY(W$1),""日"",""月"",""火"",""水"",""木"",""金"",""土""))*('特殊配信マスタ'!$B$3:$B$16=U$3)*('特殊配信マスタ'!$R$3:$R$16=MOD(INT((W$1-'特殊配信マスタ'!$A$1)/7),3)+1)),1),""""))"),"")</f>
        <v/>
      </c>
      <c r="AB22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C229" s="593" t="str">
        <f>IFERROR(__xludf.DUMMYFUNCTION("IF(AB229="""","""",IFERROR(INDEX(FILTER('特殊配信マスタ'!$F$3:$F$16,('特殊配信マスタ'!$A$3:$A$16=CHOOSE(WEEKDAY(AB$1),""日"",""月"",""火"",""水"",""木"",""金"",""土""))*('特殊配信マスタ'!$B$3:$B$16=Z$3)*('特殊配信マスタ'!$R$3:$R$16=MOD(INT((AB$1-'特殊配信マスタ'!$A$1)/7),3)+1)),1),""""))"),"")</f>
        <v/>
      </c>
      <c r="AD229" s="590"/>
      <c r="AE229" s="593" t="str">
        <f>IFERROR(__xludf.DUMMYFUNCTION("IF(AB229="""","""",IFERROR(INDEX(FILTER('特殊配信マスタ'!$O$3:$O$16,('特殊配信マスタ'!$A$3:$A$16=CHOOSE(WEEKDAY(AB$1),""日"",""月"",""火"",""水"",""木"",""金"",""土""))*('特殊配信マスタ'!$B$3:$B$16=Z$3)*('特殊配信マスタ'!$R$3:$R$16=MOD(INT((AB$1-'特殊配信マスタ'!$A$1)/7),3)+1)),1),""""))"),"")</f>
        <v/>
      </c>
      <c r="AF229" s="593" t="str">
        <f>IFERROR(__xludf.DUMMYFUNCTION("IF(AB229="""","""",IFERROR(INDEX(FILTER('特殊配信マスタ'!$P$3:$P$16,('特殊配信マスタ'!$A$3:$A$16=CHOOSE(WEEKDAY(AB$1),""日"",""月"",""火"",""水"",""木"",""金"",""土""))*('特殊配信マスタ'!$B$3:$B$16=Z$3)*('特殊配信マスタ'!$R$3:$R$16=MOD(INT((AB$1-'特殊配信マスタ'!$A$1)/7),3)+1)),1),""""))"),"")</f>
        <v/>
      </c>
      <c r="AG22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H229" s="593" t="str">
        <f>IFERROR(__xludf.DUMMYFUNCTION("IF(AG229="""","""",IFERROR(INDEX(FILTER('特殊配信マスタ'!$F$3:$F$16,('特殊配信マスタ'!$A$3:$A$16=CHOOSE(WEEKDAY(AG$1),""日"",""月"",""火"",""水"",""木"",""金"",""土""))*('特殊配信マスタ'!$B$3:$B$16=AE$3)*('特殊配信マスタ'!$R$3:$R$16=MOD(INT((AG$1-'特殊配信マスタ'!$A$1)/7),3)+1)),1),""""))"),"")</f>
        <v/>
      </c>
      <c r="AI229" s="590"/>
      <c r="AJ229" s="593" t="str">
        <f>IFERROR(__xludf.DUMMYFUNCTION("IF(AG229="""","""",IFERROR(INDEX(FILTER('特殊配信マスタ'!$O$3:$O$16,('特殊配信マスタ'!$A$3:$A$16=CHOOSE(WEEKDAY(AG$1),""日"",""月"",""火"",""水"",""木"",""金"",""土""))*('特殊配信マスタ'!$B$3:$B$16=AE$3)*('特殊配信マスタ'!$R$3:$R$16=MOD(INT((AG$1-'特殊配信マスタ'!$A$1)/7),3)+1)),1),""""))"),"")</f>
        <v/>
      </c>
      <c r="AK229" s="593" t="str">
        <f>IFERROR(__xludf.DUMMYFUNCTION("IF(AG229="""","""",IFERROR(INDEX(FILTER('特殊配信マスタ'!$P$3:$P$16,('特殊配信マスタ'!$A$3:$A$16=CHOOSE(WEEKDAY(AG$1),""日"",""月"",""火"",""水"",""木"",""金"",""土""))*('特殊配信マスタ'!$B$3:$B$16=AE$3)*('特殊配信マスタ'!$R$3:$R$16=MOD(INT((AG$1-'特殊配信マスタ'!$A$1)/7),3)+1)),1),""""))"),"")</f>
        <v/>
      </c>
    </row>
    <row r="230" ht="17.25" customHeight="1">
      <c r="A230" s="599"/>
      <c r="B230" s="592"/>
      <c r="C230"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D230" s="593" t="str">
        <f>IFERROR(__xludf.DUMMYFUNCTION("IF(C230="""","""",IFERROR(INDEX(FILTER('特殊配信マスタ'!$F$3:$F$16,('特殊配信マスタ'!$A$3:$A$16=CHOOSE(WEEKDAY(C$1),""日"",""月"",""火"",""水"",""木"",""金"",""土""))*('特殊配信マスタ'!$B$3:$B$16=A$3)*('特殊配信マスタ'!$R$3:$R$16=MOD(INT((C$1-'特殊配信マスタ'!$A$1)/7),3)+1)),1),""""))"),"")</f>
        <v/>
      </c>
      <c r="E230" s="590"/>
      <c r="F230" s="593" t="str">
        <f>IFERROR(__xludf.DUMMYFUNCTION("IF(C230="""","""",IFERROR(INDEX(FILTER('特殊配信マスタ'!$O$3:$O$16,('特殊配信マスタ'!$A$3:$A$16=CHOOSE(WEEKDAY(C$1),""日"",""月"",""火"",""水"",""木"",""金"",""土""))*('特殊配信マスタ'!$B$3:$B$16=A$3)*('特殊配信マスタ'!$R$3:$R$16=MOD(INT((C$1-'特殊配信マスタ'!$A$1)/7),3)+1)),1),""""))"),"")</f>
        <v/>
      </c>
      <c r="G230" s="593" t="str">
        <f>IFERROR(__xludf.DUMMYFUNCTION("IF(C230="""","""",IFERROR(INDEX(FILTER('特殊配信マスタ'!$P$3:$P$16,('特殊配信マスタ'!$A$3:$A$16=CHOOSE(WEEKDAY(C$1),""日"",""月"",""火"",""水"",""木"",""金"",""土""))*('特殊配信マスタ'!$B$3:$B$16=A$3)*('特殊配信マスタ'!$R$3:$R$16=MOD(INT((C$1-'特殊配信マスタ'!$A$1)/7),3)+1)),1),""""))"),"")</f>
        <v/>
      </c>
      <c r="H230"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I230" s="593" t="str">
        <f>IFERROR(__xludf.DUMMYFUNCTION("IF(H230="""","""",IFERROR(INDEX(FILTER('特殊配信マスタ'!$F$3:$F$16,('特殊配信マスタ'!$A$3:$A$16=CHOOSE(WEEKDAY(H$1),""日"",""月"",""火"",""水"",""木"",""金"",""土""))*('特殊配信マスタ'!$B$3:$B$16=F$3)*('特殊配信マスタ'!$R$3:$R$16=MOD(INT((H$1-'特殊配信マスタ'!$A$1)/7),3)+1)),1),""""))"),"")</f>
        <v/>
      </c>
      <c r="J230" s="590"/>
      <c r="K230" s="593" t="str">
        <f>IFERROR(__xludf.DUMMYFUNCTION("IF(H230="""","""",IFERROR(INDEX(FILTER('特殊配信マスタ'!$O$3:$O$16,('特殊配信マスタ'!$A$3:$A$16=CHOOSE(WEEKDAY(H$1),""日"",""月"",""火"",""水"",""木"",""金"",""土""))*('特殊配信マスタ'!$B$3:$B$16=F$3)*('特殊配信マスタ'!$R$3:$R$16=MOD(INT((H$1-'特殊配信マスタ'!$A$1)/7),3)+1)),1),""""))"),"")</f>
        <v/>
      </c>
      <c r="L230" s="593" t="str">
        <f>IFERROR(__xludf.DUMMYFUNCTION("IF(H230="""","""",IFERROR(INDEX(FILTER('特殊配信マスタ'!$P$3:$P$16,('特殊配信マスタ'!$A$3:$A$16=CHOOSE(WEEKDAY(H$1),""日"",""月"",""火"",""水"",""木"",""金"",""土""))*('特殊配信マスタ'!$B$3:$B$16=F$3)*('特殊配信マスタ'!$R$3:$R$16=MOD(INT((H$1-'特殊配信マスタ'!$A$1)/7),3)+1)),1),""""))"),"")</f>
        <v/>
      </c>
      <c r="M230"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N230" s="593" t="str">
        <f>IFERROR(__xludf.DUMMYFUNCTION("IF(M230="""","""",IFERROR(INDEX(FILTER('特殊配信マスタ'!$F$3:$F$16,('特殊配信マスタ'!$A$3:$A$16=CHOOSE(WEEKDAY(M$1),""日"",""月"",""火"",""水"",""木"",""金"",""土""))*('特殊配信マスタ'!$B$3:$B$16=K$3)*('特殊配信マスタ'!$R$3:$R$16=MOD(INT((M$1-'特殊配信マスタ'!$A$1)/7),3)+1)),1),""""))"),"")</f>
        <v/>
      </c>
      <c r="O230" s="590"/>
      <c r="P230" s="593" t="str">
        <f>IFERROR(__xludf.DUMMYFUNCTION("IF(M230="""","""",IFERROR(INDEX(FILTER('特殊配信マスタ'!$O$3:$O$16,('特殊配信マスタ'!$A$3:$A$16=CHOOSE(WEEKDAY(M$1),""日"",""月"",""火"",""水"",""木"",""金"",""土""))*('特殊配信マスタ'!$B$3:$B$16=K$3)*('特殊配信マスタ'!$R$3:$R$16=MOD(INT((M$1-'特殊配信マスタ'!$A$1)/7),3)+1)),1),""""))"),"")</f>
        <v/>
      </c>
      <c r="Q230" s="593" t="str">
        <f>IFERROR(__xludf.DUMMYFUNCTION("IF(M230="""","""",IFERROR(INDEX(FILTER('特殊配信マスタ'!$P$3:$P$16,('特殊配信マスタ'!$A$3:$A$16=CHOOSE(WEEKDAY(M$1),""日"",""月"",""火"",""水"",""木"",""金"",""土""))*('特殊配信マスタ'!$B$3:$B$16=K$3)*('特殊配信マスタ'!$R$3:$R$16=MOD(INT((M$1-'特殊配信マスタ'!$A$1)/7),3)+1)),1),""""))"),"")</f>
        <v/>
      </c>
      <c r="R230"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S230" s="593" t="str">
        <f>IFERROR(__xludf.DUMMYFUNCTION("IF(R230="""","""",IFERROR(INDEX(FILTER('特殊配信マスタ'!$F$3:$F$16,('特殊配信マスタ'!$A$3:$A$16=CHOOSE(WEEKDAY(R$1),""日"",""月"",""火"",""水"",""木"",""金"",""土""))*('特殊配信マスタ'!$B$3:$B$16=P$3)*('特殊配信マスタ'!$R$3:$R$16=MOD(INT((R$1-'特殊配信マスタ'!$A$1)/7),3)+1)),1),""""))"),"")</f>
        <v/>
      </c>
      <c r="T230" s="590"/>
      <c r="U230" s="593" t="str">
        <f>IFERROR(__xludf.DUMMYFUNCTION("IF(R230="""","""",IFERROR(INDEX(FILTER('特殊配信マスタ'!$O$3:$O$16,('特殊配信マスタ'!$A$3:$A$16=CHOOSE(WEEKDAY(R$1),""日"",""月"",""火"",""水"",""木"",""金"",""土""))*('特殊配信マスタ'!$B$3:$B$16=P$3)*('特殊配信マスタ'!$R$3:$R$16=MOD(INT((R$1-'特殊配信マスタ'!$A$1)/7),3)+1)),1),""""))"),"")</f>
        <v/>
      </c>
      <c r="V230" s="593" t="str">
        <f>IFERROR(__xludf.DUMMYFUNCTION("IF(R230="""","""",IFERROR(INDEX(FILTER('特殊配信マスタ'!$P$3:$P$16,('特殊配信マスタ'!$A$3:$A$16=CHOOSE(WEEKDAY(R$1),""日"",""月"",""火"",""水"",""木"",""金"",""土""))*('特殊配信マスタ'!$B$3:$B$16=P$3)*('特殊配信マスタ'!$R$3:$R$16=MOD(INT((R$1-'特殊配信マスタ'!$A$1)/7),3)+1)),1),""""))"),"")</f>
        <v/>
      </c>
      <c r="W230"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X230" s="593" t="str">
        <f>IFERROR(__xludf.DUMMYFUNCTION("IF(W230="""","""",IFERROR(INDEX(FILTER('特殊配信マスタ'!$F$3:$F$16,('特殊配信マスタ'!$A$3:$A$16=CHOOSE(WEEKDAY(W$1),""日"",""月"",""火"",""水"",""木"",""金"",""土""))*('特殊配信マスタ'!$B$3:$B$16=U$3)*('特殊配信マスタ'!$R$3:$R$16=MOD(INT((W$1-'特殊配信マスタ'!$A$1)/7),3)+1)),1),""""))"),"")</f>
        <v/>
      </c>
      <c r="Y230" s="590"/>
      <c r="Z230" s="593" t="str">
        <f>IFERROR(__xludf.DUMMYFUNCTION("IF(W230="""","""",IFERROR(INDEX(FILTER('特殊配信マスタ'!$O$3:$O$16,('特殊配信マスタ'!$A$3:$A$16=CHOOSE(WEEKDAY(W$1),""日"",""月"",""火"",""水"",""木"",""金"",""土""))*('特殊配信マスタ'!$B$3:$B$16=U$3)*('特殊配信マスタ'!$R$3:$R$16=MOD(INT((W$1-'特殊配信マスタ'!$A$1)/7),3)+1)),1),""""))"),"")</f>
        <v/>
      </c>
      <c r="AA230" s="593" t="str">
        <f>IFERROR(__xludf.DUMMYFUNCTION("IF(W230="""","""",IFERROR(INDEX(FILTER('特殊配信マスタ'!$P$3:$P$16,('特殊配信マスタ'!$A$3:$A$16=CHOOSE(WEEKDAY(W$1),""日"",""月"",""火"",""水"",""木"",""金"",""土""))*('特殊配信マスタ'!$B$3:$B$16=U$3)*('特殊配信マスタ'!$R$3:$R$16=MOD(INT((W$1-'特殊配信マスタ'!$A$1)/7),3)+1)),1),""""))"),"")</f>
        <v/>
      </c>
      <c r="AB230"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C230" s="593" t="str">
        <f>IFERROR(__xludf.DUMMYFUNCTION("IF(AB230="""","""",IFERROR(INDEX(FILTER('特殊配信マスタ'!$F$3:$F$16,('特殊配信マスタ'!$A$3:$A$16=CHOOSE(WEEKDAY(AB$1),""日"",""月"",""火"",""水"",""木"",""金"",""土""))*('特殊配信マスタ'!$B$3:$B$16=Z$3)*('特殊配信マスタ'!$R$3:$R$16=MOD(INT((AB$1-'特殊配信マスタ'!$A$1)/7),3)+1)),1),""""))"),"")</f>
        <v/>
      </c>
      <c r="AD230" s="590"/>
      <c r="AE230" s="593" t="str">
        <f>IFERROR(__xludf.DUMMYFUNCTION("IF(AB230="""","""",IFERROR(INDEX(FILTER('特殊配信マスタ'!$O$3:$O$16,('特殊配信マスタ'!$A$3:$A$16=CHOOSE(WEEKDAY(AB$1),""日"",""月"",""火"",""水"",""木"",""金"",""土""))*('特殊配信マスタ'!$B$3:$B$16=Z$3)*('特殊配信マスタ'!$R$3:$R$16=MOD(INT((AB$1-'特殊配信マスタ'!$A$1)/7),3)+1)),1),""""))"),"")</f>
        <v/>
      </c>
      <c r="AF230" s="593" t="str">
        <f>IFERROR(__xludf.DUMMYFUNCTION("IF(AB230="""","""",IFERROR(INDEX(FILTER('特殊配信マスタ'!$P$3:$P$16,('特殊配信マスタ'!$A$3:$A$16=CHOOSE(WEEKDAY(AB$1),""日"",""月"",""火"",""水"",""木"",""金"",""土""))*('特殊配信マスタ'!$B$3:$B$16=Z$3)*('特殊配信マスタ'!$R$3:$R$16=MOD(INT((AB$1-'特殊配信マスタ'!$A$1)/7),3)+1)),1),""""))"),"")</f>
        <v/>
      </c>
      <c r="AG230"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H230" s="593" t="str">
        <f>IFERROR(__xludf.DUMMYFUNCTION("IF(AG230="""","""",IFERROR(INDEX(FILTER('特殊配信マスタ'!$F$3:$F$16,('特殊配信マスタ'!$A$3:$A$16=CHOOSE(WEEKDAY(AG$1),""日"",""月"",""火"",""水"",""木"",""金"",""土""))*('特殊配信マスタ'!$B$3:$B$16=AE$3)*('特殊配信マスタ'!$R$3:$R$16=MOD(INT((AG$1-'特殊配信マスタ'!$A$1)/7),3)+1)),1),""""))"),"")</f>
        <v/>
      </c>
      <c r="AI230" s="590"/>
      <c r="AJ230" s="593" t="str">
        <f>IFERROR(__xludf.DUMMYFUNCTION("IF(AG230="""","""",IFERROR(INDEX(FILTER('特殊配信マスタ'!$O$3:$O$16,('特殊配信マスタ'!$A$3:$A$16=CHOOSE(WEEKDAY(AG$1),""日"",""月"",""火"",""水"",""木"",""金"",""土""))*('特殊配信マスタ'!$B$3:$B$16=AE$3)*('特殊配信マスタ'!$R$3:$R$16=MOD(INT((AG$1-'特殊配信マスタ'!$A$1)/7),3)+1)),1),""""))"),"")</f>
        <v/>
      </c>
      <c r="AK230" s="593" t="str">
        <f>IFERROR(__xludf.DUMMYFUNCTION("IF(AG230="""","""",IFERROR(INDEX(FILTER('特殊配信マスタ'!$P$3:$P$16,('特殊配信マスタ'!$A$3:$A$16=CHOOSE(WEEKDAY(AG$1),""日"",""月"",""火"",""水"",""木"",""金"",""土""))*('特殊配信マスタ'!$B$3:$B$16=AE$3)*('特殊配信マスタ'!$R$3:$R$16=MOD(INT((AG$1-'特殊配信マスタ'!$A$1)/7),3)+1)),1),""""))"),"")</f>
        <v/>
      </c>
    </row>
    <row r="231" ht="17.25" customHeight="1">
      <c r="A231" s="584">
        <f>A212+1</f>
        <v>20</v>
      </c>
      <c r="B231" s="585" t="s">
        <v>1450</v>
      </c>
      <c r="C231" s="586" t="str">
        <f>IFERROR(__xludf.DUMMYFUNCTION("IFERROR(FILTER('リスト'!$E$3:$E$446, 
  ('リスト'!$A$3:$A$446 = CHOOSE(WEEKDAY(C$1), ""日"", ""月"", ""火"", ""水"", ""木"", ""金"", ""土"")) * ('リスト'!$B$3:$B$446 = $A231) * (('リスト'!$G$3:$G$446 = ""毎週配信"") + ('リスト'!$G$3:$G$446 = $A$1))
), """")"),"当日新規会員")</f>
        <v>当日新規会員</v>
      </c>
      <c r="D231" s="8">
        <f t="array" ref="D231">IFERROR(XLOOKUP(C231, 'リスト'!$E:$E, 'リスト'!$F:$F, ""), "")</f>
        <v>0.1</v>
      </c>
      <c r="E231" s="8">
        <f>SUM(D231:D249)</f>
        <v>0.1</v>
      </c>
      <c r="F231" s="8" t="str">
        <f t="array" ref="F231">IFERROR(XLOOKUP(C231, 'リスト'!$E:$E, 'リスト'!$O:$O, ""), "")</f>
        <v>荒</v>
      </c>
      <c r="G231" s="8" t="str">
        <f t="array" ref="G231">IFERROR(XLOOKUP(C231, 'リスト'!$E:$E, 'リスト'!$P:$P, ""), "")</f>
        <v>内</v>
      </c>
      <c r="H231" s="586" t="str">
        <f>IFERROR(__xludf.DUMMYFUNCTION("IFERROR(FILTER('リスト'!$E$3:$E$446, 
  ('リスト'!$A$3:$A$446 = CHOOSE(WEEKDAY(H$1), ""日"", ""月"", ""火"", ""水"", ""木"", ""金"", ""土"")) * ('リスト'!$B$3:$B$446 = $A231) * (('リスト'!$G$3:$G$446 = ""毎週配信"") + ('リスト'!$G$3:$G$446 = $A$1))
), """")"),"これから人気")</f>
        <v>これから人気</v>
      </c>
      <c r="I231" s="8">
        <f t="array" ref="I231">IFERROR(XLOOKUP(H231, 'リスト'!$E:$E, 'リスト'!$F:$F, ""), "")</f>
        <v>1</v>
      </c>
      <c r="J231" s="8">
        <f>SUM(I231:I249)</f>
        <v>5</v>
      </c>
      <c r="K231" s="8" t="str">
        <f t="array" ref="K231">IFERROR(XLOOKUP(H231, 'リスト'!$E:$E, 'リスト'!$O:$O, ""), "")</f>
        <v>R</v>
      </c>
      <c r="L231" s="8" t="str">
        <f t="array" ref="L231">IFERROR(XLOOKUP(H231, 'リスト'!$E:$E, 'リスト'!$P:$P, ""), "")</f>
        <v/>
      </c>
      <c r="M231" s="586" t="str">
        <f>IFERROR(__xludf.DUMMYFUNCTION("IFERROR(FILTER('リスト'!$E$3:$E$446, 
  ('リスト'!$A$3:$A$446 = CHOOSE(WEEKDAY(M$1), ""日"", ""月"", ""火"", ""水"", ""木"", ""金"", ""土"")) * ('リスト'!$B$3:$B$446 = $A231) * (('リスト'!$G$3:$G$446 = ""毎週配信"") + ('リスト'!$G$3:$G$446 = $A$1))
), """")"),"事務職 A")</f>
        <v>事務職 A</v>
      </c>
      <c r="N231" s="8">
        <f t="array" ref="N231">IFERROR(XLOOKUP(M231, 'リスト'!$E:$E, 'リスト'!$F:$F, ""), "")</f>
        <v>1.3</v>
      </c>
      <c r="O231" s="8">
        <f>SUM(N231:N249)</f>
        <v>7.9</v>
      </c>
      <c r="P231" s="8" t="str">
        <f t="array" ref="P231">IFERROR(XLOOKUP(M231, 'リスト'!$E:$E, 'リスト'!$O:$O, ""), "")</f>
        <v>R</v>
      </c>
      <c r="Q231" s="8" t="str">
        <f t="array" ref="Q231">IFERROR(XLOOKUP(M231, 'リスト'!$E:$E, 'リスト'!$P:$P, ""), "")</f>
        <v/>
      </c>
      <c r="R231" s="586" t="str">
        <f>IFERROR(__xludf.DUMMYFUNCTION("IFERROR(FILTER('リスト'!$E$3:$E$446, 
  ('リスト'!$A$3:$A$446 = CHOOSE(WEEKDAY(R$1), ""日"", ""月"", ""火"", ""水"", ""木"", ""金"", ""土"")) * ('リスト'!$B$3:$B$446 = $A231) * (('リスト'!$G$3:$G$446 = ""毎週配信"") + ('リスト'!$G$3:$G$446 = $A$1))
), """")"),"２回目転職×称号")</f>
        <v>２回目転職×称号</v>
      </c>
      <c r="S231" s="8">
        <f t="array" ref="S231">IFERROR(XLOOKUP(R231, 'リスト'!$E:$E, 'リスト'!$F:$F, ""), "")</f>
        <v>0.9</v>
      </c>
      <c r="T231" s="8">
        <f>SUM(S231:S249)</f>
        <v>9.2</v>
      </c>
      <c r="U231" s="8" t="str">
        <f t="array" ref="U231">IFERROR(XLOOKUP(R231, 'リスト'!$E:$E, 'リスト'!$O:$O, ""), "")</f>
        <v>部</v>
      </c>
      <c r="V231" s="8" t="str">
        <f t="array" ref="V231">IFERROR(XLOOKUP(R231, 'リスト'!$E:$E, 'リスト'!$P:$P, ""), "")</f>
        <v>石</v>
      </c>
      <c r="W231" s="586" t="str">
        <f>IFERROR(__xludf.DUMMYFUNCTION("IFERROR(FILTER('リスト'!$E$3:$E$446, 
  ('リスト'!$A$3:$A$446 = CHOOSE(WEEKDAY(W$1), ""日"", ""月"", ""火"", ""水"", ""木"", ""金"", ""土"")) * ('リスト'!$B$3:$B$446 = $A231) * (('リスト'!$G$3:$G$446 = ""毎週配信"") + ('リスト'!$G$3:$G$446 = $A$1))
), """")"),"35歳以上向け B")</f>
        <v>35歳以上向け B</v>
      </c>
      <c r="X231" s="8">
        <f t="array" ref="X231">IFERROR(XLOOKUP(W231, 'リスト'!$E:$E, 'リスト'!$F:$F, ""), "")</f>
        <v>1.1</v>
      </c>
      <c r="Y231" s="8">
        <f>SUM(X231:X249)</f>
        <v>2.5</v>
      </c>
      <c r="Z231" s="8" t="str">
        <f t="array" ref="Z231">IFERROR(XLOOKUP(W231, 'リスト'!$E:$E, 'リスト'!$O:$O, ""), "")</f>
        <v>R</v>
      </c>
      <c r="AA231" s="8" t="str">
        <f t="array" ref="AA231">IFERROR(XLOOKUP(W231, 'リスト'!$E:$E, 'リスト'!$P:$P, ""), "")</f>
        <v/>
      </c>
      <c r="AB231" s="586" t="str">
        <f>IFERROR(__xludf.DUMMYFUNCTION("IFERROR(FILTER('リスト'!$E$3:$E$446, 
  ('リスト'!$A$3:$A$446 = CHOOSE(WEEKDAY(AB$1), ""日"", ""月"", ""火"", ""水"", ""木"", ""金"", ""土"")) * ('リスト'!$B$3:$B$446 = $A231) * (('リスト'!$G$3:$G$446 = ""毎週配信"") + ('リスト'!$G$3:$G$446 = $A$1))
), """")"),"異業種提案_事務")</f>
        <v>異業種提案_事務</v>
      </c>
      <c r="AC231" s="8">
        <f t="array" ref="AC231">IFERROR(XLOOKUP(AB231, 'リスト'!$E:$E, 'リスト'!$F:$F, ""), "")</f>
        <v>2.1</v>
      </c>
      <c r="AD231" s="8">
        <f>SUM(AC231:AC249)</f>
        <v>3.8</v>
      </c>
      <c r="AE231" s="8" t="str">
        <f t="array" ref="AE231">IFERROR(XLOOKUP(AB231, 'リスト'!$E:$E, 'リスト'!$O:$O, ""), "")</f>
        <v>R</v>
      </c>
      <c r="AF231" s="8" t="str">
        <f t="array" ref="AF231">IFERROR(XLOOKUP(AB231, 'リスト'!$E:$E, 'リスト'!$P:$P, ""), "")</f>
        <v/>
      </c>
      <c r="AG231" s="586" t="str">
        <f>IFERROR(__xludf.DUMMYFUNCTION("IFERROR(FILTER('リスト'!$E$3:$E$446, 
  ('リスト'!$A$3:$A$446 = CHOOSE(WEEKDAY(AG$1), ""日"", ""月"", ""火"", ""水"", ""木"", ""金"", ""土"")) * ('リスト'!$B$3:$B$446 = $A231) * (('リスト'!$G$3:$G$446 = ""毎週配信"") + ('リスト'!$G$3:$G$446 = $A$1))
), """")"),"36歳以上正社員求人")</f>
        <v>36歳以上正社員求人</v>
      </c>
      <c r="AH231" s="8">
        <f t="array" ref="AH231">IFERROR(XLOOKUP(AG231, 'リスト'!$E:$E, 'リスト'!$F:$F, ""), "")</f>
        <v>2</v>
      </c>
      <c r="AI231" s="8">
        <f>SUM(AH231:AH249)</f>
        <v>5.5</v>
      </c>
      <c r="AJ231" s="8" t="str">
        <f t="array" ref="AJ231">IFERROR(XLOOKUP(AG231, 'リスト'!$E:$E, 'リスト'!$O:$O, ""), "")</f>
        <v>R</v>
      </c>
      <c r="AK231" s="8" t="str">
        <f t="array" ref="AK231">IFERROR(XLOOKUP(AG231, 'リスト'!$E:$E, 'リスト'!$P:$P, ""), "")</f>
        <v/>
      </c>
    </row>
    <row r="232" ht="17.25" customHeight="1">
      <c r="A232" s="587"/>
      <c r="B232" s="588"/>
      <c r="C232" s="586"/>
      <c r="D232" s="8" t="str">
        <f t="array" ref="D232">IFERROR(XLOOKUP(C232, 'リスト'!$E:$E, 'リスト'!$F:$F, ""), "")</f>
        <v/>
      </c>
      <c r="E232" s="8"/>
      <c r="F232" s="8" t="str">
        <f t="array" ref="F232">IFERROR(XLOOKUP(C232, 'リスト'!$E:$E, 'リスト'!$O:$O, ""), "")</f>
        <v/>
      </c>
      <c r="G232" s="8" t="str">
        <f t="array" ref="G232">IFERROR(XLOOKUP(C232, 'リスト'!$E:$E, 'リスト'!$P:$P, ""), "")</f>
        <v/>
      </c>
      <c r="H232" s="586" t="str">
        <f>IFERROR(__xludf.DUMMYFUNCTION("""COMPUTED_VALUE"""),"ユニークな福利厚生制度_B")</f>
        <v>ユニークな福利厚生制度_B</v>
      </c>
      <c r="I232" s="8">
        <f t="array" ref="I232">IFERROR(XLOOKUP(H232, 'リスト'!$E:$E, 'リスト'!$F:$F, ""), "")</f>
        <v>1.2</v>
      </c>
      <c r="J232" s="8"/>
      <c r="K232" s="8" t="str">
        <f t="array" ref="K232">IFERROR(XLOOKUP(H232, 'リスト'!$E:$E, 'リスト'!$O:$O, ""), "")</f>
        <v>R</v>
      </c>
      <c r="L232" s="8" t="str">
        <f t="array" ref="L232">IFERROR(XLOOKUP(H232, 'リスト'!$E:$E, 'リスト'!$P:$P, ""), "")</f>
        <v/>
      </c>
      <c r="M232" s="586" t="str">
        <f>IFERROR(__xludf.DUMMYFUNCTION("""COMPUTED_VALUE"""),"事務職_35歳以上 A_ランキング")</f>
        <v>事務職_35歳以上 A_ランキング</v>
      </c>
      <c r="N232" s="8">
        <f t="array" ref="N232">IFERROR(XLOOKUP(M232, 'リスト'!$E:$E, 'リスト'!$F:$F, ""), "")</f>
        <v>1</v>
      </c>
      <c r="O232" s="8"/>
      <c r="P232" s="8" t="str">
        <f t="array" ref="P232">IFERROR(XLOOKUP(M232, 'リスト'!$E:$E, 'リスト'!$O:$O, ""), "")</f>
        <v>R</v>
      </c>
      <c r="Q232" s="8" t="str">
        <f t="array" ref="Q232">IFERROR(XLOOKUP(M232, 'リスト'!$E:$E, 'リスト'!$P:$P, ""), "")</f>
        <v/>
      </c>
      <c r="R232" s="586" t="str">
        <f>IFERROR(__xludf.DUMMYFUNCTION("""COMPUTED_VALUE"""),"残業したくない")</f>
        <v>残業したくない</v>
      </c>
      <c r="S232" s="8">
        <f t="array" ref="S232">IFERROR(XLOOKUP(R232, 'リスト'!$E:$E, 'リスト'!$F:$F, ""), "")</f>
        <v>2.1</v>
      </c>
      <c r="T232" s="8"/>
      <c r="U232" s="8" t="str">
        <f t="array" ref="U232">IFERROR(XLOOKUP(R232, 'リスト'!$E:$E, 'リスト'!$O:$O, ""), "")</f>
        <v>R</v>
      </c>
      <c r="V232" s="8" t="str">
        <f t="array" ref="V232">IFERROR(XLOOKUP(R232, 'リスト'!$E:$E, 'リスト'!$P:$P, ""), "")</f>
        <v/>
      </c>
      <c r="W232" s="586" t="str">
        <f>IFERROR(__xludf.DUMMYFUNCTION("""COMPUTED_VALUE"""),"35歳以上向け_関西 B")</f>
        <v>35歳以上向け_関西 B</v>
      </c>
      <c r="X232" s="8">
        <f t="array" ref="X232">IFERROR(XLOOKUP(W232, 'リスト'!$E:$E, 'リスト'!$F:$F, ""), "")</f>
        <v>0.3</v>
      </c>
      <c r="Y232" s="8"/>
      <c r="Z232" s="8" t="str">
        <f t="array" ref="Z232">IFERROR(XLOOKUP(W232, 'リスト'!$E:$E, 'リスト'!$O:$O, ""), "")</f>
        <v>R</v>
      </c>
      <c r="AA232" s="8" t="str">
        <f t="array" ref="AA232">IFERROR(XLOOKUP(W232, 'リスト'!$E:$E, 'リスト'!$P:$P, ""), "")</f>
        <v/>
      </c>
      <c r="AB232" s="586" t="str">
        <f>IFERROR(__xludf.DUMMYFUNCTION("""COMPUTED_VALUE"""),"正社員_関西")</f>
        <v>正社員_関西</v>
      </c>
      <c r="AC232" s="8">
        <f t="array" ref="AC232">IFERROR(XLOOKUP(AB232, 'リスト'!$E:$E, 'リスト'!$F:$F, ""), "")</f>
        <v>1.6</v>
      </c>
      <c r="AD232" s="8"/>
      <c r="AE232" s="8" t="str">
        <f t="array" ref="AE232">IFERROR(XLOOKUP(AB232, 'リスト'!$E:$E, 'リスト'!$O:$O, ""), "")</f>
        <v>R</v>
      </c>
      <c r="AF232" s="8" t="str">
        <f t="array" ref="AF232">IFERROR(XLOOKUP(AB232, 'リスト'!$E:$E, 'リスト'!$P:$P, ""), "")</f>
        <v/>
      </c>
      <c r="AG232" s="586" t="str">
        <f>IFERROR(__xludf.DUMMYFUNCTION("""COMPUTED_VALUE"""),"広報・マーケティング_リモート_未経験")</f>
        <v>広報・マーケティング_リモート_未経験</v>
      </c>
      <c r="AH232" s="8">
        <f t="array" ref="AH232">IFERROR(XLOOKUP(AG232, 'リスト'!$E:$E, 'リスト'!$F:$F, ""), "")</f>
        <v>1</v>
      </c>
      <c r="AI232" s="8"/>
      <c r="AJ232" s="8" t="str">
        <f t="array" ref="AJ232">IFERROR(XLOOKUP(AG232, 'リスト'!$E:$E, 'リスト'!$O:$O, ""), "")</f>
        <v>R</v>
      </c>
      <c r="AK232" s="8" t="str">
        <f t="array" ref="AK232">IFERROR(XLOOKUP(AG232, 'リスト'!$E:$E, 'リスト'!$P:$P, ""), "")</f>
        <v/>
      </c>
    </row>
    <row r="233" ht="17.25" customHeight="1">
      <c r="A233" s="587"/>
      <c r="B233" s="588"/>
      <c r="C233" s="586"/>
      <c r="D233" s="8" t="str">
        <f t="array" ref="D233">IFERROR(XLOOKUP(C233, 'リスト'!$E:$E, 'リスト'!$F:$F, ""), "")</f>
        <v/>
      </c>
      <c r="E233" s="8"/>
      <c r="F233" s="8" t="str">
        <f t="array" ref="F233">IFERROR(XLOOKUP(C233, 'リスト'!$E:$E, 'リスト'!$O:$O, ""), "")</f>
        <v/>
      </c>
      <c r="G233" s="8" t="str">
        <f t="array" ref="G233">IFERROR(XLOOKUP(C233, 'リスト'!$E:$E, 'リスト'!$P:$P, ""), "")</f>
        <v/>
      </c>
      <c r="H233" s="586" t="str">
        <f>IFERROR(__xludf.DUMMYFUNCTION("""COMPUTED_VALUE"""),"大手上場_35歳以上 A")</f>
        <v>大手上場_35歳以上 A</v>
      </c>
      <c r="I233" s="8">
        <f t="array" ref="I233">IFERROR(XLOOKUP(H233, 'リスト'!$E:$E, 'リスト'!$F:$F, ""), "")</f>
        <v>1</v>
      </c>
      <c r="J233" s="8"/>
      <c r="K233" s="8" t="str">
        <f t="array" ref="K233">IFERROR(XLOOKUP(H233, 'リスト'!$E:$E, 'リスト'!$O:$O, ""), "")</f>
        <v>R</v>
      </c>
      <c r="L233" s="8" t="str">
        <f t="array" ref="L233">IFERROR(XLOOKUP(H233, 'リスト'!$E:$E, 'リスト'!$P:$P, ""), "")</f>
        <v/>
      </c>
      <c r="M233" s="586" t="str">
        <f>IFERROR(__xludf.DUMMYFUNCTION("""COMPUTED_VALUE"""),"事務職_関西 A")</f>
        <v>事務職_関西 A</v>
      </c>
      <c r="N233" s="8">
        <f t="array" ref="N233">IFERROR(XLOOKUP(M233, 'リスト'!$E:$E, 'リスト'!$F:$F, ""), "")</f>
        <v>1</v>
      </c>
      <c r="O233" s="8"/>
      <c r="P233" s="8" t="str">
        <f t="array" ref="P233">IFERROR(XLOOKUP(M233, 'リスト'!$E:$E, 'リスト'!$O:$O, ""), "")</f>
        <v>R</v>
      </c>
      <c r="Q233" s="8" t="str">
        <f t="array" ref="Q233">IFERROR(XLOOKUP(M233, 'リスト'!$E:$E, 'リスト'!$P:$P, ""), "")</f>
        <v/>
      </c>
      <c r="R233" s="586" t="str">
        <f>IFERROR(__xludf.DUMMYFUNCTION("""COMPUTED_VALUE"""),"残業したくない_関西")</f>
        <v>残業したくない_関西</v>
      </c>
      <c r="S233" s="8">
        <f t="array" ref="S233">IFERROR(XLOOKUP(R233, 'リスト'!$E:$E, 'リスト'!$F:$F, ""), "")</f>
        <v>0.7</v>
      </c>
      <c r="T233" s="8"/>
      <c r="U233" s="8" t="str">
        <f t="array" ref="U233">IFERROR(XLOOKUP(R233, 'リスト'!$E:$E, 'リスト'!$O:$O, ""), "")</f>
        <v>R</v>
      </c>
      <c r="V233" s="8" t="str">
        <f t="array" ref="V233">IFERROR(XLOOKUP(R233, 'リスト'!$E:$E, 'リスト'!$P:$P, ""), "")</f>
        <v/>
      </c>
      <c r="W233" s="586" t="str">
        <f>IFERROR(__xludf.DUMMYFUNCTION("""COMPUTED_VALUE"""),"35歳未満_PV多い求人")</f>
        <v>35歳未満_PV多い求人</v>
      </c>
      <c r="X233" s="8">
        <f t="array" ref="X233">IFERROR(XLOOKUP(W233, 'リスト'!$E:$E, 'リスト'!$F:$F, ""), "")</f>
        <v>1</v>
      </c>
      <c r="Y233" s="8"/>
      <c r="Z233" s="8" t="str">
        <f t="array" ref="Z233">IFERROR(XLOOKUP(W233, 'リスト'!$E:$E, 'リスト'!$O:$O, ""), "")</f>
        <v>R</v>
      </c>
      <c r="AA233" s="8" t="str">
        <f t="array" ref="AA233">IFERROR(XLOOKUP(W233, 'リスト'!$E:$E, 'リスト'!$P:$P, ""), "")</f>
        <v/>
      </c>
      <c r="AB233" s="586" t="str">
        <f>IFERROR(__xludf.DUMMYFUNCTION("""COMPUTED_VALUE"""),"当日新規会員")</f>
        <v>当日新規会員</v>
      </c>
      <c r="AC233" s="8">
        <f t="array" ref="AC233">IFERROR(XLOOKUP(AB233, 'リスト'!$E:$E, 'リスト'!$F:$F, ""), "")</f>
        <v>0.1</v>
      </c>
      <c r="AD233" s="8"/>
      <c r="AE233" s="8" t="str">
        <f t="array" ref="AE233">IFERROR(XLOOKUP(AB233, 'リスト'!$E:$E, 'リスト'!$O:$O, ""), "")</f>
        <v>荒</v>
      </c>
      <c r="AF233" s="8" t="str">
        <f t="array" ref="AF233">IFERROR(XLOOKUP(AB233, 'リスト'!$E:$E, 'リスト'!$P:$P, ""), "")</f>
        <v>内</v>
      </c>
      <c r="AG233" s="586" t="str">
        <f>IFERROR(__xludf.DUMMYFUNCTION("""COMPUTED_VALUE"""),"国認定企業")</f>
        <v>国認定企業</v>
      </c>
      <c r="AH233" s="8">
        <f t="array" ref="AH233">IFERROR(XLOOKUP(AG233, 'リスト'!$E:$E, 'リスト'!$F:$F, ""), "")</f>
        <v>1.6</v>
      </c>
      <c r="AI233" s="8"/>
      <c r="AJ233" s="8" t="str">
        <f t="array" ref="AJ233">IFERROR(XLOOKUP(AG233, 'リスト'!$E:$E, 'リスト'!$O:$O, ""), "")</f>
        <v>R</v>
      </c>
      <c r="AK233" s="8" t="str">
        <f t="array" ref="AK233">IFERROR(XLOOKUP(AG233, 'リスト'!$E:$E, 'リスト'!$P:$P, ""), "")</f>
        <v/>
      </c>
    </row>
    <row r="234" ht="17.25" customHeight="1">
      <c r="A234" s="587"/>
      <c r="B234" s="588"/>
      <c r="C234" s="589"/>
      <c r="D234" s="8" t="str">
        <f t="array" ref="D234">IFERROR(XLOOKUP(C234, 'リスト'!$E:$E, 'リスト'!$F:$F, ""), "")</f>
        <v/>
      </c>
      <c r="E234" s="8"/>
      <c r="F234" s="8" t="str">
        <f t="array" ref="F234">IFERROR(XLOOKUP(C234, 'リスト'!$E:$E, 'リスト'!$O:$O, ""), "")</f>
        <v/>
      </c>
      <c r="G234" s="8" t="str">
        <f t="array" ref="G234">IFERROR(XLOOKUP(C234, 'リスト'!$E:$E, 'リスト'!$P:$P, ""), "")</f>
        <v/>
      </c>
      <c r="H234" s="589" t="str">
        <f>IFERROR(__xludf.DUMMYFUNCTION("""COMPUTED_VALUE"""),"大手上場_関西 A")</f>
        <v>大手上場_関西 A</v>
      </c>
      <c r="I234" s="8">
        <f t="array" ref="I234">IFERROR(XLOOKUP(H234, 'リスト'!$E:$E, 'リスト'!$F:$F, ""), "")</f>
        <v>1</v>
      </c>
      <c r="J234" s="8"/>
      <c r="K234" s="8" t="str">
        <f t="array" ref="K234">IFERROR(XLOOKUP(H234, 'リスト'!$E:$E, 'リスト'!$O:$O, ""), "")</f>
        <v>R</v>
      </c>
      <c r="L234" s="8" t="str">
        <f t="array" ref="L234">IFERROR(XLOOKUP(H234, 'リスト'!$E:$E, 'リスト'!$P:$P, ""), "")</f>
        <v/>
      </c>
      <c r="M234" s="589" t="str">
        <f>IFERROR(__xludf.DUMMYFUNCTION("""COMPUTED_VALUE"""),"首都圏_フルリモート_求人特集")</f>
        <v>首都圏_フルリモート_求人特集</v>
      </c>
      <c r="N234" s="8">
        <f t="array" ref="N234">IFERROR(XLOOKUP(M234, 'リスト'!$E:$E, 'リスト'!$F:$F, ""), "")</f>
        <v>3.9</v>
      </c>
      <c r="O234" s="8"/>
      <c r="P234" s="8" t="str">
        <f t="array" ref="P234">IFERROR(XLOOKUP(M234, 'リスト'!$E:$E, 'リスト'!$O:$O, ""), "")</f>
        <v>R</v>
      </c>
      <c r="Q234" s="8" t="str">
        <f t="array" ref="Q234">IFERROR(XLOOKUP(M234, 'リスト'!$E:$E, 'リスト'!$P:$P, ""), "")</f>
        <v/>
      </c>
      <c r="R234" s="589" t="str">
        <f>IFERROR(__xludf.DUMMYFUNCTION("""COMPUTED_VALUE"""),"住宅手当あり_首都圏")</f>
        <v>住宅手当あり_首都圏</v>
      </c>
      <c r="S234" s="8">
        <f t="array" ref="S234">IFERROR(XLOOKUP(R234, 'リスト'!$E:$E, 'リスト'!$F:$F, ""), "")</f>
        <v>1.8</v>
      </c>
      <c r="T234" s="8"/>
      <c r="U234" s="8" t="str">
        <f t="array" ref="U234">IFERROR(XLOOKUP(R234, 'リスト'!$E:$E, 'リスト'!$O:$O, ""), "")</f>
        <v>R</v>
      </c>
      <c r="V234" s="8" t="str">
        <f t="array" ref="V234">IFERROR(XLOOKUP(R234, 'リスト'!$E:$E, 'リスト'!$P:$P, ""), "")</f>
        <v/>
      </c>
      <c r="W234" s="589" t="str">
        <f>IFERROR(__xludf.DUMMYFUNCTION("""COMPUTED_VALUE"""),"当日新規会員")</f>
        <v>当日新規会員</v>
      </c>
      <c r="X234" s="8">
        <f t="array" ref="X234">IFERROR(XLOOKUP(W234, 'リスト'!$E:$E, 'リスト'!$F:$F, ""), "")</f>
        <v>0.1</v>
      </c>
      <c r="Y234" s="8"/>
      <c r="Z234" s="8" t="str">
        <f t="array" ref="Z234">IFERROR(XLOOKUP(W234, 'リスト'!$E:$E, 'リスト'!$O:$O, ""), "")</f>
        <v>荒</v>
      </c>
      <c r="AA234" s="8" t="str">
        <f t="array" ref="AA234">IFERROR(XLOOKUP(W234, 'リスト'!$E:$E, 'リスト'!$P:$P, ""), "")</f>
        <v>内</v>
      </c>
      <c r="AB234" s="589"/>
      <c r="AC234" s="8" t="str">
        <f t="array" ref="AC234">IFERROR(XLOOKUP(AB234, 'リスト'!$E:$E, 'リスト'!$F:$F, ""), "")</f>
        <v/>
      </c>
      <c r="AD234" s="8"/>
      <c r="AE234" s="8" t="str">
        <f t="array" ref="AE234">IFERROR(XLOOKUP(AB234, 'リスト'!$E:$E, 'リスト'!$O:$O, ""), "")</f>
        <v/>
      </c>
      <c r="AF234" s="8" t="str">
        <f t="array" ref="AF234">IFERROR(XLOOKUP(AB234, 'リスト'!$E:$E, 'リスト'!$P:$P, ""), "")</f>
        <v/>
      </c>
      <c r="AG234" s="589" t="str">
        <f>IFERROR(__xludf.DUMMYFUNCTION("""COMPUTED_VALUE"""),"新規会員向け_フルリモート×未経験歓迎")</f>
        <v>新規会員向け_フルリモート×未経験歓迎</v>
      </c>
      <c r="AH234" s="8">
        <f t="array" ref="AH234">IFERROR(XLOOKUP(AG234, 'リスト'!$E:$E, 'リスト'!$F:$F, ""), "")</f>
        <v>0.4</v>
      </c>
      <c r="AI234" s="8"/>
      <c r="AJ234" s="8" t="str">
        <f t="array" ref="AJ234">IFERROR(XLOOKUP(AG234, 'リスト'!$E:$E, 'リスト'!$O:$O, ""), "")</f>
        <v>R</v>
      </c>
      <c r="AK234" s="8" t="str">
        <f t="array" ref="AK234">IFERROR(XLOOKUP(AG234, 'リスト'!$E:$E, 'リスト'!$P:$P, ""), "")</f>
        <v/>
      </c>
    </row>
    <row r="235" ht="17.25" customHeight="1">
      <c r="A235" s="587"/>
      <c r="B235" s="588"/>
      <c r="C235" s="590"/>
      <c r="D235" s="8" t="str">
        <f t="array" ref="D235">IFERROR(XLOOKUP(C235, 'リスト'!$E:$E, 'リスト'!$F:$F, ""), "")</f>
        <v/>
      </c>
      <c r="E235" s="8"/>
      <c r="F235" s="8" t="str">
        <f t="array" ref="F235">IFERROR(XLOOKUP(C235, 'リスト'!$E:$E, 'リスト'!$O:$O, ""), "")</f>
        <v/>
      </c>
      <c r="G235" s="8" t="str">
        <f t="array" ref="G235">IFERROR(XLOOKUP(C235, 'リスト'!$E:$E, 'リスト'!$P:$P, ""), "")</f>
        <v/>
      </c>
      <c r="H235" s="590" t="str">
        <f>IFERROR(__xludf.DUMMYFUNCTION("""COMPUTED_VALUE"""),"大手上場_第二新卒 A")</f>
        <v>大手上場_第二新卒 A</v>
      </c>
      <c r="I235" s="8">
        <f t="array" ref="I235">IFERROR(XLOOKUP(H235, 'リスト'!$E:$E, 'リスト'!$F:$F, ""), "")</f>
        <v>0.7</v>
      </c>
      <c r="J235" s="8"/>
      <c r="K235" s="8" t="str">
        <f t="array" ref="K235">IFERROR(XLOOKUP(H235, 'リスト'!$E:$E, 'リスト'!$O:$O, ""), "")</f>
        <v>R</v>
      </c>
      <c r="L235" s="8" t="str">
        <f t="array" ref="L235">IFERROR(XLOOKUP(H235, 'リスト'!$E:$E, 'リスト'!$P:$P, ""), "")</f>
        <v/>
      </c>
      <c r="M235" s="590" t="str">
        <f>IFERROR(__xludf.DUMMYFUNCTION("""COMPUTED_VALUE"""),"当日新規会員")</f>
        <v>当日新規会員</v>
      </c>
      <c r="N235" s="8">
        <f t="array" ref="N235">IFERROR(XLOOKUP(M235, 'リスト'!$E:$E, 'リスト'!$F:$F, ""), "")</f>
        <v>0.1</v>
      </c>
      <c r="O235" s="8"/>
      <c r="P235" s="8" t="str">
        <f t="array" ref="P235">IFERROR(XLOOKUP(M235, 'リスト'!$E:$E, 'リスト'!$O:$O, ""), "")</f>
        <v>荒</v>
      </c>
      <c r="Q235" s="8" t="str">
        <f t="array" ref="Q235">IFERROR(XLOOKUP(M235, 'リスト'!$E:$E, 'リスト'!$P:$P, ""), "")</f>
        <v>内</v>
      </c>
      <c r="R235" s="590" t="str">
        <f>IFERROR(__xludf.DUMMYFUNCTION("""COMPUTED_VALUE"""),"住宅手当あり_首都圏_35歳以上")</f>
        <v>住宅手当あり_首都圏_35歳以上</v>
      </c>
      <c r="S235" s="8">
        <f t="array" ref="S235">IFERROR(XLOOKUP(R235, 'リスト'!$E:$E, 'リスト'!$F:$F, ""), "")</f>
        <v>1.4</v>
      </c>
      <c r="T235" s="8"/>
      <c r="U235" s="8" t="str">
        <f t="array" ref="U235">IFERROR(XLOOKUP(R235, 'リスト'!$E:$E, 'リスト'!$O:$O, ""), "")</f>
        <v>R</v>
      </c>
      <c r="V235" s="8" t="str">
        <f t="array" ref="V235">IFERROR(XLOOKUP(R235, 'リスト'!$E:$E, 'リスト'!$P:$P, ""), "")</f>
        <v/>
      </c>
      <c r="W235" s="590"/>
      <c r="X235" s="8" t="str">
        <f t="array" ref="X235">IFERROR(XLOOKUP(W235, 'リスト'!$E:$E, 'リスト'!$F:$F, ""), "")</f>
        <v/>
      </c>
      <c r="Y235" s="8"/>
      <c r="Z235" s="8" t="str">
        <f t="array" ref="Z235">IFERROR(XLOOKUP(W235, 'リスト'!$E:$E, 'リスト'!$O:$O, ""), "")</f>
        <v/>
      </c>
      <c r="AA235" s="8" t="str">
        <f t="array" ref="AA235">IFERROR(XLOOKUP(W235, 'リスト'!$E:$E, 'リスト'!$P:$P, ""), "")</f>
        <v/>
      </c>
      <c r="AB235" s="590"/>
      <c r="AC235" s="8" t="str">
        <f t="array" ref="AC235">IFERROR(XLOOKUP(AB235, 'リスト'!$E:$E, 'リスト'!$F:$F, ""), "")</f>
        <v/>
      </c>
      <c r="AD235" s="8"/>
      <c r="AE235" s="8" t="str">
        <f t="array" ref="AE235">IFERROR(XLOOKUP(AB235, 'リスト'!$E:$E, 'リスト'!$O:$O, ""), "")</f>
        <v/>
      </c>
      <c r="AF235" s="8" t="str">
        <f t="array" ref="AF235">IFERROR(XLOOKUP(AB235, 'リスト'!$E:$E, 'リスト'!$P:$P, ""), "")</f>
        <v/>
      </c>
      <c r="AG235" s="590" t="str">
        <f>IFERROR(__xludf.DUMMYFUNCTION("""COMPUTED_VALUE"""),"当日新規会員")</f>
        <v>当日新規会員</v>
      </c>
      <c r="AH235" s="8">
        <f t="array" ref="AH235">IFERROR(XLOOKUP(AG235, 'リスト'!$E:$E, 'リスト'!$F:$F, ""), "")</f>
        <v>0.1</v>
      </c>
      <c r="AI235" s="8"/>
      <c r="AJ235" s="8" t="str">
        <f t="array" ref="AJ235">IFERROR(XLOOKUP(AG235, 'リスト'!$E:$E, 'リスト'!$O:$O, ""), "")</f>
        <v>荒</v>
      </c>
      <c r="AK235" s="8" t="str">
        <f t="array" ref="AK235">IFERROR(XLOOKUP(AG235, 'リスト'!$E:$E, 'リスト'!$P:$P, ""), "")</f>
        <v>内</v>
      </c>
    </row>
    <row r="236" ht="17.25" customHeight="1">
      <c r="A236" s="587"/>
      <c r="B236" s="588"/>
      <c r="C236" s="590"/>
      <c r="D236" s="8" t="str">
        <f t="array" ref="D236">IFERROR(XLOOKUP(C236, 'リスト'!$E:$E, 'リスト'!$F:$F, ""), "")</f>
        <v/>
      </c>
      <c r="E236" s="8"/>
      <c r="F236" s="8" t="str">
        <f t="array" ref="F236">IFERROR(XLOOKUP(C236, 'リスト'!$E:$E, 'リスト'!$O:$O, ""), "")</f>
        <v/>
      </c>
      <c r="G236" s="8" t="str">
        <f t="array" ref="G236">IFERROR(XLOOKUP(C236, 'リスト'!$E:$E, 'リスト'!$P:$P, ""), "")</f>
        <v/>
      </c>
      <c r="H236" s="590" t="str">
        <f>IFERROR(__xludf.DUMMYFUNCTION("""COMPUTED_VALUE"""),"当日新規会員")</f>
        <v>当日新規会員</v>
      </c>
      <c r="I236" s="8">
        <f t="array" ref="I236">IFERROR(XLOOKUP(H236, 'リスト'!$E:$E, 'リスト'!$F:$F, ""), "")</f>
        <v>0.1</v>
      </c>
      <c r="J236" s="8"/>
      <c r="K236" s="8" t="str">
        <f t="array" ref="K236">IFERROR(XLOOKUP(H236, 'リスト'!$E:$E, 'リスト'!$O:$O, ""), "")</f>
        <v>荒</v>
      </c>
      <c r="L236" s="8" t="str">
        <f t="array" ref="L236">IFERROR(XLOOKUP(H236, 'リスト'!$E:$E, 'リスト'!$P:$P, ""), "")</f>
        <v>内</v>
      </c>
      <c r="M236" s="590" t="str">
        <f>IFERROR(__xludf.DUMMYFUNCTION("""COMPUTED_VALUE"""),"未経験_研修・資格_クリエイティブ系_埼玉神奈川千葉")</f>
        <v>未経験_研修・資格_クリエイティブ系_埼玉神奈川千葉</v>
      </c>
      <c r="N236" s="8">
        <f t="array" ref="N236">IFERROR(XLOOKUP(M236, 'リスト'!$E:$E, 'リスト'!$F:$F, ""), "")</f>
        <v>0.3</v>
      </c>
      <c r="O236" s="8"/>
      <c r="P236" s="8" t="str">
        <f t="array" ref="P236">IFERROR(XLOOKUP(M236, 'リスト'!$E:$E, 'リスト'!$O:$O, ""), "")</f>
        <v>R</v>
      </c>
      <c r="Q236" s="8" t="str">
        <f t="array" ref="Q236">IFERROR(XLOOKUP(M236, 'リスト'!$E:$E, 'リスト'!$P:$P, ""), "")</f>
        <v/>
      </c>
      <c r="R236" s="590" t="str">
        <f>IFERROR(__xludf.DUMMYFUNCTION("""COMPUTED_VALUE"""),"当日新規会員")</f>
        <v>当日新規会員</v>
      </c>
      <c r="S236" s="8">
        <f t="array" ref="S236">IFERROR(XLOOKUP(R236, 'リスト'!$E:$E, 'リスト'!$F:$F, ""), "")</f>
        <v>0.1</v>
      </c>
      <c r="T236" s="8"/>
      <c r="U236" s="8" t="str">
        <f t="array" ref="U236">IFERROR(XLOOKUP(R236, 'リスト'!$E:$E, 'リスト'!$O:$O, ""), "")</f>
        <v>荒</v>
      </c>
      <c r="V236" s="8" t="str">
        <f t="array" ref="V236">IFERROR(XLOOKUP(R236, 'リスト'!$E:$E, 'リスト'!$P:$P, ""), "")</f>
        <v>内</v>
      </c>
      <c r="W236" s="590"/>
      <c r="X236" s="8" t="str">
        <f t="array" ref="X236">IFERROR(XLOOKUP(W236, 'リスト'!$E:$E, 'リスト'!$F:$F, ""), "")</f>
        <v/>
      </c>
      <c r="Y236" s="8"/>
      <c r="Z236" s="8" t="str">
        <f t="array" ref="Z236">IFERROR(XLOOKUP(W236, 'リスト'!$E:$E, 'リスト'!$O:$O, ""), "")</f>
        <v/>
      </c>
      <c r="AA236" s="8" t="str">
        <f t="array" ref="AA236">IFERROR(XLOOKUP(W236, 'リスト'!$E:$E, 'リスト'!$P:$P, ""), "")</f>
        <v/>
      </c>
      <c r="AB236" s="590"/>
      <c r="AC236" s="8" t="str">
        <f t="array" ref="AC236">IFERROR(XLOOKUP(AB236, 'リスト'!$E:$E, 'リスト'!$F:$F, ""), "")</f>
        <v/>
      </c>
      <c r="AD236" s="8"/>
      <c r="AE236" s="8" t="str">
        <f t="array" ref="AE236">IFERROR(XLOOKUP(AB236, 'リスト'!$E:$E, 'リスト'!$O:$O, ""), "")</f>
        <v/>
      </c>
      <c r="AF236" s="8" t="str">
        <f t="array" ref="AF236">IFERROR(XLOOKUP(AB236, 'リスト'!$E:$E, 'リスト'!$P:$P, ""), "")</f>
        <v/>
      </c>
      <c r="AG236" s="590" t="str">
        <f>IFERROR(__xludf.DUMMYFUNCTION("""COMPUTED_VALUE"""),"不動産×事務")</f>
        <v>不動産×事務</v>
      </c>
      <c r="AH236" s="8">
        <f t="array" ref="AH236">IFERROR(XLOOKUP(AG236, 'リスト'!$E:$E, 'リスト'!$F:$F, ""), "")</f>
        <v>0.2</v>
      </c>
      <c r="AI236" s="8"/>
      <c r="AJ236" s="8" t="str">
        <f t="array" ref="AJ236">IFERROR(XLOOKUP(AG236, 'リスト'!$E:$E, 'リスト'!$O:$O, ""), "")</f>
        <v>R</v>
      </c>
      <c r="AK236" s="8" t="str">
        <f t="array" ref="AK236">IFERROR(XLOOKUP(AG236, 'リスト'!$E:$E, 'リスト'!$P:$P, ""), "")</f>
        <v/>
      </c>
    </row>
    <row r="237" ht="17.25" customHeight="1">
      <c r="A237" s="587"/>
      <c r="B237" s="588"/>
      <c r="C237" s="590"/>
      <c r="D237" s="8" t="str">
        <f t="array" ref="D237">IFERROR(XLOOKUP(C237, 'リスト'!$E:$E, 'リスト'!$F:$F, ""), "")</f>
        <v/>
      </c>
      <c r="E237" s="8"/>
      <c r="F237" s="8" t="str">
        <f t="array" ref="F237">IFERROR(XLOOKUP(C237, 'リスト'!$E:$E, 'リスト'!$O:$O, ""), "")</f>
        <v/>
      </c>
      <c r="G237" s="8" t="str">
        <f t="array" ref="G237">IFERROR(XLOOKUP(C237, 'リスト'!$E:$E, 'リスト'!$P:$P, ""), "")</f>
        <v/>
      </c>
      <c r="H237" s="590"/>
      <c r="I237" s="8" t="str">
        <f t="array" ref="I237">IFERROR(XLOOKUP(H237, 'リスト'!$E:$E, 'リスト'!$F:$F, ""), "")</f>
        <v/>
      </c>
      <c r="J237" s="8"/>
      <c r="K237" s="8" t="str">
        <f t="array" ref="K237">IFERROR(XLOOKUP(H237, 'リスト'!$E:$E, 'リスト'!$O:$O, ""), "")</f>
        <v/>
      </c>
      <c r="L237" s="8" t="str">
        <f t="array" ref="L237">IFERROR(XLOOKUP(H237, 'リスト'!$E:$E, 'リスト'!$P:$P, ""), "")</f>
        <v/>
      </c>
      <c r="M237" s="590" t="str">
        <f>IFERROR(__xludf.DUMMYFUNCTION("""COMPUTED_VALUE"""),"未経験_研修・資格_クリエイティブ系_東京")</f>
        <v>未経験_研修・資格_クリエイティブ系_東京</v>
      </c>
      <c r="N237" s="8">
        <f t="array" ref="N237">IFERROR(XLOOKUP(M237, 'リスト'!$E:$E, 'リスト'!$F:$F, ""), "")</f>
        <v>0.3</v>
      </c>
      <c r="O237" s="8"/>
      <c r="P237" s="8" t="str">
        <f t="array" ref="P237">IFERROR(XLOOKUP(M237, 'リスト'!$E:$E, 'リスト'!$O:$O, ""), "")</f>
        <v>R</v>
      </c>
      <c r="Q237" s="8" t="str">
        <f t="array" ref="Q237">IFERROR(XLOOKUP(M237, 'リスト'!$E:$E, 'リスト'!$P:$P, ""), "")</f>
        <v/>
      </c>
      <c r="R237" s="590"/>
      <c r="S237" s="8" t="str">
        <f t="array" ref="S237">IFERROR(XLOOKUP(R237, 'リスト'!$E:$E, 'リスト'!$F:$F, ""), "")</f>
        <v/>
      </c>
      <c r="T237" s="8"/>
      <c r="U237" s="8" t="str">
        <f t="array" ref="U237">IFERROR(XLOOKUP(R237, 'リスト'!$E:$E, 'リスト'!$O:$O, ""), "")</f>
        <v/>
      </c>
      <c r="V237" s="8" t="str">
        <f t="array" ref="V237">IFERROR(XLOOKUP(R237, 'リスト'!$E:$E, 'リスト'!$P:$P, ""), "")</f>
        <v/>
      </c>
      <c r="W237" s="590"/>
      <c r="X237" s="8" t="str">
        <f t="array" ref="X237">IFERROR(XLOOKUP(W237, 'リスト'!$E:$E, 'リスト'!$F:$F, ""), "")</f>
        <v/>
      </c>
      <c r="Y237" s="8"/>
      <c r="Z237" s="8" t="str">
        <f t="array" ref="Z237">IFERROR(XLOOKUP(W237, 'リスト'!$E:$E, 'リスト'!$O:$O, ""), "")</f>
        <v/>
      </c>
      <c r="AA237" s="8" t="str">
        <f t="array" ref="AA237">IFERROR(XLOOKUP(W237, 'リスト'!$E:$E, 'リスト'!$P:$P, ""), "")</f>
        <v/>
      </c>
      <c r="AB237" s="590"/>
      <c r="AC237" s="8" t="str">
        <f t="array" ref="AC237">IFERROR(XLOOKUP(AB237, 'リスト'!$E:$E, 'リスト'!$F:$F, ""), "")</f>
        <v/>
      </c>
      <c r="AD237" s="8"/>
      <c r="AE237" s="8" t="str">
        <f t="array" ref="AE237">IFERROR(XLOOKUP(AB237, 'リスト'!$E:$E, 'リスト'!$O:$O, ""), "")</f>
        <v/>
      </c>
      <c r="AF237" s="8" t="str">
        <f t="array" ref="AF237">IFERROR(XLOOKUP(AB237, 'リスト'!$E:$E, 'リスト'!$P:$P, ""), "")</f>
        <v/>
      </c>
      <c r="AG237" s="590"/>
      <c r="AH237" s="8" t="str">
        <f t="array" ref="AH237">IFERROR(XLOOKUP(AG237, 'リスト'!$E:$E, 'リスト'!$F:$F, ""), "")</f>
        <v/>
      </c>
      <c r="AI237" s="8"/>
      <c r="AJ237" s="8" t="str">
        <f t="array" ref="AJ237">IFERROR(XLOOKUP(AG237, 'リスト'!$E:$E, 'リスト'!$O:$O, ""), "")</f>
        <v/>
      </c>
      <c r="AK237" s="8" t="str">
        <f t="array" ref="AK237">IFERROR(XLOOKUP(AG237, 'リスト'!$E:$E, 'リスト'!$P:$P, ""), "")</f>
        <v/>
      </c>
    </row>
    <row r="238" ht="17.25" customHeight="1">
      <c r="A238" s="587"/>
      <c r="B238" s="588"/>
      <c r="C238" s="590"/>
      <c r="D238" s="8" t="str">
        <f t="array" ref="D238">IFERROR(XLOOKUP(C238, 'リスト'!$E:$E, 'リスト'!$F:$F, ""), "")</f>
        <v/>
      </c>
      <c r="E238" s="8"/>
      <c r="F238" s="8" t="str">
        <f t="array" ref="F238">IFERROR(XLOOKUP(C238, 'リスト'!$E:$E, 'リスト'!$O:$O, ""), "")</f>
        <v/>
      </c>
      <c r="G238" s="8" t="str">
        <f t="array" ref="G238">IFERROR(XLOOKUP(C238, 'リスト'!$E:$E, 'リスト'!$P:$P, ""), "")</f>
        <v/>
      </c>
      <c r="H238" s="590"/>
      <c r="I238" s="8" t="str">
        <f t="array" ref="I238">IFERROR(XLOOKUP(H238, 'リスト'!$E:$E, 'リスト'!$F:$F, ""), "")</f>
        <v/>
      </c>
      <c r="J238" s="8"/>
      <c r="K238" s="8" t="str">
        <f t="array" ref="K238">IFERROR(XLOOKUP(H238, 'リスト'!$E:$E, 'リスト'!$O:$O, ""), "")</f>
        <v/>
      </c>
      <c r="L238" s="8" t="str">
        <f t="array" ref="L238">IFERROR(XLOOKUP(H238, 'リスト'!$E:$E, 'リスト'!$P:$P, ""), "")</f>
        <v/>
      </c>
      <c r="M238" s="590"/>
      <c r="N238" s="8" t="str">
        <f t="array" ref="N238">IFERROR(XLOOKUP(M238, 'リスト'!$E:$E, 'リスト'!$F:$F, ""), "")</f>
        <v/>
      </c>
      <c r="O238" s="8"/>
      <c r="P238" s="8" t="str">
        <f t="array" ref="P238">IFERROR(XLOOKUP(M238, 'リスト'!$E:$E, 'リスト'!$O:$O, ""), "")</f>
        <v/>
      </c>
      <c r="Q238" s="8" t="str">
        <f t="array" ref="Q238">IFERROR(XLOOKUP(M238, 'リスト'!$E:$E, 'リスト'!$P:$P, ""), "")</f>
        <v/>
      </c>
      <c r="R238" s="590"/>
      <c r="S238" s="8" t="str">
        <f t="array" ref="S238">IFERROR(XLOOKUP(R238, 'リスト'!$E:$E, 'リスト'!$F:$F, ""), "")</f>
        <v/>
      </c>
      <c r="T238" s="8"/>
      <c r="U238" s="8" t="str">
        <f t="array" ref="U238">IFERROR(XLOOKUP(R238, 'リスト'!$E:$E, 'リスト'!$O:$O, ""), "")</f>
        <v/>
      </c>
      <c r="V238" s="8" t="str">
        <f t="array" ref="V238">IFERROR(XLOOKUP(R238, 'リスト'!$E:$E, 'リスト'!$P:$P, ""), "")</f>
        <v/>
      </c>
      <c r="W238" s="590"/>
      <c r="X238" s="8" t="str">
        <f t="array" ref="X238">IFERROR(XLOOKUP(W238, 'リスト'!$E:$E, 'リスト'!$F:$F, ""), "")</f>
        <v/>
      </c>
      <c r="Y238" s="8"/>
      <c r="Z238" s="8" t="str">
        <f t="array" ref="Z238">IFERROR(XLOOKUP(W238, 'リスト'!$E:$E, 'リスト'!$O:$O, ""), "")</f>
        <v/>
      </c>
      <c r="AA238" s="8" t="str">
        <f t="array" ref="AA238">IFERROR(XLOOKUP(W238, 'リスト'!$E:$E, 'リスト'!$P:$P, ""), "")</f>
        <v/>
      </c>
      <c r="AB238" s="590"/>
      <c r="AC238" s="8" t="str">
        <f t="array" ref="AC238">IFERROR(XLOOKUP(AB238, 'リスト'!$E:$E, 'リスト'!$F:$F, ""), "")</f>
        <v/>
      </c>
      <c r="AD238" s="8"/>
      <c r="AE238" s="8" t="str">
        <f t="array" ref="AE238">IFERROR(XLOOKUP(AB238, 'リスト'!$E:$E, 'リスト'!$O:$O, ""), "")</f>
        <v/>
      </c>
      <c r="AF238" s="8" t="str">
        <f t="array" ref="AF238">IFERROR(XLOOKUP(AB238, 'リスト'!$E:$E, 'リスト'!$P:$P, ""), "")</f>
        <v/>
      </c>
      <c r="AG238" s="590"/>
      <c r="AH238" s="8" t="str">
        <f t="array" ref="AH238">IFERROR(XLOOKUP(AG238, 'リスト'!$E:$E, 'リスト'!$F:$F, ""), "")</f>
        <v/>
      </c>
      <c r="AI238" s="8"/>
      <c r="AJ238" s="8" t="str">
        <f t="array" ref="AJ238">IFERROR(XLOOKUP(AG238, 'リスト'!$E:$E, 'リスト'!$O:$O, ""), "")</f>
        <v/>
      </c>
      <c r="AK238" s="8" t="str">
        <f t="array" ref="AK238">IFERROR(XLOOKUP(AG238, 'リスト'!$E:$E, 'リスト'!$P:$P, ""), "")</f>
        <v/>
      </c>
    </row>
    <row r="239" ht="17.25" customHeight="1">
      <c r="A239" s="587"/>
      <c r="B239" s="592"/>
      <c r="C239" s="590"/>
      <c r="D239" s="8" t="str">
        <f t="array" ref="D239">IFERROR(XLOOKUP(C239, '新規'!$E:$E, '新規'!$F:$F, ""), "")</f>
        <v/>
      </c>
      <c r="E239" s="8"/>
      <c r="F239" s="8" t="str">
        <f t="array" ref="F239">IFERROR(XLOOKUP(C239, '新規'!$E:$E, '新規'!$O:$O, ""), "")</f>
        <v/>
      </c>
      <c r="G239" s="8" t="str">
        <f t="array" ref="G239">IFERROR(XLOOKUP(C239, '新規'!$E:$E, '新規'!$P:$P, ""), "")</f>
        <v/>
      </c>
      <c r="H239" s="590"/>
      <c r="I239" s="8" t="str">
        <f t="array" ref="I239">IFERROR(XLOOKUP(H239, '新規'!$E:$E, '新規'!$F:$F, ""), "")</f>
        <v/>
      </c>
      <c r="J239" s="8"/>
      <c r="K239" s="8" t="str">
        <f t="array" ref="K239">IFERROR(XLOOKUP(H239, '新規'!$E:$E, '新規'!$O:$O, ""), "")</f>
        <v/>
      </c>
      <c r="L239" s="8" t="str">
        <f t="array" ref="L239">IFERROR(XLOOKUP(H239, '新規'!$E:$E, '新規'!$P:$P, ""), "")</f>
        <v/>
      </c>
      <c r="M239" s="590"/>
      <c r="N239" s="8" t="str">
        <f t="array" ref="N239">IFERROR(XLOOKUP(M239, '新規'!$E:$E, '新規'!$F:$F, ""), "")</f>
        <v/>
      </c>
      <c r="O239" s="8"/>
      <c r="P239" s="8" t="str">
        <f t="array" ref="P239">IFERROR(XLOOKUP(M239, '新規'!$E:$E, '新規'!$O:$O, ""), "")</f>
        <v/>
      </c>
      <c r="Q239" s="8" t="str">
        <f t="array" ref="Q239">IFERROR(XLOOKUP(M239, '新規'!$E:$E, '新規'!$P:$P, ""), "")</f>
        <v/>
      </c>
      <c r="R239" s="590"/>
      <c r="S239" s="8" t="str">
        <f t="array" ref="S239">IFERROR(XLOOKUP(R239, '新規'!$E:$E, '新規'!$F:$F, ""), "")</f>
        <v/>
      </c>
      <c r="T239" s="8"/>
      <c r="U239" s="8" t="str">
        <f t="array" ref="U239">IFERROR(XLOOKUP(R239, '新規'!$E:$E, '新規'!$O:$O, ""), "")</f>
        <v/>
      </c>
      <c r="V239" s="8" t="str">
        <f t="array" ref="V239">IFERROR(XLOOKUP(R239, '新規'!$E:$E, '新規'!$P:$P, ""), "")</f>
        <v/>
      </c>
      <c r="W239" s="590"/>
      <c r="X239" s="8" t="str">
        <f t="array" ref="X239">IFERROR(XLOOKUP(W239, '新規'!$E:$E, '新規'!$F:$F, ""), "")</f>
        <v/>
      </c>
      <c r="Y239" s="8"/>
      <c r="Z239" s="8" t="str">
        <f t="array" ref="Z239">IFERROR(XLOOKUP(W239, '新規'!$E:$E, '新規'!$O:$O, ""), "")</f>
        <v/>
      </c>
      <c r="AA239" s="8" t="str">
        <f t="array" ref="AA239">IFERROR(XLOOKUP(W239, '新規'!$E:$E, '新規'!$P:$P, ""), "")</f>
        <v/>
      </c>
      <c r="AB239" s="590"/>
      <c r="AC239" s="8" t="str">
        <f t="array" ref="AC239">IFERROR(XLOOKUP(AB239, '新規'!$E:$E, '新規'!$F:$F, ""), "")</f>
        <v/>
      </c>
      <c r="AD239" s="8"/>
      <c r="AE239" s="8" t="str">
        <f t="array" ref="AE239">IFERROR(XLOOKUP(AB239, '新規'!$E:$E, '新規'!$O:$O, ""), "")</f>
        <v/>
      </c>
      <c r="AF239" s="8" t="str">
        <f t="array" ref="AF239">IFERROR(XLOOKUP(AB239, '新規'!$E:$E, '新規'!$P:$P, ""), "")</f>
        <v/>
      </c>
      <c r="AG239" s="590"/>
      <c r="AH239" s="8" t="str">
        <f t="array" ref="AH239">IFERROR(XLOOKUP(AG239, '新規'!$E:$E, '新規'!$F:$F, ""), "")</f>
        <v/>
      </c>
      <c r="AI239" s="8"/>
      <c r="AJ239" s="8" t="str">
        <f t="array" ref="AJ239">IFERROR(XLOOKUP(AG239, '新規'!$E:$E, '新規'!$O:$O, ""), "")</f>
        <v/>
      </c>
      <c r="AK239" s="8" t="str">
        <f t="array" ref="AK239">IFERROR(XLOOKUP(AG239, '新規'!$E:$E, '新規'!$P:$P, ""), "")</f>
        <v/>
      </c>
    </row>
    <row r="240" ht="17.25" customHeight="1">
      <c r="A240" s="587"/>
      <c r="B240" s="585" t="s">
        <v>78</v>
      </c>
      <c r="C240" s="590" t="str">
        <f>IFERROR(__xludf.DUMMYFUNCTION("IFERROR(FILTER('新規'!$E$2:$E$70, '新規'!$B$2:$B$70 = $A231, (('新規'!$A$2:$A$70 = C$1) + (('新規'!$G$2:$G$70 = ""毎月配信"") * ('新規'!$A$2:$A$70 = CHOOSE(WEEKDAY(C$1), ""日"", ""月"", ""火"", ""水"", ""木"", ""金"", ""土"")))) &gt; 0), """")"),"")</f>
        <v/>
      </c>
      <c r="D240" s="8" t="str">
        <f t="array" ref="D240">IFERROR(XLOOKUP(C240, '新規'!$E:$E, '新規'!$F:$F, ""), "")</f>
        <v/>
      </c>
      <c r="E240" s="8"/>
      <c r="F240" s="8" t="str">
        <f t="array" ref="F240">IFERROR(XLOOKUP(C240, '新規'!$E:$E, '新規'!$O:$O, ""), "")</f>
        <v/>
      </c>
      <c r="G240" s="8" t="str">
        <f t="array" ref="G240">IFERROR(XLOOKUP(C240, '新規'!$E:$E, '新規'!$P:$P, ""), "")</f>
        <v/>
      </c>
      <c r="H240" s="590" t="str">
        <f>IFERROR(__xludf.DUMMYFUNCTION("IFERROR(FILTER('新規'!$E$2:$E$70, '新規'!$B$2:$B$70 = $A231, (('新規'!$A$2:$A$70 = H$1) + (('新規'!$G$2:$G$70 = ""毎月配信"") * ('新規'!$A$2:$A$70 = CHOOSE(WEEKDAY(H$1), ""日"", ""月"", ""火"", ""水"", ""木"", ""金"", ""土"")))) &gt; 0), """")"),"")</f>
        <v/>
      </c>
      <c r="I240" s="8" t="str">
        <f t="array" ref="I240">IFERROR(XLOOKUP(H240, '新規'!$E:$E, '新規'!$F:$F, ""), "")</f>
        <v/>
      </c>
      <c r="J240" s="8"/>
      <c r="K240" s="8" t="str">
        <f t="array" ref="K240">IFERROR(XLOOKUP(H240, '新規'!$E:$E, '新規'!$O:$O, ""), "")</f>
        <v/>
      </c>
      <c r="L240" s="8" t="str">
        <f t="array" ref="L240">IFERROR(XLOOKUP(H240, '新規'!$E:$E, '新規'!$P:$P, ""), "")</f>
        <v/>
      </c>
      <c r="M240" s="590" t="str">
        <f>IFERROR(__xludf.DUMMYFUNCTION("IFERROR(FILTER('新規'!$E$2:$E$70, '新規'!$B$2:$B$70 = $A231, (('新規'!$A$2:$A$70 = M$1) + (('新規'!$G$2:$G$70 = ""毎月配信"") * ('新規'!$A$2:$A$70 = CHOOSE(WEEKDAY(M$1), ""日"", ""月"", ""火"", ""水"", ""木"", ""金"", ""土"")))) &gt; 0), """")"),"")</f>
        <v/>
      </c>
      <c r="N240" s="8" t="str">
        <f t="array" ref="N240">IFERROR(XLOOKUP(M240, '新規'!$E:$E, '新規'!$F:$F, ""), "")</f>
        <v/>
      </c>
      <c r="O240" s="8"/>
      <c r="P240" s="8" t="str">
        <f t="array" ref="P240">IFERROR(XLOOKUP(M240, '新規'!$E:$E, '新規'!$O:$O, ""), "")</f>
        <v/>
      </c>
      <c r="Q240" s="8" t="str">
        <f t="array" ref="Q240">IFERROR(XLOOKUP(M240, '新規'!$E:$E, '新規'!$P:$P, ""), "")</f>
        <v/>
      </c>
      <c r="R240" s="590" t="str">
        <f>IFERROR(__xludf.DUMMYFUNCTION("IFERROR(FILTER('新規'!$E$2:$E$70, '新規'!$B$2:$B$70 = $A231, (('新規'!$A$2:$A$70 = R$1) + (('新規'!$G$2:$G$70 = ""毎月配信"") * ('新規'!$A$2:$A$70 = CHOOSE(WEEKDAY(R$1), ""日"", ""月"", ""火"", ""水"", ""木"", ""金"", ""土"")))) &gt; 0), """")"),"有給取得率")</f>
        <v>有給取得率</v>
      </c>
      <c r="S240" s="8">
        <f t="array" ref="S240">IFERROR(XLOOKUP(R240, '新規'!$E:$E, '新規'!$F:$F, ""), "")</f>
        <v>2.2</v>
      </c>
      <c r="T240" s="8"/>
      <c r="U240" s="8" t="str">
        <f t="array" ref="U240">IFERROR(XLOOKUP(R240, '新規'!$E:$E, '新規'!$O:$O, ""), "")</f>
        <v>石</v>
      </c>
      <c r="V240" s="8" t="str">
        <f t="array" ref="V240">IFERROR(XLOOKUP(R240, '新規'!$E:$E, '新規'!$P:$P, ""), "")</f>
        <v>武</v>
      </c>
      <c r="W240" s="590" t="str">
        <f>IFERROR(__xludf.DUMMYFUNCTION("IFERROR(FILTER('新規'!$E$2:$E$70, '新規'!$B$2:$B$70 = $A231, (('新規'!$A$2:$A$70 = W$1) + (('新規'!$G$2:$G$70 = ""毎月配信"") * ('新規'!$A$2:$A$70 = CHOOSE(WEEKDAY(W$1), ""日"", ""月"", ""火"", ""水"", ""木"", ""金"", ""土"")))) &gt; 0), """")"),"")</f>
        <v/>
      </c>
      <c r="X240" s="8" t="str">
        <f t="array" ref="X240">IFERROR(XLOOKUP(W240, '新規'!$E:$E, '新規'!$F:$F, ""), "")</f>
        <v/>
      </c>
      <c r="Y240" s="8"/>
      <c r="Z240" s="8" t="str">
        <f t="array" ref="Z240">IFERROR(XLOOKUP(W240, '新規'!$E:$E, '新規'!$O:$O, ""), "")</f>
        <v/>
      </c>
      <c r="AA240" s="8" t="str">
        <f t="array" ref="AA240">IFERROR(XLOOKUP(W240, '新規'!$E:$E, '新規'!$P:$P, ""), "")</f>
        <v/>
      </c>
      <c r="AB240" s="590" t="str">
        <f>IFERROR(__xludf.DUMMYFUNCTION("IFERROR(FILTER('新規'!$E$2:$E$70, '新規'!$B$2:$B$70 = $A231, (('新規'!$A$2:$A$70 = AB$1) + (('新規'!$G$2:$G$70 = ""毎月配信"") * ('新規'!$A$2:$A$70 = CHOOSE(WEEKDAY(AB$1), ""日"", ""月"", ""火"", ""水"", ""木"", ""金"", ""土"")))) &gt; 0), """")"),"")</f>
        <v/>
      </c>
      <c r="AC240" s="8" t="str">
        <f t="array" ref="AC240">IFERROR(XLOOKUP(AB240, '新規'!$E:$E, '新規'!$F:$F, ""), "")</f>
        <v/>
      </c>
      <c r="AD240" s="8"/>
      <c r="AE240" s="8" t="str">
        <f t="array" ref="AE240">IFERROR(XLOOKUP(AB240, '新規'!$E:$E, '新規'!$O:$O, ""), "")</f>
        <v/>
      </c>
      <c r="AF240" s="8" t="str">
        <f t="array" ref="AF240">IFERROR(XLOOKUP(AB240, '新規'!$E:$E, '新規'!$P:$P, ""), "")</f>
        <v/>
      </c>
      <c r="AG240" s="590" t="str">
        <f>IFERROR(__xludf.DUMMYFUNCTION("IFERROR(FILTER('新規'!$E$2:$E$70, '新規'!$B$2:$B$70 = $A231, (('新規'!$A$2:$A$70 = AG$1) + (('新規'!$G$2:$G$70 = ""毎月配信"") * ('新規'!$A$2:$A$70 = CHOOSE(WEEKDAY(AG$1), ""日"", ""月"", ""火"", ""水"", ""木"", ""金"", ""土"")))) &gt; 0), """")"),"保育士_幼稚園教諭")</f>
        <v>保育士_幼稚園教諭</v>
      </c>
      <c r="AH240" s="8">
        <f t="array" ref="AH240">IFERROR(XLOOKUP(AG240, '新規'!$E:$E, '新規'!$F:$F, ""), "")</f>
        <v>0.1</v>
      </c>
      <c r="AI240" s="8"/>
      <c r="AJ240" s="8" t="str">
        <f t="array" ref="AJ240">IFERROR(XLOOKUP(AG240, '新規'!$E:$E, '新規'!$O:$O, ""), "")</f>
        <v>石</v>
      </c>
      <c r="AK240" s="8" t="str">
        <f t="array" ref="AK240">IFERROR(XLOOKUP(AG240, '新規'!$E:$E, '新規'!$P:$P, ""), "")</f>
        <v>部</v>
      </c>
    </row>
    <row r="241" ht="17.25" customHeight="1">
      <c r="A241" s="587"/>
      <c r="B241" s="588"/>
      <c r="C241" s="590"/>
      <c r="D241" s="8" t="str">
        <f t="array" ref="D241">IFERROR(XLOOKUP(C241, '新規'!$E:$E, '新規'!$F:$F, ""), "")</f>
        <v/>
      </c>
      <c r="E241" s="8"/>
      <c r="F241" s="8" t="str">
        <f t="array" ref="F241">IFERROR(XLOOKUP(C241, '新規'!$E:$E, '新規'!$O:$O, ""), "")</f>
        <v/>
      </c>
      <c r="G241" s="8" t="str">
        <f t="array" ref="G241">IFERROR(XLOOKUP(C241, '新規'!$E:$E, '新規'!$P:$P, ""), "")</f>
        <v/>
      </c>
      <c r="H241" s="590"/>
      <c r="I241" s="8" t="str">
        <f t="array" ref="I241">IFERROR(XLOOKUP(H241, '新規'!$E:$E, '新規'!$F:$F, ""), "")</f>
        <v/>
      </c>
      <c r="J241" s="8"/>
      <c r="K241" s="8" t="str">
        <f t="array" ref="K241">IFERROR(XLOOKUP(H241, '新規'!$E:$E, '新規'!$O:$O, ""), "")</f>
        <v/>
      </c>
      <c r="L241" s="8" t="str">
        <f t="array" ref="L241">IFERROR(XLOOKUP(H241, '新規'!$E:$E, '新規'!$P:$P, ""), "")</f>
        <v/>
      </c>
      <c r="M241" s="590"/>
      <c r="N241" s="8" t="str">
        <f t="array" ref="N241">IFERROR(XLOOKUP(M241, '新規'!$E:$E, '新規'!$F:$F, ""), "")</f>
        <v/>
      </c>
      <c r="O241" s="8"/>
      <c r="P241" s="8" t="str">
        <f t="array" ref="P241">IFERROR(XLOOKUP(M241, '新規'!$E:$E, '新規'!$O:$O, ""), "")</f>
        <v/>
      </c>
      <c r="Q241" s="8" t="str">
        <f t="array" ref="Q241">IFERROR(XLOOKUP(M241, '新規'!$E:$E, '新規'!$P:$P, ""), "")</f>
        <v/>
      </c>
      <c r="R241" s="590" t="str">
        <f>IFERROR(__xludf.DUMMYFUNCTION("""COMPUTED_VALUE"""),"有給取得率①")</f>
        <v>有給取得率①</v>
      </c>
      <c r="S241" s="8" t="str">
        <f t="array" ref="S241">IFERROR(XLOOKUP(R241, '新規'!$E:$E, '新規'!$F:$F, ""), "")</f>
        <v/>
      </c>
      <c r="T241" s="8"/>
      <c r="U241" s="8" t="str">
        <f t="array" ref="U241">IFERROR(XLOOKUP(R241, '新規'!$E:$E, '新規'!$O:$O, ""), "")</f>
        <v/>
      </c>
      <c r="V241" s="8" t="str">
        <f t="array" ref="V241">IFERROR(XLOOKUP(R241, '新規'!$E:$E, '新規'!$P:$P, ""), "")</f>
        <v/>
      </c>
      <c r="W241" s="590"/>
      <c r="X241" s="8" t="str">
        <f t="array" ref="X241">IFERROR(XLOOKUP(W241, '新規'!$E:$E, '新規'!$F:$F, ""), "")</f>
        <v/>
      </c>
      <c r="Y241" s="8"/>
      <c r="Z241" s="8" t="str">
        <f t="array" ref="Z241">IFERROR(XLOOKUP(W241, '新規'!$E:$E, '新規'!$O:$O, ""), "")</f>
        <v/>
      </c>
      <c r="AA241" s="8" t="str">
        <f t="array" ref="AA241">IFERROR(XLOOKUP(W241, '新規'!$E:$E, '新規'!$P:$P, ""), "")</f>
        <v/>
      </c>
      <c r="AB241" s="590"/>
      <c r="AC241" s="8" t="str">
        <f t="array" ref="AC241">IFERROR(XLOOKUP(AB241, '新規'!$E:$E, '新規'!$F:$F, ""), "")</f>
        <v/>
      </c>
      <c r="AD241" s="8"/>
      <c r="AE241" s="8" t="str">
        <f t="array" ref="AE241">IFERROR(XLOOKUP(AB241, '新規'!$E:$E, '新規'!$O:$O, ""), "")</f>
        <v/>
      </c>
      <c r="AF241" s="8" t="str">
        <f t="array" ref="AF241">IFERROR(XLOOKUP(AB241, '新規'!$E:$E, '新規'!$P:$P, ""), "")</f>
        <v/>
      </c>
      <c r="AG241" s="590" t="str">
        <f>IFERROR(__xludf.DUMMYFUNCTION("""COMPUTED_VALUE"""),"保育士_幼稚園教諭")</f>
        <v>保育士_幼稚園教諭</v>
      </c>
      <c r="AH241" s="8">
        <f t="array" ref="AH241">IFERROR(XLOOKUP(AG241, '新規'!$E:$E, '新規'!$F:$F, ""), "")</f>
        <v>0.1</v>
      </c>
      <c r="AI241" s="8"/>
      <c r="AJ241" s="8" t="str">
        <f t="array" ref="AJ241">IFERROR(XLOOKUP(AG241, '新規'!$E:$E, '新規'!$O:$O, ""), "")</f>
        <v>石</v>
      </c>
      <c r="AK241" s="8" t="str">
        <f t="array" ref="AK241">IFERROR(XLOOKUP(AG241, '新規'!$E:$E, '新規'!$P:$P, ""), "")</f>
        <v>部</v>
      </c>
    </row>
    <row r="242" ht="17.25" customHeight="1">
      <c r="A242" s="587"/>
      <c r="B242" s="588"/>
      <c r="C242" s="590"/>
      <c r="D242" s="8" t="str">
        <f t="array" ref="D242">IFERROR(XLOOKUP(C242, '新規'!$E:$E, '新規'!$F:$F, ""), "")</f>
        <v/>
      </c>
      <c r="E242" s="8"/>
      <c r="F242" s="8" t="str">
        <f t="array" ref="F242">IFERROR(XLOOKUP(C242, '新規'!$E:$E, '新規'!$O:$O, ""), "")</f>
        <v/>
      </c>
      <c r="G242" s="8" t="str">
        <f t="array" ref="G242">IFERROR(XLOOKUP(C242, '新規'!$E:$E, '新規'!$P:$P, ""), "")</f>
        <v/>
      </c>
      <c r="H242" s="590"/>
      <c r="I242" s="8" t="str">
        <f t="array" ref="I242">IFERROR(XLOOKUP(H242, '新規'!$E:$E, '新規'!$F:$F, ""), "")</f>
        <v/>
      </c>
      <c r="J242" s="8"/>
      <c r="K242" s="8" t="str">
        <f t="array" ref="K242">IFERROR(XLOOKUP(H242, '新規'!$E:$E, '新規'!$O:$O, ""), "")</f>
        <v/>
      </c>
      <c r="L242" s="8" t="str">
        <f t="array" ref="L242">IFERROR(XLOOKUP(H242, '新規'!$E:$E, '新規'!$P:$P, ""), "")</f>
        <v/>
      </c>
      <c r="M242" s="590"/>
      <c r="N242" s="8" t="str">
        <f t="array" ref="N242">IFERROR(XLOOKUP(M242, '新規'!$E:$E, '新規'!$F:$F, ""), "")</f>
        <v/>
      </c>
      <c r="O242" s="8"/>
      <c r="P242" s="8" t="str">
        <f t="array" ref="P242">IFERROR(XLOOKUP(M242, '新規'!$E:$E, '新規'!$O:$O, ""), "")</f>
        <v/>
      </c>
      <c r="Q242" s="8" t="str">
        <f t="array" ref="Q242">IFERROR(XLOOKUP(M242, '新規'!$E:$E, '新規'!$P:$P, ""), "")</f>
        <v/>
      </c>
      <c r="R242" s="590"/>
      <c r="S242" s="8" t="str">
        <f t="array" ref="S242">IFERROR(XLOOKUP(R242, '新規'!$E:$E, '新規'!$F:$F, ""), "")</f>
        <v/>
      </c>
      <c r="T242" s="8"/>
      <c r="U242" s="8" t="str">
        <f t="array" ref="U242">IFERROR(XLOOKUP(R242, '新規'!$E:$E, '新規'!$O:$O, ""), "")</f>
        <v/>
      </c>
      <c r="V242" s="8" t="str">
        <f t="array" ref="V242">IFERROR(XLOOKUP(R242, '新規'!$E:$E, '新規'!$P:$P, ""), "")</f>
        <v/>
      </c>
      <c r="W242" s="590"/>
      <c r="X242" s="8" t="str">
        <f t="array" ref="X242">IFERROR(XLOOKUP(W242, '新規'!$E:$E, '新規'!$F:$F, ""), "")</f>
        <v/>
      </c>
      <c r="Y242" s="8"/>
      <c r="Z242" s="8" t="str">
        <f t="array" ref="Z242">IFERROR(XLOOKUP(W242, '新規'!$E:$E, '新規'!$O:$O, ""), "")</f>
        <v/>
      </c>
      <c r="AA242" s="8" t="str">
        <f t="array" ref="AA242">IFERROR(XLOOKUP(W242, '新規'!$E:$E, '新規'!$P:$P, ""), "")</f>
        <v/>
      </c>
      <c r="AB242" s="590"/>
      <c r="AC242" s="8" t="str">
        <f t="array" ref="AC242">IFERROR(XLOOKUP(AB242, '新規'!$E:$E, '新規'!$F:$F, ""), "")</f>
        <v/>
      </c>
      <c r="AD242" s="8"/>
      <c r="AE242" s="8" t="str">
        <f t="array" ref="AE242">IFERROR(XLOOKUP(AB242, '新規'!$E:$E, '新規'!$O:$O, ""), "")</f>
        <v/>
      </c>
      <c r="AF242" s="8" t="str">
        <f t="array" ref="AF242">IFERROR(XLOOKUP(AB242, '新規'!$E:$E, '新規'!$P:$P, ""), "")</f>
        <v/>
      </c>
      <c r="AG242" s="590"/>
      <c r="AH242" s="8" t="str">
        <f t="array" ref="AH242">IFERROR(XLOOKUP(AG242, '新規'!$E:$E, '新規'!$F:$F, ""), "")</f>
        <v/>
      </c>
      <c r="AI242" s="8"/>
      <c r="AJ242" s="8" t="str">
        <f t="array" ref="AJ242">IFERROR(XLOOKUP(AG242, '新規'!$E:$E, '新規'!$O:$O, ""), "")</f>
        <v/>
      </c>
      <c r="AK242" s="8" t="str">
        <f t="array" ref="AK242">IFERROR(XLOOKUP(AG242, '新規'!$E:$E, '新規'!$P:$P, ""), "")</f>
        <v/>
      </c>
    </row>
    <row r="243" ht="17.25" customHeight="1">
      <c r="A243" s="587"/>
      <c r="B243" s="588"/>
      <c r="C243" s="590"/>
      <c r="D243" s="8" t="str">
        <f t="array" ref="D243">IFERROR(XLOOKUP(C243, '新規'!$E:$E, '新規'!$F:$F, ""), "")</f>
        <v/>
      </c>
      <c r="E243" s="8"/>
      <c r="F243" s="8" t="str">
        <f t="array" ref="F243">IFERROR(XLOOKUP(C243, '新規'!$E:$E, '新規'!$O:$O, ""), "")</f>
        <v/>
      </c>
      <c r="G243" s="8" t="str">
        <f t="array" ref="G243">IFERROR(XLOOKUP(C243, '新規'!$E:$E, '新規'!$P:$P, ""), "")</f>
        <v/>
      </c>
      <c r="H243" s="590"/>
      <c r="I243" s="8" t="str">
        <f t="array" ref="I243">IFERROR(XLOOKUP(H243, '新規'!$E:$E, '新規'!$F:$F, ""), "")</f>
        <v/>
      </c>
      <c r="J243" s="8"/>
      <c r="K243" s="8" t="str">
        <f t="array" ref="K243">IFERROR(XLOOKUP(H243, '新規'!$E:$E, '新規'!$O:$O, ""), "")</f>
        <v/>
      </c>
      <c r="L243" s="8" t="str">
        <f t="array" ref="L243">IFERROR(XLOOKUP(H243, '新規'!$E:$E, '新規'!$P:$P, ""), "")</f>
        <v/>
      </c>
      <c r="M243" s="590"/>
      <c r="N243" s="8" t="str">
        <f t="array" ref="N243">IFERROR(XLOOKUP(M243, '新規'!$E:$E, '新規'!$F:$F, ""), "")</f>
        <v/>
      </c>
      <c r="O243" s="8"/>
      <c r="P243" s="8" t="str">
        <f t="array" ref="P243">IFERROR(XLOOKUP(M243, '新規'!$E:$E, '新規'!$O:$O, ""), "")</f>
        <v/>
      </c>
      <c r="Q243" s="8" t="str">
        <f t="array" ref="Q243">IFERROR(XLOOKUP(M243, '新規'!$E:$E, '新規'!$P:$P, ""), "")</f>
        <v/>
      </c>
      <c r="R243" s="590"/>
      <c r="S243" s="8" t="str">
        <f t="array" ref="S243">IFERROR(XLOOKUP(R243, '新規'!$E:$E, '新規'!$F:$F, ""), "")</f>
        <v/>
      </c>
      <c r="T243" s="8"/>
      <c r="U243" s="8" t="str">
        <f t="array" ref="U243">IFERROR(XLOOKUP(R243, '新規'!$E:$E, '新規'!$O:$O, ""), "")</f>
        <v/>
      </c>
      <c r="V243" s="8" t="str">
        <f t="array" ref="V243">IFERROR(XLOOKUP(R243, '新規'!$E:$E, '新規'!$P:$P, ""), "")</f>
        <v/>
      </c>
      <c r="W243" s="590"/>
      <c r="X243" s="8" t="str">
        <f t="array" ref="X243">IFERROR(XLOOKUP(W243, '新規'!$E:$E, '新規'!$F:$F, ""), "")</f>
        <v/>
      </c>
      <c r="Y243" s="8"/>
      <c r="Z243" s="8" t="str">
        <f t="array" ref="Z243">IFERROR(XLOOKUP(W243, '新規'!$E:$E, '新規'!$O:$O, ""), "")</f>
        <v/>
      </c>
      <c r="AA243" s="8" t="str">
        <f t="array" ref="AA243">IFERROR(XLOOKUP(W243, '新規'!$E:$E, '新規'!$P:$P, ""), "")</f>
        <v/>
      </c>
      <c r="AB243" s="590"/>
      <c r="AC243" s="8" t="str">
        <f t="array" ref="AC243">IFERROR(XLOOKUP(AB243, '新規'!$E:$E, '新規'!$F:$F, ""), "")</f>
        <v/>
      </c>
      <c r="AD243" s="8"/>
      <c r="AE243" s="8" t="str">
        <f t="array" ref="AE243">IFERROR(XLOOKUP(AB243, '新規'!$E:$E, '新規'!$O:$O, ""), "")</f>
        <v/>
      </c>
      <c r="AF243" s="8" t="str">
        <f t="array" ref="AF243">IFERROR(XLOOKUP(AB243, '新規'!$E:$E, '新規'!$P:$P, ""), "")</f>
        <v/>
      </c>
      <c r="AG243" s="590"/>
      <c r="AH243" s="8" t="str">
        <f t="array" ref="AH243">IFERROR(XLOOKUP(AG243, '新規'!$E:$E, '新規'!$F:$F, ""), "")</f>
        <v/>
      </c>
      <c r="AI243" s="8"/>
      <c r="AJ243" s="8" t="str">
        <f t="array" ref="AJ243">IFERROR(XLOOKUP(AG243, '新規'!$E:$E, '新規'!$O:$O, ""), "")</f>
        <v/>
      </c>
      <c r="AK243" s="8" t="str">
        <f t="array" ref="AK243">IFERROR(XLOOKUP(AG243, '新規'!$E:$E, '新規'!$P:$P, ""), "")</f>
        <v/>
      </c>
    </row>
    <row r="244" ht="17.25" customHeight="1">
      <c r="A244" s="587"/>
      <c r="B244" s="592"/>
      <c r="C244" s="590"/>
      <c r="D244" s="593" t="str">
        <f>IFERROR(__xludf.DUMMYFUNCTION("IF(C244="""","""",IFERROR(INDEX(FILTER('特殊配信マスタ'!$F$3:$F$16,('特殊配信マスタ'!$A$3:$A$16=CHOOSE(WEEKDAY(C$1),""日"",""月"",""火"",""水"",""木"",""金"",""土""))*('特殊配信マスタ'!$B$3:$B$16=A$3)*('特殊配信マスタ'!$R$3:$R$16=MOD(INT((C$1-'特殊配信マスタ'!$A$1)/7),3)+1)),1),""""))"),"")</f>
        <v/>
      </c>
      <c r="E244" s="590"/>
      <c r="F244" s="593" t="str">
        <f>IFERROR(__xludf.DUMMYFUNCTION("IF(C244="""","""",IFERROR(INDEX(FILTER('特殊配信マスタ'!$O$3:$O$16,('特殊配信マスタ'!$A$3:$A$16=CHOOSE(WEEKDAY(C$1),""日"",""月"",""火"",""水"",""木"",""金"",""土""))*('特殊配信マスタ'!$B$3:$B$16=A$3)*('特殊配信マスタ'!$R$3:$R$16=MOD(INT((C$1-'特殊配信マスタ'!$A$1)/7),3)+1)),1),""""))"),"")</f>
        <v/>
      </c>
      <c r="G244" s="593" t="str">
        <f>IFERROR(__xludf.DUMMYFUNCTION("IF(C244="""","""",IFERROR(INDEX(FILTER('特殊配信マスタ'!$P$3:$P$16,('特殊配信マスタ'!$A$3:$A$16=CHOOSE(WEEKDAY(C$1),""日"",""月"",""火"",""水"",""木"",""金"",""土""))*('特殊配信マスタ'!$B$3:$B$16=A$3)*('特殊配信マスタ'!$R$3:$R$16=MOD(INT((C$1-'特殊配信マスタ'!$A$1)/7),3)+1)),1),""""))"),"")</f>
        <v/>
      </c>
      <c r="H244" s="590"/>
      <c r="I244" s="593" t="str">
        <f>IFERROR(__xludf.DUMMYFUNCTION("IF(H244="""","""",IFERROR(INDEX(FILTER('特殊配信マスタ'!$F$3:$F$16,('特殊配信マスタ'!$A$3:$A$16=CHOOSE(WEEKDAY(H$1),""日"",""月"",""火"",""水"",""木"",""金"",""土""))*('特殊配信マスタ'!$B$3:$B$16=F$3)*('特殊配信マスタ'!$R$3:$R$16=MOD(INT((H$1-'特殊配信マスタ'!$A$1)/7),3)+1)),1),""""))"),"")</f>
        <v/>
      </c>
      <c r="J244" s="590"/>
      <c r="K244" s="593" t="str">
        <f>IFERROR(__xludf.DUMMYFUNCTION("IF(H244="""","""",IFERROR(INDEX(FILTER('特殊配信マスタ'!$O$3:$O$16,('特殊配信マスタ'!$A$3:$A$16=CHOOSE(WEEKDAY(H$1),""日"",""月"",""火"",""水"",""木"",""金"",""土""))*('特殊配信マスタ'!$B$3:$B$16=F$3)*('特殊配信マスタ'!$R$3:$R$16=MOD(INT((H$1-'特殊配信マスタ'!$A$1)/7),3)+1)),1),""""))"),"")</f>
        <v/>
      </c>
      <c r="L244" s="593" t="str">
        <f>IFERROR(__xludf.DUMMYFUNCTION("IF(H244="""","""",IFERROR(INDEX(FILTER('特殊配信マスタ'!$P$3:$P$16,('特殊配信マスタ'!$A$3:$A$16=CHOOSE(WEEKDAY(H$1),""日"",""月"",""火"",""水"",""木"",""金"",""土""))*('特殊配信マスタ'!$B$3:$B$16=F$3)*('特殊配信マスタ'!$R$3:$R$16=MOD(INT((H$1-'特殊配信マスタ'!$A$1)/7),3)+1)),1),""""))"),"")</f>
        <v/>
      </c>
      <c r="M244" s="590"/>
      <c r="N244" s="593" t="str">
        <f>IFERROR(__xludf.DUMMYFUNCTION("IF(M244="""","""",IFERROR(INDEX(FILTER('特殊配信マスタ'!$F$3:$F$16,('特殊配信マスタ'!$A$3:$A$16=CHOOSE(WEEKDAY(M$1),""日"",""月"",""火"",""水"",""木"",""金"",""土""))*('特殊配信マスタ'!$B$3:$B$16=K$3)*('特殊配信マスタ'!$R$3:$R$16=MOD(INT((M$1-'特殊配信マスタ'!$A$1)/7),3)+1)),1),""""))"),"")</f>
        <v/>
      </c>
      <c r="O244" s="590"/>
      <c r="P244" s="593" t="str">
        <f>IFERROR(__xludf.DUMMYFUNCTION("IF(M244="""","""",IFERROR(INDEX(FILTER('特殊配信マスタ'!$O$3:$O$16,('特殊配信マスタ'!$A$3:$A$16=CHOOSE(WEEKDAY(M$1),""日"",""月"",""火"",""水"",""木"",""金"",""土""))*('特殊配信マスタ'!$B$3:$B$16=K$3)*('特殊配信マスタ'!$R$3:$R$16=MOD(INT((M$1-'特殊配信マスタ'!$A$1)/7),3)+1)),1),""""))"),"")</f>
        <v/>
      </c>
      <c r="Q244" s="593" t="str">
        <f>IFERROR(__xludf.DUMMYFUNCTION("IF(M244="""","""",IFERROR(INDEX(FILTER('特殊配信マスタ'!$P$3:$P$16,('特殊配信マスタ'!$A$3:$A$16=CHOOSE(WEEKDAY(M$1),""日"",""月"",""火"",""水"",""木"",""金"",""土""))*('特殊配信マスタ'!$B$3:$B$16=K$3)*('特殊配信マスタ'!$R$3:$R$16=MOD(INT((M$1-'特殊配信マスタ'!$A$1)/7),3)+1)),1),""""))"),"")</f>
        <v/>
      </c>
      <c r="R244" s="590"/>
      <c r="S244" s="593" t="str">
        <f>IFERROR(__xludf.DUMMYFUNCTION("IF(R244="""","""",IFERROR(INDEX(FILTER('特殊配信マスタ'!$F$3:$F$16,('特殊配信マスタ'!$A$3:$A$16=CHOOSE(WEEKDAY(R$1),""日"",""月"",""火"",""水"",""木"",""金"",""土""))*('特殊配信マスタ'!$B$3:$B$16=P$3)*('特殊配信マスタ'!$R$3:$R$16=MOD(INT((R$1-'特殊配信マスタ'!$A$1)/7),3)+1)),1),""""))"),"")</f>
        <v/>
      </c>
      <c r="T244" s="590"/>
      <c r="U244" s="593" t="str">
        <f>IFERROR(__xludf.DUMMYFUNCTION("IF(R244="""","""",IFERROR(INDEX(FILTER('特殊配信マスタ'!$O$3:$O$16,('特殊配信マスタ'!$A$3:$A$16=CHOOSE(WEEKDAY(R$1),""日"",""月"",""火"",""水"",""木"",""金"",""土""))*('特殊配信マスタ'!$B$3:$B$16=P$3)*('特殊配信マスタ'!$R$3:$R$16=MOD(INT((R$1-'特殊配信マスタ'!$A$1)/7),3)+1)),1),""""))"),"")</f>
        <v/>
      </c>
      <c r="V244" s="593" t="str">
        <f>IFERROR(__xludf.DUMMYFUNCTION("IF(R244="""","""",IFERROR(INDEX(FILTER('特殊配信マスタ'!$P$3:$P$16,('特殊配信マスタ'!$A$3:$A$16=CHOOSE(WEEKDAY(R$1),""日"",""月"",""火"",""水"",""木"",""金"",""土""))*('特殊配信マスタ'!$B$3:$B$16=P$3)*('特殊配信マスタ'!$R$3:$R$16=MOD(INT((R$1-'特殊配信マスタ'!$A$1)/7),3)+1)),1),""""))"),"")</f>
        <v/>
      </c>
      <c r="W244" s="590"/>
      <c r="X244" s="593" t="str">
        <f>IFERROR(__xludf.DUMMYFUNCTION("IF(W244="""","""",IFERROR(INDEX(FILTER('特殊配信マスタ'!$F$3:$F$16,('特殊配信マスタ'!$A$3:$A$16=CHOOSE(WEEKDAY(W$1),""日"",""月"",""火"",""水"",""木"",""金"",""土""))*('特殊配信マスタ'!$B$3:$B$16=U$3)*('特殊配信マスタ'!$R$3:$R$16=MOD(INT((W$1-'特殊配信マスタ'!$A$1)/7),3)+1)),1),""""))"),"")</f>
        <v/>
      </c>
      <c r="Y244" s="590"/>
      <c r="Z244" s="593" t="str">
        <f>IFERROR(__xludf.DUMMYFUNCTION("IF(W244="""","""",IFERROR(INDEX(FILTER('特殊配信マスタ'!$O$3:$O$16,('特殊配信マスタ'!$A$3:$A$16=CHOOSE(WEEKDAY(W$1),""日"",""月"",""火"",""水"",""木"",""金"",""土""))*('特殊配信マスタ'!$B$3:$B$16=U$3)*('特殊配信マスタ'!$R$3:$R$16=MOD(INT((W$1-'特殊配信マスタ'!$A$1)/7),3)+1)),1),""""))"),"")</f>
        <v/>
      </c>
      <c r="AA244" s="593" t="str">
        <f>IFERROR(__xludf.DUMMYFUNCTION("IF(W244="""","""",IFERROR(INDEX(FILTER('特殊配信マスタ'!$P$3:$P$16,('特殊配信マスタ'!$A$3:$A$16=CHOOSE(WEEKDAY(W$1),""日"",""月"",""火"",""水"",""木"",""金"",""土""))*('特殊配信マスタ'!$B$3:$B$16=U$3)*('特殊配信マスタ'!$R$3:$R$16=MOD(INT((W$1-'特殊配信マスタ'!$A$1)/7),3)+1)),1),""""))"),"")</f>
        <v/>
      </c>
      <c r="AB244" s="590"/>
      <c r="AC244" s="593" t="str">
        <f>IFERROR(__xludf.DUMMYFUNCTION("IF(AB244="""","""",IFERROR(INDEX(FILTER('特殊配信マスタ'!$F$3:$F$16,('特殊配信マスタ'!$A$3:$A$16=CHOOSE(WEEKDAY(AB$1),""日"",""月"",""火"",""水"",""木"",""金"",""土""))*('特殊配信マスタ'!$B$3:$B$16=Z$3)*('特殊配信マスタ'!$R$3:$R$16=MOD(INT((AB$1-'特殊配信マスタ'!$A$1)/7),3)+1)),1),""""))"),"")</f>
        <v/>
      </c>
      <c r="AD244" s="590"/>
      <c r="AE244" s="593" t="str">
        <f>IFERROR(__xludf.DUMMYFUNCTION("IF(AB244="""","""",IFERROR(INDEX(FILTER('特殊配信マスタ'!$O$3:$O$16,('特殊配信マスタ'!$A$3:$A$16=CHOOSE(WEEKDAY(AB$1),""日"",""月"",""火"",""水"",""木"",""金"",""土""))*('特殊配信マスタ'!$B$3:$B$16=Z$3)*('特殊配信マスタ'!$R$3:$R$16=MOD(INT((AB$1-'特殊配信マスタ'!$A$1)/7),3)+1)),1),""""))"),"")</f>
        <v/>
      </c>
      <c r="AF244" s="593" t="str">
        <f>IFERROR(__xludf.DUMMYFUNCTION("IF(AB244="""","""",IFERROR(INDEX(FILTER('特殊配信マスタ'!$P$3:$P$16,('特殊配信マスタ'!$A$3:$A$16=CHOOSE(WEEKDAY(AB$1),""日"",""月"",""火"",""水"",""木"",""金"",""土""))*('特殊配信マスタ'!$B$3:$B$16=Z$3)*('特殊配信マスタ'!$R$3:$R$16=MOD(INT((AB$1-'特殊配信マスタ'!$A$1)/7),3)+1)),1),""""))"),"")</f>
        <v/>
      </c>
      <c r="AG244" s="590"/>
      <c r="AH244" s="593" t="str">
        <f>IFERROR(__xludf.DUMMYFUNCTION("IF(AG244="""","""",IFERROR(INDEX(FILTER('特殊配信マスタ'!$F$3:$F$16,('特殊配信マスタ'!$A$3:$A$16=CHOOSE(WEEKDAY(AG$1),""日"",""月"",""火"",""水"",""木"",""金"",""土""))*('特殊配信マスタ'!$B$3:$B$16=AE$3)*('特殊配信マスタ'!$R$3:$R$16=MOD(INT((AG$1-'特殊配信マスタ'!$A$1)/7),3)+1)),1),""""))"),"")</f>
        <v/>
      </c>
      <c r="AI244" s="590"/>
      <c r="AJ244" s="593" t="str">
        <f>IFERROR(__xludf.DUMMYFUNCTION("IF(AG244="""","""",IFERROR(INDEX(FILTER('特殊配信マスタ'!$O$3:$O$16,('特殊配信マスタ'!$A$3:$A$16=CHOOSE(WEEKDAY(AG$1),""日"",""月"",""火"",""水"",""木"",""金"",""土""))*('特殊配信マスタ'!$B$3:$B$16=AE$3)*('特殊配信マスタ'!$R$3:$R$16=MOD(INT((AG$1-'特殊配信マスタ'!$A$1)/7),3)+1)),1),""""))"),"")</f>
        <v/>
      </c>
      <c r="AK244" s="593" t="str">
        <f>IFERROR(__xludf.DUMMYFUNCTION("IF(AG244="""","""",IFERROR(INDEX(FILTER('特殊配信マスタ'!$P$3:$P$16,('特殊配信マスタ'!$A$3:$A$16=CHOOSE(WEEKDAY(AG$1),""日"",""月"",""火"",""水"",""木"",""金"",""土""))*('特殊配信マスタ'!$B$3:$B$16=AE$3)*('特殊配信マスタ'!$R$3:$R$16=MOD(INT((AG$1-'特殊配信マスタ'!$A$1)/7),3)+1)),1),""""))"),"")</f>
        <v/>
      </c>
    </row>
    <row r="245" ht="17.25" customHeight="1">
      <c r="A245" s="587"/>
      <c r="B245" s="585" t="s">
        <v>1451</v>
      </c>
      <c r="C245" s="590" t="str">
        <f>IFERROR(__xludf.DUMMYFUNCTION("IFERROR(
    FILTER(
      '特殊配信マスタ'!$E$3:$E$16,
      ('特殊配信マスタ'!$A$3:$A$16=CHOOSE(WEEKDAY(C$1),""日"",""月"",""火"",""水"",""木"",""金"",""土""))*
      (VALUE('特殊配信マスタ'!$B$3:$B$16)=VALUE(LOOKUP(2,1/(IFERROR($A$1:INDEX($A:$A,ROW()),"""")&lt;&gt;""""),IFERROR($A$1:IN"&amp;"DEX($A:$A,ROW()),""""))))*
      (VALUE('特殊配信マスタ'!$R$3:$R$16)=MOD(INT((C$1-'特殊配信マスタ'!$A$1)/7),3)+1)*
      ('特殊配信マスタ'!$Q$3:$Q$16=FALSE)
    ),
    """"
  )"),"")</f>
        <v/>
      </c>
      <c r="D245" s="593" t="str">
        <f>IFERROR(__xludf.DUMMYFUNCTION("IF(C245="""","""",IFERROR(INDEX(FILTER('特殊配信マスタ'!$F$3:$F$16,('特殊配信マスタ'!$A$3:$A$16=CHOOSE(WEEKDAY(C$1),""日"",""月"",""火"",""水"",""木"",""金"",""土""))*('特殊配信マスタ'!$B$3:$B$16=A$3)*('特殊配信マスタ'!$R$3:$R$16=MOD(INT((C$1-'特殊配信マスタ'!$A$1)/7),3)+1)),1),""""))"),"")</f>
        <v/>
      </c>
      <c r="E245" s="590"/>
      <c r="F245" s="593" t="str">
        <f>IFERROR(__xludf.DUMMYFUNCTION("IF(C245="""","""",IFERROR(INDEX(FILTER('特殊配信マスタ'!$O$3:$O$16,('特殊配信マスタ'!$A$3:$A$16=CHOOSE(WEEKDAY(C$1),""日"",""月"",""火"",""水"",""木"",""金"",""土""))*('特殊配信マスタ'!$B$3:$B$16=A$3)*('特殊配信マスタ'!$R$3:$R$16=MOD(INT((C$1-'特殊配信マスタ'!$A$1)/7),3)+1)),1),""""))"),"")</f>
        <v/>
      </c>
      <c r="G245" s="593" t="str">
        <f>IFERROR(__xludf.DUMMYFUNCTION("IF(C245="""","""",IFERROR(INDEX(FILTER('特殊配信マスタ'!$P$3:$P$16,('特殊配信マスタ'!$A$3:$A$16=CHOOSE(WEEKDAY(C$1),""日"",""月"",""火"",""水"",""木"",""金"",""土""))*('特殊配信マスタ'!$B$3:$B$16=A$3)*('特殊配信マスタ'!$R$3:$R$16=MOD(INT((C$1-'特殊配信マスタ'!$A$1)/7),3)+1)),1),""""))"),"")</f>
        <v/>
      </c>
      <c r="H245" s="590" t="str">
        <f>IFERROR(__xludf.DUMMYFUNCTION("IFERROR(
    FILTER(
      '特殊配信マスタ'!$E$3:$E$16,
      ('特殊配信マスタ'!$A$3:$A$16=CHOOSE(WEEKDAY(H$1),""日"",""月"",""火"",""水"",""木"",""金"",""土""))*
      (VALUE('特殊配信マスタ'!$B$3:$B$16)=VALUE(LOOKUP(2,1/(IFERROR($A$1:INDEX($A:$A,ROW()),"""")&lt;&gt;""""),IFERROR($A$1:IN"&amp;"DEX($A:$A,ROW()),""""))))*
      (VALUE('特殊配信マスタ'!$R$3:$R$16)=MOD(INT((H$1-'特殊配信マスタ'!$A$1)/7),3)+1)*
      ('特殊配信マスタ'!$Q$3:$Q$16=FALSE)
    ),
    """"
  )"),"")</f>
        <v/>
      </c>
      <c r="I245" s="593" t="str">
        <f>IFERROR(__xludf.DUMMYFUNCTION("IF(H245="""","""",IFERROR(INDEX(FILTER('特殊配信マスタ'!$F$3:$F$16,('特殊配信マスタ'!$A$3:$A$16=CHOOSE(WEEKDAY(H$1),""日"",""月"",""火"",""水"",""木"",""金"",""土""))*('特殊配信マスタ'!$B$3:$B$16=F$3)*('特殊配信マスタ'!$R$3:$R$16=MOD(INT((H$1-'特殊配信マスタ'!$A$1)/7),3)+1)),1),""""))"),"")</f>
        <v/>
      </c>
      <c r="J245" s="590"/>
      <c r="K245" s="593" t="str">
        <f>IFERROR(__xludf.DUMMYFUNCTION("IF(H245="""","""",IFERROR(INDEX(FILTER('特殊配信マスタ'!$O$3:$O$16,('特殊配信マスタ'!$A$3:$A$16=CHOOSE(WEEKDAY(H$1),""日"",""月"",""火"",""水"",""木"",""金"",""土""))*('特殊配信マスタ'!$B$3:$B$16=F$3)*('特殊配信マスタ'!$R$3:$R$16=MOD(INT((H$1-'特殊配信マスタ'!$A$1)/7),3)+1)),1),""""))"),"")</f>
        <v/>
      </c>
      <c r="L245" s="593" t="str">
        <f>IFERROR(__xludf.DUMMYFUNCTION("IF(H245="""","""",IFERROR(INDEX(FILTER('特殊配信マスタ'!$P$3:$P$16,('特殊配信マスタ'!$A$3:$A$16=CHOOSE(WEEKDAY(H$1),""日"",""月"",""火"",""水"",""木"",""金"",""土""))*('特殊配信マスタ'!$B$3:$B$16=F$3)*('特殊配信マスタ'!$R$3:$R$16=MOD(INT((H$1-'特殊配信マスタ'!$A$1)/7),3)+1)),1),""""))"),"")</f>
        <v/>
      </c>
      <c r="M245" s="590" t="str">
        <f>IFERROR(__xludf.DUMMYFUNCTION("IFERROR(
    FILTER(
      '特殊配信マスタ'!$E$3:$E$16,
      ('特殊配信マスタ'!$A$3:$A$16=CHOOSE(WEEKDAY(M$1),""日"",""月"",""火"",""水"",""木"",""金"",""土""))*
      (VALUE('特殊配信マスタ'!$B$3:$B$16)=VALUE(LOOKUP(2,1/(IFERROR($A$1:INDEX($A:$A,ROW()),"""")&lt;&gt;""""),IFERROR($A$1:IN"&amp;"DEX($A:$A,ROW()),""""))))*
      (VALUE('特殊配信マスタ'!$R$3:$R$16)=MOD(INT((M$1-'特殊配信マスタ'!$A$1)/7),3)+1)*
      ('特殊配信マスタ'!$Q$3:$Q$16=FALSE)
    ),
    """"
  )"),"")</f>
        <v/>
      </c>
      <c r="N245" s="593" t="str">
        <f>IFERROR(__xludf.DUMMYFUNCTION("IF(M245="""","""",IFERROR(INDEX(FILTER('特殊配信マスタ'!$F$3:$F$16,('特殊配信マスタ'!$A$3:$A$16=CHOOSE(WEEKDAY(M$1),""日"",""月"",""火"",""水"",""木"",""金"",""土""))*('特殊配信マスタ'!$B$3:$B$16=K$3)*('特殊配信マスタ'!$R$3:$R$16=MOD(INT((M$1-'特殊配信マスタ'!$A$1)/7),3)+1)),1),""""))"),"")</f>
        <v/>
      </c>
      <c r="O245" s="590"/>
      <c r="P245" s="593" t="str">
        <f>IFERROR(__xludf.DUMMYFUNCTION("IF(M245="""","""",IFERROR(INDEX(FILTER('特殊配信マスタ'!$O$3:$O$16,('特殊配信マスタ'!$A$3:$A$16=CHOOSE(WEEKDAY(M$1),""日"",""月"",""火"",""水"",""木"",""金"",""土""))*('特殊配信マスタ'!$B$3:$B$16=K$3)*('特殊配信マスタ'!$R$3:$R$16=MOD(INT((M$1-'特殊配信マスタ'!$A$1)/7),3)+1)),1),""""))"),"")</f>
        <v/>
      </c>
      <c r="Q245" s="593" t="str">
        <f>IFERROR(__xludf.DUMMYFUNCTION("IF(M245="""","""",IFERROR(INDEX(FILTER('特殊配信マスタ'!$P$3:$P$16,('特殊配信マスタ'!$A$3:$A$16=CHOOSE(WEEKDAY(M$1),""日"",""月"",""火"",""水"",""木"",""金"",""土""))*('特殊配信マスタ'!$B$3:$B$16=K$3)*('特殊配信マスタ'!$R$3:$R$16=MOD(INT((M$1-'特殊配信マスタ'!$A$1)/7),3)+1)),1),""""))"),"")</f>
        <v/>
      </c>
      <c r="R245" s="590" t="str">
        <f>IFERROR(__xludf.DUMMYFUNCTION("IFERROR(
    FILTER(
      '特殊配信マスタ'!$E$3:$E$16,
      ('特殊配信マスタ'!$A$3:$A$16=CHOOSE(WEEKDAY(R$1),""日"",""月"",""火"",""水"",""木"",""金"",""土""))*
      (VALUE('特殊配信マスタ'!$B$3:$B$16)=VALUE(LOOKUP(2,1/(IFERROR($A$1:INDEX($A:$A,ROW()),"""")&lt;&gt;""""),IFERROR($A$1:IN"&amp;"DEX($A:$A,ROW()),""""))))*
      (VALUE('特殊配信マスタ'!$R$3:$R$16)=MOD(INT((R$1-'特殊配信マスタ'!$A$1)/7),3)+1)*
      ('特殊配信マスタ'!$Q$3:$Q$16=FALSE)
    ),
    """"
  )"),"")</f>
        <v/>
      </c>
      <c r="S245" s="593" t="str">
        <f>IFERROR(__xludf.DUMMYFUNCTION("IF(R245="""","""",IFERROR(INDEX(FILTER('特殊配信マスタ'!$F$3:$F$16,('特殊配信マスタ'!$A$3:$A$16=CHOOSE(WEEKDAY(R$1),""日"",""月"",""火"",""水"",""木"",""金"",""土""))*('特殊配信マスタ'!$B$3:$B$16=P$3)*('特殊配信マスタ'!$R$3:$R$16=MOD(INT((R$1-'特殊配信マスタ'!$A$1)/7),3)+1)),1),""""))"),"")</f>
        <v/>
      </c>
      <c r="T245" s="590"/>
      <c r="U245" s="593" t="str">
        <f>IFERROR(__xludf.DUMMYFUNCTION("IF(R245="""","""",IFERROR(INDEX(FILTER('特殊配信マスタ'!$O$3:$O$16,('特殊配信マスタ'!$A$3:$A$16=CHOOSE(WEEKDAY(R$1),""日"",""月"",""火"",""水"",""木"",""金"",""土""))*('特殊配信マスタ'!$B$3:$B$16=P$3)*('特殊配信マスタ'!$R$3:$R$16=MOD(INT((R$1-'特殊配信マスタ'!$A$1)/7),3)+1)),1),""""))"),"")</f>
        <v/>
      </c>
      <c r="V245" s="593" t="str">
        <f>IFERROR(__xludf.DUMMYFUNCTION("IF(R245="""","""",IFERROR(INDEX(FILTER('特殊配信マスタ'!$P$3:$P$16,('特殊配信マスタ'!$A$3:$A$16=CHOOSE(WEEKDAY(R$1),""日"",""月"",""火"",""水"",""木"",""金"",""土""))*('特殊配信マスタ'!$B$3:$B$16=P$3)*('特殊配信マスタ'!$R$3:$R$16=MOD(INT((R$1-'特殊配信マスタ'!$A$1)/7),3)+1)),1),""""))"),"")</f>
        <v/>
      </c>
      <c r="W245" s="590" t="str">
        <f>IFERROR(__xludf.DUMMYFUNCTION("IFERROR(
    FILTER(
      '特殊配信マスタ'!$E$3:$E$16,
      ('特殊配信マスタ'!$A$3:$A$16=CHOOSE(WEEKDAY(W$1),""日"",""月"",""火"",""水"",""木"",""金"",""土""))*
      (VALUE('特殊配信マスタ'!$B$3:$B$16)=VALUE(LOOKUP(2,1/(IFERROR($A$1:INDEX($A:$A,ROW()),"""")&lt;&gt;""""),IFERROR($A$1:IN"&amp;"DEX($A:$A,ROW()),""""))))*
      (VALUE('特殊配信マスタ'!$R$3:$R$16)=MOD(INT((W$1-'特殊配信マスタ'!$A$1)/7),3)+1)*
      ('特殊配信マスタ'!$Q$3:$Q$16=FALSE)
    ),
    """"
  )"),"")</f>
        <v/>
      </c>
      <c r="X245" s="593" t="str">
        <f>IFERROR(__xludf.DUMMYFUNCTION("IF(W245="""","""",IFERROR(INDEX(FILTER('特殊配信マスタ'!$F$3:$F$16,('特殊配信マスタ'!$A$3:$A$16=CHOOSE(WEEKDAY(W$1),""日"",""月"",""火"",""水"",""木"",""金"",""土""))*('特殊配信マスタ'!$B$3:$B$16=U$3)*('特殊配信マスタ'!$R$3:$R$16=MOD(INT((W$1-'特殊配信マスタ'!$A$1)/7),3)+1)),1),""""))"),"")</f>
        <v/>
      </c>
      <c r="Y245" s="590"/>
      <c r="Z245" s="593" t="str">
        <f>IFERROR(__xludf.DUMMYFUNCTION("IF(W245="""","""",IFERROR(INDEX(FILTER('特殊配信マスタ'!$O$3:$O$16,('特殊配信マスタ'!$A$3:$A$16=CHOOSE(WEEKDAY(W$1),""日"",""月"",""火"",""水"",""木"",""金"",""土""))*('特殊配信マスタ'!$B$3:$B$16=U$3)*('特殊配信マスタ'!$R$3:$R$16=MOD(INT((W$1-'特殊配信マスタ'!$A$1)/7),3)+1)),1),""""))"),"")</f>
        <v/>
      </c>
      <c r="AA245" s="593" t="str">
        <f>IFERROR(__xludf.DUMMYFUNCTION("IF(W245="""","""",IFERROR(INDEX(FILTER('特殊配信マスタ'!$P$3:$P$16,('特殊配信マスタ'!$A$3:$A$16=CHOOSE(WEEKDAY(W$1),""日"",""月"",""火"",""水"",""木"",""金"",""土""))*('特殊配信マスタ'!$B$3:$B$16=U$3)*('特殊配信マスタ'!$R$3:$R$16=MOD(INT((W$1-'特殊配信マスタ'!$A$1)/7),3)+1)),1),""""))"),"")</f>
        <v/>
      </c>
      <c r="AB245" s="590" t="str">
        <f>IFERROR(__xludf.DUMMYFUNCTION("IFERROR(
    FILTER(
      '特殊配信マスタ'!$E$3:$E$16,
      ('特殊配信マスタ'!$A$3:$A$16=CHOOSE(WEEKDAY(AB$1),""日"",""月"",""火"",""水"",""木"",""金"",""土""))*
      (VALUE('特殊配信マスタ'!$B$3:$B$16)=VALUE(LOOKUP(2,1/(IFERROR($A$1:INDEX($A:$A,ROW()),"""")&lt;&gt;""""),IFERROR($A$1:I"&amp;"NDEX($A:$A,ROW()),""""))))*
      (VALUE('特殊配信マスタ'!$R$3:$R$16)=MOD(INT((AB$1-'特殊配信マスタ'!$A$1)/7),3)+1)*
      ('特殊配信マスタ'!$Q$3:$Q$16=FALSE)
    ),
    """"
  )"),"")</f>
        <v/>
      </c>
      <c r="AC245" s="593" t="str">
        <f>IFERROR(__xludf.DUMMYFUNCTION("IF(AB245="""","""",IFERROR(INDEX(FILTER('特殊配信マスタ'!$F$3:$F$16,('特殊配信マスタ'!$A$3:$A$16=CHOOSE(WEEKDAY(AB$1),""日"",""月"",""火"",""水"",""木"",""金"",""土""))*('特殊配信マスタ'!$B$3:$B$16=Z$3)*('特殊配信マスタ'!$R$3:$R$16=MOD(INT((AB$1-'特殊配信マスタ'!$A$1)/7),3)+1)),1),""""))"),"")</f>
        <v/>
      </c>
      <c r="AD245" s="590"/>
      <c r="AE245" s="593" t="str">
        <f>IFERROR(__xludf.DUMMYFUNCTION("IF(AB245="""","""",IFERROR(INDEX(FILTER('特殊配信マスタ'!$O$3:$O$16,('特殊配信マスタ'!$A$3:$A$16=CHOOSE(WEEKDAY(AB$1),""日"",""月"",""火"",""水"",""木"",""金"",""土""))*('特殊配信マスタ'!$B$3:$B$16=Z$3)*('特殊配信マスタ'!$R$3:$R$16=MOD(INT((AB$1-'特殊配信マスタ'!$A$1)/7),3)+1)),1),""""))"),"")</f>
        <v/>
      </c>
      <c r="AF245" s="593" t="str">
        <f>IFERROR(__xludf.DUMMYFUNCTION("IF(AB245="""","""",IFERROR(INDEX(FILTER('特殊配信マスタ'!$P$3:$P$16,('特殊配信マスタ'!$A$3:$A$16=CHOOSE(WEEKDAY(AB$1),""日"",""月"",""火"",""水"",""木"",""金"",""土""))*('特殊配信マスタ'!$B$3:$B$16=Z$3)*('特殊配信マスタ'!$R$3:$R$16=MOD(INT((AB$1-'特殊配信マスタ'!$A$1)/7),3)+1)),1),""""))"),"")</f>
        <v/>
      </c>
      <c r="AG245" s="590" t="str">
        <f>IFERROR(__xludf.DUMMYFUNCTION("IFERROR(
    FILTER(
      '特殊配信マスタ'!$E$3:$E$16,
      ('特殊配信マスタ'!$A$3:$A$16=CHOOSE(WEEKDAY(AG$1),""日"",""月"",""火"",""水"",""木"",""金"",""土""))*
      (VALUE('特殊配信マスタ'!$B$3:$B$16)=VALUE(LOOKUP(2,1/(IFERROR($A$1:INDEX($A:$A,ROW()),"""")&lt;&gt;""""),IFERROR($A$1:I"&amp;"NDEX($A:$A,ROW()),""""))))*
      (VALUE('特殊配信マスタ'!$R$3:$R$16)=MOD(INT((AG$1-'特殊配信マスタ'!$A$1)/7),3)+1)*
      ('特殊配信マスタ'!$Q$3:$Q$16=FALSE)
    ),
    """"
  )"),"")</f>
        <v/>
      </c>
      <c r="AH245" s="593" t="str">
        <f>IFERROR(__xludf.DUMMYFUNCTION("IF(AG245="""","""",IFERROR(INDEX(FILTER('特殊配信マスタ'!$F$3:$F$16,('特殊配信マスタ'!$A$3:$A$16=CHOOSE(WEEKDAY(AG$1),""日"",""月"",""火"",""水"",""木"",""金"",""土""))*('特殊配信マスタ'!$B$3:$B$16=AE$3)*('特殊配信マスタ'!$R$3:$R$16=MOD(INT((AG$1-'特殊配信マスタ'!$A$1)/7),3)+1)),1),""""))"),"")</f>
        <v/>
      </c>
      <c r="AI245" s="590"/>
      <c r="AJ245" s="593" t="str">
        <f>IFERROR(__xludf.DUMMYFUNCTION("IF(AG245="""","""",IFERROR(INDEX(FILTER('特殊配信マスタ'!$O$3:$O$16,('特殊配信マスタ'!$A$3:$A$16=CHOOSE(WEEKDAY(AG$1),""日"",""月"",""火"",""水"",""木"",""金"",""土""))*('特殊配信マスタ'!$B$3:$B$16=AE$3)*('特殊配信マスタ'!$R$3:$R$16=MOD(INT((AG$1-'特殊配信マスタ'!$A$1)/7),3)+1)),1),""""))"),"")</f>
        <v/>
      </c>
      <c r="AK245" s="593" t="str">
        <f>IFERROR(__xludf.DUMMYFUNCTION("IF(AG245="""","""",IFERROR(INDEX(FILTER('特殊配信マスタ'!$P$3:$P$16,('特殊配信マスタ'!$A$3:$A$16=CHOOSE(WEEKDAY(AG$1),""日"",""月"",""火"",""水"",""木"",""金"",""土""))*('特殊配信マスタ'!$B$3:$B$16=AE$3)*('特殊配信マスタ'!$R$3:$R$16=MOD(INT((AG$1-'特殊配信マスタ'!$A$1)/7),3)+1)),1),""""))"),"")</f>
        <v/>
      </c>
    </row>
    <row r="246" ht="17.25" customHeight="1">
      <c r="A246" s="587"/>
      <c r="B246" s="588"/>
      <c r="C246" s="590"/>
      <c r="D246" s="593" t="str">
        <f>IFERROR(__xludf.DUMMYFUNCTION("IF(C246="""","""",IFERROR(INDEX(FILTER('特殊配信マスタ'!$F$3:$F$16,('特殊配信マスタ'!$A$3:$A$16=CHOOSE(WEEKDAY(C$1),""日"",""月"",""火"",""水"",""木"",""金"",""土""))*('特殊配信マスタ'!$B$3:$B$16=A$3)*('特殊配信マスタ'!$R$3:$R$16=MOD(INT((C$1-'特殊配信マスタ'!$A$1)/7),3)+1)),1),""""))"),"")</f>
        <v/>
      </c>
      <c r="E246" s="590"/>
      <c r="F246" s="593" t="str">
        <f>IFERROR(__xludf.DUMMYFUNCTION("IF(C246="""","""",IFERROR(INDEX(FILTER('特殊配信マスタ'!$O$3:$O$16,('特殊配信マスタ'!$A$3:$A$16=CHOOSE(WEEKDAY(C$1),""日"",""月"",""火"",""水"",""木"",""金"",""土""))*('特殊配信マスタ'!$B$3:$B$16=A$3)*('特殊配信マスタ'!$R$3:$R$16=MOD(INT((C$1-'特殊配信マスタ'!$A$1)/7),3)+1)),1),""""))"),"")</f>
        <v/>
      </c>
      <c r="G246" s="593" t="str">
        <f>IFERROR(__xludf.DUMMYFUNCTION("IF(C246="""","""",IFERROR(INDEX(FILTER('特殊配信マスタ'!$P$3:$P$16,('特殊配信マスタ'!$A$3:$A$16=CHOOSE(WEEKDAY(C$1),""日"",""月"",""火"",""水"",""木"",""金"",""土""))*('特殊配信マスタ'!$B$3:$B$16=A$3)*('特殊配信マスタ'!$R$3:$R$16=MOD(INT((C$1-'特殊配信マスタ'!$A$1)/7),3)+1)),1),""""))"),"")</f>
        <v/>
      </c>
      <c r="H246" s="590"/>
      <c r="I246" s="593" t="str">
        <f>IFERROR(__xludf.DUMMYFUNCTION("IF(H246="""","""",IFERROR(INDEX(FILTER('特殊配信マスタ'!$F$3:$F$16,('特殊配信マスタ'!$A$3:$A$16=CHOOSE(WEEKDAY(H$1),""日"",""月"",""火"",""水"",""木"",""金"",""土""))*('特殊配信マスタ'!$B$3:$B$16=F$3)*('特殊配信マスタ'!$R$3:$R$16=MOD(INT((H$1-'特殊配信マスタ'!$A$1)/7),3)+1)),1),""""))"),"")</f>
        <v/>
      </c>
      <c r="J246" s="590"/>
      <c r="K246" s="593" t="str">
        <f>IFERROR(__xludf.DUMMYFUNCTION("IF(H246="""","""",IFERROR(INDEX(FILTER('特殊配信マスタ'!$O$3:$O$16,('特殊配信マスタ'!$A$3:$A$16=CHOOSE(WEEKDAY(H$1),""日"",""月"",""火"",""水"",""木"",""金"",""土""))*('特殊配信マスタ'!$B$3:$B$16=F$3)*('特殊配信マスタ'!$R$3:$R$16=MOD(INT((H$1-'特殊配信マスタ'!$A$1)/7),3)+1)),1),""""))"),"")</f>
        <v/>
      </c>
      <c r="L246" s="593" t="str">
        <f>IFERROR(__xludf.DUMMYFUNCTION("IF(H246="""","""",IFERROR(INDEX(FILTER('特殊配信マスタ'!$P$3:$P$16,('特殊配信マスタ'!$A$3:$A$16=CHOOSE(WEEKDAY(H$1),""日"",""月"",""火"",""水"",""木"",""金"",""土""))*('特殊配信マスタ'!$B$3:$B$16=F$3)*('特殊配信マスタ'!$R$3:$R$16=MOD(INT((H$1-'特殊配信マスタ'!$A$1)/7),3)+1)),1),""""))"),"")</f>
        <v/>
      </c>
      <c r="M246" s="590"/>
      <c r="N246" s="593" t="str">
        <f>IFERROR(__xludf.DUMMYFUNCTION("IF(M246="""","""",IFERROR(INDEX(FILTER('特殊配信マスタ'!$F$3:$F$16,('特殊配信マスタ'!$A$3:$A$16=CHOOSE(WEEKDAY(M$1),""日"",""月"",""火"",""水"",""木"",""金"",""土""))*('特殊配信マスタ'!$B$3:$B$16=K$3)*('特殊配信マスタ'!$R$3:$R$16=MOD(INT((M$1-'特殊配信マスタ'!$A$1)/7),3)+1)),1),""""))"),"")</f>
        <v/>
      </c>
      <c r="O246" s="590"/>
      <c r="P246" s="593" t="str">
        <f>IFERROR(__xludf.DUMMYFUNCTION("IF(M246="""","""",IFERROR(INDEX(FILTER('特殊配信マスタ'!$O$3:$O$16,('特殊配信マスタ'!$A$3:$A$16=CHOOSE(WEEKDAY(M$1),""日"",""月"",""火"",""水"",""木"",""金"",""土""))*('特殊配信マスタ'!$B$3:$B$16=K$3)*('特殊配信マスタ'!$R$3:$R$16=MOD(INT((M$1-'特殊配信マスタ'!$A$1)/7),3)+1)),1),""""))"),"")</f>
        <v/>
      </c>
      <c r="Q246" s="593" t="str">
        <f>IFERROR(__xludf.DUMMYFUNCTION("IF(M246="""","""",IFERROR(INDEX(FILTER('特殊配信マスタ'!$P$3:$P$16,('特殊配信マスタ'!$A$3:$A$16=CHOOSE(WEEKDAY(M$1),""日"",""月"",""火"",""水"",""木"",""金"",""土""))*('特殊配信マスタ'!$B$3:$B$16=K$3)*('特殊配信マスタ'!$R$3:$R$16=MOD(INT((M$1-'特殊配信マスタ'!$A$1)/7),3)+1)),1),""""))"),"")</f>
        <v/>
      </c>
      <c r="R246" s="590"/>
      <c r="S246" s="593" t="str">
        <f>IFERROR(__xludf.DUMMYFUNCTION("IF(R246="""","""",IFERROR(INDEX(FILTER('特殊配信マスタ'!$F$3:$F$16,('特殊配信マスタ'!$A$3:$A$16=CHOOSE(WEEKDAY(R$1),""日"",""月"",""火"",""水"",""木"",""金"",""土""))*('特殊配信マスタ'!$B$3:$B$16=P$3)*('特殊配信マスタ'!$R$3:$R$16=MOD(INT((R$1-'特殊配信マスタ'!$A$1)/7),3)+1)),1),""""))"),"")</f>
        <v/>
      </c>
      <c r="T246" s="590"/>
      <c r="U246" s="593" t="str">
        <f>IFERROR(__xludf.DUMMYFUNCTION("IF(R246="""","""",IFERROR(INDEX(FILTER('特殊配信マスタ'!$O$3:$O$16,('特殊配信マスタ'!$A$3:$A$16=CHOOSE(WEEKDAY(R$1),""日"",""月"",""火"",""水"",""木"",""金"",""土""))*('特殊配信マスタ'!$B$3:$B$16=P$3)*('特殊配信マスタ'!$R$3:$R$16=MOD(INT((R$1-'特殊配信マスタ'!$A$1)/7),3)+1)),1),""""))"),"")</f>
        <v/>
      </c>
      <c r="V246" s="593" t="str">
        <f>IFERROR(__xludf.DUMMYFUNCTION("IF(R246="""","""",IFERROR(INDEX(FILTER('特殊配信マスタ'!$P$3:$P$16,('特殊配信マスタ'!$A$3:$A$16=CHOOSE(WEEKDAY(R$1),""日"",""月"",""火"",""水"",""木"",""金"",""土""))*('特殊配信マスタ'!$B$3:$B$16=P$3)*('特殊配信マスタ'!$R$3:$R$16=MOD(INT((R$1-'特殊配信マスタ'!$A$1)/7),3)+1)),1),""""))"),"")</f>
        <v/>
      </c>
      <c r="W246" s="590"/>
      <c r="X246" s="593" t="str">
        <f>IFERROR(__xludf.DUMMYFUNCTION("IF(W246="""","""",IFERROR(INDEX(FILTER('特殊配信マスタ'!$F$3:$F$16,('特殊配信マスタ'!$A$3:$A$16=CHOOSE(WEEKDAY(W$1),""日"",""月"",""火"",""水"",""木"",""金"",""土""))*('特殊配信マスタ'!$B$3:$B$16=U$3)*('特殊配信マスタ'!$R$3:$R$16=MOD(INT((W$1-'特殊配信マスタ'!$A$1)/7),3)+1)),1),""""))"),"")</f>
        <v/>
      </c>
      <c r="Y246" s="590"/>
      <c r="Z246" s="593" t="str">
        <f>IFERROR(__xludf.DUMMYFUNCTION("IF(W246="""","""",IFERROR(INDEX(FILTER('特殊配信マスタ'!$O$3:$O$16,('特殊配信マスタ'!$A$3:$A$16=CHOOSE(WEEKDAY(W$1),""日"",""月"",""火"",""水"",""木"",""金"",""土""))*('特殊配信マスタ'!$B$3:$B$16=U$3)*('特殊配信マスタ'!$R$3:$R$16=MOD(INT((W$1-'特殊配信マスタ'!$A$1)/7),3)+1)),1),""""))"),"")</f>
        <v/>
      </c>
      <c r="AA246" s="593" t="str">
        <f>IFERROR(__xludf.DUMMYFUNCTION("IF(W246="""","""",IFERROR(INDEX(FILTER('特殊配信マスタ'!$P$3:$P$16,('特殊配信マスタ'!$A$3:$A$16=CHOOSE(WEEKDAY(W$1),""日"",""月"",""火"",""水"",""木"",""金"",""土""))*('特殊配信マスタ'!$B$3:$B$16=U$3)*('特殊配信マスタ'!$R$3:$R$16=MOD(INT((W$1-'特殊配信マスタ'!$A$1)/7),3)+1)),1),""""))"),"")</f>
        <v/>
      </c>
      <c r="AB246" s="590"/>
      <c r="AC246" s="593" t="str">
        <f>IFERROR(__xludf.DUMMYFUNCTION("IF(AB246="""","""",IFERROR(INDEX(FILTER('特殊配信マスタ'!$F$3:$F$16,('特殊配信マスタ'!$A$3:$A$16=CHOOSE(WEEKDAY(AB$1),""日"",""月"",""火"",""水"",""木"",""金"",""土""))*('特殊配信マスタ'!$B$3:$B$16=Z$3)*('特殊配信マスタ'!$R$3:$R$16=MOD(INT((AB$1-'特殊配信マスタ'!$A$1)/7),3)+1)),1),""""))"),"")</f>
        <v/>
      </c>
      <c r="AD246" s="590"/>
      <c r="AE246" s="593" t="str">
        <f>IFERROR(__xludf.DUMMYFUNCTION("IF(AB246="""","""",IFERROR(INDEX(FILTER('特殊配信マスタ'!$O$3:$O$16,('特殊配信マスタ'!$A$3:$A$16=CHOOSE(WEEKDAY(AB$1),""日"",""月"",""火"",""水"",""木"",""金"",""土""))*('特殊配信マスタ'!$B$3:$B$16=Z$3)*('特殊配信マスタ'!$R$3:$R$16=MOD(INT((AB$1-'特殊配信マスタ'!$A$1)/7),3)+1)),1),""""))"),"")</f>
        <v/>
      </c>
      <c r="AF246" s="593" t="str">
        <f>IFERROR(__xludf.DUMMYFUNCTION("IF(AB246="""","""",IFERROR(INDEX(FILTER('特殊配信マスタ'!$P$3:$P$16,('特殊配信マスタ'!$A$3:$A$16=CHOOSE(WEEKDAY(AB$1),""日"",""月"",""火"",""水"",""木"",""金"",""土""))*('特殊配信マスタ'!$B$3:$B$16=Z$3)*('特殊配信マスタ'!$R$3:$R$16=MOD(INT((AB$1-'特殊配信マスタ'!$A$1)/7),3)+1)),1),""""))"),"")</f>
        <v/>
      </c>
      <c r="AG246" s="590"/>
      <c r="AH246" s="593" t="str">
        <f>IFERROR(__xludf.DUMMYFUNCTION("IF(AG246="""","""",IFERROR(INDEX(FILTER('特殊配信マスタ'!$F$3:$F$16,('特殊配信マスタ'!$A$3:$A$16=CHOOSE(WEEKDAY(AG$1),""日"",""月"",""火"",""水"",""木"",""金"",""土""))*('特殊配信マスタ'!$B$3:$B$16=AE$3)*('特殊配信マスタ'!$R$3:$R$16=MOD(INT((AG$1-'特殊配信マスタ'!$A$1)/7),3)+1)),1),""""))"),"")</f>
        <v/>
      </c>
      <c r="AI246" s="590"/>
      <c r="AJ246" s="593" t="str">
        <f>IFERROR(__xludf.DUMMYFUNCTION("IF(AG246="""","""",IFERROR(INDEX(FILTER('特殊配信マスタ'!$O$3:$O$16,('特殊配信マスタ'!$A$3:$A$16=CHOOSE(WEEKDAY(AG$1),""日"",""月"",""火"",""水"",""木"",""金"",""土""))*('特殊配信マスタ'!$B$3:$B$16=AE$3)*('特殊配信マスタ'!$R$3:$R$16=MOD(INT((AG$1-'特殊配信マスタ'!$A$1)/7),3)+1)),1),""""))"),"")</f>
        <v/>
      </c>
      <c r="AK246" s="593" t="str">
        <f>IFERROR(__xludf.DUMMYFUNCTION("IF(AG246="""","""",IFERROR(INDEX(FILTER('特殊配信マスタ'!$P$3:$P$16,('特殊配信マスタ'!$A$3:$A$16=CHOOSE(WEEKDAY(AG$1),""日"",""月"",""火"",""水"",""木"",""金"",""土""))*('特殊配信マスタ'!$B$3:$B$16=AE$3)*('特殊配信マスタ'!$R$3:$R$16=MOD(INT((AG$1-'特殊配信マスタ'!$A$1)/7),3)+1)),1),""""))"),"")</f>
        <v/>
      </c>
    </row>
    <row r="247" ht="17.25" customHeight="1">
      <c r="A247" s="587"/>
      <c r="B247" s="588"/>
      <c r="C24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D247" s="593"/>
      <c r="E247" s="590"/>
      <c r="F247" s="593"/>
      <c r="G247" s="593"/>
      <c r="H24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I247" s="593"/>
      <c r="J247" s="590"/>
      <c r="K247" s="593"/>
      <c r="L247" s="593"/>
      <c r="M24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N247" s="593"/>
      <c r="O247" s="590"/>
      <c r="P247" s="593"/>
      <c r="Q247" s="593"/>
      <c r="R24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S247" s="593"/>
      <c r="T247" s="590"/>
      <c r="U247" s="593"/>
      <c r="V247" s="593"/>
      <c r="W24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X247" s="593"/>
      <c r="Y247" s="590"/>
      <c r="Z247" s="593"/>
      <c r="AA247" s="593"/>
      <c r="AB24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C247" s="593"/>
      <c r="AD247" s="590"/>
      <c r="AE247" s="593"/>
      <c r="AF247" s="593"/>
      <c r="AG24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H247" s="593"/>
      <c r="AI247" s="590"/>
      <c r="AJ247" s="593"/>
      <c r="AK247" s="593"/>
    </row>
    <row r="248" ht="17.25" customHeight="1">
      <c r="A248" s="587"/>
      <c r="B248" s="588"/>
      <c r="C24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D248" s="593" t="str">
        <f>IFERROR(__xludf.DUMMYFUNCTION("IF(C248="""","""",IFERROR(INDEX(FILTER('特殊配信マスタ'!$F$3:$F$16,('特殊配信マスタ'!$A$3:$A$16=CHOOSE(WEEKDAY(C$1),""日"",""月"",""火"",""水"",""木"",""金"",""土""))*('特殊配信マスタ'!$B$3:$B$16=A$3)*('特殊配信マスタ'!$R$3:$R$16=MOD(INT((C$1-'特殊配信マスタ'!$A$1)/7),3)+1)),1),""""))"),"")</f>
        <v/>
      </c>
      <c r="E248" s="590"/>
      <c r="F248" s="593" t="str">
        <f>IFERROR(__xludf.DUMMYFUNCTION("IF(C248="""","""",IFERROR(INDEX(FILTER('特殊配信マスタ'!$O$3:$O$16,('特殊配信マスタ'!$A$3:$A$16=CHOOSE(WEEKDAY(C$1),""日"",""月"",""火"",""水"",""木"",""金"",""土""))*('特殊配信マスタ'!$B$3:$B$16=A$3)*('特殊配信マスタ'!$R$3:$R$16=MOD(INT((C$1-'特殊配信マスタ'!$A$1)/7),3)+1)),1),""""))"),"")</f>
        <v/>
      </c>
      <c r="G248" s="593" t="str">
        <f>IFERROR(__xludf.DUMMYFUNCTION("IF(C248="""","""",IFERROR(INDEX(FILTER('特殊配信マスタ'!$P$3:$P$16,('特殊配信マスタ'!$A$3:$A$16=CHOOSE(WEEKDAY(C$1),""日"",""月"",""火"",""水"",""木"",""金"",""土""))*('特殊配信マスタ'!$B$3:$B$16=A$3)*('特殊配信マスタ'!$R$3:$R$16=MOD(INT((C$1-'特殊配信マスタ'!$A$1)/7),3)+1)),1),""""))"),"")</f>
        <v/>
      </c>
      <c r="H24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I248" s="593" t="str">
        <f>IFERROR(__xludf.DUMMYFUNCTION("IF(H248="""","""",IFERROR(INDEX(FILTER('特殊配信マスタ'!$F$3:$F$16,('特殊配信マスタ'!$A$3:$A$16=CHOOSE(WEEKDAY(H$1),""日"",""月"",""火"",""水"",""木"",""金"",""土""))*('特殊配信マスタ'!$B$3:$B$16=F$3)*('特殊配信マスタ'!$R$3:$R$16=MOD(INT((H$1-'特殊配信マスタ'!$A$1)/7),3)+1)),1),""""))"),"")</f>
        <v/>
      </c>
      <c r="J248" s="590"/>
      <c r="K248" s="593" t="str">
        <f>IFERROR(__xludf.DUMMYFUNCTION("IF(H248="""","""",IFERROR(INDEX(FILTER('特殊配信マスタ'!$O$3:$O$16,('特殊配信マスタ'!$A$3:$A$16=CHOOSE(WEEKDAY(H$1),""日"",""月"",""火"",""水"",""木"",""金"",""土""))*('特殊配信マスタ'!$B$3:$B$16=F$3)*('特殊配信マスタ'!$R$3:$R$16=MOD(INT((H$1-'特殊配信マスタ'!$A$1)/7),3)+1)),1),""""))"),"")</f>
        <v/>
      </c>
      <c r="L248" s="593" t="str">
        <f>IFERROR(__xludf.DUMMYFUNCTION("IF(H248="""","""",IFERROR(INDEX(FILTER('特殊配信マスタ'!$P$3:$P$16,('特殊配信マスタ'!$A$3:$A$16=CHOOSE(WEEKDAY(H$1),""日"",""月"",""火"",""水"",""木"",""金"",""土""))*('特殊配信マスタ'!$B$3:$B$16=F$3)*('特殊配信マスタ'!$R$3:$R$16=MOD(INT((H$1-'特殊配信マスタ'!$A$1)/7),3)+1)),1),""""))"),"")</f>
        <v/>
      </c>
      <c r="M24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N248" s="593" t="str">
        <f>IFERROR(__xludf.DUMMYFUNCTION("IF(M248="""","""",IFERROR(INDEX(FILTER('特殊配信マスタ'!$F$3:$F$16,('特殊配信マスタ'!$A$3:$A$16=CHOOSE(WEEKDAY(M$1),""日"",""月"",""火"",""水"",""木"",""金"",""土""))*('特殊配信マスタ'!$B$3:$B$16=K$3)*('特殊配信マスタ'!$R$3:$R$16=MOD(INT((M$1-'特殊配信マスタ'!$A$1)/7),3)+1)),1),""""))"),"")</f>
        <v/>
      </c>
      <c r="O248" s="590"/>
      <c r="P248" s="593" t="str">
        <f>IFERROR(__xludf.DUMMYFUNCTION("IF(M248="""","""",IFERROR(INDEX(FILTER('特殊配信マスタ'!$O$3:$O$16,('特殊配信マスタ'!$A$3:$A$16=CHOOSE(WEEKDAY(M$1),""日"",""月"",""火"",""水"",""木"",""金"",""土""))*('特殊配信マスタ'!$B$3:$B$16=K$3)*('特殊配信マスタ'!$R$3:$R$16=MOD(INT((M$1-'特殊配信マスタ'!$A$1)/7),3)+1)),1),""""))"),"")</f>
        <v/>
      </c>
      <c r="Q248" s="593" t="str">
        <f>IFERROR(__xludf.DUMMYFUNCTION("IF(M248="""","""",IFERROR(INDEX(FILTER('特殊配信マスタ'!$P$3:$P$16,('特殊配信マスタ'!$A$3:$A$16=CHOOSE(WEEKDAY(M$1),""日"",""月"",""火"",""水"",""木"",""金"",""土""))*('特殊配信マスタ'!$B$3:$B$16=K$3)*('特殊配信マスタ'!$R$3:$R$16=MOD(INT((M$1-'特殊配信マスタ'!$A$1)/7),3)+1)),1),""""))"),"")</f>
        <v/>
      </c>
      <c r="R24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S248" s="593" t="str">
        <f>IFERROR(__xludf.DUMMYFUNCTION("IF(R248="""","""",IFERROR(INDEX(FILTER('特殊配信マスタ'!$F$3:$F$16,('特殊配信マスタ'!$A$3:$A$16=CHOOSE(WEEKDAY(R$1),""日"",""月"",""火"",""水"",""木"",""金"",""土""))*('特殊配信マスタ'!$B$3:$B$16=P$3)*('特殊配信マスタ'!$R$3:$R$16=MOD(INT((R$1-'特殊配信マスタ'!$A$1)/7),3)+1)),1),""""))"),"")</f>
        <v/>
      </c>
      <c r="T248" s="590"/>
      <c r="U248" s="593" t="str">
        <f>IFERROR(__xludf.DUMMYFUNCTION("IF(R248="""","""",IFERROR(INDEX(FILTER('特殊配信マスタ'!$O$3:$O$16,('特殊配信マスタ'!$A$3:$A$16=CHOOSE(WEEKDAY(R$1),""日"",""月"",""火"",""水"",""木"",""金"",""土""))*('特殊配信マスタ'!$B$3:$B$16=P$3)*('特殊配信マスタ'!$R$3:$R$16=MOD(INT((R$1-'特殊配信マスタ'!$A$1)/7),3)+1)),1),""""))"),"")</f>
        <v/>
      </c>
      <c r="V248" s="593" t="str">
        <f>IFERROR(__xludf.DUMMYFUNCTION("IF(R248="""","""",IFERROR(INDEX(FILTER('特殊配信マスタ'!$P$3:$P$16,('特殊配信マスタ'!$A$3:$A$16=CHOOSE(WEEKDAY(R$1),""日"",""月"",""火"",""水"",""木"",""金"",""土""))*('特殊配信マスタ'!$B$3:$B$16=P$3)*('特殊配信マスタ'!$R$3:$R$16=MOD(INT((R$1-'特殊配信マスタ'!$A$1)/7),3)+1)),1),""""))"),"")</f>
        <v/>
      </c>
      <c r="W24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X248" s="593" t="str">
        <f>IFERROR(__xludf.DUMMYFUNCTION("IF(W248="""","""",IFERROR(INDEX(FILTER('特殊配信マスタ'!$F$3:$F$16,('特殊配信マスタ'!$A$3:$A$16=CHOOSE(WEEKDAY(W$1),""日"",""月"",""火"",""水"",""木"",""金"",""土""))*('特殊配信マスタ'!$B$3:$B$16=U$3)*('特殊配信マスタ'!$R$3:$R$16=MOD(INT((W$1-'特殊配信マスタ'!$A$1)/7),3)+1)),1),""""))"),"")</f>
        <v/>
      </c>
      <c r="Y248" s="590"/>
      <c r="Z248" s="593" t="str">
        <f>IFERROR(__xludf.DUMMYFUNCTION("IF(W248="""","""",IFERROR(INDEX(FILTER('特殊配信マスタ'!$O$3:$O$16,('特殊配信マスタ'!$A$3:$A$16=CHOOSE(WEEKDAY(W$1),""日"",""月"",""火"",""水"",""木"",""金"",""土""))*('特殊配信マスタ'!$B$3:$B$16=U$3)*('特殊配信マスタ'!$R$3:$R$16=MOD(INT((W$1-'特殊配信マスタ'!$A$1)/7),3)+1)),1),""""))"),"")</f>
        <v/>
      </c>
      <c r="AA248" s="593" t="str">
        <f>IFERROR(__xludf.DUMMYFUNCTION("IF(W248="""","""",IFERROR(INDEX(FILTER('特殊配信マスタ'!$P$3:$P$16,('特殊配信マスタ'!$A$3:$A$16=CHOOSE(WEEKDAY(W$1),""日"",""月"",""火"",""水"",""木"",""金"",""土""))*('特殊配信マスタ'!$B$3:$B$16=U$3)*('特殊配信マスタ'!$R$3:$R$16=MOD(INT((W$1-'特殊配信マスタ'!$A$1)/7),3)+1)),1),""""))"),"")</f>
        <v/>
      </c>
      <c r="AB24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C248" s="593" t="str">
        <f>IFERROR(__xludf.DUMMYFUNCTION("IF(AB248="""","""",IFERROR(INDEX(FILTER('特殊配信マスタ'!$F$3:$F$16,('特殊配信マスタ'!$A$3:$A$16=CHOOSE(WEEKDAY(AB$1),""日"",""月"",""火"",""水"",""木"",""金"",""土""))*('特殊配信マスタ'!$B$3:$B$16=Z$3)*('特殊配信マスタ'!$R$3:$R$16=MOD(INT((AB$1-'特殊配信マスタ'!$A$1)/7),3)+1)),1),""""))"),"")</f>
        <v/>
      </c>
      <c r="AD248" s="590"/>
      <c r="AE248" s="593" t="str">
        <f>IFERROR(__xludf.DUMMYFUNCTION("IF(AB248="""","""",IFERROR(INDEX(FILTER('特殊配信マスタ'!$O$3:$O$16,('特殊配信マスタ'!$A$3:$A$16=CHOOSE(WEEKDAY(AB$1),""日"",""月"",""火"",""水"",""木"",""金"",""土""))*('特殊配信マスタ'!$B$3:$B$16=Z$3)*('特殊配信マスタ'!$R$3:$R$16=MOD(INT((AB$1-'特殊配信マスタ'!$A$1)/7),3)+1)),1),""""))"),"")</f>
        <v/>
      </c>
      <c r="AF248" s="593" t="str">
        <f>IFERROR(__xludf.DUMMYFUNCTION("IF(AB248="""","""",IFERROR(INDEX(FILTER('特殊配信マスタ'!$P$3:$P$16,('特殊配信マスタ'!$A$3:$A$16=CHOOSE(WEEKDAY(AB$1),""日"",""月"",""火"",""水"",""木"",""金"",""土""))*('特殊配信マスタ'!$B$3:$B$16=Z$3)*('特殊配信マスタ'!$R$3:$R$16=MOD(INT((AB$1-'特殊配信マスタ'!$A$1)/7),3)+1)),1),""""))"),"")</f>
        <v/>
      </c>
      <c r="AG24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H248" s="593" t="str">
        <f>IFERROR(__xludf.DUMMYFUNCTION("IF(AG248="""","""",IFERROR(INDEX(FILTER('特殊配信マスタ'!$F$3:$F$16,('特殊配信マスタ'!$A$3:$A$16=CHOOSE(WEEKDAY(AG$1),""日"",""月"",""火"",""水"",""木"",""金"",""土""))*('特殊配信マスタ'!$B$3:$B$16=AE$3)*('特殊配信マスタ'!$R$3:$R$16=MOD(INT((AG$1-'特殊配信マスタ'!$A$1)/7),3)+1)),1),""""))"),"")</f>
        <v/>
      </c>
      <c r="AI248" s="590"/>
      <c r="AJ248" s="593" t="str">
        <f>IFERROR(__xludf.DUMMYFUNCTION("IF(AG248="""","""",IFERROR(INDEX(FILTER('特殊配信マスタ'!$O$3:$O$16,('特殊配信マスタ'!$A$3:$A$16=CHOOSE(WEEKDAY(AG$1),""日"",""月"",""火"",""水"",""木"",""金"",""土""))*('特殊配信マスタ'!$B$3:$B$16=AE$3)*('特殊配信マスタ'!$R$3:$R$16=MOD(INT((AG$1-'特殊配信マスタ'!$A$1)/7),3)+1)),1),""""))"),"")</f>
        <v/>
      </c>
      <c r="AK248" s="593" t="str">
        <f>IFERROR(__xludf.DUMMYFUNCTION("IF(AG248="""","""",IFERROR(INDEX(FILTER('特殊配信マスタ'!$P$3:$P$16,('特殊配信マスタ'!$A$3:$A$16=CHOOSE(WEEKDAY(AG$1),""日"",""月"",""火"",""水"",""木"",""金"",""土""))*('特殊配信マスタ'!$B$3:$B$16=AE$3)*('特殊配信マスタ'!$R$3:$R$16=MOD(INT((AG$1-'特殊配信マスタ'!$A$1)/7),3)+1)),1),""""))"),"")</f>
        <v/>
      </c>
    </row>
    <row r="249" ht="17.25" customHeight="1">
      <c r="A249" s="599"/>
      <c r="B249" s="592"/>
      <c r="C24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D249" s="593" t="str">
        <f>IFERROR(__xludf.DUMMYFUNCTION("IF(C249="""","""",IFERROR(INDEX(FILTER('特殊配信マスタ'!$F$3:$F$16,('特殊配信マスタ'!$A$3:$A$16=CHOOSE(WEEKDAY(C$1),""日"",""月"",""火"",""水"",""木"",""金"",""土""))*('特殊配信マスタ'!$B$3:$B$16=A$3)*('特殊配信マスタ'!$R$3:$R$16=MOD(INT((C$1-'特殊配信マスタ'!$A$1)/7),3)+1)),1),""""))"),"")</f>
        <v/>
      </c>
      <c r="E249" s="590"/>
      <c r="F249" s="593" t="str">
        <f>IFERROR(__xludf.DUMMYFUNCTION("IF(C249="""","""",IFERROR(INDEX(FILTER('特殊配信マスタ'!$O$3:$O$16,('特殊配信マスタ'!$A$3:$A$16=CHOOSE(WEEKDAY(C$1),""日"",""月"",""火"",""水"",""木"",""金"",""土""))*('特殊配信マスタ'!$B$3:$B$16=A$3)*('特殊配信マスタ'!$R$3:$R$16=MOD(INT((C$1-'特殊配信マスタ'!$A$1)/7),3)+1)),1),""""))"),"")</f>
        <v/>
      </c>
      <c r="G249" s="593" t="str">
        <f>IFERROR(__xludf.DUMMYFUNCTION("IF(C249="""","""",IFERROR(INDEX(FILTER('特殊配信マスタ'!$P$3:$P$16,('特殊配信マスタ'!$A$3:$A$16=CHOOSE(WEEKDAY(C$1),""日"",""月"",""火"",""水"",""木"",""金"",""土""))*('特殊配信マスタ'!$B$3:$B$16=A$3)*('特殊配信マスタ'!$R$3:$R$16=MOD(INT((C$1-'特殊配信マスタ'!$A$1)/7),3)+1)),1),""""))"),"")</f>
        <v/>
      </c>
      <c r="H24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I249" s="593" t="str">
        <f>IFERROR(__xludf.DUMMYFUNCTION("IF(H249="""","""",IFERROR(INDEX(FILTER('特殊配信マスタ'!$F$3:$F$16,('特殊配信マスタ'!$A$3:$A$16=CHOOSE(WEEKDAY(H$1),""日"",""月"",""火"",""水"",""木"",""金"",""土""))*('特殊配信マスタ'!$B$3:$B$16=F$3)*('特殊配信マスタ'!$R$3:$R$16=MOD(INT((H$1-'特殊配信マスタ'!$A$1)/7),3)+1)),1),""""))"),"")</f>
        <v/>
      </c>
      <c r="J249" s="590"/>
      <c r="K249" s="593" t="str">
        <f>IFERROR(__xludf.DUMMYFUNCTION("IF(H249="""","""",IFERROR(INDEX(FILTER('特殊配信マスタ'!$O$3:$O$16,('特殊配信マスタ'!$A$3:$A$16=CHOOSE(WEEKDAY(H$1),""日"",""月"",""火"",""水"",""木"",""金"",""土""))*('特殊配信マスタ'!$B$3:$B$16=F$3)*('特殊配信マスタ'!$R$3:$R$16=MOD(INT((H$1-'特殊配信マスタ'!$A$1)/7),3)+1)),1),""""))"),"")</f>
        <v/>
      </c>
      <c r="L249" s="593" t="str">
        <f>IFERROR(__xludf.DUMMYFUNCTION("IF(H249="""","""",IFERROR(INDEX(FILTER('特殊配信マスタ'!$P$3:$P$16,('特殊配信マスタ'!$A$3:$A$16=CHOOSE(WEEKDAY(H$1),""日"",""月"",""火"",""水"",""木"",""金"",""土""))*('特殊配信マスタ'!$B$3:$B$16=F$3)*('特殊配信マスタ'!$R$3:$R$16=MOD(INT((H$1-'特殊配信マスタ'!$A$1)/7),3)+1)),1),""""))"),"")</f>
        <v/>
      </c>
      <c r="M24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N249" s="593" t="str">
        <f>IFERROR(__xludf.DUMMYFUNCTION("IF(M249="""","""",IFERROR(INDEX(FILTER('特殊配信マスタ'!$F$3:$F$16,('特殊配信マスタ'!$A$3:$A$16=CHOOSE(WEEKDAY(M$1),""日"",""月"",""火"",""水"",""木"",""金"",""土""))*('特殊配信マスタ'!$B$3:$B$16=K$3)*('特殊配信マスタ'!$R$3:$R$16=MOD(INT((M$1-'特殊配信マスタ'!$A$1)/7),3)+1)),1),""""))"),"")</f>
        <v/>
      </c>
      <c r="O249" s="590"/>
      <c r="P249" s="593" t="str">
        <f>IFERROR(__xludf.DUMMYFUNCTION("IF(M249="""","""",IFERROR(INDEX(FILTER('特殊配信マスタ'!$O$3:$O$16,('特殊配信マスタ'!$A$3:$A$16=CHOOSE(WEEKDAY(M$1),""日"",""月"",""火"",""水"",""木"",""金"",""土""))*('特殊配信マスタ'!$B$3:$B$16=K$3)*('特殊配信マスタ'!$R$3:$R$16=MOD(INT((M$1-'特殊配信マスタ'!$A$1)/7),3)+1)),1),""""))"),"")</f>
        <v/>
      </c>
      <c r="Q249" s="593" t="str">
        <f>IFERROR(__xludf.DUMMYFUNCTION("IF(M249="""","""",IFERROR(INDEX(FILTER('特殊配信マスタ'!$P$3:$P$16,('特殊配信マスタ'!$A$3:$A$16=CHOOSE(WEEKDAY(M$1),""日"",""月"",""火"",""水"",""木"",""金"",""土""))*('特殊配信マスタ'!$B$3:$B$16=K$3)*('特殊配信マスタ'!$R$3:$R$16=MOD(INT((M$1-'特殊配信マスタ'!$A$1)/7),3)+1)),1),""""))"),"")</f>
        <v/>
      </c>
      <c r="R24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S249" s="593" t="str">
        <f>IFERROR(__xludf.DUMMYFUNCTION("IF(R249="""","""",IFERROR(INDEX(FILTER('特殊配信マスタ'!$F$3:$F$16,('特殊配信マスタ'!$A$3:$A$16=CHOOSE(WEEKDAY(R$1),""日"",""月"",""火"",""水"",""木"",""金"",""土""))*('特殊配信マスタ'!$B$3:$B$16=P$3)*('特殊配信マスタ'!$R$3:$R$16=MOD(INT((R$1-'特殊配信マスタ'!$A$1)/7),3)+1)),1),""""))"),"")</f>
        <v/>
      </c>
      <c r="T249" s="590"/>
      <c r="U249" s="593" t="str">
        <f>IFERROR(__xludf.DUMMYFUNCTION("IF(R249="""","""",IFERROR(INDEX(FILTER('特殊配信マスタ'!$O$3:$O$16,('特殊配信マスタ'!$A$3:$A$16=CHOOSE(WEEKDAY(R$1),""日"",""月"",""火"",""水"",""木"",""金"",""土""))*('特殊配信マスタ'!$B$3:$B$16=P$3)*('特殊配信マスタ'!$R$3:$R$16=MOD(INT((R$1-'特殊配信マスタ'!$A$1)/7),3)+1)),1),""""))"),"")</f>
        <v/>
      </c>
      <c r="V249" s="593" t="str">
        <f>IFERROR(__xludf.DUMMYFUNCTION("IF(R249="""","""",IFERROR(INDEX(FILTER('特殊配信マスタ'!$P$3:$P$16,('特殊配信マスタ'!$A$3:$A$16=CHOOSE(WEEKDAY(R$1),""日"",""月"",""火"",""水"",""木"",""金"",""土""))*('特殊配信マスタ'!$B$3:$B$16=P$3)*('特殊配信マスタ'!$R$3:$R$16=MOD(INT((R$1-'特殊配信マスタ'!$A$1)/7),3)+1)),1),""""))"),"")</f>
        <v/>
      </c>
      <c r="W24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X249" s="593" t="str">
        <f>IFERROR(__xludf.DUMMYFUNCTION("IF(W249="""","""",IFERROR(INDEX(FILTER('特殊配信マスタ'!$F$3:$F$16,('特殊配信マスタ'!$A$3:$A$16=CHOOSE(WEEKDAY(W$1),""日"",""月"",""火"",""水"",""木"",""金"",""土""))*('特殊配信マスタ'!$B$3:$B$16=U$3)*('特殊配信マスタ'!$R$3:$R$16=MOD(INT((W$1-'特殊配信マスタ'!$A$1)/7),3)+1)),1),""""))"),"")</f>
        <v/>
      </c>
      <c r="Y249" s="590"/>
      <c r="Z249" s="593" t="str">
        <f>IFERROR(__xludf.DUMMYFUNCTION("IF(W249="""","""",IFERROR(INDEX(FILTER('特殊配信マスタ'!$O$3:$O$16,('特殊配信マスタ'!$A$3:$A$16=CHOOSE(WEEKDAY(W$1),""日"",""月"",""火"",""水"",""木"",""金"",""土""))*('特殊配信マスタ'!$B$3:$B$16=U$3)*('特殊配信マスタ'!$R$3:$R$16=MOD(INT((W$1-'特殊配信マスタ'!$A$1)/7),3)+1)),1),""""))"),"")</f>
        <v/>
      </c>
      <c r="AA249" s="593" t="str">
        <f>IFERROR(__xludf.DUMMYFUNCTION("IF(W249="""","""",IFERROR(INDEX(FILTER('特殊配信マスタ'!$P$3:$P$16,('特殊配信マスタ'!$A$3:$A$16=CHOOSE(WEEKDAY(W$1),""日"",""月"",""火"",""水"",""木"",""金"",""土""))*('特殊配信マスタ'!$B$3:$B$16=U$3)*('特殊配信マスタ'!$R$3:$R$16=MOD(INT((W$1-'特殊配信マスタ'!$A$1)/7),3)+1)),1),""""))"),"")</f>
        <v/>
      </c>
      <c r="AB24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C249" s="593" t="str">
        <f>IFERROR(__xludf.DUMMYFUNCTION("IF(AB249="""","""",IFERROR(INDEX(FILTER('特殊配信マスタ'!$F$3:$F$16,('特殊配信マスタ'!$A$3:$A$16=CHOOSE(WEEKDAY(AB$1),""日"",""月"",""火"",""水"",""木"",""金"",""土""))*('特殊配信マスタ'!$B$3:$B$16=Z$3)*('特殊配信マスタ'!$R$3:$R$16=MOD(INT((AB$1-'特殊配信マスタ'!$A$1)/7),3)+1)),1),""""))"),"")</f>
        <v/>
      </c>
      <c r="AD249" s="590"/>
      <c r="AE249" s="593" t="str">
        <f>IFERROR(__xludf.DUMMYFUNCTION("IF(AB249="""","""",IFERROR(INDEX(FILTER('特殊配信マスタ'!$O$3:$O$16,('特殊配信マスタ'!$A$3:$A$16=CHOOSE(WEEKDAY(AB$1),""日"",""月"",""火"",""水"",""木"",""金"",""土""))*('特殊配信マスタ'!$B$3:$B$16=Z$3)*('特殊配信マスタ'!$R$3:$R$16=MOD(INT((AB$1-'特殊配信マスタ'!$A$1)/7),3)+1)),1),""""))"),"")</f>
        <v/>
      </c>
      <c r="AF249" s="593" t="str">
        <f>IFERROR(__xludf.DUMMYFUNCTION("IF(AB249="""","""",IFERROR(INDEX(FILTER('特殊配信マスタ'!$P$3:$P$16,('特殊配信マスタ'!$A$3:$A$16=CHOOSE(WEEKDAY(AB$1),""日"",""月"",""火"",""水"",""木"",""金"",""土""))*('特殊配信マスタ'!$B$3:$B$16=Z$3)*('特殊配信マスタ'!$R$3:$R$16=MOD(INT((AB$1-'特殊配信マスタ'!$A$1)/7),3)+1)),1),""""))"),"")</f>
        <v/>
      </c>
      <c r="AG249"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H249" s="593" t="str">
        <f>IFERROR(__xludf.DUMMYFUNCTION("IF(AG249="""","""",IFERROR(INDEX(FILTER('特殊配信マスタ'!$F$3:$F$16,('特殊配信マスタ'!$A$3:$A$16=CHOOSE(WEEKDAY(AG$1),""日"",""月"",""火"",""水"",""木"",""金"",""土""))*('特殊配信マスタ'!$B$3:$B$16=AE$3)*('特殊配信マスタ'!$R$3:$R$16=MOD(INT((AG$1-'特殊配信マスタ'!$A$1)/7),3)+1)),1),""""))"),"")</f>
        <v/>
      </c>
      <c r="AI249" s="590"/>
      <c r="AJ249" s="593" t="str">
        <f>IFERROR(__xludf.DUMMYFUNCTION("IF(AG249="""","""",IFERROR(INDEX(FILTER('特殊配信マスタ'!$O$3:$O$16,('特殊配信マスタ'!$A$3:$A$16=CHOOSE(WEEKDAY(AG$1),""日"",""月"",""火"",""水"",""木"",""金"",""土""))*('特殊配信マスタ'!$B$3:$B$16=AE$3)*('特殊配信マスタ'!$R$3:$R$16=MOD(INT((AG$1-'特殊配信マスタ'!$A$1)/7),3)+1)),1),""""))"),"")</f>
        <v/>
      </c>
      <c r="AK249" s="593" t="str">
        <f>IFERROR(__xludf.DUMMYFUNCTION("IF(AG249="""","""",IFERROR(INDEX(FILTER('特殊配信マスタ'!$P$3:$P$16,('特殊配信マスタ'!$A$3:$A$16=CHOOSE(WEEKDAY(AG$1),""日"",""月"",""火"",""水"",""木"",""金"",""土""))*('特殊配信マスタ'!$B$3:$B$16=AE$3)*('特殊配信マスタ'!$R$3:$R$16=MOD(INT((AG$1-'特殊配信マスタ'!$A$1)/7),3)+1)),1),""""))"),"")</f>
        <v/>
      </c>
    </row>
    <row r="250" ht="17.25" customHeight="1">
      <c r="A250" s="584">
        <f>A231+1</f>
        <v>21</v>
      </c>
      <c r="B250" s="585" t="s">
        <v>1450</v>
      </c>
      <c r="C250" s="586" t="str">
        <f>IFERROR(__xludf.DUMMYFUNCTION("IFERROR(FILTER('リスト'!$E$3:$E$446, 
  ('リスト'!$A$3:$A$446 = CHOOSE(WEEKDAY(C$1), ""日"", ""月"", ""火"", ""水"", ""木"", ""金"", ""土"")) * ('リスト'!$B$3:$B$446 = $A250) * (('リスト'!$G$3:$G$446 = ""毎週配信"") + ('リスト'!$G$3:$G$446 = $A$1))
), """")"),"WEB面接・コロナ対策")</f>
        <v>WEB面接・コロナ対策</v>
      </c>
      <c r="D250" s="8">
        <f t="array" ref="D250">IFERROR(XLOOKUP(C250, 'リスト'!$E:$E, 'リスト'!$F:$F, ""), "")</f>
        <v>9.3</v>
      </c>
      <c r="E250" s="8">
        <f>SUM(D250:D268)</f>
        <v>10.6</v>
      </c>
      <c r="F250" s="8" t="str">
        <f t="array" ref="F250">IFERROR(XLOOKUP(C250, 'リスト'!$E:$E, 'リスト'!$O:$O, ""), "")</f>
        <v>R</v>
      </c>
      <c r="G250" s="8" t="str">
        <f t="array" ref="G250">IFERROR(XLOOKUP(C250, 'リスト'!$E:$E, 'リスト'!$P:$P, ""), "")</f>
        <v/>
      </c>
      <c r="H250" s="586" t="str">
        <f>IFERROR(__xludf.DUMMYFUNCTION("IFERROR(FILTER('リスト'!$E$3:$E$446, 
  ('リスト'!$A$3:$A$446 = CHOOSE(WEEKDAY(H$1), ""日"", ""月"", ""火"", ""水"", ""木"", ""金"", ""土"")) * ('リスト'!$B$3:$B$446 = $A250) * (('リスト'!$G$3:$G$446 = ""毎週配信"") + ('リスト'!$G$3:$G$446 = $A$1))
), """")"),"◇ウキにしか掲載していない求人")</f>
        <v>◇ウキにしか掲載していない求人</v>
      </c>
      <c r="I250" s="8">
        <f t="array" ref="I250">IFERROR(XLOOKUP(H250, 'リスト'!$E:$E, 'リスト'!$F:$F, ""), "")</f>
        <v>6.9</v>
      </c>
      <c r="J250" s="8">
        <f>SUM(I250:I268)</f>
        <v>9.8</v>
      </c>
      <c r="K250" s="8" t="str">
        <f t="array" ref="K250">IFERROR(XLOOKUP(H250, 'リスト'!$E:$E, 'リスト'!$O:$O, ""), "")</f>
        <v>部</v>
      </c>
      <c r="L250" s="8" t="str">
        <f t="array" ref="L250">IFERROR(XLOOKUP(H250, 'リスト'!$E:$E, 'リスト'!$P:$P, ""), "")</f>
        <v>武</v>
      </c>
      <c r="M250" s="586" t="str">
        <f>IFERROR(__xludf.DUMMYFUNCTION("IFERROR(FILTER('リスト'!$E$3:$E$446, 
  ('リスト'!$A$3:$A$446 = CHOOSE(WEEKDAY(M$1), ""日"", ""月"", ""火"", ""水"", ""木"", ""金"", ""土"")) * ('リスト'!$B$3:$B$446 = $A250) * (('リスト'!$G$3:$G$446 = ""毎週配信"") + ('リスト'!$G$3:$G$446 = $A$1))
), """")"),"応募から1日_好条件事務ランキング")</f>
        <v>応募から1日_好条件事務ランキング</v>
      </c>
      <c r="N250" s="8">
        <f t="array" ref="N250">IFERROR(XLOOKUP(M250, 'リスト'!$E:$E, 'リスト'!$F:$F, ""), "")</f>
        <v>0.1</v>
      </c>
      <c r="O250" s="8">
        <f>SUM(N250:N268)</f>
        <v>6.1</v>
      </c>
      <c r="P250" s="8" t="str">
        <f t="array" ref="P250">IFERROR(XLOOKUP(M250, 'リスト'!$E:$E, 'リスト'!$O:$O, ""), "")</f>
        <v>R</v>
      </c>
      <c r="Q250" s="8" t="str">
        <f t="array" ref="Q250">IFERROR(XLOOKUP(M250, 'リスト'!$E:$E, 'リスト'!$P:$P, ""), "")</f>
        <v/>
      </c>
      <c r="R250" s="586" t="str">
        <f>IFERROR(__xludf.DUMMYFUNCTION("IFERROR(FILTER('リスト'!$E$3:$E$446, 
  ('リスト'!$A$3:$A$446 = CHOOSE(WEEKDAY(R$1), ""日"", ""月"", ""火"", ""水"", ""木"", ""金"", ""土"")) * ('リスト'!$B$3:$B$446 = $A250) * (('リスト'!$G$3:$G$446 = ""毎週配信"") + ('リスト'!$G$3:$G$446 = $A$1))
), """")"),"ウルトラ好条件")</f>
        <v>ウルトラ好条件</v>
      </c>
      <c r="S250" s="8">
        <f t="array" ref="S250">IFERROR(XLOOKUP(R250, 'リスト'!$E:$E, 'リスト'!$F:$F, ""), "")</f>
        <v>6.7</v>
      </c>
      <c r="T250" s="8">
        <f>SUM(S250:S268)</f>
        <v>7.4</v>
      </c>
      <c r="U250" s="8" t="str">
        <f t="array" ref="U250">IFERROR(XLOOKUP(R250, 'リスト'!$E:$E, 'リスト'!$O:$O, ""), "")</f>
        <v>R</v>
      </c>
      <c r="V250" s="8" t="str">
        <f t="array" ref="V250">IFERROR(XLOOKUP(R250, 'リスト'!$E:$E, 'リスト'!$P:$P, ""), "")</f>
        <v/>
      </c>
      <c r="W250" s="586" t="str">
        <f>IFERROR(__xludf.DUMMYFUNCTION("IFERROR(FILTER('リスト'!$E$3:$E$446, 
  ('リスト'!$A$3:$A$446 = CHOOSE(WEEKDAY(W$1), ""日"", ""月"", ""火"", ""水"", ""木"", ""金"", ""土"")) * ('リスト'!$B$3:$B$446 = $A250) * (('リスト'!$G$3:$G$446 = ""毎週配信"") + ('リスト'!$G$3:$G$446 = $A$1))
), """")"),"応募から1日_好条件事務ランキング")</f>
        <v>応募から1日_好条件事務ランキング</v>
      </c>
      <c r="X250" s="8">
        <f t="array" ref="X250">IFERROR(XLOOKUP(W250, 'リスト'!$E:$E, 'リスト'!$F:$F, ""), "")</f>
        <v>0.1</v>
      </c>
      <c r="Y250" s="8">
        <f>SUM(X250:X268)</f>
        <v>3.9</v>
      </c>
      <c r="Z250" s="8" t="str">
        <f t="array" ref="Z250">IFERROR(XLOOKUP(W250, 'リスト'!$E:$E, 'リスト'!$O:$O, ""), "")</f>
        <v>R</v>
      </c>
      <c r="AA250" s="8" t="str">
        <f t="array" ref="AA250">IFERROR(XLOOKUP(W250, 'リスト'!$E:$E, 'リスト'!$P:$P, ""), "")</f>
        <v/>
      </c>
      <c r="AB250" s="586" t="str">
        <f>IFERROR(__xludf.DUMMYFUNCTION("IFERROR(FILTER('リスト'!$E$3:$E$446, 
  ('リスト'!$A$3:$A$446 = CHOOSE(WEEKDAY(AB$1), ""日"", ""月"", ""火"", ""水"", ""木"", ""金"", ""土"")) * ('リスト'!$B$3:$B$446 = $A250) * (('リスト'!$G$3:$G$446 = ""毎週配信"") + ('リスト'!$G$3:$G$446 = $A$1))
), """")"),"リモート_ランキング")</f>
        <v>リモート_ランキング</v>
      </c>
      <c r="AC250" s="8">
        <f t="array" ref="AC250">IFERROR(XLOOKUP(AB250, 'リスト'!$E:$E, 'リスト'!$F:$F, ""), "")</f>
        <v>2.5</v>
      </c>
      <c r="AD250" s="8">
        <f>SUM(AC250:AC268)</f>
        <v>3.3</v>
      </c>
      <c r="AE250" s="8" t="str">
        <f t="array" ref="AE250">IFERROR(XLOOKUP(AB250, 'リスト'!$E:$E, 'リスト'!$O:$O, ""), "")</f>
        <v>R</v>
      </c>
      <c r="AF250" s="8" t="str">
        <f t="array" ref="AF250">IFERROR(XLOOKUP(AB250, 'リスト'!$E:$E, 'リスト'!$P:$P, ""), "")</f>
        <v/>
      </c>
      <c r="AG250" s="586" t="str">
        <f>IFERROR(__xludf.DUMMYFUNCTION("IFERROR(FILTER('リスト'!$E$3:$E$446, 
  ('リスト'!$A$3:$A$446 = CHOOSE(WEEKDAY(AG$1), ""日"", ""月"", ""火"", ""水"", ""木"", ""金"", ""土"")) * ('リスト'!$B$3:$B$446 = $A250) * (('リスト'!$G$3:$G$446 = ""毎週配信"") + ('リスト'!$G$3:$G$446 = $A$1))
), """")"),"フルフレックス")</f>
        <v>フルフレックス</v>
      </c>
      <c r="AH250" s="8">
        <f t="array" ref="AH250">IFERROR(XLOOKUP(AG250, 'リスト'!$E:$E, 'リスト'!$F:$F, ""), "")</f>
        <v>3.1</v>
      </c>
      <c r="AI250" s="8">
        <f>SUM(AH250:AH268)</f>
        <v>4.1</v>
      </c>
      <c r="AJ250" s="8" t="str">
        <f t="array" ref="AJ250">IFERROR(XLOOKUP(AG250, 'リスト'!$E:$E, 'リスト'!$O:$O, ""), "")</f>
        <v>R</v>
      </c>
      <c r="AK250" s="8" t="str">
        <f t="array" ref="AK250">IFERROR(XLOOKUP(AG250, 'リスト'!$E:$E, 'リスト'!$P:$P, ""), "")</f>
        <v/>
      </c>
    </row>
    <row r="251" ht="17.25" customHeight="1">
      <c r="A251" s="587"/>
      <c r="B251" s="588"/>
      <c r="C251" s="586" t="str">
        <f>IFERROR(__xludf.DUMMYFUNCTION("""COMPUTED_VALUE"""),"ランキング_事務（貿易事務）_希望")</f>
        <v>ランキング_事務（貿易事務）_希望</v>
      </c>
      <c r="D251" s="8">
        <f t="array" ref="D251">IFERROR(XLOOKUP(C251, 'リスト'!$E:$E, 'リスト'!$F:$F, ""), "")</f>
        <v>0.4</v>
      </c>
      <c r="E251" s="8"/>
      <c r="F251" s="8" t="str">
        <f t="array" ref="F251">IFERROR(XLOOKUP(C251, 'リスト'!$E:$E, 'リスト'!$O:$O, ""), "")</f>
        <v>R</v>
      </c>
      <c r="G251" s="8" t="str">
        <f t="array" ref="G251">IFERROR(XLOOKUP(C251, 'リスト'!$E:$E, 'リスト'!$P:$P, ""), "")</f>
        <v/>
      </c>
      <c r="H251" s="586" t="str">
        <f>IFERROR(__xludf.DUMMYFUNCTION("""COMPUTED_VALUE"""),"応募から1日_好条件事務ランキング")</f>
        <v>応募から1日_好条件事務ランキング</v>
      </c>
      <c r="I251" s="8">
        <f t="array" ref="I251">IFERROR(XLOOKUP(H251, 'リスト'!$E:$E, 'リスト'!$F:$F, ""), "")</f>
        <v>0.1</v>
      </c>
      <c r="J251" s="8"/>
      <c r="K251" s="8" t="str">
        <f t="array" ref="K251">IFERROR(XLOOKUP(H251, 'リスト'!$E:$E, 'リスト'!$O:$O, ""), "")</f>
        <v>R</v>
      </c>
      <c r="L251" s="8" t="str">
        <f t="array" ref="L251">IFERROR(XLOOKUP(H251, 'リスト'!$E:$E, 'リスト'!$P:$P, ""), "")</f>
        <v/>
      </c>
      <c r="M251" s="586" t="str">
        <f>IFERROR(__xludf.DUMMYFUNCTION("""COMPUTED_VALUE"""),"応募から3日会員")</f>
        <v>応募から3日会員</v>
      </c>
      <c r="N251" s="8">
        <f t="array" ref="N251">IFERROR(XLOOKUP(M251, 'リスト'!$E:$E, 'リスト'!$F:$F, ""), "")</f>
        <v>0.1</v>
      </c>
      <c r="O251" s="8"/>
      <c r="P251" s="8" t="str">
        <f t="array" ref="P251">IFERROR(XLOOKUP(M251, 'リスト'!$E:$E, 'リスト'!$O:$O, ""), "")</f>
        <v>R</v>
      </c>
      <c r="Q251" s="8" t="str">
        <f t="array" ref="Q251">IFERROR(XLOOKUP(M251, 'リスト'!$E:$E, 'リスト'!$P:$P, ""), "")</f>
        <v/>
      </c>
      <c r="R251" s="586" t="str">
        <f>IFERROR(__xludf.DUMMYFUNCTION("""COMPUTED_VALUE"""),"応募から1日_好条件事務ランキング")</f>
        <v>応募から1日_好条件事務ランキング</v>
      </c>
      <c r="S251" s="8">
        <f t="array" ref="S251">IFERROR(XLOOKUP(R251, 'リスト'!$E:$E, 'リスト'!$F:$F, ""), "")</f>
        <v>0.1</v>
      </c>
      <c r="T251" s="8"/>
      <c r="U251" s="8" t="str">
        <f t="array" ref="U251">IFERROR(XLOOKUP(R251, 'リスト'!$E:$E, 'リスト'!$O:$O, ""), "")</f>
        <v>R</v>
      </c>
      <c r="V251" s="8" t="str">
        <f t="array" ref="V251">IFERROR(XLOOKUP(R251, 'リスト'!$E:$E, 'リスト'!$P:$P, ""), "")</f>
        <v/>
      </c>
      <c r="W251" s="586" t="str">
        <f>IFERROR(__xludf.DUMMYFUNCTION("""COMPUTED_VALUE"""),"応募から3日会員")</f>
        <v>応募から3日会員</v>
      </c>
      <c r="X251" s="8">
        <f t="array" ref="X251">IFERROR(XLOOKUP(W251, 'リスト'!$E:$E, 'リスト'!$F:$F, ""), "")</f>
        <v>0.1</v>
      </c>
      <c r="Y251" s="8"/>
      <c r="Z251" s="8" t="str">
        <f t="array" ref="Z251">IFERROR(XLOOKUP(W251, 'リスト'!$E:$E, 'リスト'!$O:$O, ""), "")</f>
        <v>R</v>
      </c>
      <c r="AA251" s="8" t="str">
        <f t="array" ref="AA251">IFERROR(XLOOKUP(W251, 'リスト'!$E:$E, 'リスト'!$P:$P, ""), "")</f>
        <v/>
      </c>
      <c r="AB251" s="586" t="str">
        <f>IFERROR(__xludf.DUMMYFUNCTION("""COMPUTED_VALUE"""),"応募から1日_好条件事務ランキング")</f>
        <v>応募から1日_好条件事務ランキング</v>
      </c>
      <c r="AC251" s="8">
        <f t="array" ref="AC251">IFERROR(XLOOKUP(AB251, 'リスト'!$E:$E, 'リスト'!$F:$F, ""), "")</f>
        <v>0.1</v>
      </c>
      <c r="AD251" s="8"/>
      <c r="AE251" s="8" t="str">
        <f t="array" ref="AE251">IFERROR(XLOOKUP(AB251, 'リスト'!$E:$E, 'リスト'!$O:$O, ""), "")</f>
        <v>R</v>
      </c>
      <c r="AF251" s="8" t="str">
        <f t="array" ref="AF251">IFERROR(XLOOKUP(AB251, 'リスト'!$E:$E, 'リスト'!$P:$P, ""), "")</f>
        <v/>
      </c>
      <c r="AG251" s="586" t="str">
        <f>IFERROR(__xludf.DUMMYFUNCTION("""COMPUTED_VALUE"""),"営業_カタカナ職業")</f>
        <v>営業_カタカナ職業</v>
      </c>
      <c r="AH251" s="8">
        <f t="array" ref="AH251">IFERROR(XLOOKUP(AG251, 'リスト'!$E:$E, 'リスト'!$F:$F, ""), "")</f>
        <v>0.8</v>
      </c>
      <c r="AI251" s="8"/>
      <c r="AJ251" s="8" t="str">
        <f t="array" ref="AJ251">IFERROR(XLOOKUP(AG251, 'リスト'!$E:$E, 'リスト'!$O:$O, ""), "")</f>
        <v>R</v>
      </c>
      <c r="AK251" s="8" t="str">
        <f t="array" ref="AK251">IFERROR(XLOOKUP(AG251, 'リスト'!$E:$E, 'リスト'!$P:$P, ""), "")</f>
        <v/>
      </c>
    </row>
    <row r="252" ht="17.25" customHeight="1">
      <c r="A252" s="587"/>
      <c r="B252" s="588"/>
      <c r="C252" s="586" t="str">
        <f>IFERROR(__xludf.DUMMYFUNCTION("""COMPUTED_VALUE"""),"応募から1日_好条件事務ランキング")</f>
        <v>応募から1日_好条件事務ランキング</v>
      </c>
      <c r="D252" s="8">
        <f t="array" ref="D252">IFERROR(XLOOKUP(C252, 'リスト'!$E:$E, 'リスト'!$F:$F, ""), "")</f>
        <v>0.1</v>
      </c>
      <c r="E252" s="8"/>
      <c r="F252" s="8" t="str">
        <f t="array" ref="F252">IFERROR(XLOOKUP(C252, 'リスト'!$E:$E, 'リスト'!$O:$O, ""), "")</f>
        <v>R</v>
      </c>
      <c r="G252" s="8" t="str">
        <f t="array" ref="G252">IFERROR(XLOOKUP(C252, 'リスト'!$E:$E, 'リスト'!$P:$P, ""), "")</f>
        <v/>
      </c>
      <c r="H252" s="586" t="str">
        <f>IFERROR(__xludf.DUMMYFUNCTION("""COMPUTED_VALUE"""),"応募から3日会員")</f>
        <v>応募から3日会員</v>
      </c>
      <c r="I252" s="8">
        <f t="array" ref="I252">IFERROR(XLOOKUP(H252, 'リスト'!$E:$E, 'リスト'!$F:$F, ""), "")</f>
        <v>0.1</v>
      </c>
      <c r="J252" s="8"/>
      <c r="K252" s="8" t="str">
        <f t="array" ref="K252">IFERROR(XLOOKUP(H252, 'リスト'!$E:$E, 'リスト'!$O:$O, ""), "")</f>
        <v>R</v>
      </c>
      <c r="L252" s="8" t="str">
        <f t="array" ref="L252">IFERROR(XLOOKUP(H252, 'リスト'!$E:$E, 'リスト'!$P:$P, ""), "")</f>
        <v/>
      </c>
      <c r="M252" s="586" t="str">
        <f>IFERROR(__xludf.DUMMYFUNCTION("""COMPUTED_VALUE"""),"学歴不問×大手上場企業")</f>
        <v>学歴不問×大手上場企業</v>
      </c>
      <c r="N252" s="8">
        <f t="array" ref="N252">IFERROR(XLOOKUP(M252, 'リスト'!$E:$E, 'リスト'!$F:$F, ""), "")</f>
        <v>1.3</v>
      </c>
      <c r="O252" s="8"/>
      <c r="P252" s="8" t="str">
        <f t="array" ref="P252">IFERROR(XLOOKUP(M252, 'リスト'!$E:$E, 'リスト'!$O:$O, ""), "")</f>
        <v>R</v>
      </c>
      <c r="Q252" s="8" t="str">
        <f t="array" ref="Q252">IFERROR(XLOOKUP(M252, 'リスト'!$E:$E, 'リスト'!$P:$P, ""), "")</f>
        <v/>
      </c>
      <c r="R252" s="586" t="str">
        <f>IFERROR(__xludf.DUMMYFUNCTION("""COMPUTED_VALUE"""),"応募から3日会員")</f>
        <v>応募から3日会員</v>
      </c>
      <c r="S252" s="8">
        <f t="array" ref="S252">IFERROR(XLOOKUP(R252, 'リスト'!$E:$E, 'リスト'!$F:$F, ""), "")</f>
        <v>0.1</v>
      </c>
      <c r="T252" s="8"/>
      <c r="U252" s="8" t="str">
        <f t="array" ref="U252">IFERROR(XLOOKUP(R252, 'リスト'!$E:$E, 'リスト'!$O:$O, ""), "")</f>
        <v>R</v>
      </c>
      <c r="V252" s="8" t="str">
        <f t="array" ref="V252">IFERROR(XLOOKUP(R252, 'リスト'!$E:$E, 'リスト'!$P:$P, ""), "")</f>
        <v/>
      </c>
      <c r="W252" s="586" t="str">
        <f>IFERROR(__xludf.DUMMYFUNCTION("""COMPUTED_VALUE"""),"月給30万以上_ランキング")</f>
        <v>月給30万以上_ランキング</v>
      </c>
      <c r="X252" s="8">
        <f t="array" ref="X252">IFERROR(XLOOKUP(W252, 'リスト'!$E:$E, 'リスト'!$F:$F, ""), "")</f>
        <v>1.7</v>
      </c>
      <c r="Y252" s="8"/>
      <c r="Z252" s="8" t="str">
        <f t="array" ref="Z252">IFERROR(XLOOKUP(W252, 'リスト'!$E:$E, 'リスト'!$O:$O, ""), "")</f>
        <v>R</v>
      </c>
      <c r="AA252" s="8" t="str">
        <f t="array" ref="AA252">IFERROR(XLOOKUP(W252, 'リスト'!$E:$E, 'リスト'!$P:$P, ""), "")</f>
        <v/>
      </c>
      <c r="AB252" s="586" t="str">
        <f>IFERROR(__xludf.DUMMYFUNCTION("""COMPUTED_VALUE"""),"応募から3日会員")</f>
        <v>応募から3日会員</v>
      </c>
      <c r="AC252" s="8">
        <f t="array" ref="AC252">IFERROR(XLOOKUP(AB252, 'リスト'!$E:$E, 'リスト'!$F:$F, ""), "")</f>
        <v>0.1</v>
      </c>
      <c r="AD252" s="8"/>
      <c r="AE252" s="8" t="str">
        <f t="array" ref="AE252">IFERROR(XLOOKUP(AB252, 'リスト'!$E:$E, 'リスト'!$O:$O, ""), "")</f>
        <v>R</v>
      </c>
      <c r="AF252" s="8" t="str">
        <f t="array" ref="AF252">IFERROR(XLOOKUP(AB252, 'リスト'!$E:$E, 'リスト'!$P:$P, ""), "")</f>
        <v/>
      </c>
      <c r="AG252" s="586" t="str">
        <f>IFERROR(__xludf.DUMMYFUNCTION("""COMPUTED_VALUE"""),"応募から1日_好条件事務ランキング")</f>
        <v>応募から1日_好条件事務ランキング</v>
      </c>
      <c r="AH252" s="8">
        <f t="array" ref="AH252">IFERROR(XLOOKUP(AG252, 'リスト'!$E:$E, 'リスト'!$F:$F, ""), "")</f>
        <v>0.1</v>
      </c>
      <c r="AI252" s="8"/>
      <c r="AJ252" s="8" t="str">
        <f t="array" ref="AJ252">IFERROR(XLOOKUP(AG252, 'リスト'!$E:$E, 'リスト'!$O:$O, ""), "")</f>
        <v>R</v>
      </c>
      <c r="AK252" s="8" t="str">
        <f t="array" ref="AK252">IFERROR(XLOOKUP(AG252, 'リスト'!$E:$E, 'リスト'!$P:$P, ""), "")</f>
        <v/>
      </c>
    </row>
    <row r="253" ht="17.25" customHeight="1">
      <c r="A253" s="587"/>
      <c r="B253" s="588"/>
      <c r="C253" s="589" t="str">
        <f>IFERROR(__xludf.DUMMYFUNCTION("""COMPUTED_VALUE"""),"応募から3日会員")</f>
        <v>応募から3日会員</v>
      </c>
      <c r="D253" s="8">
        <f t="array" ref="D253">IFERROR(XLOOKUP(C253, 'リスト'!$E:$E, 'リスト'!$F:$F, ""), "")</f>
        <v>0.1</v>
      </c>
      <c r="E253" s="8"/>
      <c r="F253" s="8" t="str">
        <f t="array" ref="F253">IFERROR(XLOOKUP(C253, 'リスト'!$E:$E, 'リスト'!$O:$O, ""), "")</f>
        <v>R</v>
      </c>
      <c r="G253" s="8" t="str">
        <f t="array" ref="G253">IFERROR(XLOOKUP(C253, 'リスト'!$E:$E, 'リスト'!$P:$P, ""), "")</f>
        <v/>
      </c>
      <c r="H253" s="589" t="str">
        <f>IFERROR(__xludf.DUMMYFUNCTION("""COMPUTED_VALUE"""),"年収UP_営業")</f>
        <v>年収UP_営業</v>
      </c>
      <c r="I253" s="8">
        <f t="array" ref="I253">IFERROR(XLOOKUP(H253, 'リスト'!$E:$E, 'リスト'!$F:$F, ""), "")</f>
        <v>0.6</v>
      </c>
      <c r="J253" s="8"/>
      <c r="K253" s="8" t="str">
        <f t="array" ref="K253">IFERROR(XLOOKUP(H253, 'リスト'!$E:$E, 'リスト'!$O:$O, ""), "")</f>
        <v>R</v>
      </c>
      <c r="L253" s="8" t="str">
        <f t="array" ref="L253">IFERROR(XLOOKUP(H253, 'リスト'!$E:$E, 'リスト'!$P:$P, ""), "")</f>
        <v/>
      </c>
      <c r="M253" s="589" t="str">
        <f>IFERROR(__xludf.DUMMYFUNCTION("""COMPUTED_VALUE"""),"新働きやすさ_A")</f>
        <v>新働きやすさ_A</v>
      </c>
      <c r="N253" s="8">
        <f t="array" ref="N253">IFERROR(XLOOKUP(M253, 'リスト'!$E:$E, 'リスト'!$F:$F, ""), "")</f>
        <v>2</v>
      </c>
      <c r="O253" s="8"/>
      <c r="P253" s="8" t="str">
        <f t="array" ref="P253">IFERROR(XLOOKUP(M253, 'リスト'!$E:$E, 'リスト'!$O:$O, ""), "")</f>
        <v>R</v>
      </c>
      <c r="Q253" s="8" t="str">
        <f t="array" ref="Q253">IFERROR(XLOOKUP(M253, 'リスト'!$E:$E, 'リスト'!$P:$P, ""), "")</f>
        <v/>
      </c>
      <c r="R253" s="589" t="str">
        <f>IFERROR(__xludf.DUMMYFUNCTION("""COMPUTED_VALUE"""),"希望業種_人材サービス")</f>
        <v>希望業種_人材サービス</v>
      </c>
      <c r="S253" s="8">
        <f t="array" ref="S253">IFERROR(XLOOKUP(R253, 'リスト'!$E:$E, 'リスト'!$F:$F, ""), "")</f>
        <v>0.5</v>
      </c>
      <c r="T253" s="8"/>
      <c r="U253" s="8" t="str">
        <f t="array" ref="U253">IFERROR(XLOOKUP(R253, 'リスト'!$E:$E, 'リスト'!$O:$O, ""), "")</f>
        <v>R</v>
      </c>
      <c r="V253" s="8" t="str">
        <f t="array" ref="V253">IFERROR(XLOOKUP(R253, 'リスト'!$E:$E, 'リスト'!$P:$P, ""), "")</f>
        <v/>
      </c>
      <c r="W253" s="589" t="str">
        <f>IFERROR(__xludf.DUMMYFUNCTION("""COMPUTED_VALUE"""),"検討中ランキング_クリエイティブ")</f>
        <v>検討中ランキング_クリエイティブ</v>
      </c>
      <c r="X253" s="8">
        <f t="array" ref="X253">IFERROR(XLOOKUP(W253, 'リスト'!$E:$E, 'リスト'!$F:$F, ""), "")</f>
        <v>0.3</v>
      </c>
      <c r="Y253" s="8"/>
      <c r="Z253" s="8" t="str">
        <f t="array" ref="Z253">IFERROR(XLOOKUP(W253, 'リスト'!$E:$E, 'リスト'!$O:$O, ""), "")</f>
        <v>R</v>
      </c>
      <c r="AA253" s="8" t="str">
        <f t="array" ref="AA253">IFERROR(XLOOKUP(W253, 'リスト'!$E:$E, 'リスト'!$P:$P, ""), "")</f>
        <v/>
      </c>
      <c r="AB253" s="589" t="str">
        <f>IFERROR(__xludf.DUMMYFUNCTION("""COMPUTED_VALUE"""),"名駅・栄駅で働く")</f>
        <v>名駅・栄駅で働く</v>
      </c>
      <c r="AC253" s="8">
        <f t="array" ref="AC253">IFERROR(XLOOKUP(AB253, 'リスト'!$E:$E, 'リスト'!$F:$F, ""), "")</f>
        <v>0.6</v>
      </c>
      <c r="AD253" s="8"/>
      <c r="AE253" s="8" t="str">
        <f t="array" ref="AE253">IFERROR(XLOOKUP(AB253, 'リスト'!$E:$E, 'リスト'!$O:$O, ""), "")</f>
        <v>R</v>
      </c>
      <c r="AF253" s="8" t="str">
        <f t="array" ref="AF253">IFERROR(XLOOKUP(AB253, 'リスト'!$E:$E, 'リスト'!$P:$P, ""), "")</f>
        <v/>
      </c>
      <c r="AG253" s="589" t="str">
        <f>IFERROR(__xludf.DUMMYFUNCTION("""COMPUTED_VALUE"""),"応募から3日会員")</f>
        <v>応募から3日会員</v>
      </c>
      <c r="AH253" s="8">
        <f t="array" ref="AH253">IFERROR(XLOOKUP(AG253, 'リスト'!$E:$E, 'リスト'!$F:$F, ""), "")</f>
        <v>0.1</v>
      </c>
      <c r="AI253" s="8"/>
      <c r="AJ253" s="8" t="str">
        <f t="array" ref="AJ253">IFERROR(XLOOKUP(AG253, 'リスト'!$E:$E, 'リスト'!$O:$O, ""), "")</f>
        <v>R</v>
      </c>
      <c r="AK253" s="8" t="str">
        <f t="array" ref="AK253">IFERROR(XLOOKUP(AG253, 'リスト'!$E:$E, 'リスト'!$P:$P, ""), "")</f>
        <v/>
      </c>
    </row>
    <row r="254" ht="17.25" customHeight="1">
      <c r="A254" s="587"/>
      <c r="B254" s="588"/>
      <c r="C254" s="590"/>
      <c r="D254" s="8" t="str">
        <f t="array" ref="D254">IFERROR(XLOOKUP(C254, 'リスト'!$E:$E, 'リスト'!$F:$F, ""), "")</f>
        <v/>
      </c>
      <c r="E254" s="8"/>
      <c r="F254" s="8" t="str">
        <f t="array" ref="F254">IFERROR(XLOOKUP(C254, 'リスト'!$E:$E, 'リスト'!$O:$O, ""), "")</f>
        <v/>
      </c>
      <c r="G254" s="8" t="str">
        <f t="array" ref="G254">IFERROR(XLOOKUP(C254, 'リスト'!$E:$E, 'リスト'!$P:$P, ""), "")</f>
        <v/>
      </c>
      <c r="H254" s="590" t="str">
        <f>IFERROR(__xludf.DUMMYFUNCTION("""COMPUTED_VALUE"""),"年収UP_事務")</f>
        <v>年収UP_事務</v>
      </c>
      <c r="I254" s="8">
        <f t="array" ref="I254">IFERROR(XLOOKUP(H254, 'リスト'!$E:$E, 'リスト'!$F:$F, ""), "")</f>
        <v>1.5</v>
      </c>
      <c r="J254" s="8"/>
      <c r="K254" s="8" t="str">
        <f t="array" ref="K254">IFERROR(XLOOKUP(H254, 'リスト'!$E:$E, 'リスト'!$O:$O, ""), "")</f>
        <v>R</v>
      </c>
      <c r="L254" s="8" t="str">
        <f t="array" ref="L254">IFERROR(XLOOKUP(H254, 'リスト'!$E:$E, 'リスト'!$P:$P, ""), "")</f>
        <v/>
      </c>
      <c r="M254" s="590" t="str">
        <f>IFERROR(__xludf.DUMMYFUNCTION("""COMPUTED_VALUE"""),"新働きやすさ_A_関西")</f>
        <v>新働きやすさ_A_関西</v>
      </c>
      <c r="N254" s="8">
        <f t="array" ref="N254">IFERROR(XLOOKUP(M254, 'リスト'!$E:$E, 'リスト'!$F:$F, ""), "")</f>
        <v>0.8</v>
      </c>
      <c r="O254" s="8"/>
      <c r="P254" s="8" t="str">
        <f t="array" ref="P254">IFERROR(XLOOKUP(M254, 'リスト'!$E:$E, 'リスト'!$O:$O, ""), "")</f>
        <v>R</v>
      </c>
      <c r="Q254" s="8" t="str">
        <f t="array" ref="Q254">IFERROR(XLOOKUP(M254, 'リスト'!$E:$E, 'リスト'!$P:$P, ""), "")</f>
        <v/>
      </c>
      <c r="R254" s="590"/>
      <c r="S254" s="8" t="str">
        <f t="array" ref="S254">IFERROR(XLOOKUP(R254, 'リスト'!$E:$E, 'リスト'!$F:$F, ""), "")</f>
        <v/>
      </c>
      <c r="T254" s="8"/>
      <c r="U254" s="8" t="str">
        <f t="array" ref="U254">IFERROR(XLOOKUP(R254, 'リスト'!$E:$E, 'リスト'!$O:$O, ""), "")</f>
        <v/>
      </c>
      <c r="V254" s="8" t="str">
        <f t="array" ref="V254">IFERROR(XLOOKUP(R254, 'リスト'!$E:$E, 'リスト'!$P:$P, ""), "")</f>
        <v/>
      </c>
      <c r="W254" s="590" t="str">
        <f>IFERROR(__xludf.DUMMYFUNCTION("""COMPUTED_VALUE"""),"検討中ランキング_販サ")</f>
        <v>検討中ランキング_販サ</v>
      </c>
      <c r="X254" s="8">
        <f t="array" ref="X254">IFERROR(XLOOKUP(W254, 'リスト'!$E:$E, 'リスト'!$F:$F, ""), "")</f>
        <v>0.4</v>
      </c>
      <c r="Y254" s="8"/>
      <c r="Z254" s="8" t="str">
        <f t="array" ref="Z254">IFERROR(XLOOKUP(W254, 'リスト'!$E:$E, 'リスト'!$O:$O, ""), "")</f>
        <v>R</v>
      </c>
      <c r="AA254" s="8" t="str">
        <f t="array" ref="AA254">IFERROR(XLOOKUP(W254, 'リスト'!$E:$E, 'リスト'!$P:$P, ""), "")</f>
        <v/>
      </c>
      <c r="AB254" s="590"/>
      <c r="AC254" s="8" t="str">
        <f t="array" ref="AC254">IFERROR(XLOOKUP(AB254, 'リスト'!$E:$E, 'リスト'!$F:$F, ""), "")</f>
        <v/>
      </c>
      <c r="AD254" s="8"/>
      <c r="AE254" s="8" t="str">
        <f t="array" ref="AE254">IFERROR(XLOOKUP(AB254, 'リスト'!$E:$E, 'リスト'!$O:$O, ""), "")</f>
        <v/>
      </c>
      <c r="AF254" s="8" t="str">
        <f t="array" ref="AF254">IFERROR(XLOOKUP(AB254, 'リスト'!$E:$E, 'リスト'!$P:$P, ""), "")</f>
        <v/>
      </c>
      <c r="AG254" s="590"/>
      <c r="AH254" s="8" t="str">
        <f t="array" ref="AH254">IFERROR(XLOOKUP(AG254, 'リスト'!$E:$E, 'リスト'!$F:$F, ""), "")</f>
        <v/>
      </c>
      <c r="AI254" s="8"/>
      <c r="AJ254" s="8" t="str">
        <f t="array" ref="AJ254">IFERROR(XLOOKUP(AG254, 'リスト'!$E:$E, 'リスト'!$O:$O, ""), "")</f>
        <v/>
      </c>
      <c r="AK254" s="8" t="str">
        <f t="array" ref="AK254">IFERROR(XLOOKUP(AG254, 'リスト'!$E:$E, 'リスト'!$P:$P, ""), "")</f>
        <v/>
      </c>
    </row>
    <row r="255" ht="17.25" customHeight="1">
      <c r="A255" s="587"/>
      <c r="B255" s="588"/>
      <c r="C255" s="590"/>
      <c r="D255" s="8" t="str">
        <f t="array" ref="D255">IFERROR(XLOOKUP(C255, 'リスト'!$E:$E, 'リスト'!$F:$F, ""), "")</f>
        <v/>
      </c>
      <c r="E255" s="8"/>
      <c r="F255" s="8" t="str">
        <f t="array" ref="F255">IFERROR(XLOOKUP(C255, 'リスト'!$E:$E, 'リスト'!$O:$O, ""), "")</f>
        <v/>
      </c>
      <c r="G255" s="8" t="str">
        <f t="array" ref="G255">IFERROR(XLOOKUP(C255, 'リスト'!$E:$E, 'リスト'!$P:$P, ""), "")</f>
        <v/>
      </c>
      <c r="H255" s="590" t="str">
        <f>IFERROR(__xludf.DUMMYFUNCTION("""COMPUTED_VALUE"""),"年収UP_販サ")</f>
        <v>年収UP_販サ</v>
      </c>
      <c r="I255" s="8">
        <f t="array" ref="I255">IFERROR(XLOOKUP(H255, 'リスト'!$E:$E, 'リスト'!$F:$F, ""), "")</f>
        <v>0.6</v>
      </c>
      <c r="J255" s="8"/>
      <c r="K255" s="8" t="str">
        <f t="array" ref="K255">IFERROR(XLOOKUP(H255, 'リスト'!$E:$E, 'リスト'!$O:$O, ""), "")</f>
        <v>R</v>
      </c>
      <c r="L255" s="8" t="str">
        <f t="array" ref="L255">IFERROR(XLOOKUP(H255, 'リスト'!$E:$E, 'リスト'!$P:$P, ""), "")</f>
        <v/>
      </c>
      <c r="M255" s="590" t="str">
        <f>IFERROR(__xludf.DUMMYFUNCTION("""COMPUTED_VALUE"""),"髪色・服装自由_事務")</f>
        <v>髪色・服装自由_事務</v>
      </c>
      <c r="N255" s="8">
        <f t="array" ref="N255">IFERROR(XLOOKUP(M255, 'リスト'!$E:$E, 'リスト'!$F:$F, ""), "")</f>
        <v>1.8</v>
      </c>
      <c r="O255" s="8"/>
      <c r="P255" s="8" t="str">
        <f t="array" ref="P255">IFERROR(XLOOKUP(M255, 'リスト'!$E:$E, 'リスト'!$O:$O, ""), "")</f>
        <v>R</v>
      </c>
      <c r="Q255" s="8" t="str">
        <f t="array" ref="Q255">IFERROR(XLOOKUP(M255, 'リスト'!$E:$E, 'リスト'!$P:$P, ""), "")</f>
        <v/>
      </c>
      <c r="R255" s="590"/>
      <c r="S255" s="8" t="str">
        <f t="array" ref="S255">IFERROR(XLOOKUP(R255, 'リスト'!$E:$E, 'リスト'!$F:$F, ""), "")</f>
        <v/>
      </c>
      <c r="T255" s="8"/>
      <c r="U255" s="8" t="str">
        <f t="array" ref="U255">IFERROR(XLOOKUP(R255, 'リスト'!$E:$E, 'リスト'!$O:$O, ""), "")</f>
        <v/>
      </c>
      <c r="V255" s="8" t="str">
        <f t="array" ref="V255">IFERROR(XLOOKUP(R255, 'リスト'!$E:$E, 'リスト'!$P:$P, ""), "")</f>
        <v/>
      </c>
      <c r="W255" s="590" t="str">
        <f>IFERROR(__xludf.DUMMYFUNCTION("""COMPUTED_VALUE"""),"事務（一般事務）_希望")</f>
        <v>事務（一般事務）_希望</v>
      </c>
      <c r="X255" s="8">
        <f t="array" ref="X255">IFERROR(XLOOKUP(W255, 'リスト'!$E:$E, 'リスト'!$F:$F, ""), "")</f>
        <v>1.3</v>
      </c>
      <c r="Y255" s="8"/>
      <c r="Z255" s="8" t="str">
        <f t="array" ref="Z255">IFERROR(XLOOKUP(W255, 'リスト'!$E:$E, 'リスト'!$O:$O, ""), "")</f>
        <v>R</v>
      </c>
      <c r="AA255" s="8" t="str">
        <f t="array" ref="AA255">IFERROR(XLOOKUP(W255, 'リスト'!$E:$E, 'リスト'!$P:$P, ""), "")</f>
        <v/>
      </c>
      <c r="AB255" s="590"/>
      <c r="AC255" s="8" t="str">
        <f t="array" ref="AC255">IFERROR(XLOOKUP(AB255, 'リスト'!$E:$E, 'リスト'!$F:$F, ""), "")</f>
        <v/>
      </c>
      <c r="AD255" s="8"/>
      <c r="AE255" s="8" t="str">
        <f t="array" ref="AE255">IFERROR(XLOOKUP(AB255, 'リスト'!$E:$E, 'リスト'!$O:$O, ""), "")</f>
        <v/>
      </c>
      <c r="AF255" s="8" t="str">
        <f t="array" ref="AF255">IFERROR(XLOOKUP(AB255, 'リスト'!$E:$E, 'リスト'!$P:$P, ""), "")</f>
        <v/>
      </c>
      <c r="AG255" s="590"/>
      <c r="AH255" s="8" t="str">
        <f t="array" ref="AH255">IFERROR(XLOOKUP(AG255, 'リスト'!$E:$E, 'リスト'!$F:$F, ""), "")</f>
        <v/>
      </c>
      <c r="AI255" s="8"/>
      <c r="AJ255" s="8" t="str">
        <f t="array" ref="AJ255">IFERROR(XLOOKUP(AG255, 'リスト'!$E:$E, 'リスト'!$O:$O, ""), "")</f>
        <v/>
      </c>
      <c r="AK255" s="8" t="str">
        <f t="array" ref="AK255">IFERROR(XLOOKUP(AG255, 'リスト'!$E:$E, 'リスト'!$P:$P, ""), "")</f>
        <v/>
      </c>
    </row>
    <row r="256" ht="17.25" customHeight="1">
      <c r="A256" s="587"/>
      <c r="B256" s="588"/>
      <c r="C256" s="590"/>
      <c r="D256" s="8" t="str">
        <f t="array" ref="D256">IFERROR(XLOOKUP(C256, 'リスト'!$E:$E, 'リスト'!$F:$F, ""), "")</f>
        <v/>
      </c>
      <c r="E256" s="8"/>
      <c r="F256" s="8" t="str">
        <f t="array" ref="F256">IFERROR(XLOOKUP(C256, 'リスト'!$E:$E, 'リスト'!$O:$O, ""), "")</f>
        <v/>
      </c>
      <c r="G256" s="8" t="str">
        <f t="array" ref="G256">IFERROR(XLOOKUP(C256, 'リスト'!$E:$E, 'リスト'!$P:$P, ""), "")</f>
        <v/>
      </c>
      <c r="H256" s="590"/>
      <c r="I256" s="8" t="str">
        <f t="array" ref="I256">IFERROR(XLOOKUP(H256, 'リスト'!$E:$E, 'リスト'!$F:$F, ""), "")</f>
        <v/>
      </c>
      <c r="J256" s="8"/>
      <c r="K256" s="8" t="str">
        <f t="array" ref="K256">IFERROR(XLOOKUP(H256, 'リスト'!$E:$E, 'リスト'!$O:$O, ""), "")</f>
        <v/>
      </c>
      <c r="L256" s="8" t="str">
        <f t="array" ref="L256">IFERROR(XLOOKUP(H256, 'リスト'!$E:$E, 'リスト'!$P:$P, ""), "")</f>
        <v/>
      </c>
      <c r="M256" s="590"/>
      <c r="N256" s="8" t="str">
        <f t="array" ref="N256">IFERROR(XLOOKUP(M256, 'リスト'!$E:$E, 'リスト'!$F:$F, ""), "")</f>
        <v/>
      </c>
      <c r="O256" s="8"/>
      <c r="P256" s="8" t="str">
        <f t="array" ref="P256">IFERROR(XLOOKUP(M256, 'リスト'!$E:$E, 'リスト'!$O:$O, ""), "")</f>
        <v/>
      </c>
      <c r="Q256" s="8" t="str">
        <f t="array" ref="Q256">IFERROR(XLOOKUP(M256, 'リスト'!$E:$E, 'リスト'!$P:$P, ""), "")</f>
        <v/>
      </c>
      <c r="R256" s="590"/>
      <c r="S256" s="8" t="str">
        <f t="array" ref="S256">IFERROR(XLOOKUP(R256, 'リスト'!$E:$E, 'リスト'!$F:$F, ""), "")</f>
        <v/>
      </c>
      <c r="T256" s="8"/>
      <c r="U256" s="8" t="str">
        <f t="array" ref="U256">IFERROR(XLOOKUP(R256, 'リスト'!$E:$E, 'リスト'!$O:$O, ""), "")</f>
        <v/>
      </c>
      <c r="V256" s="8" t="str">
        <f t="array" ref="V256">IFERROR(XLOOKUP(R256, 'リスト'!$E:$E, 'リスト'!$P:$P, ""), "")</f>
        <v/>
      </c>
      <c r="W256" s="590"/>
      <c r="X256" s="8" t="str">
        <f t="array" ref="X256">IFERROR(XLOOKUP(W256, 'リスト'!$E:$E, 'リスト'!$F:$F, ""), "")</f>
        <v/>
      </c>
      <c r="Y256" s="8"/>
      <c r="Z256" s="8" t="str">
        <f t="array" ref="Z256">IFERROR(XLOOKUP(W256, 'リスト'!$E:$E, 'リスト'!$O:$O, ""), "")</f>
        <v/>
      </c>
      <c r="AA256" s="8" t="str">
        <f t="array" ref="AA256">IFERROR(XLOOKUP(W256, 'リスト'!$E:$E, 'リスト'!$P:$P, ""), "")</f>
        <v/>
      </c>
      <c r="AB256" s="590"/>
      <c r="AC256" s="8" t="str">
        <f t="array" ref="AC256">IFERROR(XLOOKUP(AB256, 'リスト'!$E:$E, 'リスト'!$F:$F, ""), "")</f>
        <v/>
      </c>
      <c r="AD256" s="8"/>
      <c r="AE256" s="8" t="str">
        <f t="array" ref="AE256">IFERROR(XLOOKUP(AB256, 'リスト'!$E:$E, 'リスト'!$O:$O, ""), "")</f>
        <v/>
      </c>
      <c r="AF256" s="8" t="str">
        <f t="array" ref="AF256">IFERROR(XLOOKUP(AB256, 'リスト'!$E:$E, 'リスト'!$P:$P, ""), "")</f>
        <v/>
      </c>
      <c r="AG256" s="590"/>
      <c r="AH256" s="8" t="str">
        <f t="array" ref="AH256">IFERROR(XLOOKUP(AG256, 'リスト'!$E:$E, 'リスト'!$F:$F, ""), "")</f>
        <v/>
      </c>
      <c r="AI256" s="8"/>
      <c r="AJ256" s="8" t="str">
        <f t="array" ref="AJ256">IFERROR(XLOOKUP(AG256, 'リスト'!$E:$E, 'リスト'!$O:$O, ""), "")</f>
        <v/>
      </c>
      <c r="AK256" s="8" t="str">
        <f t="array" ref="AK256">IFERROR(XLOOKUP(AG256, 'リスト'!$E:$E, 'リスト'!$P:$P, ""), "")</f>
        <v/>
      </c>
    </row>
    <row r="257" ht="17.25" customHeight="1">
      <c r="A257" s="587"/>
      <c r="B257" s="588"/>
      <c r="C257" s="590"/>
      <c r="D257" s="8" t="str">
        <f t="array" ref="D257">IFERROR(XLOOKUP(C257, 'リスト'!$E:$E, 'リスト'!$F:$F, ""), "")</f>
        <v/>
      </c>
      <c r="E257" s="8"/>
      <c r="F257" s="8" t="str">
        <f t="array" ref="F257">IFERROR(XLOOKUP(C257, 'リスト'!$E:$E, 'リスト'!$O:$O, ""), "")</f>
        <v/>
      </c>
      <c r="G257" s="8" t="str">
        <f t="array" ref="G257">IFERROR(XLOOKUP(C257, 'リスト'!$E:$E, 'リスト'!$P:$P, ""), "")</f>
        <v/>
      </c>
      <c r="H257" s="590"/>
      <c r="I257" s="8" t="str">
        <f t="array" ref="I257">IFERROR(XLOOKUP(H257, 'リスト'!$E:$E, 'リスト'!$F:$F, ""), "")</f>
        <v/>
      </c>
      <c r="J257" s="8"/>
      <c r="K257" s="8" t="str">
        <f t="array" ref="K257">IFERROR(XLOOKUP(H257, 'リスト'!$E:$E, 'リスト'!$O:$O, ""), "")</f>
        <v/>
      </c>
      <c r="L257" s="8" t="str">
        <f t="array" ref="L257">IFERROR(XLOOKUP(H257, 'リスト'!$E:$E, 'リスト'!$P:$P, ""), "")</f>
        <v/>
      </c>
      <c r="M257" s="590"/>
      <c r="N257" s="8" t="str">
        <f t="array" ref="N257">IFERROR(XLOOKUP(M257, 'リスト'!$E:$E, 'リスト'!$F:$F, ""), "")</f>
        <v/>
      </c>
      <c r="O257" s="8"/>
      <c r="P257" s="8" t="str">
        <f t="array" ref="P257">IFERROR(XLOOKUP(M257, 'リスト'!$E:$E, 'リスト'!$O:$O, ""), "")</f>
        <v/>
      </c>
      <c r="Q257" s="8" t="str">
        <f t="array" ref="Q257">IFERROR(XLOOKUP(M257, 'リスト'!$E:$E, 'リスト'!$P:$P, ""), "")</f>
        <v/>
      </c>
      <c r="R257" s="590"/>
      <c r="S257" s="8" t="str">
        <f t="array" ref="S257">IFERROR(XLOOKUP(R257, 'リスト'!$E:$E, 'リスト'!$F:$F, ""), "")</f>
        <v/>
      </c>
      <c r="T257" s="8"/>
      <c r="U257" s="8" t="str">
        <f t="array" ref="U257">IFERROR(XLOOKUP(R257, 'リスト'!$E:$E, 'リスト'!$O:$O, ""), "")</f>
        <v/>
      </c>
      <c r="V257" s="8" t="str">
        <f t="array" ref="V257">IFERROR(XLOOKUP(R257, 'リスト'!$E:$E, 'リスト'!$P:$P, ""), "")</f>
        <v/>
      </c>
      <c r="W257" s="590"/>
      <c r="X257" s="8" t="str">
        <f t="array" ref="X257">IFERROR(XLOOKUP(W257, 'リスト'!$E:$E, 'リスト'!$F:$F, ""), "")</f>
        <v/>
      </c>
      <c r="Y257" s="8"/>
      <c r="Z257" s="8" t="str">
        <f t="array" ref="Z257">IFERROR(XLOOKUP(W257, 'リスト'!$E:$E, 'リスト'!$O:$O, ""), "")</f>
        <v/>
      </c>
      <c r="AA257" s="8" t="str">
        <f t="array" ref="AA257">IFERROR(XLOOKUP(W257, 'リスト'!$E:$E, 'リスト'!$P:$P, ""), "")</f>
        <v/>
      </c>
      <c r="AB257" s="590"/>
      <c r="AC257" s="8" t="str">
        <f t="array" ref="AC257">IFERROR(XLOOKUP(AB257, 'リスト'!$E:$E, 'リスト'!$F:$F, ""), "")</f>
        <v/>
      </c>
      <c r="AD257" s="8"/>
      <c r="AE257" s="8" t="str">
        <f t="array" ref="AE257">IFERROR(XLOOKUP(AB257, 'リスト'!$E:$E, 'リスト'!$O:$O, ""), "")</f>
        <v/>
      </c>
      <c r="AF257" s="8" t="str">
        <f t="array" ref="AF257">IFERROR(XLOOKUP(AB257, 'リスト'!$E:$E, 'リスト'!$P:$P, ""), "")</f>
        <v/>
      </c>
      <c r="AG257" s="590"/>
      <c r="AH257" s="8" t="str">
        <f t="array" ref="AH257">IFERROR(XLOOKUP(AG257, 'リスト'!$E:$E, 'リスト'!$F:$F, ""), "")</f>
        <v/>
      </c>
      <c r="AI257" s="8"/>
      <c r="AJ257" s="8" t="str">
        <f t="array" ref="AJ257">IFERROR(XLOOKUP(AG257, 'リスト'!$E:$E, 'リスト'!$O:$O, ""), "")</f>
        <v/>
      </c>
      <c r="AK257" s="8" t="str">
        <f t="array" ref="AK257">IFERROR(XLOOKUP(AG257, 'リスト'!$E:$E, 'リスト'!$P:$P, ""), "")</f>
        <v/>
      </c>
    </row>
    <row r="258" ht="17.25" customHeight="1">
      <c r="A258" s="587"/>
      <c r="B258" s="592"/>
      <c r="C258" s="590"/>
      <c r="D258" s="8" t="str">
        <f t="array" ref="D258">IFERROR(XLOOKUP(C258, '新規'!$E:$E, '新規'!$F:$F, ""), "")</f>
        <v/>
      </c>
      <c r="E258" s="8"/>
      <c r="F258" s="8" t="str">
        <f t="array" ref="F258">IFERROR(XLOOKUP(C258, '新規'!$E:$E, '新規'!$O:$O, ""), "")</f>
        <v/>
      </c>
      <c r="G258" s="8" t="str">
        <f t="array" ref="G258">IFERROR(XLOOKUP(C258, '新規'!$E:$E, '新規'!$P:$P, ""), "")</f>
        <v/>
      </c>
      <c r="H258" s="590"/>
      <c r="I258" s="8" t="str">
        <f t="array" ref="I258">IFERROR(XLOOKUP(H258, '新規'!$E:$E, '新規'!$F:$F, ""), "")</f>
        <v/>
      </c>
      <c r="J258" s="8"/>
      <c r="K258" s="8" t="str">
        <f t="array" ref="K258">IFERROR(XLOOKUP(H258, '新規'!$E:$E, '新規'!$O:$O, ""), "")</f>
        <v/>
      </c>
      <c r="L258" s="8" t="str">
        <f t="array" ref="L258">IFERROR(XLOOKUP(H258, '新規'!$E:$E, '新規'!$P:$P, ""), "")</f>
        <v/>
      </c>
      <c r="M258" s="590"/>
      <c r="N258" s="8" t="str">
        <f t="array" ref="N258">IFERROR(XLOOKUP(M258, '新規'!$E:$E, '新規'!$F:$F, ""), "")</f>
        <v/>
      </c>
      <c r="O258" s="8"/>
      <c r="P258" s="8" t="str">
        <f t="array" ref="P258">IFERROR(XLOOKUP(M258, '新規'!$E:$E, '新規'!$O:$O, ""), "")</f>
        <v/>
      </c>
      <c r="Q258" s="8" t="str">
        <f t="array" ref="Q258">IFERROR(XLOOKUP(M258, '新規'!$E:$E, '新規'!$P:$P, ""), "")</f>
        <v/>
      </c>
      <c r="R258" s="590"/>
      <c r="S258" s="8" t="str">
        <f t="array" ref="S258">IFERROR(XLOOKUP(R258, '新規'!$E:$E, '新規'!$F:$F, ""), "")</f>
        <v/>
      </c>
      <c r="T258" s="8"/>
      <c r="U258" s="8" t="str">
        <f t="array" ref="U258">IFERROR(XLOOKUP(R258, '新規'!$E:$E, '新規'!$O:$O, ""), "")</f>
        <v/>
      </c>
      <c r="V258" s="8" t="str">
        <f t="array" ref="V258">IFERROR(XLOOKUP(R258, '新規'!$E:$E, '新規'!$P:$P, ""), "")</f>
        <v/>
      </c>
      <c r="W258" s="590"/>
      <c r="X258" s="8" t="str">
        <f t="array" ref="X258">IFERROR(XLOOKUP(W258, '新規'!$E:$E, '新規'!$F:$F, ""), "")</f>
        <v/>
      </c>
      <c r="Y258" s="8"/>
      <c r="Z258" s="8" t="str">
        <f t="array" ref="Z258">IFERROR(XLOOKUP(W258, '新規'!$E:$E, '新規'!$O:$O, ""), "")</f>
        <v/>
      </c>
      <c r="AA258" s="8" t="str">
        <f t="array" ref="AA258">IFERROR(XLOOKUP(W258, '新規'!$E:$E, '新規'!$P:$P, ""), "")</f>
        <v/>
      </c>
      <c r="AB258" s="590"/>
      <c r="AC258" s="8" t="str">
        <f t="array" ref="AC258">IFERROR(XLOOKUP(AB258, '新規'!$E:$E, '新規'!$F:$F, ""), "")</f>
        <v/>
      </c>
      <c r="AD258" s="8"/>
      <c r="AE258" s="8" t="str">
        <f t="array" ref="AE258">IFERROR(XLOOKUP(AB258, '新規'!$E:$E, '新規'!$O:$O, ""), "")</f>
        <v/>
      </c>
      <c r="AF258" s="8" t="str">
        <f t="array" ref="AF258">IFERROR(XLOOKUP(AB258, '新規'!$E:$E, '新規'!$P:$P, ""), "")</f>
        <v/>
      </c>
      <c r="AG258" s="590"/>
      <c r="AH258" s="8" t="str">
        <f t="array" ref="AH258">IFERROR(XLOOKUP(AG258, '新規'!$E:$E, '新規'!$F:$F, ""), "")</f>
        <v/>
      </c>
      <c r="AI258" s="8"/>
      <c r="AJ258" s="8" t="str">
        <f t="array" ref="AJ258">IFERROR(XLOOKUP(AG258, '新規'!$E:$E, '新規'!$O:$O, ""), "")</f>
        <v/>
      </c>
      <c r="AK258" s="8" t="str">
        <f t="array" ref="AK258">IFERROR(XLOOKUP(AG258, '新規'!$E:$E, '新規'!$P:$P, ""), "")</f>
        <v/>
      </c>
    </row>
    <row r="259" ht="17.25" customHeight="1">
      <c r="A259" s="587"/>
      <c r="B259" s="585" t="s">
        <v>78</v>
      </c>
      <c r="C259" s="590" t="str">
        <f>IFERROR(__xludf.DUMMYFUNCTION("IFERROR(FILTER('新規'!$E$2:$E$70, '新規'!$B$2:$B$70 = $A250, (('新規'!$A$2:$A$70 = C$1) + (('新規'!$G$2:$G$70 = ""毎月配信"") * ('新規'!$A$2:$A$70 = CHOOSE(WEEKDAY(C$1), ""日"", ""月"", ""火"", ""水"", ""木"", ""金"", ""土"")))) &gt; 0), """")"),"フルリモート×フレックス_エンジニア")</f>
        <v>フルリモート×フレックス_エンジニア</v>
      </c>
      <c r="D259" s="8">
        <f t="array" ref="D259">IFERROR(XLOOKUP(C259, '新規'!$E:$E, '新規'!$F:$F, ""), "")</f>
        <v>0.7</v>
      </c>
      <c r="E259" s="8"/>
      <c r="F259" s="8" t="str">
        <f t="array" ref="F259">IFERROR(XLOOKUP(C259, '新規'!$E:$E, '新規'!$O:$O, ""), "")</f>
        <v>石</v>
      </c>
      <c r="G259" s="8" t="str">
        <f t="array" ref="G259">IFERROR(XLOOKUP(C259, '新規'!$E:$E, '新規'!$P:$P, ""), "")</f>
        <v>部</v>
      </c>
      <c r="H259" s="590" t="str">
        <f>IFERROR(__xludf.DUMMYFUNCTION("IFERROR(FILTER('新規'!$E$2:$E$70, '新規'!$B$2:$B$70 = $A250, (('新規'!$A$2:$A$70 = H$1) + (('新規'!$G$2:$G$70 = ""毎月配信"") * ('新規'!$A$2:$A$70 = CHOOSE(WEEKDAY(H$1), ""日"", ""月"", ""火"", ""水"", ""木"", ""金"", ""土"")))) &gt; 0), """")"),"")</f>
        <v/>
      </c>
      <c r="I259" s="8" t="str">
        <f t="array" ref="I259">IFERROR(XLOOKUP(H259, '新規'!$E:$E, '新規'!$F:$F, ""), "")</f>
        <v/>
      </c>
      <c r="J259" s="8"/>
      <c r="K259" s="8" t="str">
        <f t="array" ref="K259">IFERROR(XLOOKUP(H259, '新規'!$E:$E, '新規'!$O:$O, ""), "")</f>
        <v/>
      </c>
      <c r="L259" s="8" t="str">
        <f t="array" ref="L259">IFERROR(XLOOKUP(H259, '新規'!$E:$E, '新規'!$P:$P, ""), "")</f>
        <v/>
      </c>
      <c r="M259" s="590" t="str">
        <f>IFERROR(__xludf.DUMMYFUNCTION("IFERROR(FILTER('新規'!$E$2:$E$70, '新規'!$B$2:$B$70 = $A250, (('新規'!$A$2:$A$70 = M$1) + (('新規'!$G$2:$G$70 = ""毎月配信"") * ('新規'!$A$2:$A$70 = CHOOSE(WEEKDAY(M$1), ""日"", ""月"", ""火"", ""水"", ""木"", ""金"", ""土"")))) &gt; 0), """")"),"")</f>
        <v/>
      </c>
      <c r="N259" s="8" t="str">
        <f t="array" ref="N259">IFERROR(XLOOKUP(M259, '新規'!$E:$E, '新規'!$F:$F, ""), "")</f>
        <v/>
      </c>
      <c r="O259" s="8"/>
      <c r="P259" s="8" t="str">
        <f t="array" ref="P259">IFERROR(XLOOKUP(M259, '新規'!$E:$E, '新規'!$O:$O, ""), "")</f>
        <v/>
      </c>
      <c r="Q259" s="8" t="str">
        <f t="array" ref="Q259">IFERROR(XLOOKUP(M259, '新規'!$E:$E, '新規'!$P:$P, ""), "")</f>
        <v/>
      </c>
      <c r="R259" s="590" t="str">
        <f>IFERROR(__xludf.DUMMYFUNCTION("IFERROR(FILTER('新規'!$E$2:$E$70, '新規'!$B$2:$B$70 = $A250, (('新規'!$A$2:$A$70 = R$1) + (('新規'!$G$2:$G$70 = ""毎月配信"") * ('新規'!$A$2:$A$70 = CHOOSE(WEEKDAY(R$1), ""日"", ""月"", ""火"", ""水"", ""木"", ""金"", ""土"")))) &gt; 0), """")"),"")</f>
        <v/>
      </c>
      <c r="S259" s="8" t="str">
        <f t="array" ref="S259">IFERROR(XLOOKUP(R259, '新規'!$E:$E, '新規'!$F:$F, ""), "")</f>
        <v/>
      </c>
      <c r="T259" s="8"/>
      <c r="U259" s="8" t="str">
        <f t="array" ref="U259">IFERROR(XLOOKUP(R259, '新規'!$E:$E, '新規'!$O:$O, ""), "")</f>
        <v/>
      </c>
      <c r="V259" s="8" t="str">
        <f t="array" ref="V259">IFERROR(XLOOKUP(R259, '新規'!$E:$E, '新規'!$P:$P, ""), "")</f>
        <v/>
      </c>
      <c r="W259" s="590" t="str">
        <f>IFERROR(__xludf.DUMMYFUNCTION("IFERROR(FILTER('新規'!$E$2:$E$70, '新規'!$B$2:$B$70 = $A250, (('新規'!$A$2:$A$70 = W$1) + (('新規'!$G$2:$G$70 = ""毎月配信"") * ('新規'!$A$2:$A$70 = CHOOSE(WEEKDAY(W$1), ""日"", ""月"", ""火"", ""水"", ""木"", ""金"", ""土"")))) &gt; 0), """")"),"")</f>
        <v/>
      </c>
      <c r="X259" s="8" t="str">
        <f t="array" ref="X259">IFERROR(XLOOKUP(W259, '新規'!$E:$E, '新規'!$F:$F, ""), "")</f>
        <v/>
      </c>
      <c r="Y259" s="8"/>
      <c r="Z259" s="8" t="str">
        <f t="array" ref="Z259">IFERROR(XLOOKUP(W259, '新規'!$E:$E, '新規'!$O:$O, ""), "")</f>
        <v/>
      </c>
      <c r="AA259" s="8" t="str">
        <f t="array" ref="AA259">IFERROR(XLOOKUP(W259, '新規'!$E:$E, '新規'!$P:$P, ""), "")</f>
        <v/>
      </c>
      <c r="AB259" s="590" t="str">
        <f>IFERROR(__xludf.DUMMYFUNCTION("IFERROR(FILTER('新規'!$E$2:$E$70, '新規'!$B$2:$B$70 = $A250, (('新規'!$A$2:$A$70 = AB$1) + (('新規'!$G$2:$G$70 = ""毎月配信"") * ('新規'!$A$2:$A$70 = CHOOSE(WEEKDAY(AB$1), ""日"", ""月"", ""火"", ""水"", ""木"", ""金"", ""土"")))) &gt; 0), """")"),"")</f>
        <v/>
      </c>
      <c r="AC259" s="8" t="str">
        <f t="array" ref="AC259">IFERROR(XLOOKUP(AB259, '新規'!$E:$E, '新規'!$F:$F, ""), "")</f>
        <v/>
      </c>
      <c r="AD259" s="8"/>
      <c r="AE259" s="8" t="str">
        <f t="array" ref="AE259">IFERROR(XLOOKUP(AB259, '新規'!$E:$E, '新規'!$O:$O, ""), "")</f>
        <v/>
      </c>
      <c r="AF259" s="8" t="str">
        <f t="array" ref="AF259">IFERROR(XLOOKUP(AB259, '新規'!$E:$E, '新規'!$P:$P, ""), "")</f>
        <v/>
      </c>
      <c r="AG259" s="590" t="str">
        <f>IFERROR(__xludf.DUMMYFUNCTION("IFERROR(FILTER('新規'!$E$2:$E$70, '新規'!$B$2:$B$70 = $A250, (('新規'!$A$2:$A$70 = AG$1) + (('新規'!$G$2:$G$70 = ""毎月配信"") * ('新規'!$A$2:$A$70 = CHOOSE(WEEKDAY(AG$1), ""日"", ""月"", ""火"", ""水"", ""木"", ""金"", ""土"")))) &gt; 0), """")"),"")</f>
        <v/>
      </c>
      <c r="AH259" s="8" t="str">
        <f t="array" ref="AH259">IFERROR(XLOOKUP(AG259, '新規'!$E:$E, '新規'!$F:$F, ""), "")</f>
        <v/>
      </c>
      <c r="AI259" s="8"/>
      <c r="AJ259" s="8" t="str">
        <f t="array" ref="AJ259">IFERROR(XLOOKUP(AG259, '新規'!$E:$E, '新規'!$O:$O, ""), "")</f>
        <v/>
      </c>
      <c r="AK259" s="8" t="str">
        <f t="array" ref="AK259">IFERROR(XLOOKUP(AG259, '新規'!$E:$E, '新規'!$P:$P, ""), "")</f>
        <v/>
      </c>
    </row>
    <row r="260" ht="17.25" customHeight="1">
      <c r="A260" s="587"/>
      <c r="B260" s="588"/>
      <c r="C260" s="590" t="str">
        <f>IFERROR(__xludf.DUMMYFUNCTION("""COMPUTED_VALUE"""),"フルリモート×フレックス_エンジニア＿関西")</f>
        <v>フルリモート×フレックス_エンジニア＿関西</v>
      </c>
      <c r="D260" s="8" t="str">
        <f t="array" ref="D260">IFERROR(XLOOKUP(C260, '新規'!$E:$E, '新規'!$F:$F, ""), "")</f>
        <v/>
      </c>
      <c r="E260" s="8"/>
      <c r="F260" s="8" t="str">
        <f t="array" ref="F260">IFERROR(XLOOKUP(C260, '新規'!$E:$E, '新規'!$O:$O, ""), "")</f>
        <v/>
      </c>
      <c r="G260" s="8" t="str">
        <f t="array" ref="G260">IFERROR(XLOOKUP(C260, '新規'!$E:$E, '新規'!$P:$P, ""), "")</f>
        <v/>
      </c>
      <c r="H260" s="590"/>
      <c r="I260" s="8" t="str">
        <f t="array" ref="I260">IFERROR(XLOOKUP(H260, '新規'!$E:$E, '新規'!$F:$F, ""), "")</f>
        <v/>
      </c>
      <c r="J260" s="8"/>
      <c r="K260" s="8" t="str">
        <f t="array" ref="K260">IFERROR(XLOOKUP(H260, '新規'!$E:$E, '新規'!$O:$O, ""), "")</f>
        <v/>
      </c>
      <c r="L260" s="8" t="str">
        <f t="array" ref="L260">IFERROR(XLOOKUP(H260, '新規'!$E:$E, '新規'!$P:$P, ""), "")</f>
        <v/>
      </c>
      <c r="M260" s="590"/>
      <c r="N260" s="8" t="str">
        <f t="array" ref="N260">IFERROR(XLOOKUP(M260, '新規'!$E:$E, '新規'!$F:$F, ""), "")</f>
        <v/>
      </c>
      <c r="O260" s="8"/>
      <c r="P260" s="8" t="str">
        <f t="array" ref="P260">IFERROR(XLOOKUP(M260, '新規'!$E:$E, '新規'!$O:$O, ""), "")</f>
        <v/>
      </c>
      <c r="Q260" s="8" t="str">
        <f t="array" ref="Q260">IFERROR(XLOOKUP(M260, '新規'!$E:$E, '新規'!$P:$P, ""), "")</f>
        <v/>
      </c>
      <c r="R260" s="590"/>
      <c r="S260" s="8" t="str">
        <f t="array" ref="S260">IFERROR(XLOOKUP(R260, '新規'!$E:$E, '新規'!$F:$F, ""), "")</f>
        <v/>
      </c>
      <c r="T260" s="8"/>
      <c r="U260" s="8" t="str">
        <f t="array" ref="U260">IFERROR(XLOOKUP(R260, '新規'!$E:$E, '新規'!$O:$O, ""), "")</f>
        <v/>
      </c>
      <c r="V260" s="8" t="str">
        <f t="array" ref="V260">IFERROR(XLOOKUP(R260, '新規'!$E:$E, '新規'!$P:$P, ""), "")</f>
        <v/>
      </c>
      <c r="W260" s="590"/>
      <c r="X260" s="8" t="str">
        <f t="array" ref="X260">IFERROR(XLOOKUP(W260, '新規'!$E:$E, '新規'!$F:$F, ""), "")</f>
        <v/>
      </c>
      <c r="Y260" s="8"/>
      <c r="Z260" s="8" t="str">
        <f t="array" ref="Z260">IFERROR(XLOOKUP(W260, '新規'!$E:$E, '新規'!$O:$O, ""), "")</f>
        <v/>
      </c>
      <c r="AA260" s="8" t="str">
        <f t="array" ref="AA260">IFERROR(XLOOKUP(W260, '新規'!$E:$E, '新規'!$P:$P, ""), "")</f>
        <v/>
      </c>
      <c r="AB260" s="590"/>
      <c r="AC260" s="8" t="str">
        <f t="array" ref="AC260">IFERROR(XLOOKUP(AB260, '新規'!$E:$E, '新規'!$F:$F, ""), "")</f>
        <v/>
      </c>
      <c r="AD260" s="8"/>
      <c r="AE260" s="8" t="str">
        <f t="array" ref="AE260">IFERROR(XLOOKUP(AB260, '新規'!$E:$E, '新規'!$O:$O, ""), "")</f>
        <v/>
      </c>
      <c r="AF260" s="8" t="str">
        <f t="array" ref="AF260">IFERROR(XLOOKUP(AB260, '新規'!$E:$E, '新規'!$P:$P, ""), "")</f>
        <v/>
      </c>
      <c r="AG260" s="590"/>
      <c r="AH260" s="8" t="str">
        <f t="array" ref="AH260">IFERROR(XLOOKUP(AG260, '新規'!$E:$E, '新規'!$F:$F, ""), "")</f>
        <v/>
      </c>
      <c r="AI260" s="8"/>
      <c r="AJ260" s="8" t="str">
        <f t="array" ref="AJ260">IFERROR(XLOOKUP(AG260, '新規'!$E:$E, '新規'!$O:$O, ""), "")</f>
        <v/>
      </c>
      <c r="AK260" s="8" t="str">
        <f t="array" ref="AK260">IFERROR(XLOOKUP(AG260, '新規'!$E:$E, '新規'!$P:$P, ""), "")</f>
        <v/>
      </c>
    </row>
    <row r="261" ht="17.25" customHeight="1">
      <c r="A261" s="587"/>
      <c r="B261" s="588"/>
      <c r="C261" s="590"/>
      <c r="D261" s="8" t="str">
        <f t="array" ref="D261">IFERROR(XLOOKUP(C261, '新規'!$E:$E, '新規'!$F:$F, ""), "")</f>
        <v/>
      </c>
      <c r="E261" s="8"/>
      <c r="F261" s="8" t="str">
        <f t="array" ref="F261">IFERROR(XLOOKUP(C261, '新規'!$E:$E, '新規'!$O:$O, ""), "")</f>
        <v/>
      </c>
      <c r="G261" s="8" t="str">
        <f t="array" ref="G261">IFERROR(XLOOKUP(C261, '新規'!$E:$E, '新規'!$P:$P, ""), "")</f>
        <v/>
      </c>
      <c r="H261" s="590"/>
      <c r="I261" s="8" t="str">
        <f t="array" ref="I261">IFERROR(XLOOKUP(H261, '新規'!$E:$E, '新規'!$F:$F, ""), "")</f>
        <v/>
      </c>
      <c r="J261" s="8"/>
      <c r="K261" s="8" t="str">
        <f t="array" ref="K261">IFERROR(XLOOKUP(H261, '新規'!$E:$E, '新規'!$O:$O, ""), "")</f>
        <v/>
      </c>
      <c r="L261" s="8" t="str">
        <f t="array" ref="L261">IFERROR(XLOOKUP(H261, '新規'!$E:$E, '新規'!$P:$P, ""), "")</f>
        <v/>
      </c>
      <c r="M261" s="590"/>
      <c r="N261" s="8" t="str">
        <f t="array" ref="N261">IFERROR(XLOOKUP(M261, '新規'!$E:$E, '新規'!$F:$F, ""), "")</f>
        <v/>
      </c>
      <c r="O261" s="8"/>
      <c r="P261" s="8" t="str">
        <f t="array" ref="P261">IFERROR(XLOOKUP(M261, '新規'!$E:$E, '新規'!$O:$O, ""), "")</f>
        <v/>
      </c>
      <c r="Q261" s="8" t="str">
        <f t="array" ref="Q261">IFERROR(XLOOKUP(M261, '新規'!$E:$E, '新規'!$P:$P, ""), "")</f>
        <v/>
      </c>
      <c r="R261" s="590"/>
      <c r="S261" s="8" t="str">
        <f t="array" ref="S261">IFERROR(XLOOKUP(R261, '新規'!$E:$E, '新規'!$F:$F, ""), "")</f>
        <v/>
      </c>
      <c r="T261" s="8"/>
      <c r="U261" s="8" t="str">
        <f t="array" ref="U261">IFERROR(XLOOKUP(R261, '新規'!$E:$E, '新規'!$O:$O, ""), "")</f>
        <v/>
      </c>
      <c r="V261" s="8" t="str">
        <f t="array" ref="V261">IFERROR(XLOOKUP(R261, '新規'!$E:$E, '新規'!$P:$P, ""), "")</f>
        <v/>
      </c>
      <c r="W261" s="590"/>
      <c r="X261" s="8" t="str">
        <f t="array" ref="X261">IFERROR(XLOOKUP(W261, '新規'!$E:$E, '新規'!$F:$F, ""), "")</f>
        <v/>
      </c>
      <c r="Y261" s="8"/>
      <c r="Z261" s="8" t="str">
        <f t="array" ref="Z261">IFERROR(XLOOKUP(W261, '新規'!$E:$E, '新規'!$O:$O, ""), "")</f>
        <v/>
      </c>
      <c r="AA261" s="8" t="str">
        <f t="array" ref="AA261">IFERROR(XLOOKUP(W261, '新規'!$E:$E, '新規'!$P:$P, ""), "")</f>
        <v/>
      </c>
      <c r="AB261" s="590"/>
      <c r="AC261" s="8" t="str">
        <f t="array" ref="AC261">IFERROR(XLOOKUP(AB261, '新規'!$E:$E, '新規'!$F:$F, ""), "")</f>
        <v/>
      </c>
      <c r="AD261" s="8"/>
      <c r="AE261" s="8" t="str">
        <f t="array" ref="AE261">IFERROR(XLOOKUP(AB261, '新規'!$E:$E, '新規'!$O:$O, ""), "")</f>
        <v/>
      </c>
      <c r="AF261" s="8" t="str">
        <f t="array" ref="AF261">IFERROR(XLOOKUP(AB261, '新規'!$E:$E, '新規'!$P:$P, ""), "")</f>
        <v/>
      </c>
      <c r="AG261" s="590"/>
      <c r="AH261" s="8" t="str">
        <f t="array" ref="AH261">IFERROR(XLOOKUP(AG261, '新規'!$E:$E, '新規'!$F:$F, ""), "")</f>
        <v/>
      </c>
      <c r="AI261" s="8"/>
      <c r="AJ261" s="8" t="str">
        <f t="array" ref="AJ261">IFERROR(XLOOKUP(AG261, '新規'!$E:$E, '新規'!$O:$O, ""), "")</f>
        <v/>
      </c>
      <c r="AK261" s="8" t="str">
        <f t="array" ref="AK261">IFERROR(XLOOKUP(AG261, '新規'!$E:$E, '新規'!$P:$P, ""), "")</f>
        <v/>
      </c>
    </row>
    <row r="262" ht="17.25" customHeight="1">
      <c r="A262" s="587"/>
      <c r="B262" s="588"/>
      <c r="C262" s="590"/>
      <c r="D262" s="8" t="str">
        <f t="array" ref="D262">IFERROR(XLOOKUP(C262, '新規'!$E:$E, '新規'!$F:$F, ""), "")</f>
        <v/>
      </c>
      <c r="E262" s="8"/>
      <c r="F262" s="8" t="str">
        <f t="array" ref="F262">IFERROR(XLOOKUP(C262, '新規'!$E:$E, '新規'!$O:$O, ""), "")</f>
        <v/>
      </c>
      <c r="G262" s="8" t="str">
        <f t="array" ref="G262">IFERROR(XLOOKUP(C262, '新規'!$E:$E, '新規'!$P:$P, ""), "")</f>
        <v/>
      </c>
      <c r="H262" s="590"/>
      <c r="I262" s="8" t="str">
        <f t="array" ref="I262">IFERROR(XLOOKUP(H262, '新規'!$E:$E, '新規'!$F:$F, ""), "")</f>
        <v/>
      </c>
      <c r="J262" s="8"/>
      <c r="K262" s="8" t="str">
        <f t="array" ref="K262">IFERROR(XLOOKUP(H262, '新規'!$E:$E, '新規'!$O:$O, ""), "")</f>
        <v/>
      </c>
      <c r="L262" s="8" t="str">
        <f t="array" ref="L262">IFERROR(XLOOKUP(H262, '新規'!$E:$E, '新規'!$P:$P, ""), "")</f>
        <v/>
      </c>
      <c r="M262" s="590"/>
      <c r="N262" s="8" t="str">
        <f t="array" ref="N262">IFERROR(XLOOKUP(M262, '新規'!$E:$E, '新規'!$F:$F, ""), "")</f>
        <v/>
      </c>
      <c r="O262" s="8"/>
      <c r="P262" s="8" t="str">
        <f t="array" ref="P262">IFERROR(XLOOKUP(M262, '新規'!$E:$E, '新規'!$O:$O, ""), "")</f>
        <v/>
      </c>
      <c r="Q262" s="8" t="str">
        <f t="array" ref="Q262">IFERROR(XLOOKUP(M262, '新規'!$E:$E, '新規'!$P:$P, ""), "")</f>
        <v/>
      </c>
      <c r="R262" s="590"/>
      <c r="S262" s="8" t="str">
        <f t="array" ref="S262">IFERROR(XLOOKUP(R262, '新規'!$E:$E, '新規'!$F:$F, ""), "")</f>
        <v/>
      </c>
      <c r="T262" s="8"/>
      <c r="U262" s="8" t="str">
        <f t="array" ref="U262">IFERROR(XLOOKUP(R262, '新規'!$E:$E, '新規'!$O:$O, ""), "")</f>
        <v/>
      </c>
      <c r="V262" s="8" t="str">
        <f t="array" ref="V262">IFERROR(XLOOKUP(R262, '新規'!$E:$E, '新規'!$P:$P, ""), "")</f>
        <v/>
      </c>
      <c r="W262" s="590"/>
      <c r="X262" s="8" t="str">
        <f t="array" ref="X262">IFERROR(XLOOKUP(W262, '新規'!$E:$E, '新規'!$F:$F, ""), "")</f>
        <v/>
      </c>
      <c r="Y262" s="8"/>
      <c r="Z262" s="8" t="str">
        <f t="array" ref="Z262">IFERROR(XLOOKUP(W262, '新規'!$E:$E, '新規'!$O:$O, ""), "")</f>
        <v/>
      </c>
      <c r="AA262" s="8" t="str">
        <f t="array" ref="AA262">IFERROR(XLOOKUP(W262, '新規'!$E:$E, '新規'!$P:$P, ""), "")</f>
        <v/>
      </c>
      <c r="AB262" s="590"/>
      <c r="AC262" s="8" t="str">
        <f t="array" ref="AC262">IFERROR(XLOOKUP(AB262, '新規'!$E:$E, '新規'!$F:$F, ""), "")</f>
        <v/>
      </c>
      <c r="AD262" s="8"/>
      <c r="AE262" s="8" t="str">
        <f t="array" ref="AE262">IFERROR(XLOOKUP(AB262, '新規'!$E:$E, '新規'!$O:$O, ""), "")</f>
        <v/>
      </c>
      <c r="AF262" s="8" t="str">
        <f t="array" ref="AF262">IFERROR(XLOOKUP(AB262, '新規'!$E:$E, '新規'!$P:$P, ""), "")</f>
        <v/>
      </c>
      <c r="AG262" s="590"/>
      <c r="AH262" s="8" t="str">
        <f t="array" ref="AH262">IFERROR(XLOOKUP(AG262, '新規'!$E:$E, '新規'!$F:$F, ""), "")</f>
        <v/>
      </c>
      <c r="AI262" s="8"/>
      <c r="AJ262" s="8" t="str">
        <f t="array" ref="AJ262">IFERROR(XLOOKUP(AG262, '新規'!$E:$E, '新規'!$O:$O, ""), "")</f>
        <v/>
      </c>
      <c r="AK262" s="8" t="str">
        <f t="array" ref="AK262">IFERROR(XLOOKUP(AG262, '新規'!$E:$E, '新規'!$P:$P, ""), "")</f>
        <v/>
      </c>
    </row>
    <row r="263" ht="17.25" customHeight="1">
      <c r="A263" s="587"/>
      <c r="B263" s="592"/>
      <c r="C263" s="590"/>
      <c r="D263" s="593" t="str">
        <f>IFERROR(__xludf.DUMMYFUNCTION("IF(C263="""","""",IFERROR(INDEX(FILTER('特殊配信マスタ'!$F$3:$F$16,('特殊配信マスタ'!$A$3:$A$16=CHOOSE(WEEKDAY(C$1),""日"",""月"",""火"",""水"",""木"",""金"",""土""))*('特殊配信マスタ'!$B$3:$B$16=A$3)*('特殊配信マスタ'!$R$3:$R$16=MOD(INT((C$1-'特殊配信マスタ'!$A$1)/7),3)+1)),1),""""))"),"")</f>
        <v/>
      </c>
      <c r="E263" s="590"/>
      <c r="F263" s="593" t="str">
        <f>IFERROR(__xludf.DUMMYFUNCTION("IF(C263="""","""",IFERROR(INDEX(FILTER('特殊配信マスタ'!$O$3:$O$16,('特殊配信マスタ'!$A$3:$A$16=CHOOSE(WEEKDAY(C$1),""日"",""月"",""火"",""水"",""木"",""金"",""土""))*('特殊配信マスタ'!$B$3:$B$16=A$3)*('特殊配信マスタ'!$R$3:$R$16=MOD(INT((C$1-'特殊配信マスタ'!$A$1)/7),3)+1)),1),""""))"),"")</f>
        <v/>
      </c>
      <c r="G263" s="593" t="str">
        <f>IFERROR(__xludf.DUMMYFUNCTION("IF(C263="""","""",IFERROR(INDEX(FILTER('特殊配信マスタ'!$P$3:$P$16,('特殊配信マスタ'!$A$3:$A$16=CHOOSE(WEEKDAY(C$1),""日"",""月"",""火"",""水"",""木"",""金"",""土""))*('特殊配信マスタ'!$B$3:$B$16=A$3)*('特殊配信マスタ'!$R$3:$R$16=MOD(INT((C$1-'特殊配信マスタ'!$A$1)/7),3)+1)),1),""""))"),"")</f>
        <v/>
      </c>
      <c r="H263" s="590"/>
      <c r="I263" s="593" t="str">
        <f>IFERROR(__xludf.DUMMYFUNCTION("IF(H263="""","""",IFERROR(INDEX(FILTER('特殊配信マスタ'!$F$3:$F$16,('特殊配信マスタ'!$A$3:$A$16=CHOOSE(WEEKDAY(H$1),""日"",""月"",""火"",""水"",""木"",""金"",""土""))*('特殊配信マスタ'!$B$3:$B$16=F$3)*('特殊配信マスタ'!$R$3:$R$16=MOD(INT((H$1-'特殊配信マスタ'!$A$1)/7),3)+1)),1),""""))"),"")</f>
        <v/>
      </c>
      <c r="J263" s="590"/>
      <c r="K263" s="593" t="str">
        <f>IFERROR(__xludf.DUMMYFUNCTION("IF(H263="""","""",IFERROR(INDEX(FILTER('特殊配信マスタ'!$O$3:$O$16,('特殊配信マスタ'!$A$3:$A$16=CHOOSE(WEEKDAY(H$1),""日"",""月"",""火"",""水"",""木"",""金"",""土""))*('特殊配信マスタ'!$B$3:$B$16=F$3)*('特殊配信マスタ'!$R$3:$R$16=MOD(INT((H$1-'特殊配信マスタ'!$A$1)/7),3)+1)),1),""""))"),"")</f>
        <v/>
      </c>
      <c r="L263" s="593" t="str">
        <f>IFERROR(__xludf.DUMMYFUNCTION("IF(H263="""","""",IFERROR(INDEX(FILTER('特殊配信マスタ'!$P$3:$P$16,('特殊配信マスタ'!$A$3:$A$16=CHOOSE(WEEKDAY(H$1),""日"",""月"",""火"",""水"",""木"",""金"",""土""))*('特殊配信マスタ'!$B$3:$B$16=F$3)*('特殊配信マスタ'!$R$3:$R$16=MOD(INT((H$1-'特殊配信マスタ'!$A$1)/7),3)+1)),1),""""))"),"")</f>
        <v/>
      </c>
      <c r="M263" s="590"/>
      <c r="N263" s="593" t="str">
        <f>IFERROR(__xludf.DUMMYFUNCTION("IF(M263="""","""",IFERROR(INDEX(FILTER('特殊配信マスタ'!$F$3:$F$16,('特殊配信マスタ'!$A$3:$A$16=CHOOSE(WEEKDAY(M$1),""日"",""月"",""火"",""水"",""木"",""金"",""土""))*('特殊配信マスタ'!$B$3:$B$16=K$3)*('特殊配信マスタ'!$R$3:$R$16=MOD(INT((M$1-'特殊配信マスタ'!$A$1)/7),3)+1)),1),""""))"),"")</f>
        <v/>
      </c>
      <c r="O263" s="590"/>
      <c r="P263" s="593" t="str">
        <f>IFERROR(__xludf.DUMMYFUNCTION("IF(M263="""","""",IFERROR(INDEX(FILTER('特殊配信マスタ'!$O$3:$O$16,('特殊配信マスタ'!$A$3:$A$16=CHOOSE(WEEKDAY(M$1),""日"",""月"",""火"",""水"",""木"",""金"",""土""))*('特殊配信マスタ'!$B$3:$B$16=K$3)*('特殊配信マスタ'!$R$3:$R$16=MOD(INT((M$1-'特殊配信マスタ'!$A$1)/7),3)+1)),1),""""))"),"")</f>
        <v/>
      </c>
      <c r="Q263" s="593" t="str">
        <f>IFERROR(__xludf.DUMMYFUNCTION("IF(M263="""","""",IFERROR(INDEX(FILTER('特殊配信マスタ'!$P$3:$P$16,('特殊配信マスタ'!$A$3:$A$16=CHOOSE(WEEKDAY(M$1),""日"",""月"",""火"",""水"",""木"",""金"",""土""))*('特殊配信マスタ'!$B$3:$B$16=K$3)*('特殊配信マスタ'!$R$3:$R$16=MOD(INT((M$1-'特殊配信マスタ'!$A$1)/7),3)+1)),1),""""))"),"")</f>
        <v/>
      </c>
      <c r="R263" s="590"/>
      <c r="S263" s="593" t="str">
        <f>IFERROR(__xludf.DUMMYFUNCTION("IF(R263="""","""",IFERROR(INDEX(FILTER('特殊配信マスタ'!$F$3:$F$16,('特殊配信マスタ'!$A$3:$A$16=CHOOSE(WEEKDAY(R$1),""日"",""月"",""火"",""水"",""木"",""金"",""土""))*('特殊配信マスタ'!$B$3:$B$16=P$3)*('特殊配信マスタ'!$R$3:$R$16=MOD(INT((R$1-'特殊配信マスタ'!$A$1)/7),3)+1)),1),""""))"),"")</f>
        <v/>
      </c>
      <c r="T263" s="590"/>
      <c r="U263" s="593" t="str">
        <f>IFERROR(__xludf.DUMMYFUNCTION("IF(R263="""","""",IFERROR(INDEX(FILTER('特殊配信マスタ'!$O$3:$O$16,('特殊配信マスタ'!$A$3:$A$16=CHOOSE(WEEKDAY(R$1),""日"",""月"",""火"",""水"",""木"",""金"",""土""))*('特殊配信マスタ'!$B$3:$B$16=P$3)*('特殊配信マスタ'!$R$3:$R$16=MOD(INT((R$1-'特殊配信マスタ'!$A$1)/7),3)+1)),1),""""))"),"")</f>
        <v/>
      </c>
      <c r="V263" s="593" t="str">
        <f>IFERROR(__xludf.DUMMYFUNCTION("IF(R263="""","""",IFERROR(INDEX(FILTER('特殊配信マスタ'!$P$3:$P$16,('特殊配信マスタ'!$A$3:$A$16=CHOOSE(WEEKDAY(R$1),""日"",""月"",""火"",""水"",""木"",""金"",""土""))*('特殊配信マスタ'!$B$3:$B$16=P$3)*('特殊配信マスタ'!$R$3:$R$16=MOD(INT((R$1-'特殊配信マスタ'!$A$1)/7),3)+1)),1),""""))"),"")</f>
        <v/>
      </c>
      <c r="W263" s="590"/>
      <c r="X263" s="593" t="str">
        <f>IFERROR(__xludf.DUMMYFUNCTION("IF(W263="""","""",IFERROR(INDEX(FILTER('特殊配信マスタ'!$F$3:$F$16,('特殊配信マスタ'!$A$3:$A$16=CHOOSE(WEEKDAY(W$1),""日"",""月"",""火"",""水"",""木"",""金"",""土""))*('特殊配信マスタ'!$B$3:$B$16=U$3)*('特殊配信マスタ'!$R$3:$R$16=MOD(INT((W$1-'特殊配信マスタ'!$A$1)/7),3)+1)),1),""""))"),"")</f>
        <v/>
      </c>
      <c r="Y263" s="590"/>
      <c r="Z263" s="593" t="str">
        <f>IFERROR(__xludf.DUMMYFUNCTION("IF(W263="""","""",IFERROR(INDEX(FILTER('特殊配信マスタ'!$O$3:$O$16,('特殊配信マスタ'!$A$3:$A$16=CHOOSE(WEEKDAY(W$1),""日"",""月"",""火"",""水"",""木"",""金"",""土""))*('特殊配信マスタ'!$B$3:$B$16=U$3)*('特殊配信マスタ'!$R$3:$R$16=MOD(INT((W$1-'特殊配信マスタ'!$A$1)/7),3)+1)),1),""""))"),"")</f>
        <v/>
      </c>
      <c r="AA263" s="593" t="str">
        <f>IFERROR(__xludf.DUMMYFUNCTION("IF(W263="""","""",IFERROR(INDEX(FILTER('特殊配信マスタ'!$P$3:$P$16,('特殊配信マスタ'!$A$3:$A$16=CHOOSE(WEEKDAY(W$1),""日"",""月"",""火"",""水"",""木"",""金"",""土""))*('特殊配信マスタ'!$B$3:$B$16=U$3)*('特殊配信マスタ'!$R$3:$R$16=MOD(INT((W$1-'特殊配信マスタ'!$A$1)/7),3)+1)),1),""""))"),"")</f>
        <v/>
      </c>
      <c r="AB263" s="590"/>
      <c r="AC263" s="593" t="str">
        <f>IFERROR(__xludf.DUMMYFUNCTION("IF(AB263="""","""",IFERROR(INDEX(FILTER('特殊配信マスタ'!$F$3:$F$16,('特殊配信マスタ'!$A$3:$A$16=CHOOSE(WEEKDAY(AB$1),""日"",""月"",""火"",""水"",""木"",""金"",""土""))*('特殊配信マスタ'!$B$3:$B$16=Z$3)*('特殊配信マスタ'!$R$3:$R$16=MOD(INT((AB$1-'特殊配信マスタ'!$A$1)/7),3)+1)),1),""""))"),"")</f>
        <v/>
      </c>
      <c r="AD263" s="590"/>
      <c r="AE263" s="593" t="str">
        <f>IFERROR(__xludf.DUMMYFUNCTION("IF(AB263="""","""",IFERROR(INDEX(FILTER('特殊配信マスタ'!$O$3:$O$16,('特殊配信マスタ'!$A$3:$A$16=CHOOSE(WEEKDAY(AB$1),""日"",""月"",""火"",""水"",""木"",""金"",""土""))*('特殊配信マスタ'!$B$3:$B$16=Z$3)*('特殊配信マスタ'!$R$3:$R$16=MOD(INT((AB$1-'特殊配信マスタ'!$A$1)/7),3)+1)),1),""""))"),"")</f>
        <v/>
      </c>
      <c r="AF263" s="593" t="str">
        <f>IFERROR(__xludf.DUMMYFUNCTION("IF(AB263="""","""",IFERROR(INDEX(FILTER('特殊配信マスタ'!$P$3:$P$16,('特殊配信マスタ'!$A$3:$A$16=CHOOSE(WEEKDAY(AB$1),""日"",""月"",""火"",""水"",""木"",""金"",""土""))*('特殊配信マスタ'!$B$3:$B$16=Z$3)*('特殊配信マスタ'!$R$3:$R$16=MOD(INT((AB$1-'特殊配信マスタ'!$A$1)/7),3)+1)),1),""""))"),"")</f>
        <v/>
      </c>
      <c r="AG263" s="590"/>
      <c r="AH263" s="593" t="str">
        <f>IFERROR(__xludf.DUMMYFUNCTION("IF(AG263="""","""",IFERROR(INDEX(FILTER('特殊配信マスタ'!$F$3:$F$16,('特殊配信マスタ'!$A$3:$A$16=CHOOSE(WEEKDAY(AG$1),""日"",""月"",""火"",""水"",""木"",""金"",""土""))*('特殊配信マスタ'!$B$3:$B$16=AE$3)*('特殊配信マスタ'!$R$3:$R$16=MOD(INT((AG$1-'特殊配信マスタ'!$A$1)/7),3)+1)),1),""""))"),"")</f>
        <v/>
      </c>
      <c r="AI263" s="590"/>
      <c r="AJ263" s="593" t="str">
        <f>IFERROR(__xludf.DUMMYFUNCTION("IF(AG263="""","""",IFERROR(INDEX(FILTER('特殊配信マスタ'!$O$3:$O$16,('特殊配信マスタ'!$A$3:$A$16=CHOOSE(WEEKDAY(AG$1),""日"",""月"",""火"",""水"",""木"",""金"",""土""))*('特殊配信マスタ'!$B$3:$B$16=AE$3)*('特殊配信マスタ'!$R$3:$R$16=MOD(INT((AG$1-'特殊配信マスタ'!$A$1)/7),3)+1)),1),""""))"),"")</f>
        <v/>
      </c>
      <c r="AK263" s="593" t="str">
        <f>IFERROR(__xludf.DUMMYFUNCTION("IF(AG263="""","""",IFERROR(INDEX(FILTER('特殊配信マスタ'!$P$3:$P$16,('特殊配信マスタ'!$A$3:$A$16=CHOOSE(WEEKDAY(AG$1),""日"",""月"",""火"",""水"",""木"",""金"",""土""))*('特殊配信マスタ'!$B$3:$B$16=AE$3)*('特殊配信マスタ'!$R$3:$R$16=MOD(INT((AG$1-'特殊配信マスタ'!$A$1)/7),3)+1)),1),""""))"),"")</f>
        <v/>
      </c>
    </row>
    <row r="264" ht="17.25" customHeight="1">
      <c r="A264" s="587"/>
      <c r="B264" s="585" t="s">
        <v>1451</v>
      </c>
      <c r="C264" s="590" t="str">
        <f>IFERROR(__xludf.DUMMYFUNCTION("IFERROR(
    FILTER(
      '特殊配信マスタ'!$E$3:$E$16,
      ('特殊配信マスタ'!$A$3:$A$16=CHOOSE(WEEKDAY(C$1),""日"",""月"",""火"",""水"",""木"",""金"",""土""))*
      (VALUE('特殊配信マスタ'!$B$3:$B$16)=VALUE(LOOKUP(2,1/(IFERROR($A$1:INDEX($A:$A,ROW()),"""")&lt;&gt;""""),IFERROR($A$1:IN"&amp;"DEX($A:$A,ROW()),""""))))*
      (VALUE('特殊配信マスタ'!$R$3:$R$16)=MOD(INT((C$1-'特殊配信マスタ'!$A$1)/7),3)+1)*
      ('特殊配信マスタ'!$Q$3:$Q$16=FALSE)
    ),
    """"
  )"),"")</f>
        <v/>
      </c>
      <c r="D264" s="593" t="str">
        <f>IFERROR(__xludf.DUMMYFUNCTION("IF(C264="""","""",IFERROR(INDEX(FILTER('特殊配信マスタ'!$F$3:$F$16,('特殊配信マスタ'!$A$3:$A$16=CHOOSE(WEEKDAY(C$1),""日"",""月"",""火"",""水"",""木"",""金"",""土""))*('特殊配信マスタ'!$B$3:$B$16=A$3)*('特殊配信マスタ'!$R$3:$R$16=MOD(INT((C$1-'特殊配信マスタ'!$A$1)/7),3)+1)),1),""""))"),"")</f>
        <v/>
      </c>
      <c r="E264" s="590"/>
      <c r="F264" s="593" t="str">
        <f>IFERROR(__xludf.DUMMYFUNCTION("IF(C264="""","""",IFERROR(INDEX(FILTER('特殊配信マスタ'!$O$3:$O$16,('特殊配信マスタ'!$A$3:$A$16=CHOOSE(WEEKDAY(C$1),""日"",""月"",""火"",""水"",""木"",""金"",""土""))*('特殊配信マスタ'!$B$3:$B$16=A$3)*('特殊配信マスタ'!$R$3:$R$16=MOD(INT((C$1-'特殊配信マスタ'!$A$1)/7),3)+1)),1),""""))"),"")</f>
        <v/>
      </c>
      <c r="G264" s="593" t="str">
        <f>IFERROR(__xludf.DUMMYFUNCTION("IF(C264="""","""",IFERROR(INDEX(FILTER('特殊配信マスタ'!$P$3:$P$16,('特殊配信マスタ'!$A$3:$A$16=CHOOSE(WEEKDAY(C$1),""日"",""月"",""火"",""水"",""木"",""金"",""土""))*('特殊配信マスタ'!$B$3:$B$16=A$3)*('特殊配信マスタ'!$R$3:$R$16=MOD(INT((C$1-'特殊配信マスタ'!$A$1)/7),3)+1)),1),""""))"),"")</f>
        <v/>
      </c>
      <c r="H264" s="590" t="str">
        <f>IFERROR(__xludf.DUMMYFUNCTION("IFERROR(
    FILTER(
      '特殊配信マスタ'!$E$3:$E$16,
      ('特殊配信マスタ'!$A$3:$A$16=CHOOSE(WEEKDAY(H$1),""日"",""月"",""火"",""水"",""木"",""金"",""土""))*
      (VALUE('特殊配信マスタ'!$B$3:$B$16)=VALUE(LOOKUP(2,1/(IFERROR($A$1:INDEX($A:$A,ROW()),"""")&lt;&gt;""""),IFERROR($A$1:IN"&amp;"DEX($A:$A,ROW()),""""))))*
      (VALUE('特殊配信マスタ'!$R$3:$R$16)=MOD(INT((H$1-'特殊配信マスタ'!$A$1)/7),3)+1)*
      ('特殊配信マスタ'!$Q$3:$Q$16=FALSE)
    ),
    """"
  )"),"")</f>
        <v/>
      </c>
      <c r="I264" s="593" t="str">
        <f>IFERROR(__xludf.DUMMYFUNCTION("IF(H264="""","""",IFERROR(INDEX(FILTER('特殊配信マスタ'!$F$3:$F$16,('特殊配信マスタ'!$A$3:$A$16=CHOOSE(WEEKDAY(H$1),""日"",""月"",""火"",""水"",""木"",""金"",""土""))*('特殊配信マスタ'!$B$3:$B$16=F$3)*('特殊配信マスタ'!$R$3:$R$16=MOD(INT((H$1-'特殊配信マスタ'!$A$1)/7),3)+1)),1),""""))"),"")</f>
        <v/>
      </c>
      <c r="J264" s="590"/>
      <c r="K264" s="593" t="str">
        <f>IFERROR(__xludf.DUMMYFUNCTION("IF(H264="""","""",IFERROR(INDEX(FILTER('特殊配信マスタ'!$O$3:$O$16,('特殊配信マスタ'!$A$3:$A$16=CHOOSE(WEEKDAY(H$1),""日"",""月"",""火"",""水"",""木"",""金"",""土""))*('特殊配信マスタ'!$B$3:$B$16=F$3)*('特殊配信マスタ'!$R$3:$R$16=MOD(INT((H$1-'特殊配信マスタ'!$A$1)/7),3)+1)),1),""""))"),"")</f>
        <v/>
      </c>
      <c r="L264" s="593" t="str">
        <f>IFERROR(__xludf.DUMMYFUNCTION("IF(H264="""","""",IFERROR(INDEX(FILTER('特殊配信マスタ'!$P$3:$P$16,('特殊配信マスタ'!$A$3:$A$16=CHOOSE(WEEKDAY(H$1),""日"",""月"",""火"",""水"",""木"",""金"",""土""))*('特殊配信マスタ'!$B$3:$B$16=F$3)*('特殊配信マスタ'!$R$3:$R$16=MOD(INT((H$1-'特殊配信マスタ'!$A$1)/7),3)+1)),1),""""))"),"")</f>
        <v/>
      </c>
      <c r="M264" s="590" t="str">
        <f>IFERROR(__xludf.DUMMYFUNCTION("IFERROR(
    FILTER(
      '特殊配信マスタ'!$E$3:$E$16,
      ('特殊配信マスタ'!$A$3:$A$16=CHOOSE(WEEKDAY(M$1),""日"",""月"",""火"",""水"",""木"",""金"",""土""))*
      (VALUE('特殊配信マスタ'!$B$3:$B$16)=VALUE(LOOKUP(2,1/(IFERROR($A$1:INDEX($A:$A,ROW()),"""")&lt;&gt;""""),IFERROR($A$1:IN"&amp;"DEX($A:$A,ROW()),""""))))*
      (VALUE('特殊配信マスタ'!$R$3:$R$16)=MOD(INT((M$1-'特殊配信マスタ'!$A$1)/7),3)+1)*
      ('特殊配信マスタ'!$Q$3:$Q$16=FALSE)
    ),
    """"
  )"),"")</f>
        <v/>
      </c>
      <c r="N264" s="593" t="str">
        <f>IFERROR(__xludf.DUMMYFUNCTION("IF(M264="""","""",IFERROR(INDEX(FILTER('特殊配信マスタ'!$F$3:$F$16,('特殊配信マスタ'!$A$3:$A$16=CHOOSE(WEEKDAY(M$1),""日"",""月"",""火"",""水"",""木"",""金"",""土""))*('特殊配信マスタ'!$B$3:$B$16=K$3)*('特殊配信マスタ'!$R$3:$R$16=MOD(INT((M$1-'特殊配信マスタ'!$A$1)/7),3)+1)),1),""""))"),"")</f>
        <v/>
      </c>
      <c r="O264" s="590"/>
      <c r="P264" s="593" t="str">
        <f>IFERROR(__xludf.DUMMYFUNCTION("IF(M264="""","""",IFERROR(INDEX(FILTER('特殊配信マスタ'!$O$3:$O$16,('特殊配信マスタ'!$A$3:$A$16=CHOOSE(WEEKDAY(M$1),""日"",""月"",""火"",""水"",""木"",""金"",""土""))*('特殊配信マスタ'!$B$3:$B$16=K$3)*('特殊配信マスタ'!$R$3:$R$16=MOD(INT((M$1-'特殊配信マスタ'!$A$1)/7),3)+1)),1),""""))"),"")</f>
        <v/>
      </c>
      <c r="Q264" s="593" t="str">
        <f>IFERROR(__xludf.DUMMYFUNCTION("IF(M264="""","""",IFERROR(INDEX(FILTER('特殊配信マスタ'!$P$3:$P$16,('特殊配信マスタ'!$A$3:$A$16=CHOOSE(WEEKDAY(M$1),""日"",""月"",""火"",""水"",""木"",""金"",""土""))*('特殊配信マスタ'!$B$3:$B$16=K$3)*('特殊配信マスタ'!$R$3:$R$16=MOD(INT((M$1-'特殊配信マスタ'!$A$1)/7),3)+1)),1),""""))"),"")</f>
        <v/>
      </c>
      <c r="R264" s="590" t="str">
        <f>IFERROR(__xludf.DUMMYFUNCTION("IFERROR(
    FILTER(
      '特殊配信マスタ'!$E$3:$E$16,
      ('特殊配信マスタ'!$A$3:$A$16=CHOOSE(WEEKDAY(R$1),""日"",""月"",""火"",""水"",""木"",""金"",""土""))*
      (VALUE('特殊配信マスタ'!$B$3:$B$16)=VALUE(LOOKUP(2,1/(IFERROR($A$1:INDEX($A:$A,ROW()),"""")&lt;&gt;""""),IFERROR($A$1:IN"&amp;"DEX($A:$A,ROW()),""""))))*
      (VALUE('特殊配信マスタ'!$R$3:$R$16)=MOD(INT((R$1-'特殊配信マスタ'!$A$1)/7),3)+1)*
      ('特殊配信マスタ'!$Q$3:$Q$16=FALSE)
    ),
    """"
  )"),"")</f>
        <v/>
      </c>
      <c r="S264" s="593" t="str">
        <f>IFERROR(__xludf.DUMMYFUNCTION("IF(R264="""","""",IFERROR(INDEX(FILTER('特殊配信マスタ'!$F$3:$F$16,('特殊配信マスタ'!$A$3:$A$16=CHOOSE(WEEKDAY(R$1),""日"",""月"",""火"",""水"",""木"",""金"",""土""))*('特殊配信マスタ'!$B$3:$B$16=P$3)*('特殊配信マスタ'!$R$3:$R$16=MOD(INT((R$1-'特殊配信マスタ'!$A$1)/7),3)+1)),1),""""))"),"")</f>
        <v/>
      </c>
      <c r="T264" s="590"/>
      <c r="U264" s="593" t="str">
        <f>IFERROR(__xludf.DUMMYFUNCTION("IF(R264="""","""",IFERROR(INDEX(FILTER('特殊配信マスタ'!$O$3:$O$16,('特殊配信マスタ'!$A$3:$A$16=CHOOSE(WEEKDAY(R$1),""日"",""月"",""火"",""水"",""木"",""金"",""土""))*('特殊配信マスタ'!$B$3:$B$16=P$3)*('特殊配信マスタ'!$R$3:$R$16=MOD(INT((R$1-'特殊配信マスタ'!$A$1)/7),3)+1)),1),""""))"),"")</f>
        <v/>
      </c>
      <c r="V264" s="593" t="str">
        <f>IFERROR(__xludf.DUMMYFUNCTION("IF(R264="""","""",IFERROR(INDEX(FILTER('特殊配信マスタ'!$P$3:$P$16,('特殊配信マスタ'!$A$3:$A$16=CHOOSE(WEEKDAY(R$1),""日"",""月"",""火"",""水"",""木"",""金"",""土""))*('特殊配信マスタ'!$B$3:$B$16=P$3)*('特殊配信マスタ'!$R$3:$R$16=MOD(INT((R$1-'特殊配信マスタ'!$A$1)/7),3)+1)),1),""""))"),"")</f>
        <v/>
      </c>
      <c r="W264" s="590" t="str">
        <f>IFERROR(__xludf.DUMMYFUNCTION("IFERROR(
    FILTER(
      '特殊配信マスタ'!$E$3:$E$16,
      ('特殊配信マスタ'!$A$3:$A$16=CHOOSE(WEEKDAY(W$1),""日"",""月"",""火"",""水"",""木"",""金"",""土""))*
      (VALUE('特殊配信マスタ'!$B$3:$B$16)=VALUE(LOOKUP(2,1/(IFERROR($A$1:INDEX($A:$A,ROW()),"""")&lt;&gt;""""),IFERROR($A$1:IN"&amp;"DEX($A:$A,ROW()),""""))))*
      (VALUE('特殊配信マスタ'!$R$3:$R$16)=MOD(INT((W$1-'特殊配信マスタ'!$A$1)/7),3)+1)*
      ('特殊配信マスタ'!$Q$3:$Q$16=FALSE)
    ),
    """"
  )"),"")</f>
        <v/>
      </c>
      <c r="X264" s="593" t="str">
        <f>IFERROR(__xludf.DUMMYFUNCTION("IF(W264="""","""",IFERROR(INDEX(FILTER('特殊配信マスタ'!$F$3:$F$16,('特殊配信マスタ'!$A$3:$A$16=CHOOSE(WEEKDAY(W$1),""日"",""月"",""火"",""水"",""木"",""金"",""土""))*('特殊配信マスタ'!$B$3:$B$16=U$3)*('特殊配信マスタ'!$R$3:$R$16=MOD(INT((W$1-'特殊配信マスタ'!$A$1)/7),3)+1)),1),""""))"),"")</f>
        <v/>
      </c>
      <c r="Y264" s="590"/>
      <c r="Z264" s="593" t="str">
        <f>IFERROR(__xludf.DUMMYFUNCTION("IF(W264="""","""",IFERROR(INDEX(FILTER('特殊配信マスタ'!$O$3:$O$16,('特殊配信マスタ'!$A$3:$A$16=CHOOSE(WEEKDAY(W$1),""日"",""月"",""火"",""水"",""木"",""金"",""土""))*('特殊配信マスタ'!$B$3:$B$16=U$3)*('特殊配信マスタ'!$R$3:$R$16=MOD(INT((W$1-'特殊配信マスタ'!$A$1)/7),3)+1)),1),""""))"),"")</f>
        <v/>
      </c>
      <c r="AA264" s="593" t="str">
        <f>IFERROR(__xludf.DUMMYFUNCTION("IF(W264="""","""",IFERROR(INDEX(FILTER('特殊配信マスタ'!$P$3:$P$16,('特殊配信マスタ'!$A$3:$A$16=CHOOSE(WEEKDAY(W$1),""日"",""月"",""火"",""水"",""木"",""金"",""土""))*('特殊配信マスタ'!$B$3:$B$16=U$3)*('特殊配信マスタ'!$R$3:$R$16=MOD(INT((W$1-'特殊配信マスタ'!$A$1)/7),3)+1)),1),""""))"),"")</f>
        <v/>
      </c>
      <c r="AB264" s="590" t="str">
        <f>IFERROR(__xludf.DUMMYFUNCTION("IFERROR(
    FILTER(
      '特殊配信マスタ'!$E$3:$E$16,
      ('特殊配信マスタ'!$A$3:$A$16=CHOOSE(WEEKDAY(AB$1),""日"",""月"",""火"",""水"",""木"",""金"",""土""))*
      (VALUE('特殊配信マスタ'!$B$3:$B$16)=VALUE(LOOKUP(2,1/(IFERROR($A$1:INDEX($A:$A,ROW()),"""")&lt;&gt;""""),IFERROR($A$1:I"&amp;"NDEX($A:$A,ROW()),""""))))*
      (VALUE('特殊配信マスタ'!$R$3:$R$16)=MOD(INT((AB$1-'特殊配信マスタ'!$A$1)/7),3)+1)*
      ('特殊配信マスタ'!$Q$3:$Q$16=FALSE)
    ),
    """"
  )"),"")</f>
        <v/>
      </c>
      <c r="AC264" s="593" t="str">
        <f>IFERROR(__xludf.DUMMYFUNCTION("IF(AB264="""","""",IFERROR(INDEX(FILTER('特殊配信マスタ'!$F$3:$F$16,('特殊配信マスタ'!$A$3:$A$16=CHOOSE(WEEKDAY(AB$1),""日"",""月"",""火"",""水"",""木"",""金"",""土""))*('特殊配信マスタ'!$B$3:$B$16=Z$3)*('特殊配信マスタ'!$R$3:$R$16=MOD(INT((AB$1-'特殊配信マスタ'!$A$1)/7),3)+1)),1),""""))"),"")</f>
        <v/>
      </c>
      <c r="AD264" s="590"/>
      <c r="AE264" s="593" t="str">
        <f>IFERROR(__xludf.DUMMYFUNCTION("IF(AB264="""","""",IFERROR(INDEX(FILTER('特殊配信マスタ'!$O$3:$O$16,('特殊配信マスタ'!$A$3:$A$16=CHOOSE(WEEKDAY(AB$1),""日"",""月"",""火"",""水"",""木"",""金"",""土""))*('特殊配信マスタ'!$B$3:$B$16=Z$3)*('特殊配信マスタ'!$R$3:$R$16=MOD(INT((AB$1-'特殊配信マスタ'!$A$1)/7),3)+1)),1),""""))"),"")</f>
        <v/>
      </c>
      <c r="AF264" s="593" t="str">
        <f>IFERROR(__xludf.DUMMYFUNCTION("IF(AB264="""","""",IFERROR(INDEX(FILTER('特殊配信マスタ'!$P$3:$P$16,('特殊配信マスタ'!$A$3:$A$16=CHOOSE(WEEKDAY(AB$1),""日"",""月"",""火"",""水"",""木"",""金"",""土""))*('特殊配信マスタ'!$B$3:$B$16=Z$3)*('特殊配信マスタ'!$R$3:$R$16=MOD(INT((AB$1-'特殊配信マスタ'!$A$1)/7),3)+1)),1),""""))"),"")</f>
        <v/>
      </c>
      <c r="AG264" s="590" t="str">
        <f>IFERROR(__xludf.DUMMYFUNCTION("IFERROR(
    FILTER(
      '特殊配信マスタ'!$E$3:$E$16,
      ('特殊配信マスタ'!$A$3:$A$16=CHOOSE(WEEKDAY(AG$1),""日"",""月"",""火"",""水"",""木"",""金"",""土""))*
      (VALUE('特殊配信マスタ'!$B$3:$B$16)=VALUE(LOOKUP(2,1/(IFERROR($A$1:INDEX($A:$A,ROW()),"""")&lt;&gt;""""),IFERROR($A$1:I"&amp;"NDEX($A:$A,ROW()),""""))))*
      (VALUE('特殊配信マスタ'!$R$3:$R$16)=MOD(INT((AG$1-'特殊配信マスタ'!$A$1)/7),3)+1)*
      ('特殊配信マスタ'!$Q$3:$Q$16=FALSE)
    ),
    """"
  )"),"")</f>
        <v/>
      </c>
      <c r="AH264" s="593" t="str">
        <f>IFERROR(__xludf.DUMMYFUNCTION("IF(AG264="""","""",IFERROR(INDEX(FILTER('特殊配信マスタ'!$F$3:$F$16,('特殊配信マスタ'!$A$3:$A$16=CHOOSE(WEEKDAY(AG$1),""日"",""月"",""火"",""水"",""木"",""金"",""土""))*('特殊配信マスタ'!$B$3:$B$16=AE$3)*('特殊配信マスタ'!$R$3:$R$16=MOD(INT((AG$1-'特殊配信マスタ'!$A$1)/7),3)+1)),1),""""))"),"")</f>
        <v/>
      </c>
      <c r="AI264" s="590"/>
      <c r="AJ264" s="593" t="str">
        <f>IFERROR(__xludf.DUMMYFUNCTION("IF(AG264="""","""",IFERROR(INDEX(FILTER('特殊配信マスタ'!$O$3:$O$16,('特殊配信マスタ'!$A$3:$A$16=CHOOSE(WEEKDAY(AG$1),""日"",""月"",""火"",""水"",""木"",""金"",""土""))*('特殊配信マスタ'!$B$3:$B$16=AE$3)*('特殊配信マスタ'!$R$3:$R$16=MOD(INT((AG$1-'特殊配信マスタ'!$A$1)/7),3)+1)),1),""""))"),"")</f>
        <v/>
      </c>
      <c r="AK264" s="593" t="str">
        <f>IFERROR(__xludf.DUMMYFUNCTION("IF(AG264="""","""",IFERROR(INDEX(FILTER('特殊配信マスタ'!$P$3:$P$16,('特殊配信マスタ'!$A$3:$A$16=CHOOSE(WEEKDAY(AG$1),""日"",""月"",""火"",""水"",""木"",""金"",""土""))*('特殊配信マスタ'!$B$3:$B$16=AE$3)*('特殊配信マスタ'!$R$3:$R$16=MOD(INT((AG$1-'特殊配信マスタ'!$A$1)/7),3)+1)),1),""""))"),"")</f>
        <v/>
      </c>
    </row>
    <row r="265" ht="17.25" customHeight="1">
      <c r="A265" s="587"/>
      <c r="B265" s="588"/>
      <c r="C265" s="590"/>
      <c r="D265" s="593" t="str">
        <f>IFERROR(__xludf.DUMMYFUNCTION("IF(C265="""","""",IFERROR(INDEX(FILTER('特殊配信マスタ'!$F$3:$F$16,('特殊配信マスタ'!$A$3:$A$16=CHOOSE(WEEKDAY(C$1),""日"",""月"",""火"",""水"",""木"",""金"",""土""))*('特殊配信マスタ'!$B$3:$B$16=A$3)*('特殊配信マスタ'!$R$3:$R$16=MOD(INT((C$1-'特殊配信マスタ'!$A$1)/7),3)+1)),1),""""))"),"")</f>
        <v/>
      </c>
      <c r="E265" s="590"/>
      <c r="F265" s="593" t="str">
        <f>IFERROR(__xludf.DUMMYFUNCTION("IF(C265="""","""",IFERROR(INDEX(FILTER('特殊配信マスタ'!$O$3:$O$16,('特殊配信マスタ'!$A$3:$A$16=CHOOSE(WEEKDAY(C$1),""日"",""月"",""火"",""水"",""木"",""金"",""土""))*('特殊配信マスタ'!$B$3:$B$16=A$3)*('特殊配信マスタ'!$R$3:$R$16=MOD(INT((C$1-'特殊配信マスタ'!$A$1)/7),3)+1)),1),""""))"),"")</f>
        <v/>
      </c>
      <c r="G265" s="593" t="str">
        <f>IFERROR(__xludf.DUMMYFUNCTION("IF(C265="""","""",IFERROR(INDEX(FILTER('特殊配信マスタ'!$P$3:$P$16,('特殊配信マスタ'!$A$3:$A$16=CHOOSE(WEEKDAY(C$1),""日"",""月"",""火"",""水"",""木"",""金"",""土""))*('特殊配信マスタ'!$B$3:$B$16=A$3)*('特殊配信マスタ'!$R$3:$R$16=MOD(INT((C$1-'特殊配信マスタ'!$A$1)/7),3)+1)),1),""""))"),"")</f>
        <v/>
      </c>
      <c r="H265" s="590"/>
      <c r="I265" s="593" t="str">
        <f>IFERROR(__xludf.DUMMYFUNCTION("IF(H265="""","""",IFERROR(INDEX(FILTER('特殊配信マスタ'!$F$3:$F$16,('特殊配信マスタ'!$A$3:$A$16=CHOOSE(WEEKDAY(H$1),""日"",""月"",""火"",""水"",""木"",""金"",""土""))*('特殊配信マスタ'!$B$3:$B$16=F$3)*('特殊配信マスタ'!$R$3:$R$16=MOD(INT((H$1-'特殊配信マスタ'!$A$1)/7),3)+1)),1),""""))"),"")</f>
        <v/>
      </c>
      <c r="J265" s="590"/>
      <c r="K265" s="593" t="str">
        <f>IFERROR(__xludf.DUMMYFUNCTION("IF(H265="""","""",IFERROR(INDEX(FILTER('特殊配信マスタ'!$O$3:$O$16,('特殊配信マスタ'!$A$3:$A$16=CHOOSE(WEEKDAY(H$1),""日"",""月"",""火"",""水"",""木"",""金"",""土""))*('特殊配信マスタ'!$B$3:$B$16=F$3)*('特殊配信マスタ'!$R$3:$R$16=MOD(INT((H$1-'特殊配信マスタ'!$A$1)/7),3)+1)),1),""""))"),"")</f>
        <v/>
      </c>
      <c r="L265" s="593" t="str">
        <f>IFERROR(__xludf.DUMMYFUNCTION("IF(H265="""","""",IFERROR(INDEX(FILTER('特殊配信マスタ'!$P$3:$P$16,('特殊配信マスタ'!$A$3:$A$16=CHOOSE(WEEKDAY(H$1),""日"",""月"",""火"",""水"",""木"",""金"",""土""))*('特殊配信マスタ'!$B$3:$B$16=F$3)*('特殊配信マスタ'!$R$3:$R$16=MOD(INT((H$1-'特殊配信マスタ'!$A$1)/7),3)+1)),1),""""))"),"")</f>
        <v/>
      </c>
      <c r="M265" s="590"/>
      <c r="N265" s="593" t="str">
        <f>IFERROR(__xludf.DUMMYFUNCTION("IF(M265="""","""",IFERROR(INDEX(FILTER('特殊配信マスタ'!$F$3:$F$16,('特殊配信マスタ'!$A$3:$A$16=CHOOSE(WEEKDAY(M$1),""日"",""月"",""火"",""水"",""木"",""金"",""土""))*('特殊配信マスタ'!$B$3:$B$16=K$3)*('特殊配信マスタ'!$R$3:$R$16=MOD(INT((M$1-'特殊配信マスタ'!$A$1)/7),3)+1)),1),""""))"),"")</f>
        <v/>
      </c>
      <c r="O265" s="590"/>
      <c r="P265" s="593" t="str">
        <f>IFERROR(__xludf.DUMMYFUNCTION("IF(M265="""","""",IFERROR(INDEX(FILTER('特殊配信マスタ'!$O$3:$O$16,('特殊配信マスタ'!$A$3:$A$16=CHOOSE(WEEKDAY(M$1),""日"",""月"",""火"",""水"",""木"",""金"",""土""))*('特殊配信マスタ'!$B$3:$B$16=K$3)*('特殊配信マスタ'!$R$3:$R$16=MOD(INT((M$1-'特殊配信マスタ'!$A$1)/7),3)+1)),1),""""))"),"")</f>
        <v/>
      </c>
      <c r="Q265" s="593" t="str">
        <f>IFERROR(__xludf.DUMMYFUNCTION("IF(M265="""","""",IFERROR(INDEX(FILTER('特殊配信マスタ'!$P$3:$P$16,('特殊配信マスタ'!$A$3:$A$16=CHOOSE(WEEKDAY(M$1),""日"",""月"",""火"",""水"",""木"",""金"",""土""))*('特殊配信マスタ'!$B$3:$B$16=K$3)*('特殊配信マスタ'!$R$3:$R$16=MOD(INT((M$1-'特殊配信マスタ'!$A$1)/7),3)+1)),1),""""))"),"")</f>
        <v/>
      </c>
      <c r="R265" s="590"/>
      <c r="S265" s="593" t="str">
        <f>IFERROR(__xludf.DUMMYFUNCTION("IF(R265="""","""",IFERROR(INDEX(FILTER('特殊配信マスタ'!$F$3:$F$16,('特殊配信マスタ'!$A$3:$A$16=CHOOSE(WEEKDAY(R$1),""日"",""月"",""火"",""水"",""木"",""金"",""土""))*('特殊配信マスタ'!$B$3:$B$16=P$3)*('特殊配信マスタ'!$R$3:$R$16=MOD(INT((R$1-'特殊配信マスタ'!$A$1)/7),3)+1)),1),""""))"),"")</f>
        <v/>
      </c>
      <c r="T265" s="590"/>
      <c r="U265" s="593" t="str">
        <f>IFERROR(__xludf.DUMMYFUNCTION("IF(R265="""","""",IFERROR(INDEX(FILTER('特殊配信マスタ'!$O$3:$O$16,('特殊配信マスタ'!$A$3:$A$16=CHOOSE(WEEKDAY(R$1),""日"",""月"",""火"",""水"",""木"",""金"",""土""))*('特殊配信マスタ'!$B$3:$B$16=P$3)*('特殊配信マスタ'!$R$3:$R$16=MOD(INT((R$1-'特殊配信マスタ'!$A$1)/7),3)+1)),1),""""))"),"")</f>
        <v/>
      </c>
      <c r="V265" s="593" t="str">
        <f>IFERROR(__xludf.DUMMYFUNCTION("IF(R265="""","""",IFERROR(INDEX(FILTER('特殊配信マスタ'!$P$3:$P$16,('特殊配信マスタ'!$A$3:$A$16=CHOOSE(WEEKDAY(R$1),""日"",""月"",""火"",""水"",""木"",""金"",""土""))*('特殊配信マスタ'!$B$3:$B$16=P$3)*('特殊配信マスタ'!$R$3:$R$16=MOD(INT((R$1-'特殊配信マスタ'!$A$1)/7),3)+1)),1),""""))"),"")</f>
        <v/>
      </c>
      <c r="W265" s="590"/>
      <c r="X265" s="593" t="str">
        <f>IFERROR(__xludf.DUMMYFUNCTION("IF(W265="""","""",IFERROR(INDEX(FILTER('特殊配信マスタ'!$F$3:$F$16,('特殊配信マスタ'!$A$3:$A$16=CHOOSE(WEEKDAY(W$1),""日"",""月"",""火"",""水"",""木"",""金"",""土""))*('特殊配信マスタ'!$B$3:$B$16=U$3)*('特殊配信マスタ'!$R$3:$R$16=MOD(INT((W$1-'特殊配信マスタ'!$A$1)/7),3)+1)),1),""""))"),"")</f>
        <v/>
      </c>
      <c r="Y265" s="590"/>
      <c r="Z265" s="593" t="str">
        <f>IFERROR(__xludf.DUMMYFUNCTION("IF(W265="""","""",IFERROR(INDEX(FILTER('特殊配信マスタ'!$O$3:$O$16,('特殊配信マスタ'!$A$3:$A$16=CHOOSE(WEEKDAY(W$1),""日"",""月"",""火"",""水"",""木"",""金"",""土""))*('特殊配信マスタ'!$B$3:$B$16=U$3)*('特殊配信マスタ'!$R$3:$R$16=MOD(INT((W$1-'特殊配信マスタ'!$A$1)/7),3)+1)),1),""""))"),"")</f>
        <v/>
      </c>
      <c r="AA265" s="593" t="str">
        <f>IFERROR(__xludf.DUMMYFUNCTION("IF(W265="""","""",IFERROR(INDEX(FILTER('特殊配信マスタ'!$P$3:$P$16,('特殊配信マスタ'!$A$3:$A$16=CHOOSE(WEEKDAY(W$1),""日"",""月"",""火"",""水"",""木"",""金"",""土""))*('特殊配信マスタ'!$B$3:$B$16=U$3)*('特殊配信マスタ'!$R$3:$R$16=MOD(INT((W$1-'特殊配信マスタ'!$A$1)/7),3)+1)),1),""""))"),"")</f>
        <v/>
      </c>
      <c r="AB265" s="590"/>
      <c r="AC265" s="593" t="str">
        <f>IFERROR(__xludf.DUMMYFUNCTION("IF(AB265="""","""",IFERROR(INDEX(FILTER('特殊配信マスタ'!$F$3:$F$16,('特殊配信マスタ'!$A$3:$A$16=CHOOSE(WEEKDAY(AB$1),""日"",""月"",""火"",""水"",""木"",""金"",""土""))*('特殊配信マスタ'!$B$3:$B$16=Z$3)*('特殊配信マスタ'!$R$3:$R$16=MOD(INT((AB$1-'特殊配信マスタ'!$A$1)/7),3)+1)),1),""""))"),"")</f>
        <v/>
      </c>
      <c r="AD265" s="590"/>
      <c r="AE265" s="593" t="str">
        <f>IFERROR(__xludf.DUMMYFUNCTION("IF(AB265="""","""",IFERROR(INDEX(FILTER('特殊配信マスタ'!$O$3:$O$16,('特殊配信マスタ'!$A$3:$A$16=CHOOSE(WEEKDAY(AB$1),""日"",""月"",""火"",""水"",""木"",""金"",""土""))*('特殊配信マスタ'!$B$3:$B$16=Z$3)*('特殊配信マスタ'!$R$3:$R$16=MOD(INT((AB$1-'特殊配信マスタ'!$A$1)/7),3)+1)),1),""""))"),"")</f>
        <v/>
      </c>
      <c r="AF265" s="593" t="str">
        <f>IFERROR(__xludf.DUMMYFUNCTION("IF(AB265="""","""",IFERROR(INDEX(FILTER('特殊配信マスタ'!$P$3:$P$16,('特殊配信マスタ'!$A$3:$A$16=CHOOSE(WEEKDAY(AB$1),""日"",""月"",""火"",""水"",""木"",""金"",""土""))*('特殊配信マスタ'!$B$3:$B$16=Z$3)*('特殊配信マスタ'!$R$3:$R$16=MOD(INT((AB$1-'特殊配信マスタ'!$A$1)/7),3)+1)),1),""""))"),"")</f>
        <v/>
      </c>
      <c r="AG265" s="590"/>
      <c r="AH265" s="593" t="str">
        <f>IFERROR(__xludf.DUMMYFUNCTION("IF(AG265="""","""",IFERROR(INDEX(FILTER('特殊配信マスタ'!$F$3:$F$16,('特殊配信マスタ'!$A$3:$A$16=CHOOSE(WEEKDAY(AG$1),""日"",""月"",""火"",""水"",""木"",""金"",""土""))*('特殊配信マスタ'!$B$3:$B$16=AE$3)*('特殊配信マスタ'!$R$3:$R$16=MOD(INT((AG$1-'特殊配信マスタ'!$A$1)/7),3)+1)),1),""""))"),"")</f>
        <v/>
      </c>
      <c r="AI265" s="590"/>
      <c r="AJ265" s="593" t="str">
        <f>IFERROR(__xludf.DUMMYFUNCTION("IF(AG265="""","""",IFERROR(INDEX(FILTER('特殊配信マスタ'!$O$3:$O$16,('特殊配信マスタ'!$A$3:$A$16=CHOOSE(WEEKDAY(AG$1),""日"",""月"",""火"",""水"",""木"",""金"",""土""))*('特殊配信マスタ'!$B$3:$B$16=AE$3)*('特殊配信マスタ'!$R$3:$R$16=MOD(INT((AG$1-'特殊配信マスタ'!$A$1)/7),3)+1)),1),""""))"),"")</f>
        <v/>
      </c>
      <c r="AK265" s="593" t="str">
        <f>IFERROR(__xludf.DUMMYFUNCTION("IF(AG265="""","""",IFERROR(INDEX(FILTER('特殊配信マスタ'!$P$3:$P$16,('特殊配信マスタ'!$A$3:$A$16=CHOOSE(WEEKDAY(AG$1),""日"",""月"",""火"",""水"",""木"",""金"",""土""))*('特殊配信マスタ'!$B$3:$B$16=AE$3)*('特殊配信マスタ'!$R$3:$R$16=MOD(INT((AG$1-'特殊配信マスタ'!$A$1)/7),3)+1)),1),""""))"),"")</f>
        <v/>
      </c>
    </row>
    <row r="266" ht="17.25" customHeight="1">
      <c r="A266" s="587"/>
      <c r="B266" s="588"/>
      <c r="C266"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D266" s="593"/>
      <c r="E266" s="590"/>
      <c r="F266" s="593"/>
      <c r="G266" s="593"/>
      <c r="H266"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I266" s="593"/>
      <c r="J266" s="590"/>
      <c r="K266" s="593"/>
      <c r="L266" s="593"/>
      <c r="M266"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N266" s="593"/>
      <c r="O266" s="590"/>
      <c r="P266" s="593"/>
      <c r="Q266" s="593"/>
      <c r="R266"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S266" s="593"/>
      <c r="T266" s="590"/>
      <c r="U266" s="593"/>
      <c r="V266" s="593"/>
      <c r="W266"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X266" s="593"/>
      <c r="Y266" s="590"/>
      <c r="Z266" s="593"/>
      <c r="AA266" s="593"/>
      <c r="AB266"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C266" s="593"/>
      <c r="AD266" s="590"/>
      <c r="AE266" s="593"/>
      <c r="AF266" s="593"/>
      <c r="AG266"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H266" s="593"/>
      <c r="AI266" s="590"/>
      <c r="AJ266" s="593"/>
      <c r="AK266" s="593"/>
    </row>
    <row r="267" ht="17.25" customHeight="1">
      <c r="A267" s="587"/>
      <c r="B267" s="588"/>
      <c r="C26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D267" s="593" t="str">
        <f>IFERROR(__xludf.DUMMYFUNCTION("IF(C267="""","""",IFERROR(INDEX(FILTER('特殊配信マスタ'!$F$3:$F$16,('特殊配信マスタ'!$A$3:$A$16=CHOOSE(WEEKDAY(C$1),""日"",""月"",""火"",""水"",""木"",""金"",""土""))*('特殊配信マスタ'!$B$3:$B$16=A$3)*('特殊配信マスタ'!$R$3:$R$16=MOD(INT((C$1-'特殊配信マスタ'!$A$1)/7),3)+1)),1),""""))"),"")</f>
        <v/>
      </c>
      <c r="E267" s="590"/>
      <c r="F267" s="593" t="str">
        <f>IFERROR(__xludf.DUMMYFUNCTION("IF(C267="""","""",IFERROR(INDEX(FILTER('特殊配信マスタ'!$O$3:$O$16,('特殊配信マスタ'!$A$3:$A$16=CHOOSE(WEEKDAY(C$1),""日"",""月"",""火"",""水"",""木"",""金"",""土""))*('特殊配信マスタ'!$B$3:$B$16=A$3)*('特殊配信マスタ'!$R$3:$R$16=MOD(INT((C$1-'特殊配信マスタ'!$A$1)/7),3)+1)),1),""""))"),"")</f>
        <v/>
      </c>
      <c r="G267" s="593" t="str">
        <f>IFERROR(__xludf.DUMMYFUNCTION("IF(C267="""","""",IFERROR(INDEX(FILTER('特殊配信マスタ'!$P$3:$P$16,('特殊配信マスタ'!$A$3:$A$16=CHOOSE(WEEKDAY(C$1),""日"",""月"",""火"",""水"",""木"",""金"",""土""))*('特殊配信マスタ'!$B$3:$B$16=A$3)*('特殊配信マスタ'!$R$3:$R$16=MOD(INT((C$1-'特殊配信マスタ'!$A$1)/7),3)+1)),1),""""))"),"")</f>
        <v/>
      </c>
      <c r="H26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I267" s="593" t="str">
        <f>IFERROR(__xludf.DUMMYFUNCTION("IF(H267="""","""",IFERROR(INDEX(FILTER('特殊配信マスタ'!$F$3:$F$16,('特殊配信マスタ'!$A$3:$A$16=CHOOSE(WEEKDAY(H$1),""日"",""月"",""火"",""水"",""木"",""金"",""土""))*('特殊配信マスタ'!$B$3:$B$16=F$3)*('特殊配信マスタ'!$R$3:$R$16=MOD(INT((H$1-'特殊配信マスタ'!$A$1)/7),3)+1)),1),""""))"),"")</f>
        <v/>
      </c>
      <c r="J267" s="590"/>
      <c r="K267" s="593" t="str">
        <f>IFERROR(__xludf.DUMMYFUNCTION("IF(H267="""","""",IFERROR(INDEX(FILTER('特殊配信マスタ'!$O$3:$O$16,('特殊配信マスタ'!$A$3:$A$16=CHOOSE(WEEKDAY(H$1),""日"",""月"",""火"",""水"",""木"",""金"",""土""))*('特殊配信マスタ'!$B$3:$B$16=F$3)*('特殊配信マスタ'!$R$3:$R$16=MOD(INT((H$1-'特殊配信マスタ'!$A$1)/7),3)+1)),1),""""))"),"")</f>
        <v/>
      </c>
      <c r="L267" s="593" t="str">
        <f>IFERROR(__xludf.DUMMYFUNCTION("IF(H267="""","""",IFERROR(INDEX(FILTER('特殊配信マスタ'!$P$3:$P$16,('特殊配信マスタ'!$A$3:$A$16=CHOOSE(WEEKDAY(H$1),""日"",""月"",""火"",""水"",""木"",""金"",""土""))*('特殊配信マスタ'!$B$3:$B$16=F$3)*('特殊配信マスタ'!$R$3:$R$16=MOD(INT((H$1-'特殊配信マスタ'!$A$1)/7),3)+1)),1),""""))"),"")</f>
        <v/>
      </c>
      <c r="M26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N267" s="593" t="str">
        <f>IFERROR(__xludf.DUMMYFUNCTION("IF(M267="""","""",IFERROR(INDEX(FILTER('特殊配信マスタ'!$F$3:$F$16,('特殊配信マスタ'!$A$3:$A$16=CHOOSE(WEEKDAY(M$1),""日"",""月"",""火"",""水"",""木"",""金"",""土""))*('特殊配信マスタ'!$B$3:$B$16=K$3)*('特殊配信マスタ'!$R$3:$R$16=MOD(INT((M$1-'特殊配信マスタ'!$A$1)/7),3)+1)),1),""""))"),"")</f>
        <v/>
      </c>
      <c r="O267" s="590"/>
      <c r="P267" s="593" t="str">
        <f>IFERROR(__xludf.DUMMYFUNCTION("IF(M267="""","""",IFERROR(INDEX(FILTER('特殊配信マスタ'!$O$3:$O$16,('特殊配信マスタ'!$A$3:$A$16=CHOOSE(WEEKDAY(M$1),""日"",""月"",""火"",""水"",""木"",""金"",""土""))*('特殊配信マスタ'!$B$3:$B$16=K$3)*('特殊配信マスタ'!$R$3:$R$16=MOD(INT((M$1-'特殊配信マスタ'!$A$1)/7),3)+1)),1),""""))"),"")</f>
        <v/>
      </c>
      <c r="Q267" s="593" t="str">
        <f>IFERROR(__xludf.DUMMYFUNCTION("IF(M267="""","""",IFERROR(INDEX(FILTER('特殊配信マスタ'!$P$3:$P$16,('特殊配信マスタ'!$A$3:$A$16=CHOOSE(WEEKDAY(M$1),""日"",""月"",""火"",""水"",""木"",""金"",""土""))*('特殊配信マスタ'!$B$3:$B$16=K$3)*('特殊配信マスタ'!$R$3:$R$16=MOD(INT((M$1-'特殊配信マスタ'!$A$1)/7),3)+1)),1),""""))"),"")</f>
        <v/>
      </c>
      <c r="R26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S267" s="593" t="str">
        <f>IFERROR(__xludf.DUMMYFUNCTION("IF(R267="""","""",IFERROR(INDEX(FILTER('特殊配信マスタ'!$F$3:$F$16,('特殊配信マスタ'!$A$3:$A$16=CHOOSE(WEEKDAY(R$1),""日"",""月"",""火"",""水"",""木"",""金"",""土""))*('特殊配信マスタ'!$B$3:$B$16=P$3)*('特殊配信マスタ'!$R$3:$R$16=MOD(INT((R$1-'特殊配信マスタ'!$A$1)/7),3)+1)),1),""""))"),"")</f>
        <v/>
      </c>
      <c r="T267" s="590"/>
      <c r="U267" s="593" t="str">
        <f>IFERROR(__xludf.DUMMYFUNCTION("IF(R267="""","""",IFERROR(INDEX(FILTER('特殊配信マスタ'!$O$3:$O$16,('特殊配信マスタ'!$A$3:$A$16=CHOOSE(WEEKDAY(R$1),""日"",""月"",""火"",""水"",""木"",""金"",""土""))*('特殊配信マスタ'!$B$3:$B$16=P$3)*('特殊配信マスタ'!$R$3:$R$16=MOD(INT((R$1-'特殊配信マスタ'!$A$1)/7),3)+1)),1),""""))"),"")</f>
        <v/>
      </c>
      <c r="V267" s="593" t="str">
        <f>IFERROR(__xludf.DUMMYFUNCTION("IF(R267="""","""",IFERROR(INDEX(FILTER('特殊配信マスタ'!$P$3:$P$16,('特殊配信マスタ'!$A$3:$A$16=CHOOSE(WEEKDAY(R$1),""日"",""月"",""火"",""水"",""木"",""金"",""土""))*('特殊配信マスタ'!$B$3:$B$16=P$3)*('特殊配信マスタ'!$R$3:$R$16=MOD(INT((R$1-'特殊配信マスタ'!$A$1)/7),3)+1)),1),""""))"),"")</f>
        <v/>
      </c>
      <c r="W26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X267" s="593" t="str">
        <f>IFERROR(__xludf.DUMMYFUNCTION("IF(W267="""","""",IFERROR(INDEX(FILTER('特殊配信マスタ'!$F$3:$F$16,('特殊配信マスタ'!$A$3:$A$16=CHOOSE(WEEKDAY(W$1),""日"",""月"",""火"",""水"",""木"",""金"",""土""))*('特殊配信マスタ'!$B$3:$B$16=U$3)*('特殊配信マスタ'!$R$3:$R$16=MOD(INT((W$1-'特殊配信マスタ'!$A$1)/7),3)+1)),1),""""))"),"")</f>
        <v/>
      </c>
      <c r="Y267" s="590"/>
      <c r="Z267" s="593" t="str">
        <f>IFERROR(__xludf.DUMMYFUNCTION("IF(W267="""","""",IFERROR(INDEX(FILTER('特殊配信マスタ'!$O$3:$O$16,('特殊配信マスタ'!$A$3:$A$16=CHOOSE(WEEKDAY(W$1),""日"",""月"",""火"",""水"",""木"",""金"",""土""))*('特殊配信マスタ'!$B$3:$B$16=U$3)*('特殊配信マスタ'!$R$3:$R$16=MOD(INT((W$1-'特殊配信マスタ'!$A$1)/7),3)+1)),1),""""))"),"")</f>
        <v/>
      </c>
      <c r="AA267" s="593" t="str">
        <f>IFERROR(__xludf.DUMMYFUNCTION("IF(W267="""","""",IFERROR(INDEX(FILTER('特殊配信マスタ'!$P$3:$P$16,('特殊配信マスタ'!$A$3:$A$16=CHOOSE(WEEKDAY(W$1),""日"",""月"",""火"",""水"",""木"",""金"",""土""))*('特殊配信マスタ'!$B$3:$B$16=U$3)*('特殊配信マスタ'!$R$3:$R$16=MOD(INT((W$1-'特殊配信マスタ'!$A$1)/7),3)+1)),1),""""))"),"")</f>
        <v/>
      </c>
      <c r="AB26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C267" s="593" t="str">
        <f>IFERROR(__xludf.DUMMYFUNCTION("IF(AB267="""","""",IFERROR(INDEX(FILTER('特殊配信マスタ'!$F$3:$F$16,('特殊配信マスタ'!$A$3:$A$16=CHOOSE(WEEKDAY(AB$1),""日"",""月"",""火"",""水"",""木"",""金"",""土""))*('特殊配信マスタ'!$B$3:$B$16=Z$3)*('特殊配信マスタ'!$R$3:$R$16=MOD(INT((AB$1-'特殊配信マスタ'!$A$1)/7),3)+1)),1),""""))"),"")</f>
        <v/>
      </c>
      <c r="AD267" s="590"/>
      <c r="AE267" s="593" t="str">
        <f>IFERROR(__xludf.DUMMYFUNCTION("IF(AB267="""","""",IFERROR(INDEX(FILTER('特殊配信マスタ'!$O$3:$O$16,('特殊配信マスタ'!$A$3:$A$16=CHOOSE(WEEKDAY(AB$1),""日"",""月"",""火"",""水"",""木"",""金"",""土""))*('特殊配信マスタ'!$B$3:$B$16=Z$3)*('特殊配信マスタ'!$R$3:$R$16=MOD(INT((AB$1-'特殊配信マスタ'!$A$1)/7),3)+1)),1),""""))"),"")</f>
        <v/>
      </c>
      <c r="AF267" s="593" t="str">
        <f>IFERROR(__xludf.DUMMYFUNCTION("IF(AB267="""","""",IFERROR(INDEX(FILTER('特殊配信マスタ'!$P$3:$P$16,('特殊配信マスタ'!$A$3:$A$16=CHOOSE(WEEKDAY(AB$1),""日"",""月"",""火"",""水"",""木"",""金"",""土""))*('特殊配信マスタ'!$B$3:$B$16=Z$3)*('特殊配信マスタ'!$R$3:$R$16=MOD(INT((AB$1-'特殊配信マスタ'!$A$1)/7),3)+1)),1),""""))"),"")</f>
        <v/>
      </c>
      <c r="AG267"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H267" s="593" t="str">
        <f>IFERROR(__xludf.DUMMYFUNCTION("IF(AG267="""","""",IFERROR(INDEX(FILTER('特殊配信マスタ'!$F$3:$F$16,('特殊配信マスタ'!$A$3:$A$16=CHOOSE(WEEKDAY(AG$1),""日"",""月"",""火"",""水"",""木"",""金"",""土""))*('特殊配信マスタ'!$B$3:$B$16=AE$3)*('特殊配信マスタ'!$R$3:$R$16=MOD(INT((AG$1-'特殊配信マスタ'!$A$1)/7),3)+1)),1),""""))"),"")</f>
        <v/>
      </c>
      <c r="AI267" s="590"/>
      <c r="AJ267" s="593" t="str">
        <f>IFERROR(__xludf.DUMMYFUNCTION("IF(AG267="""","""",IFERROR(INDEX(FILTER('特殊配信マスタ'!$O$3:$O$16,('特殊配信マスタ'!$A$3:$A$16=CHOOSE(WEEKDAY(AG$1),""日"",""月"",""火"",""水"",""木"",""金"",""土""))*('特殊配信マスタ'!$B$3:$B$16=AE$3)*('特殊配信マスタ'!$R$3:$R$16=MOD(INT((AG$1-'特殊配信マスタ'!$A$1)/7),3)+1)),1),""""))"),"")</f>
        <v/>
      </c>
      <c r="AK267" s="593" t="str">
        <f>IFERROR(__xludf.DUMMYFUNCTION("IF(AG267="""","""",IFERROR(INDEX(FILTER('特殊配信マスタ'!$P$3:$P$16,('特殊配信マスタ'!$A$3:$A$16=CHOOSE(WEEKDAY(AG$1),""日"",""月"",""火"",""水"",""木"",""金"",""土""))*('特殊配信マスタ'!$B$3:$B$16=AE$3)*('特殊配信マスタ'!$R$3:$R$16=MOD(INT((AG$1-'特殊配信マスタ'!$A$1)/7),3)+1)),1),""""))"),"")</f>
        <v/>
      </c>
    </row>
    <row r="268" ht="17.25" customHeight="1">
      <c r="A268" s="599"/>
      <c r="B268" s="592"/>
      <c r="C26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D268" s="593" t="str">
        <f>IFERROR(__xludf.DUMMYFUNCTION("IF(C268="""","""",IFERROR(INDEX(FILTER('特殊配信マスタ'!$F$3:$F$16,('特殊配信マスタ'!$A$3:$A$16=CHOOSE(WEEKDAY(C$1),""日"",""月"",""火"",""水"",""木"",""金"",""土""))*('特殊配信マスタ'!$B$3:$B$16=A$3)*('特殊配信マスタ'!$R$3:$R$16=MOD(INT((C$1-'特殊配信マスタ'!$A$1)/7),3)+1)),1),""""))"),"")</f>
        <v/>
      </c>
      <c r="E268" s="590"/>
      <c r="F268" s="593" t="str">
        <f>IFERROR(__xludf.DUMMYFUNCTION("IF(C268="""","""",IFERROR(INDEX(FILTER('特殊配信マスタ'!$O$3:$O$16,('特殊配信マスタ'!$A$3:$A$16=CHOOSE(WEEKDAY(C$1),""日"",""月"",""火"",""水"",""木"",""金"",""土""))*('特殊配信マスタ'!$B$3:$B$16=A$3)*('特殊配信マスタ'!$R$3:$R$16=MOD(INT((C$1-'特殊配信マスタ'!$A$1)/7),3)+1)),1),""""))"),"")</f>
        <v/>
      </c>
      <c r="G268" s="593" t="str">
        <f>IFERROR(__xludf.DUMMYFUNCTION("IF(C268="""","""",IFERROR(INDEX(FILTER('特殊配信マスタ'!$P$3:$P$16,('特殊配信マスタ'!$A$3:$A$16=CHOOSE(WEEKDAY(C$1),""日"",""月"",""火"",""水"",""木"",""金"",""土""))*('特殊配信マスタ'!$B$3:$B$16=A$3)*('特殊配信マスタ'!$R$3:$R$16=MOD(INT((C$1-'特殊配信マスタ'!$A$1)/7),3)+1)),1),""""))"),"")</f>
        <v/>
      </c>
      <c r="H26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I268" s="593" t="str">
        <f>IFERROR(__xludf.DUMMYFUNCTION("IF(H268="""","""",IFERROR(INDEX(FILTER('特殊配信マスタ'!$F$3:$F$16,('特殊配信マスタ'!$A$3:$A$16=CHOOSE(WEEKDAY(H$1),""日"",""月"",""火"",""水"",""木"",""金"",""土""))*('特殊配信マスタ'!$B$3:$B$16=F$3)*('特殊配信マスタ'!$R$3:$R$16=MOD(INT((H$1-'特殊配信マスタ'!$A$1)/7),3)+1)),1),""""))"),"")</f>
        <v/>
      </c>
      <c r="J268" s="590"/>
      <c r="K268" s="593" t="str">
        <f>IFERROR(__xludf.DUMMYFUNCTION("IF(H268="""","""",IFERROR(INDEX(FILTER('特殊配信マスタ'!$O$3:$O$16,('特殊配信マスタ'!$A$3:$A$16=CHOOSE(WEEKDAY(H$1),""日"",""月"",""火"",""水"",""木"",""金"",""土""))*('特殊配信マスタ'!$B$3:$B$16=F$3)*('特殊配信マスタ'!$R$3:$R$16=MOD(INT((H$1-'特殊配信マスタ'!$A$1)/7),3)+1)),1),""""))"),"")</f>
        <v/>
      </c>
      <c r="L268" s="593" t="str">
        <f>IFERROR(__xludf.DUMMYFUNCTION("IF(H268="""","""",IFERROR(INDEX(FILTER('特殊配信マスタ'!$P$3:$P$16,('特殊配信マスタ'!$A$3:$A$16=CHOOSE(WEEKDAY(H$1),""日"",""月"",""火"",""水"",""木"",""金"",""土""))*('特殊配信マスタ'!$B$3:$B$16=F$3)*('特殊配信マスタ'!$R$3:$R$16=MOD(INT((H$1-'特殊配信マスタ'!$A$1)/7),3)+1)),1),""""))"),"")</f>
        <v/>
      </c>
      <c r="M26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N268" s="593" t="str">
        <f>IFERROR(__xludf.DUMMYFUNCTION("IF(M268="""","""",IFERROR(INDEX(FILTER('特殊配信マスタ'!$F$3:$F$16,('特殊配信マスタ'!$A$3:$A$16=CHOOSE(WEEKDAY(M$1),""日"",""月"",""火"",""水"",""木"",""金"",""土""))*('特殊配信マスタ'!$B$3:$B$16=K$3)*('特殊配信マスタ'!$R$3:$R$16=MOD(INT((M$1-'特殊配信マスタ'!$A$1)/7),3)+1)),1),""""))"),"")</f>
        <v/>
      </c>
      <c r="O268" s="590"/>
      <c r="P268" s="593" t="str">
        <f>IFERROR(__xludf.DUMMYFUNCTION("IF(M268="""","""",IFERROR(INDEX(FILTER('特殊配信マスタ'!$O$3:$O$16,('特殊配信マスタ'!$A$3:$A$16=CHOOSE(WEEKDAY(M$1),""日"",""月"",""火"",""水"",""木"",""金"",""土""))*('特殊配信マスタ'!$B$3:$B$16=K$3)*('特殊配信マスタ'!$R$3:$R$16=MOD(INT((M$1-'特殊配信マスタ'!$A$1)/7),3)+1)),1),""""))"),"")</f>
        <v/>
      </c>
      <c r="Q268" s="593" t="str">
        <f>IFERROR(__xludf.DUMMYFUNCTION("IF(M268="""","""",IFERROR(INDEX(FILTER('特殊配信マスタ'!$P$3:$P$16,('特殊配信マスタ'!$A$3:$A$16=CHOOSE(WEEKDAY(M$1),""日"",""月"",""火"",""水"",""木"",""金"",""土""))*('特殊配信マスタ'!$B$3:$B$16=K$3)*('特殊配信マスタ'!$R$3:$R$16=MOD(INT((M$1-'特殊配信マスタ'!$A$1)/7),3)+1)),1),""""))"),"")</f>
        <v/>
      </c>
      <c r="R26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S268" s="593" t="str">
        <f>IFERROR(__xludf.DUMMYFUNCTION("IF(R268="""","""",IFERROR(INDEX(FILTER('特殊配信マスタ'!$F$3:$F$16,('特殊配信マスタ'!$A$3:$A$16=CHOOSE(WEEKDAY(R$1),""日"",""月"",""火"",""水"",""木"",""金"",""土""))*('特殊配信マスタ'!$B$3:$B$16=P$3)*('特殊配信マスタ'!$R$3:$R$16=MOD(INT((R$1-'特殊配信マスタ'!$A$1)/7),3)+1)),1),""""))"),"")</f>
        <v/>
      </c>
      <c r="T268" s="590"/>
      <c r="U268" s="593" t="str">
        <f>IFERROR(__xludf.DUMMYFUNCTION("IF(R268="""","""",IFERROR(INDEX(FILTER('特殊配信マスタ'!$O$3:$O$16,('特殊配信マスタ'!$A$3:$A$16=CHOOSE(WEEKDAY(R$1),""日"",""月"",""火"",""水"",""木"",""金"",""土""))*('特殊配信マスタ'!$B$3:$B$16=P$3)*('特殊配信マスタ'!$R$3:$R$16=MOD(INT((R$1-'特殊配信マスタ'!$A$1)/7),3)+1)),1),""""))"),"")</f>
        <v/>
      </c>
      <c r="V268" s="593" t="str">
        <f>IFERROR(__xludf.DUMMYFUNCTION("IF(R268="""","""",IFERROR(INDEX(FILTER('特殊配信マスタ'!$P$3:$P$16,('特殊配信マスタ'!$A$3:$A$16=CHOOSE(WEEKDAY(R$1),""日"",""月"",""火"",""水"",""木"",""金"",""土""))*('特殊配信マスタ'!$B$3:$B$16=P$3)*('特殊配信マスタ'!$R$3:$R$16=MOD(INT((R$1-'特殊配信マスタ'!$A$1)/7),3)+1)),1),""""))"),"")</f>
        <v/>
      </c>
      <c r="W26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X268" s="593" t="str">
        <f>IFERROR(__xludf.DUMMYFUNCTION("IF(W268="""","""",IFERROR(INDEX(FILTER('特殊配信マスタ'!$F$3:$F$16,('特殊配信マスタ'!$A$3:$A$16=CHOOSE(WEEKDAY(W$1),""日"",""月"",""火"",""水"",""木"",""金"",""土""))*('特殊配信マスタ'!$B$3:$B$16=U$3)*('特殊配信マスタ'!$R$3:$R$16=MOD(INT((W$1-'特殊配信マスタ'!$A$1)/7),3)+1)),1),""""))"),"")</f>
        <v/>
      </c>
      <c r="Y268" s="590"/>
      <c r="Z268" s="593" t="str">
        <f>IFERROR(__xludf.DUMMYFUNCTION("IF(W268="""","""",IFERROR(INDEX(FILTER('特殊配信マスタ'!$O$3:$O$16,('特殊配信マスタ'!$A$3:$A$16=CHOOSE(WEEKDAY(W$1),""日"",""月"",""火"",""水"",""木"",""金"",""土""))*('特殊配信マスタ'!$B$3:$B$16=U$3)*('特殊配信マスタ'!$R$3:$R$16=MOD(INT((W$1-'特殊配信マスタ'!$A$1)/7),3)+1)),1),""""))"),"")</f>
        <v/>
      </c>
      <c r="AA268" s="593" t="str">
        <f>IFERROR(__xludf.DUMMYFUNCTION("IF(W268="""","""",IFERROR(INDEX(FILTER('特殊配信マスタ'!$P$3:$P$16,('特殊配信マスタ'!$A$3:$A$16=CHOOSE(WEEKDAY(W$1),""日"",""月"",""火"",""水"",""木"",""金"",""土""))*('特殊配信マスタ'!$B$3:$B$16=U$3)*('特殊配信マスタ'!$R$3:$R$16=MOD(INT((W$1-'特殊配信マスタ'!$A$1)/7),3)+1)),1),""""))"),"")</f>
        <v/>
      </c>
      <c r="AB26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C268" s="593" t="str">
        <f>IFERROR(__xludf.DUMMYFUNCTION("IF(AB268="""","""",IFERROR(INDEX(FILTER('特殊配信マスタ'!$F$3:$F$16,('特殊配信マスタ'!$A$3:$A$16=CHOOSE(WEEKDAY(AB$1),""日"",""月"",""火"",""水"",""木"",""金"",""土""))*('特殊配信マスタ'!$B$3:$B$16=Z$3)*('特殊配信マスタ'!$R$3:$R$16=MOD(INT((AB$1-'特殊配信マスタ'!$A$1)/7),3)+1)),1),""""))"),"")</f>
        <v/>
      </c>
      <c r="AD268" s="590"/>
      <c r="AE268" s="593" t="str">
        <f>IFERROR(__xludf.DUMMYFUNCTION("IF(AB268="""","""",IFERROR(INDEX(FILTER('特殊配信マスタ'!$O$3:$O$16,('特殊配信マスタ'!$A$3:$A$16=CHOOSE(WEEKDAY(AB$1),""日"",""月"",""火"",""水"",""木"",""金"",""土""))*('特殊配信マスタ'!$B$3:$B$16=Z$3)*('特殊配信マスタ'!$R$3:$R$16=MOD(INT((AB$1-'特殊配信マスタ'!$A$1)/7),3)+1)),1),""""))"),"")</f>
        <v/>
      </c>
      <c r="AF268" s="593" t="str">
        <f>IFERROR(__xludf.DUMMYFUNCTION("IF(AB268="""","""",IFERROR(INDEX(FILTER('特殊配信マスタ'!$P$3:$P$16,('特殊配信マスタ'!$A$3:$A$16=CHOOSE(WEEKDAY(AB$1),""日"",""月"",""火"",""水"",""木"",""金"",""土""))*('特殊配信マスタ'!$B$3:$B$16=Z$3)*('特殊配信マスタ'!$R$3:$R$16=MOD(INT((AB$1-'特殊配信マスタ'!$A$1)/7),3)+1)),1),""""))"),"")</f>
        <v/>
      </c>
      <c r="AG268" s="590" t="str">
        <f>IFERROR(__xludf.DUMMYFUNCTION("LET(
    dayCol, COLUMN()-MOD(COLUMN()-3,5),
    date, INDEX($1:$1,1,dayCol),
    base, IFERROR(DATEVALUE('特殊配信マスタ'!$A$1), '特殊配信マスタ'!$A$1),
    weekday, CHOOSE(WEEKDAY(date),""日"",""月"",""火"",""水"",""木"",""金"",""土""),
    time, VALUE($A$3),
    startRow, "&amp;"17,
    k, ROW()-startRow+1,
    cycle, MOD(INT((date-base)/7),3)+1,
    hdr, MAP('特殊配信マスタ'!$A$2:$X$2, LAMBDA(x, REGEXREPLACE(TO_TEXT(x),""[\\s　]+"",""""))),
    cDay, MATCH(""曜日"",hdr,0),
    cTime, MATCH(""時間"",hdr,0),
    cCy, MATCH(""サイクル"",hdr,0),
 "&amp;"   cTitle, MATCH(""メルマガ内容"",hdr,0),
    titles, FILTER(
      INDEX('特殊配信マスタ'!$A$3:$X$16,,cTitle),
      INDEX('特殊配信マスタ'!$A$3:$X$16,,cDay)=weekday,
      VALUE(INDEX('特殊配信マスタ'!$A$3:$X$16,,cTime))=time,
      VALUE(INDEX('特殊配信マスタ'!$A$3:$X$16,,cCy))=cycle,"&amp;"
      INDEX('特殊配信マスタ'!$A$3:$X$16,,cTitle)&lt;&gt;""""
    ),
    IFERROR(INDEX(titles,k),"""")
  )"),"")</f>
        <v/>
      </c>
      <c r="AH268" s="593" t="str">
        <f>IFERROR(__xludf.DUMMYFUNCTION("IF(AG268="""","""",IFERROR(INDEX(FILTER('特殊配信マスタ'!$F$3:$F$16,('特殊配信マスタ'!$A$3:$A$16=CHOOSE(WEEKDAY(AG$1),""日"",""月"",""火"",""水"",""木"",""金"",""土""))*('特殊配信マスタ'!$B$3:$B$16=AE$3)*('特殊配信マスタ'!$R$3:$R$16=MOD(INT((AG$1-'特殊配信マスタ'!$A$1)/7),3)+1)),1),""""))"),"")</f>
        <v/>
      </c>
      <c r="AI268" s="590"/>
      <c r="AJ268" s="593" t="str">
        <f>IFERROR(__xludf.DUMMYFUNCTION("IF(AG268="""","""",IFERROR(INDEX(FILTER('特殊配信マスタ'!$O$3:$O$16,('特殊配信マスタ'!$A$3:$A$16=CHOOSE(WEEKDAY(AG$1),""日"",""月"",""火"",""水"",""木"",""金"",""土""))*('特殊配信マスタ'!$B$3:$B$16=AE$3)*('特殊配信マスタ'!$R$3:$R$16=MOD(INT((AG$1-'特殊配信マスタ'!$A$1)/7),3)+1)),1),""""))"),"")</f>
        <v/>
      </c>
      <c r="AK268" s="593" t="str">
        <f>IFERROR(__xludf.DUMMYFUNCTION("IF(AG268="""","""",IFERROR(INDEX(FILTER('特殊配信マスタ'!$P$3:$P$16,('特殊配信マスタ'!$A$3:$A$16=CHOOSE(WEEKDAY(AG$1),""日"",""月"",""火"",""水"",""木"",""金"",""土""))*('特殊配信マスタ'!$B$3:$B$16=AE$3)*('特殊配信マスタ'!$R$3:$R$16=MOD(INT((AG$1-'特殊配信マスタ'!$A$1)/7),3)+1)),1),""""))"),"")</f>
        <v/>
      </c>
    </row>
  </sheetData>
  <mergeCells count="42">
    <mergeCell ref="B3:B11"/>
    <mergeCell ref="B12:B16"/>
    <mergeCell ref="B17:B21"/>
    <mergeCell ref="B22:B30"/>
    <mergeCell ref="B31:B35"/>
    <mergeCell ref="B36:B40"/>
    <mergeCell ref="B41:B49"/>
    <mergeCell ref="B50:B54"/>
    <mergeCell ref="B55:B59"/>
    <mergeCell ref="B60:B68"/>
    <mergeCell ref="B69:B73"/>
    <mergeCell ref="B74:B78"/>
    <mergeCell ref="B79:B87"/>
    <mergeCell ref="B88:B92"/>
    <mergeCell ref="B93:B97"/>
    <mergeCell ref="B98:B106"/>
    <mergeCell ref="B107:B111"/>
    <mergeCell ref="B112:B116"/>
    <mergeCell ref="B117:B125"/>
    <mergeCell ref="B126:B130"/>
    <mergeCell ref="B131:B135"/>
    <mergeCell ref="B136:B144"/>
    <mergeCell ref="B145:B149"/>
    <mergeCell ref="B150:B154"/>
    <mergeCell ref="B155:B163"/>
    <mergeCell ref="B164:B168"/>
    <mergeCell ref="B169:B173"/>
    <mergeCell ref="B174:B182"/>
    <mergeCell ref="B226:B230"/>
    <mergeCell ref="B231:B239"/>
    <mergeCell ref="B240:B244"/>
    <mergeCell ref="B245:B249"/>
    <mergeCell ref="B250:B258"/>
    <mergeCell ref="B259:B263"/>
    <mergeCell ref="B264:B268"/>
    <mergeCell ref="B183:B187"/>
    <mergeCell ref="B188:B192"/>
    <mergeCell ref="B193:B201"/>
    <mergeCell ref="B202:B206"/>
    <mergeCell ref="B207:B211"/>
    <mergeCell ref="B212:B220"/>
    <mergeCell ref="B221:B225"/>
  </mergeCells>
  <conditionalFormatting sqref="AG3:AK268 C40:AF40 C58:AF59 C76:AF76 C78:AF78 C94:AF94 C97:AF97 C112:AF112 C116:AF116 C130:AF130 C135:AF135 C148:AF148 C154:AF154 C166:AF166 C173:AF173 C184:AF184 C192:AF192 C202:AF202 C211:AF211 C220:AF220 C230:AF230 C238:AF238 C249:AF249 C256:AF268">
    <cfRule type="expression" dxfId="7" priority="1" stopIfTrue="1">
      <formula>IFNA(VLOOKUP($AG3, INDIRECT("リスト!$C$2:$O$400"), 13, 0), FALSE)</formula>
    </cfRule>
  </conditionalFormatting>
  <conditionalFormatting sqref="W3:AA268">
    <cfRule type="expression" dxfId="7" priority="2" stopIfTrue="1">
      <formula>IFNA(VLOOKUP($W3, INDIRECT("リスト!$C$2:$O$400"), 13, 0), FALSE)</formula>
    </cfRule>
  </conditionalFormatting>
  <conditionalFormatting sqref="R3:V268 C11:Q15 W11:AF15 AG11:AH21 AI11:AK15 C30:Q34 W30:AF34 AG30:AH40 AI30:AK34 C49:Q53 W49:AF53 AG49:AH59 AI49:AK53 C67:Q72 W67:AF72 AG67:AH78 AI67:AK72 C85:Q91 W85:AF91 AG85:AH97 AI85:AK91 C103:Q110 W103:AF110 AG103:AH116 AI103:AK110 C121:Q129 W121:AF129 AG121:AH135 AI121:AK129 C139:Q148 W139:AF148 AG139:AH154 AI139:AK148 C157:Q161 W157:AF161 AG157:AH173 AI157:AK161 C163:Q167 W163:AF167 AI163:AK167 C175:Q179 W175:AF179 AG175:AH268 AI175:AK179 C182:Q186 W182:AF186 AI182:AK186 C193:Q197 W193:AF197 AI193:AK197 C201:Q205 W201:AF205 AI201:AK205 C211:Q215 W211:AF215 AI211:AK215 C220:Q224 W220:AF224 AI220:AK224 C229:Q233 W229:AF233 AI229:AK233 C239:Q243 W239:AF243 AI239:AK243 C247:Q252 W247:AF252 AI247:AK252 C258:Q262 W258:AF262 AI258:AK262 C266:Q268 W266:AF268 AI266:AK268">
    <cfRule type="expression" dxfId="7" priority="3" stopIfTrue="1">
      <formula>IFNA(VLOOKUP($R3, INDIRECT("リスト!$C$2:$O$400"), 13, 0), FALSE)</formula>
    </cfRule>
  </conditionalFormatting>
  <conditionalFormatting sqref="C3:AK268">
    <cfRule type="expression" dxfId="7" priority="4" stopIfTrue="1">
      <formula>IFNA(VLOOKUP($C3, INDIRECT("リスト!$C$2:$O$400"), 13, 0), FALSE)</formula>
    </cfRule>
  </conditionalFormatting>
  <conditionalFormatting sqref="AB3:AF268 AG16:AK16 AG35:AK35 AG54:AK54 AG72:AK73 AG90:AK90 AG92:AK92 AG108:AK108 AG111:AK111 AG126:AK126 AG130:AK130 AG144:AK144 AG149:AK149 AG162:AK162 AG168:AK168 AG180:AK180 AG187:AK187 AG198:AK198 AG206:AK206 AG216:AK216 AG225:AK225 AG234:AK234 AG244:AK244 AG252:AK253 AG263:AK263">
    <cfRule type="expression" dxfId="7" priority="5" stopIfTrue="1">
      <formula>IFNA(VLOOKUP($AB3, INDIRECT("リスト!$C$2:$O$400"), 13, 0), FALSE)</formula>
    </cfRule>
  </conditionalFormatting>
  <conditionalFormatting sqref="M3:Q268 AG11:AG21 AH11:AK16 C16:C21 H16:H21 R16:R21 W16:W21 AB16:AF21 AG30:AG40 AH30:AK35 C35:C40 H35:H40 R35:R40 W35:W40 AB35:AF40 AG49:AG59 AH49:AK54 C54:C59 H54:H59 R54:R59 W54:W59 AB54:AF59 AG67:AG78 AH67:AK73 C72:C78 H72:H78 R72:R78 W72:W78 AB72:AF78 AG85:AG97 AH85:AK92 C90:C97 H90:H97 R90:R97 W90:W97 AB90:AF97 AG103:AG116 AH103:AK111 C108:C116 H108:H116 R108:R116 W108:W116 AB108:AF116 AG121:AG135 AH121:AK130 C126:C135 H126:H135 R126:R135 W126:W135 AB126:AF135 AG139:AG154 AH139:AK149 C144:C154 H144:H154 R144:R154 W144:W154 AB144:AF154 AG157:AG173 AH157:AK168 C162:C166 H162:H166 R162:R166 W162:W166 AB162:AF166 C168:C173 H168:H173 R168:R173 W168:W173 AB168:AF173 AG175:AG268 AH175:AK180 C180:C184 H180:H184 R180:R184 W180:W184 AB180:AF184 AH182:AK187 C187:C192 H187:H192 R187:R192 W187:W192 AB187:AF192 AH193:AK198 C198:C202 H198:H202 R198:R202 W198:W202 AB198:AF202 AH201:AK206 C206:C211 H206:H211 R206:R211 W206:W211 AB206:AF211 AH211:AK216 C216:C220 H216:H220 R216:R220 W216:W220 AB216:AF220 AH220:AK225 C225:C230 H225:H230 R225:R230 W225:W230 AB225:AF230 AH229:AK234 C234:C238 H234:H238 R234:R238 W234:W238 AB234:AF238 AH239:AK244 C244:C249 H244:H249 R244:R249 W244:W249 AB244:AF249 AH247:AK253 C252:C268 H252:H268 R252:R268 W252:W268 AB252:AF268 AH258:AK263 AH266:AK268">
    <cfRule type="expression" dxfId="7" priority="6" stopIfTrue="1">
      <formula>IFNA(VLOOKUP($M3, INDIRECT("リスト!$C$2:$O$400"), 13, 0), FALSE)</formula>
    </cfRule>
  </conditionalFormatting>
  <conditionalFormatting sqref="H3:L268 R3:V268 AB3:AF268 C11:C21 D11:G15 M11:Q21 W11:AA21 AG11:AK21 C30:C40 D30:G34 M30:Q40 W30:AA40 AG30:AK40 C49:C59 D49:G53 M49:Q59 W49:AA59 AG49:AK59 C67:C78 D67:G72 M67:Q78 W67:AA78 AG67:AK78 C85:C97 D85:G91 M85:Q97 W85:AA97 AG85:AK97 C103:C116 D103:G110 M103:Q116 W103:AA116 AG103:AK116 C121:C135 D121:G129 M121:Q135 W121:AA135 AG121:AK135 C139:C154 D139:G148 M139:Q154 W139:AA154 AG139:AK154 C157:C173 D157:G161 M157:Q173 W157:AA173 AG157:AK173 D163:G167 C175:C268 D175:G179 M175:Q268 W175:AA268 AG175:AK268 D182:G186 D193:G197 D201:G205 D211:G215 D220:G224 D229:G233 D239:G243 D247:G252 D258:G262 D266:G268">
    <cfRule type="expression" dxfId="7" priority="7" stopIfTrue="1">
      <formula>IFNA(VLOOKUP($H3, INDIRECT("リスト!$C$2:$O$400"), 13, 0), FALSE)</formula>
    </cfRule>
  </conditionalFormatting>
  <conditionalFormatting sqref="C3:AK268">
    <cfRule type="expression" dxfId="2" priority="8" stopIfTrue="1">
      <formula>AND(MOD(COLUMN()-3, 5)=0, IFERROR(VLOOKUP(C3, INDIRECT("リスト!$C$2:$O"), 13, FALSE), FALSE))</formula>
    </cfRule>
  </conditionalFormatting>
  <conditionalFormatting sqref="C3:AK268">
    <cfRule type="expression" dxfId="5" priority="9" stopIfTrue="1">
      <formula>AND(MOD(COLUMN()-3, 5)=0, IFERROR(VLOOKUP(C3, INDIRECT("リスト!$C$2:$E"), 3, FALSE), "")="隔週A")</formula>
    </cfRule>
  </conditionalFormatting>
  <conditionalFormatting sqref="D3:D268 F3:AK268 C11:C21 E11:E15 C30:C40 E30:E34 E40 C49:C59 E49:E53 E58:E59 C67:C78 E67:E72 E76 E78 C85:C97 E85:E91 E94 E97 C103:C116 E103:E110 E112 E116 C121:C135 E121:E130 E135 C139:C154 E139:E148 E154 C157:C173 E157:E161 E163:E167 E173 C175:C268 E175:E179 E182:E186 E192:E197 E201:E205 E211:E215 E220:E224 E229:E233 E238:E243 E247:E252 E256:E268">
    <cfRule type="expression" dxfId="6" priority="10">
      <formula>AND(MOD(COLUMN()-6, 5)=0, D3="R")</formula>
    </cfRule>
  </conditionalFormatting>
  <conditionalFormatting sqref="C3:AK268">
    <cfRule type="expression" dxfId="4" priority="11" stopIfTrue="1">
      <formula>AND(MOD(COLUMN()-3, 5)=0, IFERROR(VLOOKUP(C3, INDIRECT("リスト!$C$2:$E"), 3, FALSE), "")="隔週B")</formula>
    </cfRule>
  </conditionalFormatting>
  <conditionalFormatting sqref="A2:AK268">
    <cfRule type="expression" dxfId="10" priority="12" stopIfTrue="1">
      <formula>MOD(ROW(),2)=0</formula>
    </cfRule>
  </conditionalFormatting>
  <conditionalFormatting sqref="U3:U268 F11:F15 K11:K15 P11:P15 Z11:Z15 AE11:AE15 AJ11:AJ15 F30:F34 K30:K34 P30:P34 Z30:Z34 AE30:AE34 AJ30:AJ34 F49:F53 K49:K53 P49:P53 Z49:Z53 AE49:AE53 AJ49:AJ53 F67:F72 K67:K72 P67:P72 Z67:Z72 AE67:AE72 AJ67:AJ72 F85:F91 K85:K91 P85:P91 Z85:Z91 AE85:AE91 AJ85:AJ91 F103:F110 K103:K110 P103:P110 Z103:Z110 AE103:AE110 AJ103:AJ110 F121:F129 K121:K129 P121:P129 Z121:Z129 AE121:AE129 AJ121:AJ129 F139:F148 K139:K148 P139:P148 Z139:Z148 AE139:AE148 AJ139:AJ148 F157:F161 K157:K161 P157:P161 Z157:Z161 AE157:AE161 AJ157:AJ161 F163:F167 K163:K167 P163:P167 Z163:Z167 AE163:AE167 AJ163:AJ167 F175:F179 K175:K179 P175:P179 Z175:Z179 AE175:AE179 AJ175:AJ179 F182:F186 K182:K186 P182:P186 Z182:Z186 AE182:AE186 AJ182:AJ186 F193:F197 K193:K197 P193:P197 Z193:Z197 AE193:AE197 AJ193:AJ197 F201:F205 K201:K205 P201:P205 Z201:Z205 AE201:AE205 AJ201:AJ205 F211:F215 K211:K215 P211:P215 Z211:Z215 AE211:AE215 AJ211:AJ215 F220:F224 K220:K224 P220:P224 Z220:Z224 AE220:AE224 AJ220:AJ224 F229:F233 K229:K233 P229:P233 Z229:Z233 AE229:AE233 AJ229:AJ233 F239:F243 K239:K243 P239:P243 Z239:Z243 AE239:AE243 AJ239:AJ243 F247:F252 K247:K252 P247:P252 Z247:Z252 AE247:AE252 AJ247:AJ252 F258:F262 K258:K262 P258:P262 Z258:Z262 AE258:AE262 AJ258:AJ262 F266:F268 K266:K268 P266:P268 Z266:Z268 AE266:AE268 AJ266:AJ268">
    <cfRule type="cellIs" dxfId="11" priority="13" stopIfTrue="1" operator="equal">
      <formula>"R"</formula>
    </cfRule>
  </conditionalFormatting>
  <conditionalFormatting sqref="AE3:AE268 AJ16 AJ35 AJ54 AJ72:AJ73 AJ90 AJ92 AJ108 AJ111 AJ126 AJ130 AJ144 AJ149 AJ162 AJ168 AJ180 AJ187 AJ198 AJ206 AJ216 AJ225 AJ234 AJ244 AJ252:AJ253 AJ263">
    <cfRule type="cellIs" dxfId="11" priority="14" stopIfTrue="1" operator="equal">
      <formula>"R"</formula>
    </cfRule>
  </conditionalFormatting>
  <conditionalFormatting sqref="Z3:Z268">
    <cfRule type="cellIs" dxfId="11" priority="15" stopIfTrue="1" operator="equal">
      <formula>"R"</formula>
    </cfRule>
  </conditionalFormatting>
  <conditionalFormatting sqref="AJ3:AJ268 F40 K40 P40 U40 Z40 AE40 F58:F59 K58:K59 P58:P59 U58:U59 Z58:Z59 AE58:AE59 F76 K76 P76 U76 Z76 AE76 F78 K78 P78 U78 Z78 AE78 F94 K94 P94 U94 Z94 AE94 F97 K97 P97 U97 Z97 AE97 F112 K112 P112 U112 Z112 AE112 F116 K116 P116 U116 Z116 AE116 F130 K130 P130 U130 Z130 AE130 F135 K135 P135 U135 Z135 AE135 F148 K148 P148 U148 Z148 AE148 F154 K154 P154 U154 Z154 AE154 F166 K166 P166 U166 Z166 AE166 F173 K173 P173 U173 Z173 AE173 F184 K184 P184 U184 Z184 AE184 F192 K192 P192 U192 Z192 AE192 F202 K202 P202 U202 Z202 AE202 F211 K211 P211 U211 Z211 AE211 F220 K220 P220 U220 Z220 AE220 F230 K230 P230 U230 Z230 AE230 F238 K238 P238 U238 Z238 AE238 F249 K249 P249 U249 Z249 AE249 F256:F268 K256:K268 P256:P268 U256:U268 Z256:Z268 AE256:AE268">
    <cfRule type="cellIs" dxfId="11" priority="16" stopIfTrue="1" operator="equal">
      <formula>"R"</formula>
    </cfRule>
  </conditionalFormatting>
  <conditionalFormatting sqref="P3:P268 AJ11:AJ16 AE16:AE21 AJ30:AJ35 AE35:AE40 AJ49:AJ54 AE54:AE59 AJ67:AJ73 AE72:AE78 AJ85:AJ92 AE90:AE97 AJ103:AJ111 AE108:AE116 AJ121:AJ130 AE126:AE135 AJ139:AJ149 AE144:AE154 AJ157:AJ168 AE162:AE166 AE168:AE173 AJ175:AJ180 AE180:AE184 AJ182:AJ187 AE187:AE192 AJ193:AJ198 AE198:AE202 AJ201:AJ206 AE206:AE211 AJ211:AJ216 AE216:AE220 AJ220:AJ225 AE225:AE230 AJ229:AJ234 AE234:AE238 AJ239:AJ244 AE244:AE249 AJ247:AJ253 AE252:AE268 AJ258:AJ263 AJ266:AJ268">
    <cfRule type="cellIs" dxfId="11" priority="17" stopIfTrue="1" operator="equal">
      <formula>"R"</formula>
    </cfRule>
  </conditionalFormatting>
  <conditionalFormatting sqref="D3:D268 F3:F268 I3:I268 K3:K268 N3:N268 P3:P268 S3:S268 U3:U268 X3:X268 Z3:Z268 AC3:AC268 AE3:AE268 AH3:AH268 AJ3:AJ268 G11 L11 Q11 V11 AA11 AF11 AK11 G16:G21 L16:L21 Q16:Q21 V16:V21 AA16:AA21 AF16:AF21 AK16:AK21 G30 L30 Q30 V30 AA30 AF30 AK30 G35:G40 L35:L40 Q35:Q40 V35:V40 AA35:AA40 AF35:AF40 AK35:AK40 G49 L49 Q49 V49 AA49 AF49 AK49 G54:G59 L54:L59 Q54:Q59 V54:V59 AA54:AA59 AF54:AF59 AK54:AK59 G67:G68 L67:L68 Q67:Q68 V67:V68 AA67:AA68 AF67:AF68 AK67:AK68 G72:G78 L72:L78 Q72:Q78 V72:V78 AA72:AA78 AF72:AF78 AK72:AK78 G85 L85 Q85 V85 AA85 AF85 AK85 G87 L87 Q87 V87 AA87 AF87 AK87 G90:G97 L90:L97 Q90:Q97 V90:V97 AA90:AA97 AF90:AF97 AK90:AK97 G103 L103 Q103 V103 AA103 AF103 AK103 G106 L106 Q106 V106 AA106 AF106 AK106 G108:G116 L108:L116 Q108:Q116 V108:V116 AA108:AA116 AF108:AF116 AK108:AK116 G121 L121 Q121 V121 AA121 AF121 AK121 G125:G135 L125:L135 Q125:Q135 V125:V135 AA125:AA135 AF125:AF135 AK125:AK135 G139 L139 Q139 V139 AA139 AF139 AK139 G144:G154 L144:L154 Q144:Q154 V144:V154 AA144:AA154 AF144:AF154 AK144:AK154 G157 L157 Q157 V157 AA157 AF157 AK157 G162:G166 L162:L166 Q162:Q166 V162:V166 AA162:AA166 AF162:AF166 AK162:AK166 G168:G173 L168:L173 Q168:Q173 V168:V173 AA168:AA173 AF168:AF173 AK168:AK173 G175 L175 Q175 V175 AA175 AF175 AK175 G180:G184 L180:L184 Q180:Q184 V180:V184 AA180:AA184 AF180:AF184 AK180:AK184 G187:G193 L187:L193 Q187:Q193 V187:V193 AA187:AA193 AF187:AF193 AK187:AK193 G198:G202 L198:L202 Q198:Q202 V198:V202 AA198:AA202 AF198:AF202 AK198:AK202 G206:G211 L206:L211 Q206:Q211 V206:V211 AA206:AA211 AF206:AF211 AK206:AK211 G216:G220 L216:L220 Q216:Q220 V216:V220 AA216:AA220 AF216:AF220 AK216:AK220 G225:G230 L225:L230 Q225:Q230 V225:V230 AA225:AA230 AF225:AF230 AK225:AK230 G234:G239 L234:L239 Q234:Q239 V234:V239 AA234:AA239 AF234:AF239 AK234:AK239 G244:G249 L244:L249 Q244:Q249 V244:V249 AA244:AA249 AF244:AF249 AK244:AK249 G252:G268 L252:L268 Q252:Q268 V252:V268 AA252:AA268 AF252:AF268 AK252:AK268">
    <cfRule type="cellIs" dxfId="11" priority="18" stopIfTrue="1" operator="equal">
      <formula>"R"</formula>
    </cfRule>
  </conditionalFormatting>
  <hyperlinks>
    <hyperlink r:id="rId1" location="gid=978158948" ref="AG9"/>
    <hyperlink r:id="rId2" location="gid=137635336" ref="H194"/>
    <hyperlink r:id="rId3" location="gid=706137097" ref="M196"/>
  </hyperlinks>
  <printOptions gridLines="1" horizontalCentered="1"/>
  <pageMargins bottom="0.75" footer="0.0" header="0.0" left="0.25" right="0.25" top="0.75"/>
  <pageSetup fitToWidth="0" paperSize="8" cellComments="atEnd" orientation="landscape" pageOrder="overThenDown"/>
  <drawing r:id="rId4"/>
</worksheet>
</file>